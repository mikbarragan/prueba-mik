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C360\Evolución de Bug\"/>
    </mc:Choice>
  </mc:AlternateContent>
  <xr:revisionPtr revIDLastSave="0" documentId="13_ncr:1_{DDE4F42F-862A-4B91-9C9E-C88468382404}" xr6:coauthVersionLast="47" xr6:coauthVersionMax="47" xr10:uidLastSave="{00000000-0000-0000-0000-000000000000}"/>
  <bookViews>
    <workbookView xWindow="-120" yWindow="-120" windowWidth="28800" windowHeight="14415" activeTab="3" xr2:uid="{00000000-000D-0000-FFFF-FFFF00000000}"/>
  </bookViews>
  <sheets>
    <sheet name="Datos" sheetId="1" r:id="rId1"/>
    <sheet name="Resumen" sheetId="3" r:id="rId2"/>
    <sheet name="Resumen_Tipologia" sheetId="4" r:id="rId3"/>
    <sheet name="Grafica_Estado" sheetId="6" r:id="rId4"/>
  </sheets>
  <definedNames>
    <definedName name="_xlnm._FilterDatabase" localSheetId="0" hidden="1">Datos!$A$1:$Q$497</definedName>
  </definedNames>
  <calcPr calcId="191029"/>
  <pivotCaches>
    <pivotCache cacheId="742" r:id="rId5"/>
    <pivotCache cacheId="748" r:id="rId6"/>
    <pivotCache cacheId="81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6" l="1"/>
  <c r="N11" i="6" s="1"/>
  <c r="O11" i="6" s="1"/>
  <c r="L6" i="6"/>
  <c r="L7" i="6"/>
  <c r="L8" i="6"/>
  <c r="L9" i="6"/>
  <c r="L10" i="6"/>
  <c r="L5" i="6"/>
  <c r="N9" i="6"/>
  <c r="N10" i="6"/>
  <c r="N6" i="6"/>
  <c r="O6" i="6" s="1"/>
  <c r="O10" i="6"/>
  <c r="M10" i="6"/>
  <c r="M11" i="6"/>
  <c r="K10" i="6"/>
  <c r="M6" i="6"/>
  <c r="M7" i="6"/>
  <c r="M8" i="6"/>
  <c r="M9" i="6"/>
  <c r="M5" i="6"/>
  <c r="N7" i="6"/>
  <c r="O7" i="6" s="1"/>
  <c r="N8" i="6"/>
  <c r="O8" i="6" s="1"/>
  <c r="K6" i="6"/>
  <c r="K7" i="6"/>
  <c r="K8" i="6"/>
  <c r="K9" i="6"/>
  <c r="K5" i="6"/>
  <c r="N492" i="1"/>
  <c r="Q492" i="1" s="1"/>
  <c r="O492" i="1"/>
  <c r="W492" i="1" s="1"/>
  <c r="P492" i="1"/>
  <c r="T492" i="1" s="1"/>
  <c r="R492" i="1"/>
  <c r="N493" i="1"/>
  <c r="Q493" i="1" s="1"/>
  <c r="O493" i="1"/>
  <c r="R493" i="1" s="1"/>
  <c r="P493" i="1"/>
  <c r="T493" i="1"/>
  <c r="W493" i="1"/>
  <c r="S493" i="1" s="1"/>
  <c r="Y493" i="1" s="1"/>
  <c r="X493" i="1"/>
  <c r="N494" i="1"/>
  <c r="Q494" i="1" s="1"/>
  <c r="O494" i="1"/>
  <c r="R494" i="1" s="1"/>
  <c r="P494" i="1"/>
  <c r="X494" i="1" s="1"/>
  <c r="N495" i="1"/>
  <c r="Q495" i="1" s="1"/>
  <c r="O495" i="1"/>
  <c r="R495" i="1" s="1"/>
  <c r="P495" i="1"/>
  <c r="X495" i="1" s="1"/>
  <c r="W495" i="1"/>
  <c r="N496" i="1"/>
  <c r="Q496" i="1" s="1"/>
  <c r="O496" i="1"/>
  <c r="W496" i="1" s="1"/>
  <c r="P496" i="1"/>
  <c r="V496" i="1" s="1"/>
  <c r="N497" i="1"/>
  <c r="Q497" i="1" s="1"/>
  <c r="O497" i="1"/>
  <c r="R497" i="1" s="1"/>
  <c r="P497" i="1"/>
  <c r="T497" i="1" s="1"/>
  <c r="W497" i="1"/>
  <c r="O9" i="6" l="1"/>
  <c r="X497" i="1"/>
  <c r="U497" i="1" s="1"/>
  <c r="Z497" i="1" s="1"/>
  <c r="X492" i="1"/>
  <c r="U492" i="1" s="1"/>
  <c r="Z492" i="1" s="1"/>
  <c r="S492" i="1"/>
  <c r="Y492" i="1" s="1"/>
  <c r="S495" i="1"/>
  <c r="Y495" i="1" s="1"/>
  <c r="S496" i="1"/>
  <c r="Y496" i="1" s="1"/>
  <c r="V495" i="1"/>
  <c r="T495" i="1"/>
  <c r="U495" i="1" s="1"/>
  <c r="Z495" i="1" s="1"/>
  <c r="R496" i="1"/>
  <c r="W494" i="1"/>
  <c r="S494" i="1" s="1"/>
  <c r="Y494" i="1" s="1"/>
  <c r="N5" i="6"/>
  <c r="O5" i="6" s="1"/>
  <c r="X496" i="1"/>
  <c r="V497" i="1"/>
  <c r="T494" i="1"/>
  <c r="U494" i="1" s="1"/>
  <c r="Z494" i="1" s="1"/>
  <c r="U493" i="1"/>
  <c r="Z493" i="1" s="1"/>
  <c r="V493" i="1"/>
  <c r="V492" i="1"/>
  <c r="S497" i="1"/>
  <c r="Y497" i="1" s="1"/>
  <c r="T496" i="1"/>
  <c r="V494" i="1"/>
  <c r="U496" i="1" l="1"/>
  <c r="Z496" i="1" s="1"/>
  <c r="R46" i="3" l="1"/>
  <c r="Q46" i="3"/>
  <c r="P46" i="3"/>
  <c r="O46" i="3"/>
  <c r="N46" i="3"/>
  <c r="N3" i="1"/>
  <c r="Q3" i="1" s="1"/>
  <c r="N4" i="1"/>
  <c r="Q4" i="1" s="1"/>
  <c r="N5" i="1"/>
  <c r="Q5" i="1" s="1"/>
  <c r="N6" i="1"/>
  <c r="Q6" i="1" s="1"/>
  <c r="N7" i="1"/>
  <c r="Q7" i="1" s="1"/>
  <c r="N8" i="1"/>
  <c r="Q8" i="1" s="1"/>
  <c r="N9" i="1"/>
  <c r="Q9" i="1" s="1"/>
  <c r="N10" i="1"/>
  <c r="Q10" i="1" s="1"/>
  <c r="N11" i="1"/>
  <c r="Q11" i="1" s="1"/>
  <c r="N12" i="1"/>
  <c r="Q12" i="1" s="1"/>
  <c r="N13" i="1"/>
  <c r="Q13" i="1" s="1"/>
  <c r="N14" i="1"/>
  <c r="Q14" i="1" s="1"/>
  <c r="N15" i="1"/>
  <c r="Q15" i="1" s="1"/>
  <c r="N16" i="1"/>
  <c r="Q16" i="1" s="1"/>
  <c r="N17" i="1"/>
  <c r="Q17" i="1" s="1"/>
  <c r="N18" i="1"/>
  <c r="Q18" i="1" s="1"/>
  <c r="N19" i="1"/>
  <c r="Q19" i="1" s="1"/>
  <c r="N20" i="1"/>
  <c r="Q20" i="1" s="1"/>
  <c r="N21" i="1"/>
  <c r="Q21" i="1" s="1"/>
  <c r="N22" i="1"/>
  <c r="Q22" i="1" s="1"/>
  <c r="N23" i="1"/>
  <c r="Q23" i="1" s="1"/>
  <c r="N24" i="1"/>
  <c r="Q24" i="1" s="1"/>
  <c r="N25" i="1"/>
  <c r="Q25" i="1" s="1"/>
  <c r="N26" i="1"/>
  <c r="Q26" i="1" s="1"/>
  <c r="N27" i="1"/>
  <c r="Q27" i="1" s="1"/>
  <c r="N28" i="1"/>
  <c r="Q28" i="1" s="1"/>
  <c r="N29" i="1"/>
  <c r="Q29" i="1" s="1"/>
  <c r="N30" i="1"/>
  <c r="Q30" i="1" s="1"/>
  <c r="N31" i="1"/>
  <c r="Q31" i="1" s="1"/>
  <c r="N32" i="1"/>
  <c r="Q32" i="1" s="1"/>
  <c r="N33" i="1"/>
  <c r="Q33" i="1" s="1"/>
  <c r="N34" i="1"/>
  <c r="Q34" i="1" s="1"/>
  <c r="N35" i="1"/>
  <c r="Q35" i="1" s="1"/>
  <c r="N36" i="1"/>
  <c r="Q36" i="1" s="1"/>
  <c r="N37" i="1"/>
  <c r="Q37" i="1" s="1"/>
  <c r="N38" i="1"/>
  <c r="Q38" i="1" s="1"/>
  <c r="N39" i="1"/>
  <c r="Q39" i="1" s="1"/>
  <c r="N40" i="1"/>
  <c r="Q40" i="1" s="1"/>
  <c r="N41" i="1"/>
  <c r="Q41" i="1" s="1"/>
  <c r="N42" i="1"/>
  <c r="Q42" i="1" s="1"/>
  <c r="N43" i="1"/>
  <c r="Q43" i="1" s="1"/>
  <c r="N44" i="1"/>
  <c r="Q44" i="1" s="1"/>
  <c r="N45" i="1"/>
  <c r="Q45" i="1" s="1"/>
  <c r="N46" i="1"/>
  <c r="Q46" i="1" s="1"/>
  <c r="N47" i="1"/>
  <c r="Q47" i="1" s="1"/>
  <c r="N48" i="1"/>
  <c r="Q48" i="1" s="1"/>
  <c r="N49" i="1"/>
  <c r="Q49" i="1" s="1"/>
  <c r="N50" i="1"/>
  <c r="Q50" i="1" s="1"/>
  <c r="N51" i="1"/>
  <c r="Q51" i="1" s="1"/>
  <c r="N52" i="1"/>
  <c r="Q52" i="1" s="1"/>
  <c r="N53" i="1"/>
  <c r="Q53" i="1" s="1"/>
  <c r="N54" i="1"/>
  <c r="Q54" i="1" s="1"/>
  <c r="N55" i="1"/>
  <c r="Q55" i="1" s="1"/>
  <c r="N56" i="1"/>
  <c r="Q56" i="1" s="1"/>
  <c r="N57" i="1"/>
  <c r="Q57" i="1" s="1"/>
  <c r="N58" i="1"/>
  <c r="Q58" i="1" s="1"/>
  <c r="N59" i="1"/>
  <c r="Q59" i="1" s="1"/>
  <c r="N60" i="1"/>
  <c r="Q60" i="1" s="1"/>
  <c r="N61" i="1"/>
  <c r="Q61" i="1" s="1"/>
  <c r="N62" i="1"/>
  <c r="Q62" i="1" s="1"/>
  <c r="N63" i="1"/>
  <c r="Q63" i="1" s="1"/>
  <c r="N64" i="1"/>
  <c r="Q64" i="1" s="1"/>
  <c r="N65" i="1"/>
  <c r="Q65" i="1" s="1"/>
  <c r="N66" i="1"/>
  <c r="Q66" i="1" s="1"/>
  <c r="N67" i="1"/>
  <c r="Q67" i="1" s="1"/>
  <c r="N68" i="1"/>
  <c r="Q68" i="1" s="1"/>
  <c r="N69" i="1"/>
  <c r="Q69" i="1" s="1"/>
  <c r="N70" i="1"/>
  <c r="Q70" i="1" s="1"/>
  <c r="N71" i="1"/>
  <c r="Q71" i="1" s="1"/>
  <c r="N72" i="1"/>
  <c r="Q72" i="1" s="1"/>
  <c r="N73" i="1"/>
  <c r="Q73" i="1" s="1"/>
  <c r="N74" i="1"/>
  <c r="Q74" i="1" s="1"/>
  <c r="N75" i="1"/>
  <c r="Q75" i="1" s="1"/>
  <c r="N76" i="1"/>
  <c r="Q76" i="1" s="1"/>
  <c r="N77" i="1"/>
  <c r="Q77" i="1" s="1"/>
  <c r="N78" i="1"/>
  <c r="Q78" i="1" s="1"/>
  <c r="N79" i="1"/>
  <c r="Q79" i="1" s="1"/>
  <c r="N80" i="1"/>
  <c r="Q80" i="1" s="1"/>
  <c r="N81" i="1"/>
  <c r="Q81" i="1" s="1"/>
  <c r="N82" i="1"/>
  <c r="Q82" i="1" s="1"/>
  <c r="N83" i="1"/>
  <c r="Q83" i="1" s="1"/>
  <c r="N84" i="1"/>
  <c r="Q84" i="1" s="1"/>
  <c r="N85" i="1"/>
  <c r="Q85" i="1" s="1"/>
  <c r="N86" i="1"/>
  <c r="Q86" i="1" s="1"/>
  <c r="N87" i="1"/>
  <c r="Q87" i="1" s="1"/>
  <c r="N88" i="1"/>
  <c r="Q88" i="1" s="1"/>
  <c r="N89" i="1"/>
  <c r="Q89" i="1" s="1"/>
  <c r="N90" i="1"/>
  <c r="Q90" i="1" s="1"/>
  <c r="N91" i="1"/>
  <c r="Q91" i="1" s="1"/>
  <c r="N92" i="1"/>
  <c r="Q92" i="1" s="1"/>
  <c r="N93" i="1"/>
  <c r="Q93" i="1" s="1"/>
  <c r="N94" i="1"/>
  <c r="Q94" i="1" s="1"/>
  <c r="N95" i="1"/>
  <c r="Q95" i="1" s="1"/>
  <c r="N96" i="1"/>
  <c r="Q96" i="1" s="1"/>
  <c r="N97" i="1"/>
  <c r="Q97" i="1" s="1"/>
  <c r="N98" i="1"/>
  <c r="Q98" i="1" s="1"/>
  <c r="N99" i="1"/>
  <c r="Q99" i="1" s="1"/>
  <c r="N100" i="1"/>
  <c r="Q100" i="1" s="1"/>
  <c r="N101" i="1"/>
  <c r="Q101" i="1" s="1"/>
  <c r="N102" i="1"/>
  <c r="Q102" i="1" s="1"/>
  <c r="N103" i="1"/>
  <c r="Q103" i="1" s="1"/>
  <c r="N104" i="1"/>
  <c r="Q104" i="1" s="1"/>
  <c r="N105" i="1"/>
  <c r="Q105" i="1" s="1"/>
  <c r="N106" i="1"/>
  <c r="Q106" i="1" s="1"/>
  <c r="N107" i="1"/>
  <c r="Q107" i="1" s="1"/>
  <c r="N108" i="1"/>
  <c r="Q108" i="1" s="1"/>
  <c r="N109" i="1"/>
  <c r="Q109" i="1" s="1"/>
  <c r="N110" i="1"/>
  <c r="Q110" i="1" s="1"/>
  <c r="N111" i="1"/>
  <c r="Q111" i="1" s="1"/>
  <c r="N112" i="1"/>
  <c r="Q112" i="1" s="1"/>
  <c r="N113" i="1"/>
  <c r="Q113" i="1" s="1"/>
  <c r="N114" i="1"/>
  <c r="Q114" i="1" s="1"/>
  <c r="N115" i="1"/>
  <c r="Q115" i="1" s="1"/>
  <c r="N116" i="1"/>
  <c r="Q116" i="1" s="1"/>
  <c r="N117" i="1"/>
  <c r="Q117" i="1" s="1"/>
  <c r="N118" i="1"/>
  <c r="Q118" i="1" s="1"/>
  <c r="N119" i="1"/>
  <c r="Q119" i="1" s="1"/>
  <c r="N120" i="1"/>
  <c r="Q120" i="1" s="1"/>
  <c r="N121" i="1"/>
  <c r="Q121" i="1" s="1"/>
  <c r="N122" i="1"/>
  <c r="Q122" i="1" s="1"/>
  <c r="N123" i="1"/>
  <c r="Q123" i="1" s="1"/>
  <c r="N124" i="1"/>
  <c r="Q124" i="1" s="1"/>
  <c r="N125" i="1"/>
  <c r="Q125" i="1" s="1"/>
  <c r="N126" i="1"/>
  <c r="Q126" i="1" s="1"/>
  <c r="N127" i="1"/>
  <c r="Q127" i="1" s="1"/>
  <c r="N128" i="1"/>
  <c r="Q128" i="1" s="1"/>
  <c r="N129" i="1"/>
  <c r="Q129" i="1" s="1"/>
  <c r="N130" i="1"/>
  <c r="Q130" i="1" s="1"/>
  <c r="N131" i="1"/>
  <c r="Q131" i="1" s="1"/>
  <c r="N132" i="1"/>
  <c r="Q132" i="1" s="1"/>
  <c r="N133" i="1"/>
  <c r="Q133" i="1" s="1"/>
  <c r="N134" i="1"/>
  <c r="Q134" i="1" s="1"/>
  <c r="N135" i="1"/>
  <c r="Q135" i="1" s="1"/>
  <c r="N136" i="1"/>
  <c r="Q136" i="1" s="1"/>
  <c r="N137" i="1"/>
  <c r="Q137" i="1" s="1"/>
  <c r="N138" i="1"/>
  <c r="Q138" i="1" s="1"/>
  <c r="N139" i="1"/>
  <c r="Q139" i="1" s="1"/>
  <c r="N140" i="1"/>
  <c r="Q140" i="1" s="1"/>
  <c r="N141" i="1"/>
  <c r="Q141" i="1" s="1"/>
  <c r="N142" i="1"/>
  <c r="Q142" i="1" s="1"/>
  <c r="N143" i="1"/>
  <c r="Q143" i="1" s="1"/>
  <c r="N144" i="1"/>
  <c r="Q144" i="1" s="1"/>
  <c r="N145" i="1"/>
  <c r="Q145" i="1" s="1"/>
  <c r="N146" i="1"/>
  <c r="Q146" i="1" s="1"/>
  <c r="N147" i="1"/>
  <c r="Q147" i="1" s="1"/>
  <c r="N148" i="1"/>
  <c r="Q148" i="1" s="1"/>
  <c r="N149" i="1"/>
  <c r="Q149" i="1" s="1"/>
  <c r="N150" i="1"/>
  <c r="Q150" i="1" s="1"/>
  <c r="N151" i="1"/>
  <c r="Q151" i="1" s="1"/>
  <c r="N152" i="1"/>
  <c r="Q152" i="1" s="1"/>
  <c r="N153" i="1"/>
  <c r="Q153" i="1" s="1"/>
  <c r="N154" i="1"/>
  <c r="Q154" i="1" s="1"/>
  <c r="N155" i="1"/>
  <c r="Q155" i="1" s="1"/>
  <c r="N156" i="1"/>
  <c r="Q156" i="1" s="1"/>
  <c r="N157" i="1"/>
  <c r="Q157" i="1" s="1"/>
  <c r="N158" i="1"/>
  <c r="Q158" i="1" s="1"/>
  <c r="N159" i="1"/>
  <c r="Q159" i="1" s="1"/>
  <c r="N160" i="1"/>
  <c r="Q160" i="1" s="1"/>
  <c r="N161" i="1"/>
  <c r="Q161" i="1" s="1"/>
  <c r="N162" i="1"/>
  <c r="Q162" i="1" s="1"/>
  <c r="N163" i="1"/>
  <c r="Q163" i="1" s="1"/>
  <c r="N164" i="1"/>
  <c r="Q164" i="1" s="1"/>
  <c r="N165" i="1"/>
  <c r="Q165" i="1" s="1"/>
  <c r="N166" i="1"/>
  <c r="Q166" i="1" s="1"/>
  <c r="N167" i="1"/>
  <c r="Q167" i="1" s="1"/>
  <c r="N168" i="1"/>
  <c r="Q168" i="1" s="1"/>
  <c r="N169" i="1"/>
  <c r="Q169" i="1" s="1"/>
  <c r="N170" i="1"/>
  <c r="Q170" i="1" s="1"/>
  <c r="N171" i="1"/>
  <c r="Q171" i="1" s="1"/>
  <c r="N172" i="1"/>
  <c r="Q172" i="1" s="1"/>
  <c r="N173" i="1"/>
  <c r="Q173" i="1" s="1"/>
  <c r="N174" i="1"/>
  <c r="Q174" i="1" s="1"/>
  <c r="N175" i="1"/>
  <c r="Q175" i="1" s="1"/>
  <c r="N176" i="1"/>
  <c r="Q176" i="1" s="1"/>
  <c r="N177" i="1"/>
  <c r="Q177" i="1" s="1"/>
  <c r="N178" i="1"/>
  <c r="Q178" i="1" s="1"/>
  <c r="N179" i="1"/>
  <c r="Q179" i="1" s="1"/>
  <c r="N180" i="1"/>
  <c r="Q180" i="1" s="1"/>
  <c r="N181" i="1"/>
  <c r="Q181" i="1" s="1"/>
  <c r="N182" i="1"/>
  <c r="Q182" i="1" s="1"/>
  <c r="N183" i="1"/>
  <c r="Q183" i="1" s="1"/>
  <c r="N184" i="1"/>
  <c r="Q184" i="1" s="1"/>
  <c r="N185" i="1"/>
  <c r="Q185" i="1" s="1"/>
  <c r="N186" i="1"/>
  <c r="Q186" i="1" s="1"/>
  <c r="N187" i="1"/>
  <c r="Q187" i="1" s="1"/>
  <c r="N188" i="1"/>
  <c r="Q188" i="1" s="1"/>
  <c r="N189" i="1"/>
  <c r="Q189" i="1" s="1"/>
  <c r="N190" i="1"/>
  <c r="Q190" i="1" s="1"/>
  <c r="N191" i="1"/>
  <c r="Q191" i="1" s="1"/>
  <c r="N192" i="1"/>
  <c r="Q192" i="1" s="1"/>
  <c r="N193" i="1"/>
  <c r="Q193" i="1" s="1"/>
  <c r="N194" i="1"/>
  <c r="Q194" i="1" s="1"/>
  <c r="N195" i="1"/>
  <c r="Q195" i="1" s="1"/>
  <c r="N196" i="1"/>
  <c r="Q196" i="1" s="1"/>
  <c r="N197" i="1"/>
  <c r="Q197" i="1" s="1"/>
  <c r="N198" i="1"/>
  <c r="Q198" i="1" s="1"/>
  <c r="N199" i="1"/>
  <c r="Q199" i="1" s="1"/>
  <c r="N200" i="1"/>
  <c r="Q200" i="1" s="1"/>
  <c r="N201" i="1"/>
  <c r="Q201" i="1" s="1"/>
  <c r="N202" i="1"/>
  <c r="Q202" i="1" s="1"/>
  <c r="N203" i="1"/>
  <c r="Q203" i="1" s="1"/>
  <c r="N204" i="1"/>
  <c r="Q204" i="1" s="1"/>
  <c r="N205" i="1"/>
  <c r="Q205" i="1" s="1"/>
  <c r="N206" i="1"/>
  <c r="Q206" i="1" s="1"/>
  <c r="N207" i="1"/>
  <c r="Q207" i="1" s="1"/>
  <c r="N208" i="1"/>
  <c r="Q208" i="1" s="1"/>
  <c r="N209" i="1"/>
  <c r="Q209" i="1" s="1"/>
  <c r="N210" i="1"/>
  <c r="Q210" i="1" s="1"/>
  <c r="N211" i="1"/>
  <c r="Q211" i="1" s="1"/>
  <c r="N212" i="1"/>
  <c r="Q212" i="1" s="1"/>
  <c r="N213" i="1"/>
  <c r="Q213" i="1" s="1"/>
  <c r="N214" i="1"/>
  <c r="Q214" i="1" s="1"/>
  <c r="N215" i="1"/>
  <c r="Q215" i="1" s="1"/>
  <c r="N216" i="1"/>
  <c r="Q216" i="1" s="1"/>
  <c r="N217" i="1"/>
  <c r="Q217" i="1" s="1"/>
  <c r="N218" i="1"/>
  <c r="Q218" i="1" s="1"/>
  <c r="N219" i="1"/>
  <c r="Q219" i="1" s="1"/>
  <c r="N220" i="1"/>
  <c r="Q220" i="1" s="1"/>
  <c r="N221" i="1"/>
  <c r="Q221" i="1" s="1"/>
  <c r="N222" i="1"/>
  <c r="Q222" i="1" s="1"/>
  <c r="N223" i="1"/>
  <c r="Q223" i="1" s="1"/>
  <c r="N224" i="1"/>
  <c r="Q224" i="1" s="1"/>
  <c r="N225" i="1"/>
  <c r="Q225" i="1" s="1"/>
  <c r="N226" i="1"/>
  <c r="Q226" i="1" s="1"/>
  <c r="N227" i="1"/>
  <c r="Q227" i="1" s="1"/>
  <c r="N228" i="1"/>
  <c r="Q228" i="1" s="1"/>
  <c r="N229" i="1"/>
  <c r="Q229" i="1" s="1"/>
  <c r="N230" i="1"/>
  <c r="Q230" i="1" s="1"/>
  <c r="N231" i="1"/>
  <c r="Q231" i="1" s="1"/>
  <c r="N232" i="1"/>
  <c r="Q232" i="1" s="1"/>
  <c r="N233" i="1"/>
  <c r="Q233" i="1" s="1"/>
  <c r="N234" i="1"/>
  <c r="Q234" i="1" s="1"/>
  <c r="N235" i="1"/>
  <c r="Q235" i="1" s="1"/>
  <c r="N236" i="1"/>
  <c r="Q236" i="1" s="1"/>
  <c r="N237" i="1"/>
  <c r="Q237" i="1" s="1"/>
  <c r="N238" i="1"/>
  <c r="Q238" i="1" s="1"/>
  <c r="N239" i="1"/>
  <c r="Q239" i="1" s="1"/>
  <c r="N240" i="1"/>
  <c r="Q240" i="1" s="1"/>
  <c r="N241" i="1"/>
  <c r="Q241" i="1" s="1"/>
  <c r="N242" i="1"/>
  <c r="Q242" i="1" s="1"/>
  <c r="N243" i="1"/>
  <c r="Q243" i="1" s="1"/>
  <c r="N244" i="1"/>
  <c r="Q244" i="1" s="1"/>
  <c r="N245" i="1"/>
  <c r="Q245" i="1" s="1"/>
  <c r="N246" i="1"/>
  <c r="Q246" i="1" s="1"/>
  <c r="N247" i="1"/>
  <c r="Q247" i="1" s="1"/>
  <c r="N248" i="1"/>
  <c r="Q248" i="1" s="1"/>
  <c r="N249" i="1"/>
  <c r="Q249" i="1" s="1"/>
  <c r="N250" i="1"/>
  <c r="Q250" i="1" s="1"/>
  <c r="N251" i="1"/>
  <c r="Q251" i="1" s="1"/>
  <c r="N252" i="1"/>
  <c r="Q252" i="1" s="1"/>
  <c r="N253" i="1"/>
  <c r="Q253" i="1" s="1"/>
  <c r="N254" i="1"/>
  <c r="Q254" i="1" s="1"/>
  <c r="N255" i="1"/>
  <c r="Q255" i="1" s="1"/>
  <c r="N256" i="1"/>
  <c r="Q256" i="1" s="1"/>
  <c r="N257" i="1"/>
  <c r="Q257" i="1" s="1"/>
  <c r="N258" i="1"/>
  <c r="Q258" i="1" s="1"/>
  <c r="N259" i="1"/>
  <c r="Q259" i="1" s="1"/>
  <c r="N260" i="1"/>
  <c r="Q260" i="1" s="1"/>
  <c r="N261" i="1"/>
  <c r="Q261" i="1" s="1"/>
  <c r="N262" i="1"/>
  <c r="Q262" i="1" s="1"/>
  <c r="N263" i="1"/>
  <c r="Q263" i="1" s="1"/>
  <c r="N264" i="1"/>
  <c r="Q264" i="1" s="1"/>
  <c r="N265" i="1"/>
  <c r="Q265" i="1" s="1"/>
  <c r="N266" i="1"/>
  <c r="Q266" i="1" s="1"/>
  <c r="N267" i="1"/>
  <c r="Q267" i="1" s="1"/>
  <c r="N268" i="1"/>
  <c r="Q268" i="1" s="1"/>
  <c r="N269" i="1"/>
  <c r="Q269" i="1" s="1"/>
  <c r="N270" i="1"/>
  <c r="Q270" i="1" s="1"/>
  <c r="N271" i="1"/>
  <c r="Q271" i="1" s="1"/>
  <c r="N272" i="1"/>
  <c r="Q272" i="1" s="1"/>
  <c r="N273" i="1"/>
  <c r="Q273" i="1" s="1"/>
  <c r="N274" i="1"/>
  <c r="Q274" i="1" s="1"/>
  <c r="N275" i="1"/>
  <c r="Q275" i="1" s="1"/>
  <c r="N276" i="1"/>
  <c r="Q276" i="1" s="1"/>
  <c r="N277" i="1"/>
  <c r="Q277" i="1" s="1"/>
  <c r="N278" i="1"/>
  <c r="Q278" i="1" s="1"/>
  <c r="N279" i="1"/>
  <c r="Q279" i="1" s="1"/>
  <c r="N280" i="1"/>
  <c r="Q280" i="1" s="1"/>
  <c r="N281" i="1"/>
  <c r="Q281" i="1" s="1"/>
  <c r="N282" i="1"/>
  <c r="Q282" i="1" s="1"/>
  <c r="N283" i="1"/>
  <c r="Q283" i="1" s="1"/>
  <c r="N284" i="1"/>
  <c r="Q284" i="1" s="1"/>
  <c r="N285" i="1"/>
  <c r="Q285" i="1" s="1"/>
  <c r="N286" i="1"/>
  <c r="Q286" i="1" s="1"/>
  <c r="N287" i="1"/>
  <c r="Q287" i="1" s="1"/>
  <c r="N288" i="1"/>
  <c r="Q288" i="1" s="1"/>
  <c r="N289" i="1"/>
  <c r="Q289" i="1" s="1"/>
  <c r="N290" i="1"/>
  <c r="Q290" i="1" s="1"/>
  <c r="N291" i="1"/>
  <c r="Q291" i="1" s="1"/>
  <c r="N292" i="1"/>
  <c r="Q292" i="1" s="1"/>
  <c r="N293" i="1"/>
  <c r="Q293" i="1" s="1"/>
  <c r="N294" i="1"/>
  <c r="Q294" i="1" s="1"/>
  <c r="N295" i="1"/>
  <c r="Q295" i="1" s="1"/>
  <c r="N296" i="1"/>
  <c r="Q296" i="1" s="1"/>
  <c r="N297" i="1"/>
  <c r="Q297" i="1" s="1"/>
  <c r="N298" i="1"/>
  <c r="Q298" i="1" s="1"/>
  <c r="N299" i="1"/>
  <c r="Q299" i="1" s="1"/>
  <c r="N300" i="1"/>
  <c r="Q300" i="1" s="1"/>
  <c r="N301" i="1"/>
  <c r="Q301" i="1" s="1"/>
  <c r="N302" i="1"/>
  <c r="Q302" i="1" s="1"/>
  <c r="N303" i="1"/>
  <c r="Q303" i="1" s="1"/>
  <c r="N304" i="1"/>
  <c r="Q304" i="1" s="1"/>
  <c r="N305" i="1"/>
  <c r="Q305" i="1" s="1"/>
  <c r="N306" i="1"/>
  <c r="Q306" i="1" s="1"/>
  <c r="N307" i="1"/>
  <c r="Q307" i="1" s="1"/>
  <c r="N308" i="1"/>
  <c r="Q308" i="1" s="1"/>
  <c r="N309" i="1"/>
  <c r="Q309" i="1" s="1"/>
  <c r="N310" i="1"/>
  <c r="Q310" i="1" s="1"/>
  <c r="N311" i="1"/>
  <c r="Q311" i="1" s="1"/>
  <c r="N312" i="1"/>
  <c r="Q312" i="1" s="1"/>
  <c r="N313" i="1"/>
  <c r="Q313" i="1" s="1"/>
  <c r="N314" i="1"/>
  <c r="Q314" i="1" s="1"/>
  <c r="N315" i="1"/>
  <c r="Q315" i="1" s="1"/>
  <c r="N316" i="1"/>
  <c r="Q316" i="1" s="1"/>
  <c r="N317" i="1"/>
  <c r="Q317" i="1" s="1"/>
  <c r="N318" i="1"/>
  <c r="Q318" i="1" s="1"/>
  <c r="N319" i="1"/>
  <c r="Q319" i="1" s="1"/>
  <c r="N320" i="1"/>
  <c r="Q320" i="1" s="1"/>
  <c r="N321" i="1"/>
  <c r="Q321" i="1" s="1"/>
  <c r="N322" i="1"/>
  <c r="Q322" i="1" s="1"/>
  <c r="N323" i="1"/>
  <c r="Q323" i="1" s="1"/>
  <c r="N324" i="1"/>
  <c r="Q324" i="1" s="1"/>
  <c r="N325" i="1"/>
  <c r="Q325" i="1" s="1"/>
  <c r="N326" i="1"/>
  <c r="Q326" i="1" s="1"/>
  <c r="N327" i="1"/>
  <c r="Q327" i="1" s="1"/>
  <c r="N328" i="1"/>
  <c r="Q328" i="1" s="1"/>
  <c r="N329" i="1"/>
  <c r="Q329" i="1" s="1"/>
  <c r="N330" i="1"/>
  <c r="Q330" i="1" s="1"/>
  <c r="N331" i="1"/>
  <c r="Q331" i="1" s="1"/>
  <c r="N332" i="1"/>
  <c r="Q332" i="1" s="1"/>
  <c r="N333" i="1"/>
  <c r="Q333" i="1" s="1"/>
  <c r="N334" i="1"/>
  <c r="Q334" i="1" s="1"/>
  <c r="N335" i="1"/>
  <c r="Q335" i="1" s="1"/>
  <c r="N336" i="1"/>
  <c r="Q336" i="1" s="1"/>
  <c r="N337" i="1"/>
  <c r="Q337" i="1" s="1"/>
  <c r="N338" i="1"/>
  <c r="Q338" i="1" s="1"/>
  <c r="N339" i="1"/>
  <c r="Q339" i="1" s="1"/>
  <c r="N340" i="1"/>
  <c r="Q340" i="1" s="1"/>
  <c r="N341" i="1"/>
  <c r="Q341" i="1" s="1"/>
  <c r="N342" i="1"/>
  <c r="Q342" i="1" s="1"/>
  <c r="N343" i="1"/>
  <c r="Q343" i="1" s="1"/>
  <c r="N344" i="1"/>
  <c r="Q344" i="1" s="1"/>
  <c r="N345" i="1"/>
  <c r="Q345" i="1" s="1"/>
  <c r="N346" i="1"/>
  <c r="Q346" i="1" s="1"/>
  <c r="N347" i="1"/>
  <c r="Q347" i="1" s="1"/>
  <c r="N348" i="1"/>
  <c r="Q348" i="1" s="1"/>
  <c r="N349" i="1"/>
  <c r="Q349" i="1" s="1"/>
  <c r="N350" i="1"/>
  <c r="Q350" i="1" s="1"/>
  <c r="N351" i="1"/>
  <c r="Q351" i="1" s="1"/>
  <c r="N352" i="1"/>
  <c r="Q352" i="1" s="1"/>
  <c r="N353" i="1"/>
  <c r="Q353" i="1" s="1"/>
  <c r="N354" i="1"/>
  <c r="Q354" i="1" s="1"/>
  <c r="N355" i="1"/>
  <c r="Q355" i="1" s="1"/>
  <c r="N356" i="1"/>
  <c r="Q356" i="1" s="1"/>
  <c r="N357" i="1"/>
  <c r="Q357" i="1" s="1"/>
  <c r="N358" i="1"/>
  <c r="Q358" i="1" s="1"/>
  <c r="N359" i="1"/>
  <c r="Q359" i="1" s="1"/>
  <c r="N360" i="1"/>
  <c r="Q360" i="1" s="1"/>
  <c r="N361" i="1"/>
  <c r="Q361" i="1" s="1"/>
  <c r="N362" i="1"/>
  <c r="Q362" i="1" s="1"/>
  <c r="N363" i="1"/>
  <c r="Q363" i="1" s="1"/>
  <c r="N364" i="1"/>
  <c r="Q364" i="1" s="1"/>
  <c r="N365" i="1"/>
  <c r="Q365" i="1" s="1"/>
  <c r="N366" i="1"/>
  <c r="Q366" i="1" s="1"/>
  <c r="N367" i="1"/>
  <c r="Q367" i="1" s="1"/>
  <c r="N368" i="1"/>
  <c r="Q368" i="1" s="1"/>
  <c r="N369" i="1"/>
  <c r="Q369" i="1" s="1"/>
  <c r="N370" i="1"/>
  <c r="Q370" i="1" s="1"/>
  <c r="N371" i="1"/>
  <c r="Q371" i="1" s="1"/>
  <c r="N372" i="1"/>
  <c r="Q372" i="1" s="1"/>
  <c r="N373" i="1"/>
  <c r="Q373" i="1" s="1"/>
  <c r="N374" i="1"/>
  <c r="Q374" i="1" s="1"/>
  <c r="N375" i="1"/>
  <c r="Q375" i="1" s="1"/>
  <c r="N376" i="1"/>
  <c r="Q376" i="1" s="1"/>
  <c r="N377" i="1"/>
  <c r="Q377" i="1" s="1"/>
  <c r="N378" i="1"/>
  <c r="Q378" i="1" s="1"/>
  <c r="N379" i="1"/>
  <c r="Q379" i="1" s="1"/>
  <c r="N380" i="1"/>
  <c r="Q380" i="1" s="1"/>
  <c r="N381" i="1"/>
  <c r="Q381" i="1" s="1"/>
  <c r="N382" i="1"/>
  <c r="Q382" i="1" s="1"/>
  <c r="N383" i="1"/>
  <c r="Q383" i="1" s="1"/>
  <c r="N384" i="1"/>
  <c r="Q384" i="1" s="1"/>
  <c r="N385" i="1"/>
  <c r="Q385" i="1" s="1"/>
  <c r="N386" i="1"/>
  <c r="Q386" i="1" s="1"/>
  <c r="N387" i="1"/>
  <c r="Q387" i="1" s="1"/>
  <c r="N388" i="1"/>
  <c r="Q388" i="1" s="1"/>
  <c r="N389" i="1"/>
  <c r="Q389" i="1" s="1"/>
  <c r="N390" i="1"/>
  <c r="Q390" i="1" s="1"/>
  <c r="N391" i="1"/>
  <c r="Q391" i="1" s="1"/>
  <c r="N392" i="1"/>
  <c r="Q392" i="1" s="1"/>
  <c r="N393" i="1"/>
  <c r="Q393" i="1" s="1"/>
  <c r="N394" i="1"/>
  <c r="Q394" i="1" s="1"/>
  <c r="N395" i="1"/>
  <c r="Q395" i="1" s="1"/>
  <c r="N396" i="1"/>
  <c r="Q396" i="1" s="1"/>
  <c r="N397" i="1"/>
  <c r="Q397" i="1" s="1"/>
  <c r="N398" i="1"/>
  <c r="Q398" i="1" s="1"/>
  <c r="N399" i="1"/>
  <c r="Q399" i="1" s="1"/>
  <c r="N400" i="1"/>
  <c r="Q400" i="1" s="1"/>
  <c r="N401" i="1"/>
  <c r="Q401" i="1" s="1"/>
  <c r="N402" i="1"/>
  <c r="Q402" i="1" s="1"/>
  <c r="N403" i="1"/>
  <c r="Q403" i="1" s="1"/>
  <c r="N404" i="1"/>
  <c r="Q404" i="1" s="1"/>
  <c r="N405" i="1"/>
  <c r="Q405" i="1" s="1"/>
  <c r="N406" i="1"/>
  <c r="Q406" i="1" s="1"/>
  <c r="N407" i="1"/>
  <c r="Q407" i="1" s="1"/>
  <c r="N408" i="1"/>
  <c r="Q408" i="1" s="1"/>
  <c r="N409" i="1"/>
  <c r="Q409" i="1" s="1"/>
  <c r="N410" i="1"/>
  <c r="Q410" i="1" s="1"/>
  <c r="N411" i="1"/>
  <c r="Q411" i="1" s="1"/>
  <c r="N412" i="1"/>
  <c r="Q412" i="1" s="1"/>
  <c r="N413" i="1"/>
  <c r="Q413" i="1" s="1"/>
  <c r="N414" i="1"/>
  <c r="Q414" i="1" s="1"/>
  <c r="N415" i="1"/>
  <c r="Q415" i="1" s="1"/>
  <c r="N416" i="1"/>
  <c r="Q416" i="1" s="1"/>
  <c r="N417" i="1"/>
  <c r="Q417" i="1" s="1"/>
  <c r="N418" i="1"/>
  <c r="Q418" i="1" s="1"/>
  <c r="N419" i="1"/>
  <c r="Q419" i="1" s="1"/>
  <c r="N420" i="1"/>
  <c r="Q420" i="1" s="1"/>
  <c r="N421" i="1"/>
  <c r="Q421" i="1" s="1"/>
  <c r="N422" i="1"/>
  <c r="Q422" i="1" s="1"/>
  <c r="N423" i="1"/>
  <c r="Q423" i="1" s="1"/>
  <c r="N424" i="1"/>
  <c r="Q424" i="1" s="1"/>
  <c r="N425" i="1"/>
  <c r="Q425" i="1" s="1"/>
  <c r="N426" i="1"/>
  <c r="Q426" i="1" s="1"/>
  <c r="N427" i="1"/>
  <c r="Q427" i="1" s="1"/>
  <c r="N428" i="1"/>
  <c r="Q428" i="1" s="1"/>
  <c r="N429" i="1"/>
  <c r="Q429" i="1" s="1"/>
  <c r="N430" i="1"/>
  <c r="Q430" i="1" s="1"/>
  <c r="N431" i="1"/>
  <c r="Q431" i="1" s="1"/>
  <c r="N432" i="1"/>
  <c r="Q432" i="1" s="1"/>
  <c r="N433" i="1"/>
  <c r="Q433" i="1" s="1"/>
  <c r="N434" i="1"/>
  <c r="Q434" i="1" s="1"/>
  <c r="N435" i="1"/>
  <c r="Q435" i="1" s="1"/>
  <c r="N436" i="1"/>
  <c r="Q436" i="1" s="1"/>
  <c r="N437" i="1"/>
  <c r="Q437" i="1" s="1"/>
  <c r="N438" i="1"/>
  <c r="Q438" i="1" s="1"/>
  <c r="N439" i="1"/>
  <c r="Q439" i="1" s="1"/>
  <c r="N440" i="1"/>
  <c r="Q440" i="1" s="1"/>
  <c r="N441" i="1"/>
  <c r="Q441" i="1" s="1"/>
  <c r="N442" i="1"/>
  <c r="Q442" i="1" s="1"/>
  <c r="N443" i="1"/>
  <c r="Q443" i="1" s="1"/>
  <c r="N444" i="1"/>
  <c r="Q444" i="1" s="1"/>
  <c r="N445" i="1"/>
  <c r="Q445" i="1" s="1"/>
  <c r="N446" i="1"/>
  <c r="Q446" i="1" s="1"/>
  <c r="N447" i="1"/>
  <c r="Q447" i="1" s="1"/>
  <c r="N448" i="1"/>
  <c r="Q448" i="1" s="1"/>
  <c r="N449" i="1"/>
  <c r="Q449" i="1" s="1"/>
  <c r="N450" i="1"/>
  <c r="Q450" i="1" s="1"/>
  <c r="N451" i="1"/>
  <c r="Q451" i="1" s="1"/>
  <c r="N452" i="1"/>
  <c r="Q452" i="1" s="1"/>
  <c r="N453" i="1"/>
  <c r="Q453" i="1" s="1"/>
  <c r="N454" i="1"/>
  <c r="Q454" i="1" s="1"/>
  <c r="N455" i="1"/>
  <c r="Q455" i="1" s="1"/>
  <c r="N456" i="1"/>
  <c r="Q456" i="1" s="1"/>
  <c r="N457" i="1"/>
  <c r="Q457" i="1" s="1"/>
  <c r="N458" i="1"/>
  <c r="Q458" i="1" s="1"/>
  <c r="N459" i="1"/>
  <c r="Q459" i="1" s="1"/>
  <c r="N460" i="1"/>
  <c r="Q460" i="1" s="1"/>
  <c r="N461" i="1"/>
  <c r="Q461" i="1" s="1"/>
  <c r="N462" i="1"/>
  <c r="Q462" i="1" s="1"/>
  <c r="N463" i="1"/>
  <c r="Q463" i="1" s="1"/>
  <c r="N464" i="1"/>
  <c r="Q464" i="1" s="1"/>
  <c r="N465" i="1"/>
  <c r="Q465" i="1" s="1"/>
  <c r="N466" i="1"/>
  <c r="Q466" i="1" s="1"/>
  <c r="N467" i="1"/>
  <c r="Q467" i="1" s="1"/>
  <c r="N468" i="1"/>
  <c r="Q468" i="1" s="1"/>
  <c r="N469" i="1"/>
  <c r="Q469" i="1" s="1"/>
  <c r="N470" i="1"/>
  <c r="Q470" i="1" s="1"/>
  <c r="N471" i="1"/>
  <c r="Q471" i="1" s="1"/>
  <c r="N472" i="1"/>
  <c r="Q472" i="1" s="1"/>
  <c r="N473" i="1"/>
  <c r="Q473" i="1" s="1"/>
  <c r="N474" i="1"/>
  <c r="Q474" i="1" s="1"/>
  <c r="N475" i="1"/>
  <c r="Q475" i="1" s="1"/>
  <c r="N476" i="1"/>
  <c r="Q476" i="1" s="1"/>
  <c r="N477" i="1"/>
  <c r="Q477" i="1" s="1"/>
  <c r="N478" i="1"/>
  <c r="Q478" i="1" s="1"/>
  <c r="N479" i="1"/>
  <c r="Q479" i="1" s="1"/>
  <c r="N480" i="1"/>
  <c r="Q480" i="1" s="1"/>
  <c r="N481" i="1"/>
  <c r="Q481" i="1" s="1"/>
  <c r="N482" i="1"/>
  <c r="Q482" i="1" s="1"/>
  <c r="N483" i="1"/>
  <c r="Q483" i="1" s="1"/>
  <c r="N484" i="1"/>
  <c r="Q484" i="1" s="1"/>
  <c r="N485" i="1"/>
  <c r="Q485" i="1" s="1"/>
  <c r="N486" i="1"/>
  <c r="Q486" i="1" s="1"/>
  <c r="N487" i="1"/>
  <c r="Q487" i="1" s="1"/>
  <c r="N488" i="1"/>
  <c r="Q488" i="1" s="1"/>
  <c r="N489" i="1"/>
  <c r="Q489" i="1" s="1"/>
  <c r="N490" i="1"/>
  <c r="Q490" i="1" s="1"/>
  <c r="N491" i="1"/>
  <c r="Q491" i="1" s="1"/>
  <c r="O477" i="1"/>
  <c r="W477" i="1" s="1"/>
  <c r="P477" i="1"/>
  <c r="X477" i="1" s="1"/>
  <c r="O478" i="1"/>
  <c r="R478" i="1" s="1"/>
  <c r="P478" i="1"/>
  <c r="O479" i="1"/>
  <c r="R479" i="1" s="1"/>
  <c r="P479" i="1"/>
  <c r="X479" i="1" s="1"/>
  <c r="O480" i="1"/>
  <c r="W480" i="1" s="1"/>
  <c r="P480" i="1"/>
  <c r="X480" i="1" s="1"/>
  <c r="O481" i="1"/>
  <c r="R481" i="1" s="1"/>
  <c r="P481" i="1"/>
  <c r="O482" i="1"/>
  <c r="R482" i="1" s="1"/>
  <c r="P482" i="1"/>
  <c r="T482" i="1" s="1"/>
  <c r="O483" i="1"/>
  <c r="P483" i="1"/>
  <c r="X483" i="1" s="1"/>
  <c r="O484" i="1"/>
  <c r="R484" i="1" s="1"/>
  <c r="P484" i="1"/>
  <c r="T484" i="1" s="1"/>
  <c r="O485" i="1"/>
  <c r="W485" i="1" s="1"/>
  <c r="P485" i="1"/>
  <c r="X485" i="1" s="1"/>
  <c r="O486" i="1"/>
  <c r="R486" i="1" s="1"/>
  <c r="P486" i="1"/>
  <c r="O487" i="1"/>
  <c r="P487" i="1"/>
  <c r="T487" i="1" s="1"/>
  <c r="O488" i="1"/>
  <c r="R488" i="1" s="1"/>
  <c r="P488" i="1"/>
  <c r="X488" i="1" s="1"/>
  <c r="T488" i="1"/>
  <c r="O489" i="1"/>
  <c r="R489" i="1" s="1"/>
  <c r="P489" i="1"/>
  <c r="X489" i="1" s="1"/>
  <c r="O490" i="1"/>
  <c r="R490" i="1" s="1"/>
  <c r="P490" i="1"/>
  <c r="V490" i="1" s="1"/>
  <c r="O491" i="1"/>
  <c r="R491" i="1" s="1"/>
  <c r="P491" i="1"/>
  <c r="X491" i="1" s="1"/>
  <c r="AG7" i="4"/>
  <c r="AG3" i="4"/>
  <c r="AG2" i="4"/>
  <c r="AC14" i="4"/>
  <c r="AB14" i="4"/>
  <c r="AG6" i="4" s="1"/>
  <c r="AA14" i="4"/>
  <c r="AG5" i="4" s="1"/>
  <c r="Z14" i="4"/>
  <c r="AG4" i="4" s="1"/>
  <c r="Y14" i="4"/>
  <c r="X14" i="4"/>
  <c r="V486" i="1" l="1"/>
  <c r="T479" i="1"/>
  <c r="X487" i="1"/>
  <c r="T480" i="1"/>
  <c r="U480" i="1" s="1"/>
  <c r="Z480" i="1" s="1"/>
  <c r="W488" i="1"/>
  <c r="U479" i="1"/>
  <c r="Z479" i="1" s="1"/>
  <c r="V481" i="1"/>
  <c r="V480" i="1"/>
  <c r="W490" i="1"/>
  <c r="S490" i="1" s="1"/>
  <c r="Y490" i="1" s="1"/>
  <c r="T491" i="1"/>
  <c r="T490" i="1"/>
  <c r="V478" i="1"/>
  <c r="U487" i="1"/>
  <c r="Z487" i="1" s="1"/>
  <c r="V488" i="1"/>
  <c r="T485" i="1"/>
  <c r="U485" i="1" s="1"/>
  <c r="Z485" i="1" s="1"/>
  <c r="T477" i="1"/>
  <c r="U477" i="1" s="1"/>
  <c r="Z477" i="1" s="1"/>
  <c r="T483" i="1"/>
  <c r="W489" i="1"/>
  <c r="S489" i="1" s="1"/>
  <c r="Y489" i="1" s="1"/>
  <c r="U488" i="1"/>
  <c r="Z488" i="1" s="1"/>
  <c r="W482" i="1"/>
  <c r="S482" i="1" s="1"/>
  <c r="Y482" i="1" s="1"/>
  <c r="X481" i="1"/>
  <c r="U491" i="1"/>
  <c r="Z491" i="1" s="1"/>
  <c r="S488" i="1"/>
  <c r="Y488" i="1" s="1"/>
  <c r="W481" i="1"/>
  <c r="S481" i="1" s="1"/>
  <c r="Y481" i="1" s="1"/>
  <c r="R480" i="1"/>
  <c r="S480" i="1" s="1"/>
  <c r="Y480" i="1" s="1"/>
  <c r="V489" i="1"/>
  <c r="V487" i="1"/>
  <c r="V484" i="1"/>
  <c r="U483" i="1"/>
  <c r="Z483" i="1" s="1"/>
  <c r="V482" i="1"/>
  <c r="W487" i="1"/>
  <c r="X486" i="1"/>
  <c r="W479" i="1"/>
  <c r="S479" i="1" s="1"/>
  <c r="Y479" i="1" s="1"/>
  <c r="X478" i="1"/>
  <c r="W486" i="1"/>
  <c r="S486" i="1" s="1"/>
  <c r="Y486" i="1" s="1"/>
  <c r="R485" i="1"/>
  <c r="S485" i="1" s="1"/>
  <c r="Y485" i="1" s="1"/>
  <c r="X484" i="1"/>
  <c r="U484" i="1" s="1"/>
  <c r="Z484" i="1" s="1"/>
  <c r="V483" i="1"/>
  <c r="W478" i="1"/>
  <c r="S478" i="1" s="1"/>
  <c r="Y478" i="1" s="1"/>
  <c r="R477" i="1"/>
  <c r="S477" i="1" s="1"/>
  <c r="Y477" i="1" s="1"/>
  <c r="W491" i="1"/>
  <c r="S491" i="1" s="1"/>
  <c r="Y491" i="1" s="1"/>
  <c r="X490" i="1"/>
  <c r="T489" i="1"/>
  <c r="U489" i="1" s="1"/>
  <c r="Z489" i="1" s="1"/>
  <c r="T486" i="1"/>
  <c r="V485" i="1"/>
  <c r="W484" i="1"/>
  <c r="S484" i="1" s="1"/>
  <c r="Y484" i="1" s="1"/>
  <c r="W483" i="1"/>
  <c r="X482" i="1"/>
  <c r="U482" i="1" s="1"/>
  <c r="Z482" i="1" s="1"/>
  <c r="T481" i="1"/>
  <c r="U481" i="1" s="1"/>
  <c r="Z481" i="1" s="1"/>
  <c r="T478" i="1"/>
  <c r="V477" i="1"/>
  <c r="AF3" i="4"/>
  <c r="AF5" i="4"/>
  <c r="AF4" i="4"/>
  <c r="V491" i="1"/>
  <c r="R487" i="1"/>
  <c r="R483" i="1"/>
  <c r="V479" i="1"/>
  <c r="AF6" i="4"/>
  <c r="AF2" i="4"/>
  <c r="AF7" i="4"/>
  <c r="S483" i="1" l="1"/>
  <c r="Y483" i="1" s="1"/>
  <c r="S487" i="1"/>
  <c r="Y487" i="1" s="1"/>
  <c r="U490" i="1"/>
  <c r="Z490" i="1" s="1"/>
  <c r="U486" i="1"/>
  <c r="Z486" i="1" s="1"/>
  <c r="U478" i="1"/>
  <c r="Z478" i="1" s="1"/>
  <c r="R45" i="3" l="1"/>
  <c r="Q45" i="3"/>
  <c r="P45" i="3"/>
  <c r="O45" i="3"/>
  <c r="M45" i="3"/>
  <c r="N45" i="3"/>
  <c r="O456" i="1"/>
  <c r="P456" i="1"/>
  <c r="T456" i="1" s="1"/>
  <c r="O457" i="1"/>
  <c r="R457" i="1" s="1"/>
  <c r="P457" i="1"/>
  <c r="T457" i="1" s="1"/>
  <c r="O458" i="1"/>
  <c r="R458" i="1" s="1"/>
  <c r="P458" i="1"/>
  <c r="T458" i="1" s="1"/>
  <c r="O459" i="1"/>
  <c r="R459" i="1" s="1"/>
  <c r="P459" i="1"/>
  <c r="O460" i="1"/>
  <c r="R460" i="1" s="1"/>
  <c r="P460" i="1"/>
  <c r="X460" i="1" s="1"/>
  <c r="O461" i="1"/>
  <c r="W461" i="1" s="1"/>
  <c r="P461" i="1"/>
  <c r="T461" i="1" s="1"/>
  <c r="O462" i="1"/>
  <c r="R462" i="1" s="1"/>
  <c r="P462" i="1"/>
  <c r="X462" i="1" s="1"/>
  <c r="O463" i="1"/>
  <c r="R463" i="1" s="1"/>
  <c r="P463" i="1"/>
  <c r="X463" i="1" s="1"/>
  <c r="O464" i="1"/>
  <c r="R464" i="1" s="1"/>
  <c r="P464" i="1"/>
  <c r="X464" i="1" s="1"/>
  <c r="O465" i="1"/>
  <c r="W465" i="1" s="1"/>
  <c r="P465" i="1"/>
  <c r="X465" i="1" s="1"/>
  <c r="O466" i="1"/>
  <c r="R466" i="1" s="1"/>
  <c r="P466" i="1"/>
  <c r="X466" i="1" s="1"/>
  <c r="O467" i="1"/>
  <c r="R467" i="1" s="1"/>
  <c r="P467" i="1"/>
  <c r="T467" i="1" s="1"/>
  <c r="O468" i="1"/>
  <c r="R468" i="1" s="1"/>
  <c r="P468" i="1"/>
  <c r="T468" i="1" s="1"/>
  <c r="O469" i="1"/>
  <c r="R469" i="1" s="1"/>
  <c r="P469" i="1"/>
  <c r="T469" i="1" s="1"/>
  <c r="O470" i="1"/>
  <c r="R470" i="1" s="1"/>
  <c r="P470" i="1"/>
  <c r="T470" i="1" s="1"/>
  <c r="O471" i="1"/>
  <c r="R471" i="1" s="1"/>
  <c r="P471" i="1"/>
  <c r="X471" i="1" s="1"/>
  <c r="O472" i="1"/>
  <c r="R472" i="1" s="1"/>
  <c r="P472" i="1"/>
  <c r="T472" i="1" s="1"/>
  <c r="O473" i="1"/>
  <c r="R473" i="1" s="1"/>
  <c r="P473" i="1"/>
  <c r="T473" i="1" s="1"/>
  <c r="O474" i="1"/>
  <c r="R474" i="1" s="1"/>
  <c r="P474" i="1"/>
  <c r="T474" i="1" s="1"/>
  <c r="O475" i="1"/>
  <c r="R475" i="1" s="1"/>
  <c r="P475" i="1"/>
  <c r="T475" i="1" s="1"/>
  <c r="O476" i="1"/>
  <c r="R476" i="1" s="1"/>
  <c r="P476" i="1"/>
  <c r="X476" i="1" s="1"/>
  <c r="R44" i="3"/>
  <c r="Q44" i="3"/>
  <c r="P44" i="3"/>
  <c r="O44" i="3"/>
  <c r="M44" i="3"/>
  <c r="N44" i="3"/>
  <c r="O438" i="1"/>
  <c r="P438" i="1"/>
  <c r="T438" i="1" s="1"/>
  <c r="O439" i="1"/>
  <c r="R439" i="1" s="1"/>
  <c r="P439" i="1"/>
  <c r="X439" i="1" s="1"/>
  <c r="O440" i="1"/>
  <c r="R440" i="1" s="1"/>
  <c r="P440" i="1"/>
  <c r="O441" i="1"/>
  <c r="R441" i="1" s="1"/>
  <c r="P441" i="1"/>
  <c r="T441" i="1" s="1"/>
  <c r="O442" i="1"/>
  <c r="R442" i="1" s="1"/>
  <c r="P442" i="1"/>
  <c r="T442" i="1" s="1"/>
  <c r="O443" i="1"/>
  <c r="R443" i="1" s="1"/>
  <c r="P443" i="1"/>
  <c r="X443" i="1" s="1"/>
  <c r="O444" i="1"/>
  <c r="R444" i="1" s="1"/>
  <c r="P444" i="1"/>
  <c r="T444" i="1" s="1"/>
  <c r="O445" i="1"/>
  <c r="P445" i="1"/>
  <c r="X445" i="1" s="1"/>
  <c r="O446" i="1"/>
  <c r="R446" i="1" s="1"/>
  <c r="P446" i="1"/>
  <c r="T446" i="1" s="1"/>
  <c r="O447" i="1"/>
  <c r="R447" i="1" s="1"/>
  <c r="P447" i="1"/>
  <c r="T447" i="1" s="1"/>
  <c r="O448" i="1"/>
  <c r="R448" i="1" s="1"/>
  <c r="P448" i="1"/>
  <c r="O449" i="1"/>
  <c r="R449" i="1" s="1"/>
  <c r="P449" i="1"/>
  <c r="O450" i="1"/>
  <c r="R450" i="1" s="1"/>
  <c r="P450" i="1"/>
  <c r="O451" i="1"/>
  <c r="R451" i="1" s="1"/>
  <c r="P451" i="1"/>
  <c r="T451" i="1" s="1"/>
  <c r="O452" i="1"/>
  <c r="R452" i="1" s="1"/>
  <c r="P452" i="1"/>
  <c r="T452" i="1" s="1"/>
  <c r="O453" i="1"/>
  <c r="R453" i="1" s="1"/>
  <c r="P453" i="1"/>
  <c r="T453" i="1" s="1"/>
  <c r="O454" i="1"/>
  <c r="W454" i="1" s="1"/>
  <c r="P454" i="1"/>
  <c r="T454" i="1" s="1"/>
  <c r="O455" i="1"/>
  <c r="R455" i="1" s="1"/>
  <c r="P455" i="1"/>
  <c r="N43" i="3"/>
  <c r="M43" i="3"/>
  <c r="O429" i="1"/>
  <c r="W429" i="1" s="1"/>
  <c r="P429" i="1"/>
  <c r="T429" i="1" s="1"/>
  <c r="O430" i="1"/>
  <c r="R430" i="1" s="1"/>
  <c r="P430" i="1"/>
  <c r="X430" i="1" s="1"/>
  <c r="O431" i="1"/>
  <c r="R431" i="1" s="1"/>
  <c r="P431" i="1"/>
  <c r="T431" i="1" s="1"/>
  <c r="O432" i="1"/>
  <c r="R432" i="1" s="1"/>
  <c r="P432" i="1"/>
  <c r="T432" i="1" s="1"/>
  <c r="O433" i="1"/>
  <c r="R433" i="1" s="1"/>
  <c r="P433" i="1"/>
  <c r="O434" i="1"/>
  <c r="R434" i="1" s="1"/>
  <c r="P434" i="1"/>
  <c r="O435" i="1"/>
  <c r="R435" i="1" s="1"/>
  <c r="P435" i="1"/>
  <c r="T435" i="1" s="1"/>
  <c r="O436" i="1"/>
  <c r="R436" i="1" s="1"/>
  <c r="P436" i="1"/>
  <c r="T436" i="1" s="1"/>
  <c r="O437" i="1"/>
  <c r="R437" i="1" s="1"/>
  <c r="P437" i="1"/>
  <c r="X437" i="1" s="1"/>
  <c r="V456" i="1" l="1"/>
  <c r="W457" i="1"/>
  <c r="X457" i="1"/>
  <c r="U457" i="1" s="1"/>
  <c r="Z457" i="1" s="1"/>
  <c r="X456" i="1"/>
  <c r="U456" i="1" s="1"/>
  <c r="Z456" i="1" s="1"/>
  <c r="V457" i="1"/>
  <c r="T471" i="1"/>
  <c r="U471" i="1" s="1"/>
  <c r="Z471" i="1" s="1"/>
  <c r="X470" i="1"/>
  <c r="U470" i="1" s="1"/>
  <c r="Z470" i="1" s="1"/>
  <c r="T462" i="1"/>
  <c r="U462" i="1" s="1"/>
  <c r="Z462" i="1" s="1"/>
  <c r="X458" i="1"/>
  <c r="U458" i="1" s="1"/>
  <c r="Z458" i="1" s="1"/>
  <c r="W473" i="1"/>
  <c r="S473" i="1" s="1"/>
  <c r="Y473" i="1" s="1"/>
  <c r="X468" i="1"/>
  <c r="U468" i="1" s="1"/>
  <c r="Z468" i="1" s="1"/>
  <c r="W459" i="1"/>
  <c r="S459" i="1" s="1"/>
  <c r="Y459" i="1" s="1"/>
  <c r="X467" i="1"/>
  <c r="U467" i="1" s="1"/>
  <c r="Z467" i="1" s="1"/>
  <c r="T466" i="1"/>
  <c r="U466" i="1" s="1"/>
  <c r="Z466" i="1" s="1"/>
  <c r="V459" i="1"/>
  <c r="T476" i="1"/>
  <c r="U476" i="1" s="1"/>
  <c r="Z476" i="1" s="1"/>
  <c r="X475" i="1"/>
  <c r="U475" i="1" s="1"/>
  <c r="Z475" i="1" s="1"/>
  <c r="W458" i="1"/>
  <c r="S458" i="1" s="1"/>
  <c r="Y458" i="1" s="1"/>
  <c r="X474" i="1"/>
  <c r="U474" i="1" s="1"/>
  <c r="Z474" i="1" s="1"/>
  <c r="T463" i="1"/>
  <c r="U463" i="1" s="1"/>
  <c r="Z463" i="1" s="1"/>
  <c r="T460" i="1"/>
  <c r="U460" i="1" s="1"/>
  <c r="Z460" i="1" s="1"/>
  <c r="X459" i="1"/>
  <c r="X461" i="1"/>
  <c r="U461" i="1" s="1"/>
  <c r="Z461" i="1" s="1"/>
  <c r="W472" i="1"/>
  <c r="S472" i="1" s="1"/>
  <c r="Y472" i="1" s="1"/>
  <c r="V469" i="1"/>
  <c r="V465" i="1"/>
  <c r="V461" i="1"/>
  <c r="T459" i="1"/>
  <c r="X472" i="1"/>
  <c r="U472" i="1" s="1"/>
  <c r="Z472" i="1" s="1"/>
  <c r="W468" i="1"/>
  <c r="S468" i="1" s="1"/>
  <c r="Y468" i="1" s="1"/>
  <c r="W476" i="1"/>
  <c r="S476" i="1" s="1"/>
  <c r="Y476" i="1" s="1"/>
  <c r="V473" i="1"/>
  <c r="W469" i="1"/>
  <c r="S469" i="1" s="1"/>
  <c r="Y469" i="1" s="1"/>
  <c r="T465" i="1"/>
  <c r="U465" i="1" s="1"/>
  <c r="Z465" i="1" s="1"/>
  <c r="W463" i="1"/>
  <c r="S463" i="1" s="1"/>
  <c r="Y463" i="1" s="1"/>
  <c r="V458" i="1"/>
  <c r="W475" i="1"/>
  <c r="S475" i="1" s="1"/>
  <c r="Y475" i="1" s="1"/>
  <c r="W471" i="1"/>
  <c r="S471" i="1" s="1"/>
  <c r="Y471" i="1" s="1"/>
  <c r="W467" i="1"/>
  <c r="S467" i="1" s="1"/>
  <c r="Y467" i="1" s="1"/>
  <c r="T464" i="1"/>
  <c r="U464" i="1" s="1"/>
  <c r="Z464" i="1" s="1"/>
  <c r="R461" i="1"/>
  <c r="S461" i="1" s="1"/>
  <c r="Y461" i="1" s="1"/>
  <c r="S457" i="1"/>
  <c r="Y457" i="1" s="1"/>
  <c r="W456" i="1"/>
  <c r="R456" i="1"/>
  <c r="R465" i="1"/>
  <c r="S465" i="1" s="1"/>
  <c r="Y465" i="1" s="1"/>
  <c r="V463" i="1"/>
  <c r="W462" i="1"/>
  <c r="S462" i="1" s="1"/>
  <c r="Y462" i="1" s="1"/>
  <c r="V462" i="1"/>
  <c r="W460" i="1"/>
  <c r="S460" i="1" s="1"/>
  <c r="Y460" i="1" s="1"/>
  <c r="V475" i="1"/>
  <c r="W474" i="1"/>
  <c r="S474" i="1" s="1"/>
  <c r="Y474" i="1" s="1"/>
  <c r="V474" i="1"/>
  <c r="X473" i="1"/>
  <c r="U473" i="1" s="1"/>
  <c r="Z473" i="1" s="1"/>
  <c r="V471" i="1"/>
  <c r="W470" i="1"/>
  <c r="S470" i="1" s="1"/>
  <c r="Y470" i="1" s="1"/>
  <c r="V470" i="1"/>
  <c r="X469" i="1"/>
  <c r="U469" i="1" s="1"/>
  <c r="Z469" i="1" s="1"/>
  <c r="V467" i="1"/>
  <c r="W466" i="1"/>
  <c r="S466" i="1" s="1"/>
  <c r="Y466" i="1" s="1"/>
  <c r="V466" i="1"/>
  <c r="W464" i="1"/>
  <c r="S464" i="1" s="1"/>
  <c r="Y464" i="1" s="1"/>
  <c r="V476" i="1"/>
  <c r="V472" i="1"/>
  <c r="V468" i="1"/>
  <c r="V464" i="1"/>
  <c r="V460" i="1"/>
  <c r="V449" i="1"/>
  <c r="W449" i="1"/>
  <c r="S449" i="1" s="1"/>
  <c r="Y449" i="1" s="1"/>
  <c r="T449" i="1"/>
  <c r="V440" i="1"/>
  <c r="X452" i="1"/>
  <c r="U452" i="1" s="1"/>
  <c r="Z452" i="1" s="1"/>
  <c r="X454" i="1"/>
  <c r="U454" i="1" s="1"/>
  <c r="Z454" i="1" s="1"/>
  <c r="X447" i="1"/>
  <c r="U447" i="1" s="1"/>
  <c r="Z447" i="1" s="1"/>
  <c r="W455" i="1"/>
  <c r="S455" i="1" s="1"/>
  <c r="Y455" i="1" s="1"/>
  <c r="X449" i="1"/>
  <c r="T445" i="1"/>
  <c r="U445" i="1" s="1"/>
  <c r="Z445" i="1" s="1"/>
  <c r="V455" i="1"/>
  <c r="W453" i="1"/>
  <c r="S453" i="1" s="1"/>
  <c r="Y453" i="1" s="1"/>
  <c r="V448" i="1"/>
  <c r="V444" i="1"/>
  <c r="V438" i="1"/>
  <c r="X451" i="1"/>
  <c r="U451" i="1" s="1"/>
  <c r="Z451" i="1" s="1"/>
  <c r="W439" i="1"/>
  <c r="S439" i="1" s="1"/>
  <c r="Y439" i="1" s="1"/>
  <c r="X438" i="1"/>
  <c r="U438" i="1" s="1"/>
  <c r="Z438" i="1" s="1"/>
  <c r="V450" i="1"/>
  <c r="V439" i="1"/>
  <c r="W447" i="1"/>
  <c r="S447" i="1" s="1"/>
  <c r="Y447" i="1" s="1"/>
  <c r="W451" i="1"/>
  <c r="S451" i="1" s="1"/>
  <c r="Y451" i="1" s="1"/>
  <c r="V446" i="1"/>
  <c r="W443" i="1"/>
  <c r="S443" i="1" s="1"/>
  <c r="Y443" i="1" s="1"/>
  <c r="W442" i="1"/>
  <c r="S442" i="1" s="1"/>
  <c r="Y442" i="1" s="1"/>
  <c r="W440" i="1"/>
  <c r="S440" i="1" s="1"/>
  <c r="Y440" i="1" s="1"/>
  <c r="V454" i="1"/>
  <c r="V453" i="1"/>
  <c r="V451" i="1"/>
  <c r="V445" i="1"/>
  <c r="V443" i="1"/>
  <c r="T440" i="1"/>
  <c r="R454" i="1"/>
  <c r="S454" i="1" s="1"/>
  <c r="Y454" i="1" s="1"/>
  <c r="T450" i="1"/>
  <c r="X448" i="1"/>
  <c r="V442" i="1"/>
  <c r="W438" i="1"/>
  <c r="R438" i="1"/>
  <c r="V441" i="1"/>
  <c r="X455" i="1"/>
  <c r="W452" i="1"/>
  <c r="S452" i="1" s="1"/>
  <c r="Y452" i="1" s="1"/>
  <c r="X450" i="1"/>
  <c r="W450" i="1"/>
  <c r="S450" i="1" s="1"/>
  <c r="Y450" i="1" s="1"/>
  <c r="W448" i="1"/>
  <c r="S448" i="1" s="1"/>
  <c r="Y448" i="1" s="1"/>
  <c r="X446" i="1"/>
  <c r="U446" i="1" s="1"/>
  <c r="Z446" i="1" s="1"/>
  <c r="W445" i="1"/>
  <c r="R445" i="1"/>
  <c r="X444" i="1"/>
  <c r="U444" i="1" s="1"/>
  <c r="Z444" i="1" s="1"/>
  <c r="T443" i="1"/>
  <c r="U443" i="1" s="1"/>
  <c r="Z443" i="1" s="1"/>
  <c r="X441" i="1"/>
  <c r="U441" i="1" s="1"/>
  <c r="Z441" i="1" s="1"/>
  <c r="T455" i="1"/>
  <c r="X453" i="1"/>
  <c r="U453" i="1" s="1"/>
  <c r="Z453" i="1" s="1"/>
  <c r="V452" i="1"/>
  <c r="T448" i="1"/>
  <c r="V447" i="1"/>
  <c r="W446" i="1"/>
  <c r="S446" i="1" s="1"/>
  <c r="Y446" i="1" s="1"/>
  <c r="W444" i="1"/>
  <c r="S444" i="1" s="1"/>
  <c r="Y444" i="1" s="1"/>
  <c r="X442" i="1"/>
  <c r="U442" i="1" s="1"/>
  <c r="Z442" i="1" s="1"/>
  <c r="W441" i="1"/>
  <c r="S441" i="1" s="1"/>
  <c r="Y441" i="1" s="1"/>
  <c r="X440" i="1"/>
  <c r="T439" i="1"/>
  <c r="U439" i="1" s="1"/>
  <c r="Z439" i="1" s="1"/>
  <c r="V434" i="1"/>
  <c r="W430" i="1"/>
  <c r="S430" i="1" s="1"/>
  <c r="Y430" i="1" s="1"/>
  <c r="T430" i="1"/>
  <c r="U430" i="1" s="1"/>
  <c r="Z430" i="1" s="1"/>
  <c r="X429" i="1"/>
  <c r="U429" i="1" s="1"/>
  <c r="Z429" i="1" s="1"/>
  <c r="T437" i="1"/>
  <c r="U437" i="1" s="1"/>
  <c r="Z437" i="1" s="1"/>
  <c r="W434" i="1"/>
  <c r="S434" i="1" s="1"/>
  <c r="Y434" i="1" s="1"/>
  <c r="T434" i="1"/>
  <c r="V433" i="1"/>
  <c r="W437" i="1"/>
  <c r="S437" i="1" s="1"/>
  <c r="Y437" i="1" s="1"/>
  <c r="X433" i="1"/>
  <c r="V436" i="1"/>
  <c r="X435" i="1"/>
  <c r="U435" i="1" s="1"/>
  <c r="Z435" i="1" s="1"/>
  <c r="W433" i="1"/>
  <c r="S433" i="1" s="1"/>
  <c r="Y433" i="1" s="1"/>
  <c r="X431" i="1"/>
  <c r="U431" i="1" s="1"/>
  <c r="Z431" i="1" s="1"/>
  <c r="V437" i="1"/>
  <c r="W435" i="1"/>
  <c r="S435" i="1" s="1"/>
  <c r="Y435" i="1" s="1"/>
  <c r="X434" i="1"/>
  <c r="T433" i="1"/>
  <c r="W431" i="1"/>
  <c r="S431" i="1" s="1"/>
  <c r="Y431" i="1" s="1"/>
  <c r="R429" i="1"/>
  <c r="S429" i="1" s="1"/>
  <c r="Y429" i="1" s="1"/>
  <c r="V432" i="1"/>
  <c r="X436" i="1"/>
  <c r="U436" i="1" s="1"/>
  <c r="Z436" i="1" s="1"/>
  <c r="X432" i="1"/>
  <c r="U432" i="1" s="1"/>
  <c r="Z432" i="1" s="1"/>
  <c r="V430" i="1"/>
  <c r="W436" i="1"/>
  <c r="S436" i="1" s="1"/>
  <c r="Y436" i="1" s="1"/>
  <c r="W432" i="1"/>
  <c r="S432" i="1" s="1"/>
  <c r="Y432" i="1" s="1"/>
  <c r="V429" i="1"/>
  <c r="V435" i="1"/>
  <c r="V431" i="1"/>
  <c r="U459" i="1" l="1"/>
  <c r="Z459" i="1" s="1"/>
  <c r="S456" i="1"/>
  <c r="Y456" i="1" s="1"/>
  <c r="U449" i="1"/>
  <c r="Z449" i="1" s="1"/>
  <c r="U450" i="1"/>
  <c r="Z450" i="1" s="1"/>
  <c r="U440" i="1"/>
  <c r="Z440" i="1" s="1"/>
  <c r="U455" i="1"/>
  <c r="Z455" i="1" s="1"/>
  <c r="U448" i="1"/>
  <c r="Z448" i="1" s="1"/>
  <c r="U434" i="1"/>
  <c r="Z434" i="1" s="1"/>
  <c r="S445" i="1"/>
  <c r="Y445" i="1" s="1"/>
  <c r="S438" i="1"/>
  <c r="Y438" i="1" s="1"/>
  <c r="U433" i="1"/>
  <c r="Z433" i="1" s="1"/>
  <c r="O423" i="1" l="1"/>
  <c r="R423" i="1" s="1"/>
  <c r="P423" i="1"/>
  <c r="X423" i="1" s="1"/>
  <c r="O424" i="1"/>
  <c r="R424" i="1" s="1"/>
  <c r="P424" i="1"/>
  <c r="O425" i="1"/>
  <c r="R425" i="1" s="1"/>
  <c r="P425" i="1"/>
  <c r="X425" i="1" s="1"/>
  <c r="O426" i="1"/>
  <c r="P426" i="1"/>
  <c r="T426" i="1" s="1"/>
  <c r="O427" i="1"/>
  <c r="R427" i="1" s="1"/>
  <c r="P427" i="1"/>
  <c r="X427" i="1" s="1"/>
  <c r="O428" i="1"/>
  <c r="R428" i="1" s="1"/>
  <c r="P428" i="1"/>
  <c r="W427" i="1" l="1"/>
  <c r="S427" i="1" s="1"/>
  <c r="Y427" i="1" s="1"/>
  <c r="V428" i="1"/>
  <c r="V424" i="1"/>
  <c r="W423" i="1"/>
  <c r="S423" i="1" s="1"/>
  <c r="Y423" i="1" s="1"/>
  <c r="W424" i="1"/>
  <c r="S424" i="1" s="1"/>
  <c r="Y424" i="1" s="1"/>
  <c r="V426" i="1"/>
  <c r="V423" i="1"/>
  <c r="X428" i="1"/>
  <c r="W425" i="1"/>
  <c r="S425" i="1" s="1"/>
  <c r="Y425" i="1" s="1"/>
  <c r="W428" i="1"/>
  <c r="S428" i="1" s="1"/>
  <c r="Y428" i="1" s="1"/>
  <c r="T425" i="1"/>
  <c r="U425" i="1" s="1"/>
  <c r="Z425" i="1" s="1"/>
  <c r="X424" i="1"/>
  <c r="T423" i="1"/>
  <c r="U423" i="1" s="1"/>
  <c r="Z423" i="1" s="1"/>
  <c r="V427" i="1"/>
  <c r="X426" i="1"/>
  <c r="U426" i="1" s="1"/>
  <c r="Z426" i="1" s="1"/>
  <c r="T428" i="1"/>
  <c r="T427" i="1"/>
  <c r="U427" i="1" s="1"/>
  <c r="Z427" i="1" s="1"/>
  <c r="W426" i="1"/>
  <c r="R426" i="1"/>
  <c r="T424" i="1"/>
  <c r="V425" i="1"/>
  <c r="U424" i="1" l="1"/>
  <c r="Z424" i="1" s="1"/>
  <c r="U428" i="1"/>
  <c r="Z428" i="1" s="1"/>
  <c r="S426" i="1"/>
  <c r="Y426" i="1" s="1"/>
  <c r="O418" i="1" l="1"/>
  <c r="R418" i="1" s="1"/>
  <c r="P418" i="1"/>
  <c r="O419" i="1"/>
  <c r="R419" i="1" s="1"/>
  <c r="P419" i="1"/>
  <c r="X419" i="1" s="1"/>
  <c r="O420" i="1"/>
  <c r="R420" i="1" s="1"/>
  <c r="P420" i="1"/>
  <c r="O421" i="1"/>
  <c r="P421" i="1"/>
  <c r="T421" i="1" s="1"/>
  <c r="O422" i="1"/>
  <c r="R422" i="1" s="1"/>
  <c r="P422" i="1"/>
  <c r="T422" i="1" s="1"/>
  <c r="O22" i="4"/>
  <c r="P22" i="4"/>
  <c r="Q22" i="4"/>
  <c r="R22" i="4"/>
  <c r="S22" i="4"/>
  <c r="N22" i="4"/>
  <c r="O21" i="4"/>
  <c r="P21" i="4"/>
  <c r="Q21" i="4"/>
  <c r="R21" i="4"/>
  <c r="S21" i="4"/>
  <c r="N21" i="4"/>
  <c r="O20" i="4"/>
  <c r="P20" i="4"/>
  <c r="Q20" i="4"/>
  <c r="R20" i="4"/>
  <c r="S20" i="4"/>
  <c r="N20" i="4"/>
  <c r="O19" i="4"/>
  <c r="P19" i="4"/>
  <c r="Q19" i="4"/>
  <c r="R19" i="4"/>
  <c r="S19" i="4"/>
  <c r="N19" i="4"/>
  <c r="O18" i="4"/>
  <c r="P18" i="4"/>
  <c r="Q18" i="4"/>
  <c r="R18" i="4"/>
  <c r="S18" i="4"/>
  <c r="N18" i="4"/>
  <c r="O17" i="4"/>
  <c r="P17" i="4"/>
  <c r="Q17" i="4"/>
  <c r="R17" i="4"/>
  <c r="S17" i="4"/>
  <c r="N17" i="4"/>
  <c r="O16" i="4"/>
  <c r="P16" i="4"/>
  <c r="Q16" i="4"/>
  <c r="R16" i="4"/>
  <c r="S16" i="4"/>
  <c r="N16" i="4"/>
  <c r="O15" i="4"/>
  <c r="P15" i="4"/>
  <c r="Q15" i="4"/>
  <c r="R15" i="4"/>
  <c r="S15" i="4"/>
  <c r="N15" i="4"/>
  <c r="O14" i="4"/>
  <c r="P14" i="4"/>
  <c r="Q14" i="4"/>
  <c r="R14" i="4"/>
  <c r="S14" i="4"/>
  <c r="N14" i="4"/>
  <c r="O13" i="4"/>
  <c r="P13" i="4"/>
  <c r="Q13" i="4"/>
  <c r="R13" i="4"/>
  <c r="S13" i="4"/>
  <c r="N13" i="4"/>
  <c r="O12" i="4"/>
  <c r="P12" i="4"/>
  <c r="Q12" i="4"/>
  <c r="R12" i="4"/>
  <c r="S12" i="4"/>
  <c r="N12" i="4"/>
  <c r="O11" i="4"/>
  <c r="P11" i="4"/>
  <c r="Q11" i="4"/>
  <c r="R11" i="4"/>
  <c r="S11" i="4"/>
  <c r="N11" i="4"/>
  <c r="O10" i="4"/>
  <c r="P10" i="4"/>
  <c r="Q10" i="4"/>
  <c r="R10" i="4"/>
  <c r="S10" i="4"/>
  <c r="N10" i="4"/>
  <c r="O9" i="4"/>
  <c r="P9" i="4"/>
  <c r="Q9" i="4"/>
  <c r="R9" i="4"/>
  <c r="S9" i="4"/>
  <c r="N9" i="4"/>
  <c r="O8" i="4"/>
  <c r="P8" i="4"/>
  <c r="Q8" i="4"/>
  <c r="R8" i="4"/>
  <c r="S8" i="4"/>
  <c r="N8" i="4"/>
  <c r="O7" i="4"/>
  <c r="P7" i="4"/>
  <c r="Q7" i="4"/>
  <c r="R7" i="4"/>
  <c r="S7" i="4"/>
  <c r="N7" i="4"/>
  <c r="O6" i="4"/>
  <c r="P6" i="4"/>
  <c r="Q6" i="4"/>
  <c r="R6" i="4"/>
  <c r="S6" i="4"/>
  <c r="N6" i="4"/>
  <c r="O5" i="4"/>
  <c r="P5" i="4"/>
  <c r="Q5" i="4"/>
  <c r="R5" i="4"/>
  <c r="S5" i="4"/>
  <c r="N5" i="4"/>
  <c r="R5" i="3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Q5" i="3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M42" i="3"/>
  <c r="N42" i="3"/>
  <c r="V418" i="1" l="1"/>
  <c r="W422" i="1"/>
  <c r="W418" i="1"/>
  <c r="S418" i="1" s="1"/>
  <c r="Y418" i="1" s="1"/>
  <c r="V421" i="1"/>
  <c r="X418" i="1"/>
  <c r="S422" i="1"/>
  <c r="Y422" i="1" s="1"/>
  <c r="X421" i="1"/>
  <c r="U421" i="1" s="1"/>
  <c r="Z421" i="1" s="1"/>
  <c r="V420" i="1"/>
  <c r="W419" i="1"/>
  <c r="S419" i="1" s="1"/>
  <c r="Y419" i="1" s="1"/>
  <c r="V422" i="1"/>
  <c r="W420" i="1"/>
  <c r="S420" i="1" s="1"/>
  <c r="Y420" i="1" s="1"/>
  <c r="V419" i="1"/>
  <c r="T420" i="1"/>
  <c r="T418" i="1"/>
  <c r="X422" i="1"/>
  <c r="U422" i="1" s="1"/>
  <c r="Z422" i="1" s="1"/>
  <c r="W421" i="1"/>
  <c r="R421" i="1"/>
  <c r="X420" i="1"/>
  <c r="T419" i="1"/>
  <c r="U419" i="1" s="1"/>
  <c r="Z419" i="1" s="1"/>
  <c r="O407" i="1"/>
  <c r="R407" i="1" s="1"/>
  <c r="P407" i="1"/>
  <c r="T407" i="1" s="1"/>
  <c r="O408" i="1"/>
  <c r="R408" i="1" s="1"/>
  <c r="P408" i="1"/>
  <c r="X408" i="1" s="1"/>
  <c r="O409" i="1"/>
  <c r="W409" i="1" s="1"/>
  <c r="P409" i="1"/>
  <c r="T409" i="1" s="1"/>
  <c r="O410" i="1"/>
  <c r="R410" i="1" s="1"/>
  <c r="P410" i="1"/>
  <c r="O411" i="1"/>
  <c r="P411" i="1"/>
  <c r="O412" i="1"/>
  <c r="W412" i="1" s="1"/>
  <c r="P412" i="1"/>
  <c r="T412" i="1" s="1"/>
  <c r="O413" i="1"/>
  <c r="R413" i="1" s="1"/>
  <c r="P413" i="1"/>
  <c r="O414" i="1"/>
  <c r="R414" i="1" s="1"/>
  <c r="P414" i="1"/>
  <c r="X414" i="1" s="1"/>
  <c r="O415" i="1"/>
  <c r="P415" i="1"/>
  <c r="T415" i="1" s="1"/>
  <c r="O416" i="1"/>
  <c r="R416" i="1" s="1"/>
  <c r="P416" i="1"/>
  <c r="T416" i="1" s="1"/>
  <c r="O417" i="1"/>
  <c r="P417" i="1"/>
  <c r="X417" i="1" s="1"/>
  <c r="O70" i="1"/>
  <c r="R70" i="1" s="1"/>
  <c r="P70" i="1"/>
  <c r="O71" i="1"/>
  <c r="P71" i="1"/>
  <c r="O72" i="1"/>
  <c r="P72" i="1"/>
  <c r="T72" i="1" s="1"/>
  <c r="O73" i="1"/>
  <c r="R73" i="1" s="1"/>
  <c r="P73" i="1"/>
  <c r="T73" i="1" s="1"/>
  <c r="O74" i="1"/>
  <c r="P74" i="1"/>
  <c r="X74" i="1" s="1"/>
  <c r="O75" i="1"/>
  <c r="P75" i="1"/>
  <c r="X75" i="1" s="1"/>
  <c r="O76" i="1"/>
  <c r="P76" i="1"/>
  <c r="X76" i="1" s="1"/>
  <c r="O77" i="1"/>
  <c r="P77" i="1"/>
  <c r="O78" i="1"/>
  <c r="P78" i="1"/>
  <c r="O79" i="1"/>
  <c r="P79" i="1"/>
  <c r="O80" i="1"/>
  <c r="P80" i="1"/>
  <c r="O81" i="1"/>
  <c r="R81" i="1" s="1"/>
  <c r="P81" i="1"/>
  <c r="X81" i="1" s="1"/>
  <c r="O82" i="1"/>
  <c r="R82" i="1" s="1"/>
  <c r="P82" i="1"/>
  <c r="O83" i="1"/>
  <c r="W83" i="1" s="1"/>
  <c r="P83" i="1"/>
  <c r="O84" i="1"/>
  <c r="P84" i="1"/>
  <c r="T84" i="1" s="1"/>
  <c r="O85" i="1"/>
  <c r="P85" i="1"/>
  <c r="T85" i="1" s="1"/>
  <c r="O86" i="1"/>
  <c r="R86" i="1" s="1"/>
  <c r="P86" i="1"/>
  <c r="O87" i="1"/>
  <c r="W87" i="1" s="1"/>
  <c r="P87" i="1"/>
  <c r="O88" i="1"/>
  <c r="P88" i="1"/>
  <c r="O89" i="1"/>
  <c r="P89" i="1"/>
  <c r="O90" i="1"/>
  <c r="R90" i="1" s="1"/>
  <c r="P90" i="1"/>
  <c r="O91" i="1"/>
  <c r="W91" i="1" s="1"/>
  <c r="P91" i="1"/>
  <c r="T91" i="1" s="1"/>
  <c r="O92" i="1"/>
  <c r="P92" i="1"/>
  <c r="O93" i="1"/>
  <c r="P93" i="1"/>
  <c r="T93" i="1" s="1"/>
  <c r="O94" i="1"/>
  <c r="R94" i="1" s="1"/>
  <c r="P94" i="1"/>
  <c r="O95" i="1"/>
  <c r="W95" i="1" s="1"/>
  <c r="P95" i="1"/>
  <c r="O96" i="1"/>
  <c r="P96" i="1"/>
  <c r="O97" i="1"/>
  <c r="P97" i="1"/>
  <c r="T97" i="1" s="1"/>
  <c r="O98" i="1"/>
  <c r="R98" i="1" s="1"/>
  <c r="P98" i="1"/>
  <c r="O99" i="1"/>
  <c r="W99" i="1" s="1"/>
  <c r="P99" i="1"/>
  <c r="O100" i="1"/>
  <c r="P100" i="1"/>
  <c r="X100" i="1" s="1"/>
  <c r="O101" i="1"/>
  <c r="R101" i="1" s="1"/>
  <c r="P101" i="1"/>
  <c r="T101" i="1" s="1"/>
  <c r="O102" i="1"/>
  <c r="R102" i="1" s="1"/>
  <c r="P102" i="1"/>
  <c r="O103" i="1"/>
  <c r="P103" i="1"/>
  <c r="O104" i="1"/>
  <c r="P104" i="1"/>
  <c r="T104" i="1" s="1"/>
  <c r="O105" i="1"/>
  <c r="R105" i="1" s="1"/>
  <c r="P105" i="1"/>
  <c r="T105" i="1" s="1"/>
  <c r="O106" i="1"/>
  <c r="R106" i="1" s="1"/>
  <c r="P106" i="1"/>
  <c r="X106" i="1" s="1"/>
  <c r="O107" i="1"/>
  <c r="P107" i="1"/>
  <c r="X107" i="1" s="1"/>
  <c r="O108" i="1"/>
  <c r="P108" i="1"/>
  <c r="X108" i="1" s="1"/>
  <c r="O109" i="1"/>
  <c r="P109" i="1"/>
  <c r="T109" i="1" s="1"/>
  <c r="O110" i="1"/>
  <c r="W110" i="1" s="1"/>
  <c r="P110" i="1"/>
  <c r="X110" i="1" s="1"/>
  <c r="O111" i="1"/>
  <c r="P111" i="1"/>
  <c r="X111" i="1" s="1"/>
  <c r="O112" i="1"/>
  <c r="W112" i="1" s="1"/>
  <c r="P112" i="1"/>
  <c r="X112" i="1" s="1"/>
  <c r="O113" i="1"/>
  <c r="P113" i="1"/>
  <c r="O114" i="1"/>
  <c r="P114" i="1"/>
  <c r="O115" i="1"/>
  <c r="P115" i="1"/>
  <c r="X115" i="1" s="1"/>
  <c r="O116" i="1"/>
  <c r="P116" i="1"/>
  <c r="T116" i="1" s="1"/>
  <c r="O117" i="1"/>
  <c r="R117" i="1" s="1"/>
  <c r="P117" i="1"/>
  <c r="O118" i="1"/>
  <c r="R118" i="1" s="1"/>
  <c r="P118" i="1"/>
  <c r="T118" i="1" s="1"/>
  <c r="O119" i="1"/>
  <c r="R119" i="1" s="1"/>
  <c r="P119" i="1"/>
  <c r="X119" i="1" s="1"/>
  <c r="O120" i="1"/>
  <c r="W120" i="1" s="1"/>
  <c r="P120" i="1"/>
  <c r="O121" i="1"/>
  <c r="R121" i="1" s="1"/>
  <c r="P121" i="1"/>
  <c r="O122" i="1"/>
  <c r="R122" i="1" s="1"/>
  <c r="P122" i="1"/>
  <c r="O123" i="1"/>
  <c r="P123" i="1"/>
  <c r="X123" i="1" s="1"/>
  <c r="O124" i="1"/>
  <c r="P124" i="1"/>
  <c r="X124" i="1" s="1"/>
  <c r="O125" i="1"/>
  <c r="P125" i="1"/>
  <c r="T125" i="1" s="1"/>
  <c r="O126" i="1"/>
  <c r="P126" i="1"/>
  <c r="O127" i="1"/>
  <c r="P127" i="1"/>
  <c r="O128" i="1"/>
  <c r="W128" i="1" s="1"/>
  <c r="P128" i="1"/>
  <c r="O129" i="1"/>
  <c r="W129" i="1" s="1"/>
  <c r="P129" i="1"/>
  <c r="O130" i="1"/>
  <c r="R130" i="1" s="1"/>
  <c r="P130" i="1"/>
  <c r="O131" i="1"/>
  <c r="P131" i="1"/>
  <c r="X131" i="1" s="1"/>
  <c r="O132" i="1"/>
  <c r="W132" i="1" s="1"/>
  <c r="P132" i="1"/>
  <c r="X132" i="1" s="1"/>
  <c r="O133" i="1"/>
  <c r="R133" i="1" s="1"/>
  <c r="P133" i="1"/>
  <c r="T133" i="1" s="1"/>
  <c r="O134" i="1"/>
  <c r="P134" i="1"/>
  <c r="X134" i="1" s="1"/>
  <c r="O135" i="1"/>
  <c r="P135" i="1"/>
  <c r="T135" i="1" s="1"/>
  <c r="O136" i="1"/>
  <c r="W136" i="1" s="1"/>
  <c r="P136" i="1"/>
  <c r="O137" i="1"/>
  <c r="P137" i="1"/>
  <c r="O138" i="1"/>
  <c r="R138" i="1" s="1"/>
  <c r="P138" i="1"/>
  <c r="X138" i="1" s="1"/>
  <c r="O139" i="1"/>
  <c r="W139" i="1" s="1"/>
  <c r="P139" i="1"/>
  <c r="X139" i="1" s="1"/>
  <c r="O140" i="1"/>
  <c r="R140" i="1" s="1"/>
  <c r="P140" i="1"/>
  <c r="O141" i="1"/>
  <c r="R141" i="1" s="1"/>
  <c r="P141" i="1"/>
  <c r="X141" i="1" s="1"/>
  <c r="O142" i="1"/>
  <c r="P142" i="1"/>
  <c r="O143" i="1"/>
  <c r="W143" i="1" s="1"/>
  <c r="P143" i="1"/>
  <c r="T143" i="1" s="1"/>
  <c r="O144" i="1"/>
  <c r="R144" i="1" s="1"/>
  <c r="P144" i="1"/>
  <c r="T144" i="1" s="1"/>
  <c r="O145" i="1"/>
  <c r="P145" i="1"/>
  <c r="T145" i="1" s="1"/>
  <c r="O146" i="1"/>
  <c r="R146" i="1" s="1"/>
  <c r="P146" i="1"/>
  <c r="O147" i="1"/>
  <c r="W147" i="1" s="1"/>
  <c r="P147" i="1"/>
  <c r="O148" i="1"/>
  <c r="P148" i="1"/>
  <c r="X148" i="1" s="1"/>
  <c r="O149" i="1"/>
  <c r="P149" i="1"/>
  <c r="X149" i="1" s="1"/>
  <c r="O150" i="1"/>
  <c r="R150" i="1" s="1"/>
  <c r="P150" i="1"/>
  <c r="O151" i="1"/>
  <c r="W151" i="1" s="1"/>
  <c r="P151" i="1"/>
  <c r="X151" i="1" s="1"/>
  <c r="O152" i="1"/>
  <c r="R152" i="1" s="1"/>
  <c r="P152" i="1"/>
  <c r="X152" i="1" s="1"/>
  <c r="O153" i="1"/>
  <c r="P153" i="1"/>
  <c r="O154" i="1"/>
  <c r="P154" i="1"/>
  <c r="O155" i="1"/>
  <c r="W155" i="1" s="1"/>
  <c r="P155" i="1"/>
  <c r="X155" i="1" s="1"/>
  <c r="O156" i="1"/>
  <c r="P156" i="1"/>
  <c r="O157" i="1"/>
  <c r="P157" i="1"/>
  <c r="O158" i="1"/>
  <c r="P158" i="1"/>
  <c r="O159" i="1"/>
  <c r="W159" i="1" s="1"/>
  <c r="P159" i="1"/>
  <c r="T159" i="1" s="1"/>
  <c r="O160" i="1"/>
  <c r="R160" i="1" s="1"/>
  <c r="P160" i="1"/>
  <c r="T160" i="1" s="1"/>
  <c r="O161" i="1"/>
  <c r="P161" i="1"/>
  <c r="T161" i="1" s="1"/>
  <c r="O162" i="1"/>
  <c r="P162" i="1"/>
  <c r="O163" i="1"/>
  <c r="W163" i="1" s="1"/>
  <c r="P163" i="1"/>
  <c r="T163" i="1" s="1"/>
  <c r="O164" i="1"/>
  <c r="P164" i="1"/>
  <c r="X164" i="1" s="1"/>
  <c r="O165" i="1"/>
  <c r="W165" i="1" s="1"/>
  <c r="P165" i="1"/>
  <c r="X165" i="1" s="1"/>
  <c r="O166" i="1"/>
  <c r="P166" i="1"/>
  <c r="O167" i="1"/>
  <c r="W167" i="1" s="1"/>
  <c r="P167" i="1"/>
  <c r="T167" i="1" s="1"/>
  <c r="O168" i="1"/>
  <c r="W168" i="1" s="1"/>
  <c r="P168" i="1"/>
  <c r="T168" i="1" s="1"/>
  <c r="O169" i="1"/>
  <c r="P169" i="1"/>
  <c r="T169" i="1" s="1"/>
  <c r="O170" i="1"/>
  <c r="P170" i="1"/>
  <c r="O171" i="1"/>
  <c r="W171" i="1" s="1"/>
  <c r="P171" i="1"/>
  <c r="T171" i="1" s="1"/>
  <c r="O172" i="1"/>
  <c r="P172" i="1"/>
  <c r="X172" i="1" s="1"/>
  <c r="O173" i="1"/>
  <c r="W173" i="1" s="1"/>
  <c r="P173" i="1"/>
  <c r="O174" i="1"/>
  <c r="R174" i="1" s="1"/>
  <c r="P174" i="1"/>
  <c r="O175" i="1"/>
  <c r="W175" i="1" s="1"/>
  <c r="P175" i="1"/>
  <c r="T175" i="1" s="1"/>
  <c r="O176" i="1"/>
  <c r="R176" i="1" s="1"/>
  <c r="P176" i="1"/>
  <c r="T176" i="1" s="1"/>
  <c r="O177" i="1"/>
  <c r="P177" i="1"/>
  <c r="O178" i="1"/>
  <c r="R178" i="1" s="1"/>
  <c r="P178" i="1"/>
  <c r="O179" i="1"/>
  <c r="W179" i="1" s="1"/>
  <c r="P179" i="1"/>
  <c r="X179" i="1" s="1"/>
  <c r="O180" i="1"/>
  <c r="P180" i="1"/>
  <c r="O181" i="1"/>
  <c r="W181" i="1" s="1"/>
  <c r="P181" i="1"/>
  <c r="T181" i="1" s="1"/>
  <c r="O182" i="1"/>
  <c r="P182" i="1"/>
  <c r="O183" i="1"/>
  <c r="W183" i="1" s="1"/>
  <c r="P183" i="1"/>
  <c r="X183" i="1" s="1"/>
  <c r="O184" i="1"/>
  <c r="R184" i="1" s="1"/>
  <c r="P184" i="1"/>
  <c r="X184" i="1" s="1"/>
  <c r="O185" i="1"/>
  <c r="P185" i="1"/>
  <c r="O186" i="1"/>
  <c r="P186" i="1"/>
  <c r="O187" i="1"/>
  <c r="P187" i="1"/>
  <c r="O188" i="1"/>
  <c r="R188" i="1" s="1"/>
  <c r="P188" i="1"/>
  <c r="O189" i="1"/>
  <c r="P189" i="1"/>
  <c r="O190" i="1"/>
  <c r="R190" i="1" s="1"/>
  <c r="P190" i="1"/>
  <c r="X190" i="1" s="1"/>
  <c r="O191" i="1"/>
  <c r="R191" i="1" s="1"/>
  <c r="P191" i="1"/>
  <c r="O192" i="1"/>
  <c r="P192" i="1"/>
  <c r="O193" i="1"/>
  <c r="P193" i="1"/>
  <c r="X193" i="1" s="1"/>
  <c r="O194" i="1"/>
  <c r="R194" i="1" s="1"/>
  <c r="P194" i="1"/>
  <c r="X194" i="1" s="1"/>
  <c r="O195" i="1"/>
  <c r="P195" i="1"/>
  <c r="O196" i="1"/>
  <c r="W196" i="1" s="1"/>
  <c r="P196" i="1"/>
  <c r="O197" i="1"/>
  <c r="P197" i="1"/>
  <c r="O198" i="1"/>
  <c r="R198" i="1" s="1"/>
  <c r="P198" i="1"/>
  <c r="O199" i="1"/>
  <c r="W199" i="1" s="1"/>
  <c r="P199" i="1"/>
  <c r="X199" i="1" s="1"/>
  <c r="O200" i="1"/>
  <c r="P200" i="1"/>
  <c r="O201" i="1"/>
  <c r="P201" i="1"/>
  <c r="O202" i="1"/>
  <c r="P202" i="1"/>
  <c r="O203" i="1"/>
  <c r="P203" i="1"/>
  <c r="T203" i="1" s="1"/>
  <c r="O204" i="1"/>
  <c r="R204" i="1" s="1"/>
  <c r="P204" i="1"/>
  <c r="O205" i="1"/>
  <c r="P205" i="1"/>
  <c r="O206" i="1"/>
  <c r="W206" i="1" s="1"/>
  <c r="P206" i="1"/>
  <c r="O207" i="1"/>
  <c r="W207" i="1" s="1"/>
  <c r="P207" i="1"/>
  <c r="X207" i="1" s="1"/>
  <c r="O208" i="1"/>
  <c r="P208" i="1"/>
  <c r="T208" i="1" s="1"/>
  <c r="O209" i="1"/>
  <c r="R209" i="1" s="1"/>
  <c r="P209" i="1"/>
  <c r="O210" i="1"/>
  <c r="P210" i="1"/>
  <c r="O211" i="1"/>
  <c r="P211" i="1"/>
  <c r="X211" i="1" s="1"/>
  <c r="O212" i="1"/>
  <c r="R212" i="1" s="1"/>
  <c r="P212" i="1"/>
  <c r="O213" i="1"/>
  <c r="P213" i="1"/>
  <c r="O214" i="1"/>
  <c r="R214" i="1" s="1"/>
  <c r="P214" i="1"/>
  <c r="O215" i="1"/>
  <c r="W215" i="1" s="1"/>
  <c r="P215" i="1"/>
  <c r="O216" i="1"/>
  <c r="W216" i="1" s="1"/>
  <c r="P216" i="1"/>
  <c r="T216" i="1" s="1"/>
  <c r="O217" i="1"/>
  <c r="R217" i="1" s="1"/>
  <c r="P217" i="1"/>
  <c r="O218" i="1"/>
  <c r="R218" i="1" s="1"/>
  <c r="P218" i="1"/>
  <c r="O219" i="1"/>
  <c r="P219" i="1"/>
  <c r="X219" i="1" s="1"/>
  <c r="O220" i="1"/>
  <c r="P220" i="1"/>
  <c r="O221" i="1"/>
  <c r="P221" i="1"/>
  <c r="X221" i="1" s="1"/>
  <c r="O222" i="1"/>
  <c r="P222" i="1"/>
  <c r="O223" i="1"/>
  <c r="W223" i="1" s="1"/>
  <c r="P223" i="1"/>
  <c r="O224" i="1"/>
  <c r="W224" i="1" s="1"/>
  <c r="P224" i="1"/>
  <c r="O225" i="1"/>
  <c r="P225" i="1"/>
  <c r="O226" i="1"/>
  <c r="P226" i="1"/>
  <c r="O227" i="1"/>
  <c r="P227" i="1"/>
  <c r="X227" i="1" s="1"/>
  <c r="O228" i="1"/>
  <c r="R228" i="1" s="1"/>
  <c r="P228" i="1"/>
  <c r="O229" i="1"/>
  <c r="P229" i="1"/>
  <c r="O230" i="1"/>
  <c r="P230" i="1"/>
  <c r="O231" i="1"/>
  <c r="W231" i="1" s="1"/>
  <c r="P231" i="1"/>
  <c r="O232" i="1"/>
  <c r="P232" i="1"/>
  <c r="T232" i="1" s="1"/>
  <c r="O233" i="1"/>
  <c r="P233" i="1"/>
  <c r="O234" i="1"/>
  <c r="P234" i="1"/>
  <c r="O235" i="1"/>
  <c r="P235" i="1"/>
  <c r="O236" i="1"/>
  <c r="P236" i="1"/>
  <c r="O237" i="1"/>
  <c r="P237" i="1"/>
  <c r="O238" i="1"/>
  <c r="P238" i="1"/>
  <c r="O239" i="1"/>
  <c r="W239" i="1" s="1"/>
  <c r="P239" i="1"/>
  <c r="O240" i="1"/>
  <c r="R240" i="1" s="1"/>
  <c r="P240" i="1"/>
  <c r="T240" i="1" s="1"/>
  <c r="O241" i="1"/>
  <c r="P241" i="1"/>
  <c r="O242" i="1"/>
  <c r="P242" i="1"/>
  <c r="O243" i="1"/>
  <c r="P243" i="1"/>
  <c r="X243" i="1" s="1"/>
  <c r="O244" i="1"/>
  <c r="P244" i="1"/>
  <c r="O245" i="1"/>
  <c r="P245" i="1"/>
  <c r="O246" i="1"/>
  <c r="P246" i="1"/>
  <c r="O247" i="1"/>
  <c r="W247" i="1" s="1"/>
  <c r="P247" i="1"/>
  <c r="X247" i="1" s="1"/>
  <c r="O248" i="1"/>
  <c r="P248" i="1"/>
  <c r="O249" i="1"/>
  <c r="P249" i="1"/>
  <c r="O250" i="1"/>
  <c r="P250" i="1"/>
  <c r="O251" i="1"/>
  <c r="P251" i="1"/>
  <c r="X251" i="1" s="1"/>
  <c r="O252" i="1"/>
  <c r="P252" i="1"/>
  <c r="O253" i="1"/>
  <c r="R253" i="1" s="1"/>
  <c r="P253" i="1"/>
  <c r="T253" i="1" s="1"/>
  <c r="O254" i="1"/>
  <c r="P254" i="1"/>
  <c r="T254" i="1" s="1"/>
  <c r="O255" i="1"/>
  <c r="W255" i="1" s="1"/>
  <c r="P255" i="1"/>
  <c r="T255" i="1" s="1"/>
  <c r="O256" i="1"/>
  <c r="W256" i="1" s="1"/>
  <c r="P256" i="1"/>
  <c r="T256" i="1" s="1"/>
  <c r="O257" i="1"/>
  <c r="R257" i="1" s="1"/>
  <c r="P257" i="1"/>
  <c r="O258" i="1"/>
  <c r="W258" i="1" s="1"/>
  <c r="P258" i="1"/>
  <c r="T258" i="1" s="1"/>
  <c r="O259" i="1"/>
  <c r="P259" i="1"/>
  <c r="O260" i="1"/>
  <c r="P260" i="1"/>
  <c r="X260" i="1" s="1"/>
  <c r="O261" i="1"/>
  <c r="R261" i="1" s="1"/>
  <c r="P261" i="1"/>
  <c r="O262" i="1"/>
  <c r="W262" i="1" s="1"/>
  <c r="P262" i="1"/>
  <c r="T262" i="1" s="1"/>
  <c r="O263" i="1"/>
  <c r="W263" i="1" s="1"/>
  <c r="P263" i="1"/>
  <c r="O264" i="1"/>
  <c r="R264" i="1" s="1"/>
  <c r="P264" i="1"/>
  <c r="O265" i="1"/>
  <c r="R265" i="1" s="1"/>
  <c r="P265" i="1"/>
  <c r="O266" i="1"/>
  <c r="W266" i="1" s="1"/>
  <c r="P266" i="1"/>
  <c r="T266" i="1" s="1"/>
  <c r="O267" i="1"/>
  <c r="P267" i="1"/>
  <c r="O268" i="1"/>
  <c r="P268" i="1"/>
  <c r="X268" i="1" s="1"/>
  <c r="O269" i="1"/>
  <c r="R269" i="1" s="1"/>
  <c r="P269" i="1"/>
  <c r="O270" i="1"/>
  <c r="R270" i="1" s="1"/>
  <c r="P270" i="1"/>
  <c r="T270" i="1" s="1"/>
  <c r="O271" i="1"/>
  <c r="W271" i="1" s="1"/>
  <c r="P271" i="1"/>
  <c r="O272" i="1"/>
  <c r="R272" i="1" s="1"/>
  <c r="P272" i="1"/>
  <c r="X272" i="1" s="1"/>
  <c r="O273" i="1"/>
  <c r="R273" i="1" s="1"/>
  <c r="P273" i="1"/>
  <c r="T273" i="1" s="1"/>
  <c r="O274" i="1"/>
  <c r="W274" i="1" s="1"/>
  <c r="P274" i="1"/>
  <c r="T274" i="1" s="1"/>
  <c r="O275" i="1"/>
  <c r="P275" i="1"/>
  <c r="O276" i="1"/>
  <c r="P276" i="1"/>
  <c r="O277" i="1"/>
  <c r="R277" i="1" s="1"/>
  <c r="P277" i="1"/>
  <c r="O278" i="1"/>
  <c r="R278" i="1" s="1"/>
  <c r="P278" i="1"/>
  <c r="T278" i="1" s="1"/>
  <c r="O279" i="1"/>
  <c r="W279" i="1" s="1"/>
  <c r="P279" i="1"/>
  <c r="X279" i="1" s="1"/>
  <c r="O280" i="1"/>
  <c r="R280" i="1" s="1"/>
  <c r="P280" i="1"/>
  <c r="T280" i="1" s="1"/>
  <c r="O281" i="1"/>
  <c r="R281" i="1" s="1"/>
  <c r="P281" i="1"/>
  <c r="O282" i="1"/>
  <c r="P282" i="1"/>
  <c r="T282" i="1" s="1"/>
  <c r="O283" i="1"/>
  <c r="P283" i="1"/>
  <c r="T283" i="1" s="1"/>
  <c r="O284" i="1"/>
  <c r="P284" i="1"/>
  <c r="X284" i="1" s="1"/>
  <c r="O285" i="1"/>
  <c r="R285" i="1" s="1"/>
  <c r="P285" i="1"/>
  <c r="X285" i="1" s="1"/>
  <c r="O286" i="1"/>
  <c r="R286" i="1" s="1"/>
  <c r="P286" i="1"/>
  <c r="O287" i="1"/>
  <c r="W287" i="1" s="1"/>
  <c r="P287" i="1"/>
  <c r="O288" i="1"/>
  <c r="R288" i="1" s="1"/>
  <c r="P288" i="1"/>
  <c r="T288" i="1" s="1"/>
  <c r="O289" i="1"/>
  <c r="R289" i="1" s="1"/>
  <c r="P289" i="1"/>
  <c r="T289" i="1" s="1"/>
  <c r="O290" i="1"/>
  <c r="R290" i="1" s="1"/>
  <c r="P290" i="1"/>
  <c r="O291" i="1"/>
  <c r="R291" i="1" s="1"/>
  <c r="P291" i="1"/>
  <c r="T291" i="1" s="1"/>
  <c r="O292" i="1"/>
  <c r="P292" i="1"/>
  <c r="X292" i="1" s="1"/>
  <c r="O293" i="1"/>
  <c r="W293" i="1" s="1"/>
  <c r="P293" i="1"/>
  <c r="X293" i="1" s="1"/>
  <c r="O294" i="1"/>
  <c r="R294" i="1" s="1"/>
  <c r="P294" i="1"/>
  <c r="X294" i="1" s="1"/>
  <c r="O295" i="1"/>
  <c r="R295" i="1" s="1"/>
  <c r="P295" i="1"/>
  <c r="T295" i="1" s="1"/>
  <c r="O296" i="1"/>
  <c r="P296" i="1"/>
  <c r="X296" i="1" s="1"/>
  <c r="O297" i="1"/>
  <c r="W297" i="1" s="1"/>
  <c r="P297" i="1"/>
  <c r="X297" i="1" s="1"/>
  <c r="O298" i="1"/>
  <c r="R298" i="1" s="1"/>
  <c r="P298" i="1"/>
  <c r="T298" i="1" s="1"/>
  <c r="O299" i="1"/>
  <c r="R299" i="1" s="1"/>
  <c r="P299" i="1"/>
  <c r="X299" i="1" s="1"/>
  <c r="O300" i="1"/>
  <c r="P300" i="1"/>
  <c r="T300" i="1" s="1"/>
  <c r="O301" i="1"/>
  <c r="W301" i="1" s="1"/>
  <c r="P301" i="1"/>
  <c r="X301" i="1" s="1"/>
  <c r="O302" i="1"/>
  <c r="P302" i="1"/>
  <c r="X302" i="1" s="1"/>
  <c r="O303" i="1"/>
  <c r="R303" i="1" s="1"/>
  <c r="P303" i="1"/>
  <c r="O304" i="1"/>
  <c r="R304" i="1" s="1"/>
  <c r="P304" i="1"/>
  <c r="X304" i="1" s="1"/>
  <c r="O305" i="1"/>
  <c r="P305" i="1"/>
  <c r="O306" i="1"/>
  <c r="R306" i="1" s="1"/>
  <c r="P306" i="1"/>
  <c r="T306" i="1" s="1"/>
  <c r="O307" i="1"/>
  <c r="R307" i="1" s="1"/>
  <c r="P307" i="1"/>
  <c r="O308" i="1"/>
  <c r="R308" i="1" s="1"/>
  <c r="P308" i="1"/>
  <c r="T308" i="1" s="1"/>
  <c r="O309" i="1"/>
  <c r="R309" i="1" s="1"/>
  <c r="P309" i="1"/>
  <c r="X309" i="1" s="1"/>
  <c r="O310" i="1"/>
  <c r="P310" i="1"/>
  <c r="O311" i="1"/>
  <c r="R311" i="1" s="1"/>
  <c r="P311" i="1"/>
  <c r="O312" i="1"/>
  <c r="P312" i="1"/>
  <c r="T312" i="1" s="1"/>
  <c r="O313" i="1"/>
  <c r="R313" i="1" s="1"/>
  <c r="P313" i="1"/>
  <c r="O314" i="1"/>
  <c r="W314" i="1" s="1"/>
  <c r="P314" i="1"/>
  <c r="O315" i="1"/>
  <c r="R315" i="1" s="1"/>
  <c r="P315" i="1"/>
  <c r="O316" i="1"/>
  <c r="R316" i="1" s="1"/>
  <c r="P316" i="1"/>
  <c r="T316" i="1" s="1"/>
  <c r="O317" i="1"/>
  <c r="R317" i="1" s="1"/>
  <c r="P317" i="1"/>
  <c r="O318" i="1"/>
  <c r="P318" i="1"/>
  <c r="T318" i="1" s="1"/>
  <c r="O319" i="1"/>
  <c r="R319" i="1" s="1"/>
  <c r="P319" i="1"/>
  <c r="T319" i="1" s="1"/>
  <c r="O320" i="1"/>
  <c r="W320" i="1" s="1"/>
  <c r="P320" i="1"/>
  <c r="O321" i="1"/>
  <c r="R321" i="1" s="1"/>
  <c r="P321" i="1"/>
  <c r="O322" i="1"/>
  <c r="P322" i="1"/>
  <c r="O323" i="1"/>
  <c r="R323" i="1" s="1"/>
  <c r="P323" i="1"/>
  <c r="O324" i="1"/>
  <c r="R324" i="1" s="1"/>
  <c r="P324" i="1"/>
  <c r="T324" i="1" s="1"/>
  <c r="O325" i="1"/>
  <c r="R325" i="1" s="1"/>
  <c r="P325" i="1"/>
  <c r="X325" i="1" s="1"/>
  <c r="O326" i="1"/>
  <c r="P326" i="1"/>
  <c r="X326" i="1" s="1"/>
  <c r="O327" i="1"/>
  <c r="R327" i="1" s="1"/>
  <c r="P327" i="1"/>
  <c r="X327" i="1" s="1"/>
  <c r="O328" i="1"/>
  <c r="W328" i="1" s="1"/>
  <c r="P328" i="1"/>
  <c r="T328" i="1" s="1"/>
  <c r="O329" i="1"/>
  <c r="R329" i="1" s="1"/>
  <c r="P329" i="1"/>
  <c r="O330" i="1"/>
  <c r="W330" i="1" s="1"/>
  <c r="P330" i="1"/>
  <c r="T330" i="1" s="1"/>
  <c r="O331" i="1"/>
  <c r="R331" i="1" s="1"/>
  <c r="P331" i="1"/>
  <c r="O332" i="1"/>
  <c r="R332" i="1" s="1"/>
  <c r="P332" i="1"/>
  <c r="O333" i="1"/>
  <c r="R333" i="1" s="1"/>
  <c r="P333" i="1"/>
  <c r="X333" i="1" s="1"/>
  <c r="O334" i="1"/>
  <c r="R334" i="1" s="1"/>
  <c r="P334" i="1"/>
  <c r="O335" i="1"/>
  <c r="R335" i="1" s="1"/>
  <c r="P335" i="1"/>
  <c r="O336" i="1"/>
  <c r="R336" i="1" s="1"/>
  <c r="P336" i="1"/>
  <c r="O337" i="1"/>
  <c r="R337" i="1" s="1"/>
  <c r="P337" i="1"/>
  <c r="O338" i="1"/>
  <c r="P338" i="1"/>
  <c r="O339" i="1"/>
  <c r="R339" i="1" s="1"/>
  <c r="P339" i="1"/>
  <c r="O340" i="1"/>
  <c r="R340" i="1" s="1"/>
  <c r="P340" i="1"/>
  <c r="O341" i="1"/>
  <c r="R341" i="1" s="1"/>
  <c r="P341" i="1"/>
  <c r="T341" i="1" s="1"/>
  <c r="O342" i="1"/>
  <c r="W342" i="1" s="1"/>
  <c r="P342" i="1"/>
  <c r="O343" i="1"/>
  <c r="R343" i="1" s="1"/>
  <c r="P343" i="1"/>
  <c r="O344" i="1"/>
  <c r="P344" i="1"/>
  <c r="T344" i="1" s="1"/>
  <c r="O345" i="1"/>
  <c r="R345" i="1" s="1"/>
  <c r="P345" i="1"/>
  <c r="O346" i="1"/>
  <c r="R346" i="1" s="1"/>
  <c r="P346" i="1"/>
  <c r="X346" i="1" s="1"/>
  <c r="O347" i="1"/>
  <c r="W347" i="1" s="1"/>
  <c r="P347" i="1"/>
  <c r="X347" i="1" s="1"/>
  <c r="O348" i="1"/>
  <c r="R348" i="1" s="1"/>
  <c r="P348" i="1"/>
  <c r="O349" i="1"/>
  <c r="P349" i="1"/>
  <c r="T349" i="1" s="1"/>
  <c r="O350" i="1"/>
  <c r="P350" i="1"/>
  <c r="X350" i="1" s="1"/>
  <c r="O351" i="1"/>
  <c r="P351" i="1"/>
  <c r="O352" i="1"/>
  <c r="P352" i="1"/>
  <c r="O353" i="1"/>
  <c r="P353" i="1"/>
  <c r="O354" i="1"/>
  <c r="R354" i="1" s="1"/>
  <c r="P354" i="1"/>
  <c r="O355" i="1"/>
  <c r="P355" i="1"/>
  <c r="O356" i="1"/>
  <c r="R356" i="1" s="1"/>
  <c r="P356" i="1"/>
  <c r="O357" i="1"/>
  <c r="R357" i="1" s="1"/>
  <c r="P357" i="1"/>
  <c r="O358" i="1"/>
  <c r="P358" i="1"/>
  <c r="T358" i="1" s="1"/>
  <c r="O359" i="1"/>
  <c r="W359" i="1" s="1"/>
  <c r="P359" i="1"/>
  <c r="X359" i="1" s="1"/>
  <c r="O360" i="1"/>
  <c r="R360" i="1" s="1"/>
  <c r="P360" i="1"/>
  <c r="X360" i="1" s="1"/>
  <c r="O361" i="1"/>
  <c r="W361" i="1" s="1"/>
  <c r="P361" i="1"/>
  <c r="X361" i="1" s="1"/>
  <c r="O362" i="1"/>
  <c r="R362" i="1" s="1"/>
  <c r="P362" i="1"/>
  <c r="X362" i="1" s="1"/>
  <c r="O363" i="1"/>
  <c r="W363" i="1" s="1"/>
  <c r="P363" i="1"/>
  <c r="X363" i="1" s="1"/>
  <c r="O364" i="1"/>
  <c r="R364" i="1" s="1"/>
  <c r="P364" i="1"/>
  <c r="X364" i="1" s="1"/>
  <c r="O365" i="1"/>
  <c r="W365" i="1" s="1"/>
  <c r="P365" i="1"/>
  <c r="T365" i="1" s="1"/>
  <c r="O366" i="1"/>
  <c r="P366" i="1"/>
  <c r="O367" i="1"/>
  <c r="P367" i="1"/>
  <c r="O368" i="1"/>
  <c r="P368" i="1"/>
  <c r="X368" i="1" s="1"/>
  <c r="O369" i="1"/>
  <c r="R369" i="1" s="1"/>
  <c r="P369" i="1"/>
  <c r="X369" i="1" s="1"/>
  <c r="O370" i="1"/>
  <c r="R370" i="1" s="1"/>
  <c r="P370" i="1"/>
  <c r="O371" i="1"/>
  <c r="R371" i="1" s="1"/>
  <c r="P371" i="1"/>
  <c r="O372" i="1"/>
  <c r="R372" i="1" s="1"/>
  <c r="P372" i="1"/>
  <c r="O373" i="1"/>
  <c r="P373" i="1"/>
  <c r="X373" i="1" s="1"/>
  <c r="O374" i="1"/>
  <c r="R374" i="1" s="1"/>
  <c r="P374" i="1"/>
  <c r="T374" i="1" s="1"/>
  <c r="O375" i="1"/>
  <c r="P375" i="1"/>
  <c r="O376" i="1"/>
  <c r="P376" i="1"/>
  <c r="O377" i="1"/>
  <c r="R377" i="1" s="1"/>
  <c r="P377" i="1"/>
  <c r="O378" i="1"/>
  <c r="R378" i="1" s="1"/>
  <c r="P378" i="1"/>
  <c r="X378" i="1" s="1"/>
  <c r="O379" i="1"/>
  <c r="P379" i="1"/>
  <c r="T379" i="1" s="1"/>
  <c r="O380" i="1"/>
  <c r="R380" i="1" s="1"/>
  <c r="P380" i="1"/>
  <c r="O381" i="1"/>
  <c r="R381" i="1" s="1"/>
  <c r="P381" i="1"/>
  <c r="X381" i="1" s="1"/>
  <c r="O382" i="1"/>
  <c r="P382" i="1"/>
  <c r="O383" i="1"/>
  <c r="P383" i="1"/>
  <c r="X383" i="1" s="1"/>
  <c r="O384" i="1"/>
  <c r="P384" i="1"/>
  <c r="T384" i="1" s="1"/>
  <c r="O385" i="1"/>
  <c r="R385" i="1" s="1"/>
  <c r="P385" i="1"/>
  <c r="X385" i="1" s="1"/>
  <c r="O386" i="1"/>
  <c r="P386" i="1"/>
  <c r="O387" i="1"/>
  <c r="P387" i="1"/>
  <c r="O388" i="1"/>
  <c r="R388" i="1" s="1"/>
  <c r="P388" i="1"/>
  <c r="O389" i="1"/>
  <c r="R389" i="1" s="1"/>
  <c r="P389" i="1"/>
  <c r="X389" i="1" s="1"/>
  <c r="O390" i="1"/>
  <c r="R390" i="1" s="1"/>
  <c r="P390" i="1"/>
  <c r="O391" i="1"/>
  <c r="P391" i="1"/>
  <c r="O392" i="1"/>
  <c r="R392" i="1" s="1"/>
  <c r="P392" i="1"/>
  <c r="O393" i="1"/>
  <c r="R393" i="1" s="1"/>
  <c r="P393" i="1"/>
  <c r="O394" i="1"/>
  <c r="P394" i="1"/>
  <c r="X394" i="1" s="1"/>
  <c r="O395" i="1"/>
  <c r="W395" i="1" s="1"/>
  <c r="P395" i="1"/>
  <c r="X395" i="1" s="1"/>
  <c r="O396" i="1"/>
  <c r="R396" i="1" s="1"/>
  <c r="P396" i="1"/>
  <c r="T396" i="1" s="1"/>
  <c r="O397" i="1"/>
  <c r="R397" i="1" s="1"/>
  <c r="P397" i="1"/>
  <c r="T397" i="1" s="1"/>
  <c r="O398" i="1"/>
  <c r="P398" i="1"/>
  <c r="O399" i="1"/>
  <c r="P399" i="1"/>
  <c r="O400" i="1"/>
  <c r="P400" i="1"/>
  <c r="X400" i="1" s="1"/>
  <c r="O401" i="1"/>
  <c r="R401" i="1" s="1"/>
  <c r="P401" i="1"/>
  <c r="X401" i="1" s="1"/>
  <c r="O402" i="1"/>
  <c r="P402" i="1"/>
  <c r="O403" i="1"/>
  <c r="R403" i="1" s="1"/>
  <c r="P403" i="1"/>
  <c r="O404" i="1"/>
  <c r="R404" i="1" s="1"/>
  <c r="P404" i="1"/>
  <c r="O405" i="1"/>
  <c r="P405" i="1"/>
  <c r="O406" i="1"/>
  <c r="P406" i="1"/>
  <c r="T406" i="1" s="1"/>
  <c r="R4" i="3"/>
  <c r="Q4" i="3"/>
  <c r="P4" i="3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O4" i="3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U418" i="1" l="1"/>
  <c r="Z418" i="1" s="1"/>
  <c r="R168" i="1"/>
  <c r="S168" i="1" s="1"/>
  <c r="Y168" i="1" s="1"/>
  <c r="T155" i="1"/>
  <c r="U155" i="1" s="1"/>
  <c r="Z155" i="1" s="1"/>
  <c r="U420" i="1"/>
  <c r="Z420" i="1" s="1"/>
  <c r="T81" i="1"/>
  <c r="U81" i="1" s="1"/>
  <c r="Z81" i="1" s="1"/>
  <c r="T76" i="1"/>
  <c r="U76" i="1" s="1"/>
  <c r="Z76" i="1" s="1"/>
  <c r="T75" i="1"/>
  <c r="U75" i="1" s="1"/>
  <c r="Z75" i="1" s="1"/>
  <c r="T74" i="1"/>
  <c r="U74" i="1" s="1"/>
  <c r="Z74" i="1" s="1"/>
  <c r="X73" i="1"/>
  <c r="U73" i="1" s="1"/>
  <c r="Z73" i="1" s="1"/>
  <c r="W407" i="1"/>
  <c r="S421" i="1"/>
  <c r="Y421" i="1" s="1"/>
  <c r="X316" i="1"/>
  <c r="U316" i="1" s="1"/>
  <c r="Z316" i="1" s="1"/>
  <c r="X256" i="1"/>
  <c r="U256" i="1" s="1"/>
  <c r="Z256" i="1" s="1"/>
  <c r="T251" i="1"/>
  <c r="U251" i="1" s="1"/>
  <c r="Z251" i="1" s="1"/>
  <c r="V313" i="1"/>
  <c r="T309" i="1"/>
  <c r="U309" i="1" s="1"/>
  <c r="Z309" i="1" s="1"/>
  <c r="X308" i="1"/>
  <c r="U308" i="1" s="1"/>
  <c r="Z308" i="1" s="1"/>
  <c r="X167" i="1"/>
  <c r="U167" i="1" s="1"/>
  <c r="Z167" i="1" s="1"/>
  <c r="V410" i="1"/>
  <c r="X407" i="1"/>
  <c r="U407" i="1" s="1"/>
  <c r="Z407" i="1" s="1"/>
  <c r="V367" i="1"/>
  <c r="T284" i="1"/>
  <c r="U284" i="1" s="1"/>
  <c r="Z284" i="1" s="1"/>
  <c r="X283" i="1"/>
  <c r="U283" i="1" s="1"/>
  <c r="Z283" i="1" s="1"/>
  <c r="W289" i="1"/>
  <c r="S289" i="1" s="1"/>
  <c r="Y289" i="1" s="1"/>
  <c r="W288" i="1"/>
  <c r="S288" i="1" s="1"/>
  <c r="Y288" i="1" s="1"/>
  <c r="W286" i="1"/>
  <c r="S286" i="1" s="1"/>
  <c r="Y286" i="1" s="1"/>
  <c r="W416" i="1"/>
  <c r="S416" i="1" s="1"/>
  <c r="Y416" i="1" s="1"/>
  <c r="X406" i="1"/>
  <c r="U406" i="1" s="1"/>
  <c r="Z406" i="1" s="1"/>
  <c r="T401" i="1"/>
  <c r="U401" i="1" s="1"/>
  <c r="Z401" i="1" s="1"/>
  <c r="T400" i="1"/>
  <c r="U400" i="1" s="1"/>
  <c r="Z400" i="1" s="1"/>
  <c r="T383" i="1"/>
  <c r="U383" i="1" s="1"/>
  <c r="Z383" i="1" s="1"/>
  <c r="X358" i="1"/>
  <c r="U358" i="1" s="1"/>
  <c r="Z358" i="1" s="1"/>
  <c r="V204" i="1"/>
  <c r="V188" i="1"/>
  <c r="R136" i="1"/>
  <c r="S136" i="1" s="1"/>
  <c r="Y136" i="1" s="1"/>
  <c r="T110" i="1"/>
  <c r="U110" i="1" s="1"/>
  <c r="Z110" i="1" s="1"/>
  <c r="W105" i="1"/>
  <c r="S105" i="1" s="1"/>
  <c r="Y105" i="1" s="1"/>
  <c r="T100" i="1"/>
  <c r="U100" i="1" s="1"/>
  <c r="Z100" i="1" s="1"/>
  <c r="W397" i="1"/>
  <c r="S397" i="1" s="1"/>
  <c r="Y397" i="1" s="1"/>
  <c r="W371" i="1"/>
  <c r="S371" i="1" s="1"/>
  <c r="Y371" i="1" s="1"/>
  <c r="W370" i="1"/>
  <c r="S370" i="1" s="1"/>
  <c r="Y370" i="1" s="1"/>
  <c r="X318" i="1"/>
  <c r="U318" i="1" s="1"/>
  <c r="Z318" i="1" s="1"/>
  <c r="T293" i="1"/>
  <c r="U293" i="1" s="1"/>
  <c r="Z293" i="1" s="1"/>
  <c r="T292" i="1"/>
  <c r="U292" i="1" s="1"/>
  <c r="Z292" i="1" s="1"/>
  <c r="X280" i="1"/>
  <c r="U280" i="1" s="1"/>
  <c r="Z280" i="1" s="1"/>
  <c r="T279" i="1"/>
  <c r="U279" i="1" s="1"/>
  <c r="Z279" i="1" s="1"/>
  <c r="T227" i="1"/>
  <c r="U227" i="1" s="1"/>
  <c r="Z227" i="1" s="1"/>
  <c r="T172" i="1"/>
  <c r="U172" i="1" s="1"/>
  <c r="Z172" i="1" s="1"/>
  <c r="X171" i="1"/>
  <c r="U171" i="1" s="1"/>
  <c r="Z171" i="1" s="1"/>
  <c r="X161" i="1"/>
  <c r="U161" i="1" s="1"/>
  <c r="Z161" i="1" s="1"/>
  <c r="X85" i="1"/>
  <c r="U85" i="1" s="1"/>
  <c r="Z85" i="1" s="1"/>
  <c r="X84" i="1"/>
  <c r="U84" i="1" s="1"/>
  <c r="Z84" i="1" s="1"/>
  <c r="W73" i="1"/>
  <c r="S73" i="1" s="1"/>
  <c r="Y73" i="1" s="1"/>
  <c r="X416" i="1"/>
  <c r="U416" i="1" s="1"/>
  <c r="Z416" i="1" s="1"/>
  <c r="X410" i="1"/>
  <c r="T362" i="1"/>
  <c r="U362" i="1" s="1"/>
  <c r="Z362" i="1" s="1"/>
  <c r="T199" i="1"/>
  <c r="U199" i="1" s="1"/>
  <c r="Z199" i="1" s="1"/>
  <c r="T165" i="1"/>
  <c r="U165" i="1" s="1"/>
  <c r="Z165" i="1" s="1"/>
  <c r="T164" i="1"/>
  <c r="U164" i="1" s="1"/>
  <c r="Z164" i="1" s="1"/>
  <c r="X163" i="1"/>
  <c r="U163" i="1" s="1"/>
  <c r="Z163" i="1" s="1"/>
  <c r="W144" i="1"/>
  <c r="S144" i="1" s="1"/>
  <c r="Y144" i="1" s="1"/>
  <c r="W410" i="1"/>
  <c r="S410" i="1" s="1"/>
  <c r="Y410" i="1" s="1"/>
  <c r="V407" i="1"/>
  <c r="T385" i="1"/>
  <c r="U385" i="1" s="1"/>
  <c r="Z385" i="1" s="1"/>
  <c r="T369" i="1"/>
  <c r="U369" i="1" s="1"/>
  <c r="Z369" i="1" s="1"/>
  <c r="T368" i="1"/>
  <c r="U368" i="1" s="1"/>
  <c r="Z368" i="1" s="1"/>
  <c r="T211" i="1"/>
  <c r="U211" i="1" s="1"/>
  <c r="Z211" i="1" s="1"/>
  <c r="R87" i="1"/>
  <c r="S87" i="1" s="1"/>
  <c r="Y87" i="1" s="1"/>
  <c r="W86" i="1"/>
  <c r="S86" i="1" s="1"/>
  <c r="Y86" i="1" s="1"/>
  <c r="R363" i="1"/>
  <c r="S363" i="1" s="1"/>
  <c r="Y363" i="1" s="1"/>
  <c r="R361" i="1"/>
  <c r="S361" i="1" s="1"/>
  <c r="Y361" i="1" s="1"/>
  <c r="R359" i="1"/>
  <c r="S359" i="1" s="1"/>
  <c r="Y359" i="1" s="1"/>
  <c r="W184" i="1"/>
  <c r="S184" i="1" s="1"/>
  <c r="Y184" i="1" s="1"/>
  <c r="X181" i="1"/>
  <c r="U181" i="1" s="1"/>
  <c r="Z181" i="1" s="1"/>
  <c r="T179" i="1"/>
  <c r="U179" i="1" s="1"/>
  <c r="Z179" i="1" s="1"/>
  <c r="X144" i="1"/>
  <c r="U144" i="1" s="1"/>
  <c r="Z144" i="1" s="1"/>
  <c r="X93" i="1"/>
  <c r="U93" i="1" s="1"/>
  <c r="Z93" i="1" s="1"/>
  <c r="X415" i="1"/>
  <c r="U415" i="1" s="1"/>
  <c r="Z415" i="1" s="1"/>
  <c r="W414" i="1"/>
  <c r="S414" i="1" s="1"/>
  <c r="Y414" i="1" s="1"/>
  <c r="W413" i="1"/>
  <c r="S413" i="1" s="1"/>
  <c r="Y413" i="1" s="1"/>
  <c r="T410" i="1"/>
  <c r="X409" i="1"/>
  <c r="U409" i="1" s="1"/>
  <c r="Z409" i="1" s="1"/>
  <c r="V403" i="1"/>
  <c r="X397" i="1"/>
  <c r="U397" i="1" s="1"/>
  <c r="Z397" i="1" s="1"/>
  <c r="T346" i="1"/>
  <c r="U346" i="1" s="1"/>
  <c r="Z346" i="1" s="1"/>
  <c r="X341" i="1"/>
  <c r="U341" i="1" s="1"/>
  <c r="Z341" i="1" s="1"/>
  <c r="X324" i="1"/>
  <c r="U324" i="1" s="1"/>
  <c r="Z324" i="1" s="1"/>
  <c r="R266" i="1"/>
  <c r="S266" i="1" s="1"/>
  <c r="Y266" i="1" s="1"/>
  <c r="T243" i="1"/>
  <c r="U243" i="1" s="1"/>
  <c r="Z243" i="1" s="1"/>
  <c r="X203" i="1"/>
  <c r="U203" i="1" s="1"/>
  <c r="Z203" i="1" s="1"/>
  <c r="T183" i="1"/>
  <c r="U183" i="1" s="1"/>
  <c r="Z183" i="1" s="1"/>
  <c r="X169" i="1"/>
  <c r="U169" i="1" s="1"/>
  <c r="Z169" i="1" s="1"/>
  <c r="T134" i="1"/>
  <c r="U134" i="1" s="1"/>
  <c r="Z134" i="1" s="1"/>
  <c r="W133" i="1"/>
  <c r="S133" i="1" s="1"/>
  <c r="Y133" i="1" s="1"/>
  <c r="T132" i="1"/>
  <c r="U132" i="1" s="1"/>
  <c r="Z132" i="1" s="1"/>
  <c r="T108" i="1"/>
  <c r="U108" i="1" s="1"/>
  <c r="Z108" i="1" s="1"/>
  <c r="T107" i="1"/>
  <c r="U107" i="1" s="1"/>
  <c r="Z107" i="1" s="1"/>
  <c r="T106" i="1"/>
  <c r="U106" i="1" s="1"/>
  <c r="Z106" i="1" s="1"/>
  <c r="X105" i="1"/>
  <c r="U105" i="1" s="1"/>
  <c r="Z105" i="1" s="1"/>
  <c r="X72" i="1"/>
  <c r="U72" i="1" s="1"/>
  <c r="Z72" i="1" s="1"/>
  <c r="W214" i="1"/>
  <c r="S214" i="1" s="1"/>
  <c r="Y214" i="1" s="1"/>
  <c r="X160" i="1"/>
  <c r="U160" i="1" s="1"/>
  <c r="Z160" i="1" s="1"/>
  <c r="V144" i="1"/>
  <c r="V115" i="1"/>
  <c r="W408" i="1"/>
  <c r="S408" i="1" s="1"/>
  <c r="Y408" i="1" s="1"/>
  <c r="R342" i="1"/>
  <c r="S342" i="1" s="1"/>
  <c r="Y342" i="1" s="1"/>
  <c r="R320" i="1"/>
  <c r="W319" i="1"/>
  <c r="S319" i="1" s="1"/>
  <c r="Y319" i="1" s="1"/>
  <c r="X295" i="1"/>
  <c r="U295" i="1" s="1"/>
  <c r="Z295" i="1" s="1"/>
  <c r="R274" i="1"/>
  <c r="S274" i="1" s="1"/>
  <c r="Y274" i="1" s="1"/>
  <c r="W270" i="1"/>
  <c r="S270" i="1" s="1"/>
  <c r="Y270" i="1" s="1"/>
  <c r="R258" i="1"/>
  <c r="S258" i="1" s="1"/>
  <c r="Y258" i="1" s="1"/>
  <c r="V240" i="1"/>
  <c r="W218" i="1"/>
  <c r="S218" i="1" s="1"/>
  <c r="Y218" i="1" s="1"/>
  <c r="W217" i="1"/>
  <c r="S217" i="1" s="1"/>
  <c r="Y217" i="1" s="1"/>
  <c r="R206" i="1"/>
  <c r="S206" i="1" s="1"/>
  <c r="Y206" i="1" s="1"/>
  <c r="W198" i="1"/>
  <c r="S198" i="1" s="1"/>
  <c r="Y198" i="1" s="1"/>
  <c r="W191" i="1"/>
  <c r="S191" i="1" s="1"/>
  <c r="Y191" i="1" s="1"/>
  <c r="W190" i="1"/>
  <c r="S190" i="1" s="1"/>
  <c r="Y190" i="1" s="1"/>
  <c r="W188" i="1"/>
  <c r="S188" i="1" s="1"/>
  <c r="Y188" i="1" s="1"/>
  <c r="V176" i="1"/>
  <c r="X175" i="1"/>
  <c r="U175" i="1" s="1"/>
  <c r="Z175" i="1" s="1"/>
  <c r="X168" i="1"/>
  <c r="U168" i="1" s="1"/>
  <c r="Z168" i="1" s="1"/>
  <c r="W160" i="1"/>
  <c r="S160" i="1" s="1"/>
  <c r="Y160" i="1" s="1"/>
  <c r="W152" i="1"/>
  <c r="S152" i="1" s="1"/>
  <c r="Y152" i="1" s="1"/>
  <c r="T151" i="1"/>
  <c r="U151" i="1" s="1"/>
  <c r="Z151" i="1" s="1"/>
  <c r="W150" i="1"/>
  <c r="S150" i="1" s="1"/>
  <c r="Y150" i="1" s="1"/>
  <c r="T149" i="1"/>
  <c r="U149" i="1" s="1"/>
  <c r="Z149" i="1" s="1"/>
  <c r="T148" i="1"/>
  <c r="U148" i="1" s="1"/>
  <c r="Z148" i="1" s="1"/>
  <c r="W146" i="1"/>
  <c r="S146" i="1" s="1"/>
  <c r="Y146" i="1" s="1"/>
  <c r="X145" i="1"/>
  <c r="U145" i="1" s="1"/>
  <c r="Z145" i="1" s="1"/>
  <c r="T124" i="1"/>
  <c r="U124" i="1" s="1"/>
  <c r="Z124" i="1" s="1"/>
  <c r="W118" i="1"/>
  <c r="S118" i="1" s="1"/>
  <c r="Y118" i="1" s="1"/>
  <c r="W117" i="1"/>
  <c r="S117" i="1" s="1"/>
  <c r="Y117" i="1" s="1"/>
  <c r="X116" i="1"/>
  <c r="U116" i="1" s="1"/>
  <c r="Z116" i="1" s="1"/>
  <c r="X101" i="1"/>
  <c r="U101" i="1" s="1"/>
  <c r="Z101" i="1" s="1"/>
  <c r="X97" i="1"/>
  <c r="U97" i="1" s="1"/>
  <c r="Z97" i="1" s="1"/>
  <c r="R95" i="1"/>
  <c r="S95" i="1" s="1"/>
  <c r="Y95" i="1" s="1"/>
  <c r="W94" i="1"/>
  <c r="S94" i="1" s="1"/>
  <c r="Y94" i="1" s="1"/>
  <c r="X396" i="1"/>
  <c r="U396" i="1" s="1"/>
  <c r="Z396" i="1" s="1"/>
  <c r="T395" i="1"/>
  <c r="U395" i="1" s="1"/>
  <c r="Z395" i="1" s="1"/>
  <c r="T394" i="1"/>
  <c r="U394" i="1" s="1"/>
  <c r="Z394" i="1" s="1"/>
  <c r="W385" i="1"/>
  <c r="S385" i="1" s="1"/>
  <c r="Y385" i="1" s="1"/>
  <c r="V383" i="1"/>
  <c r="T381" i="1"/>
  <c r="U381" i="1" s="1"/>
  <c r="Z381" i="1" s="1"/>
  <c r="T364" i="1"/>
  <c r="U364" i="1" s="1"/>
  <c r="Z364" i="1" s="1"/>
  <c r="V337" i="1"/>
  <c r="T333" i="1"/>
  <c r="U333" i="1" s="1"/>
  <c r="Z333" i="1" s="1"/>
  <c r="T327" i="1"/>
  <c r="U327" i="1" s="1"/>
  <c r="Z327" i="1" s="1"/>
  <c r="T297" i="1"/>
  <c r="U297" i="1" s="1"/>
  <c r="Z297" i="1" s="1"/>
  <c r="W295" i="1"/>
  <c r="S295" i="1" s="1"/>
  <c r="Y295" i="1" s="1"/>
  <c r="W272" i="1"/>
  <c r="S272" i="1" s="1"/>
  <c r="Y272" i="1" s="1"/>
  <c r="W264" i="1"/>
  <c r="S264" i="1" s="1"/>
  <c r="Y264" i="1" s="1"/>
  <c r="R262" i="1"/>
  <c r="S262" i="1" s="1"/>
  <c r="Y262" i="1" s="1"/>
  <c r="X253" i="1"/>
  <c r="U253" i="1" s="1"/>
  <c r="Z253" i="1" s="1"/>
  <c r="T247" i="1"/>
  <c r="U247" i="1" s="1"/>
  <c r="Z247" i="1" s="1"/>
  <c r="W209" i="1"/>
  <c r="S209" i="1" s="1"/>
  <c r="Y209" i="1" s="1"/>
  <c r="X208" i="1"/>
  <c r="U208" i="1" s="1"/>
  <c r="Z208" i="1" s="1"/>
  <c r="T194" i="1"/>
  <c r="U194" i="1" s="1"/>
  <c r="Z194" i="1" s="1"/>
  <c r="T193" i="1"/>
  <c r="U193" i="1" s="1"/>
  <c r="Z193" i="1" s="1"/>
  <c r="X159" i="1"/>
  <c r="U159" i="1" s="1"/>
  <c r="Z159" i="1" s="1"/>
  <c r="T139" i="1"/>
  <c r="U139" i="1" s="1"/>
  <c r="Z139" i="1" s="1"/>
  <c r="T115" i="1"/>
  <c r="U115" i="1" s="1"/>
  <c r="Z115" i="1" s="1"/>
  <c r="X104" i="1"/>
  <c r="U104" i="1" s="1"/>
  <c r="Z104" i="1" s="1"/>
  <c r="W101" i="1"/>
  <c r="S101" i="1" s="1"/>
  <c r="Y101" i="1" s="1"/>
  <c r="W70" i="1"/>
  <c r="S70" i="1" s="1"/>
  <c r="Y70" i="1" s="1"/>
  <c r="X366" i="1"/>
  <c r="T366" i="1"/>
  <c r="T305" i="1"/>
  <c r="X305" i="1"/>
  <c r="R232" i="1"/>
  <c r="V232" i="1"/>
  <c r="X185" i="1"/>
  <c r="T185" i="1"/>
  <c r="V399" i="1"/>
  <c r="V395" i="1"/>
  <c r="X367" i="1"/>
  <c r="T367" i="1"/>
  <c r="R249" i="1"/>
  <c r="W249" i="1"/>
  <c r="W238" i="1"/>
  <c r="R238" i="1"/>
  <c r="T173" i="1"/>
  <c r="X173" i="1"/>
  <c r="X157" i="1"/>
  <c r="T157" i="1"/>
  <c r="R111" i="1"/>
  <c r="W111" i="1"/>
  <c r="W388" i="1"/>
  <c r="S388" i="1" s="1"/>
  <c r="Y388" i="1" s="1"/>
  <c r="X348" i="1"/>
  <c r="T348" i="1"/>
  <c r="R312" i="1"/>
  <c r="W312" i="1"/>
  <c r="X156" i="1"/>
  <c r="T156" i="1"/>
  <c r="R126" i="1"/>
  <c r="W126" i="1"/>
  <c r="V70" i="1"/>
  <c r="T70" i="1"/>
  <c r="T382" i="1"/>
  <c r="X382" i="1"/>
  <c r="T334" i="1"/>
  <c r="V334" i="1"/>
  <c r="T235" i="1"/>
  <c r="X235" i="1"/>
  <c r="T128" i="1"/>
  <c r="X128" i="1"/>
  <c r="W393" i="1"/>
  <c r="S393" i="1" s="1"/>
  <c r="Y393" i="1" s="1"/>
  <c r="W389" i="1"/>
  <c r="S389" i="1" s="1"/>
  <c r="Y389" i="1" s="1"/>
  <c r="W377" i="1"/>
  <c r="S377" i="1" s="1"/>
  <c r="Y377" i="1" s="1"/>
  <c r="R349" i="1"/>
  <c r="W349" i="1"/>
  <c r="W337" i="1"/>
  <c r="S337" i="1" s="1"/>
  <c r="Y337" i="1" s="1"/>
  <c r="W329" i="1"/>
  <c r="S329" i="1" s="1"/>
  <c r="Y329" i="1" s="1"/>
  <c r="R328" i="1"/>
  <c r="S328" i="1" s="1"/>
  <c r="Y328" i="1" s="1"/>
  <c r="X311" i="1"/>
  <c r="T311" i="1"/>
  <c r="X255" i="1"/>
  <c r="U255" i="1" s="1"/>
  <c r="Z255" i="1" s="1"/>
  <c r="W232" i="1"/>
  <c r="S232" i="1" s="1"/>
  <c r="Y232" i="1" s="1"/>
  <c r="T231" i="1"/>
  <c r="X231" i="1"/>
  <c r="T191" i="1"/>
  <c r="X191" i="1"/>
  <c r="X153" i="1"/>
  <c r="T153" i="1"/>
  <c r="R113" i="1"/>
  <c r="W113" i="1"/>
  <c r="W75" i="1"/>
  <c r="V75" i="1"/>
  <c r="X70" i="1"/>
  <c r="T413" i="1"/>
  <c r="V413" i="1"/>
  <c r="W403" i="1"/>
  <c r="S403" i="1" s="1"/>
  <c r="Y403" i="1" s="1"/>
  <c r="W392" i="1"/>
  <c r="S392" i="1" s="1"/>
  <c r="Y392" i="1" s="1"/>
  <c r="R376" i="1"/>
  <c r="W376" i="1"/>
  <c r="W372" i="1"/>
  <c r="S372" i="1" s="1"/>
  <c r="Y372" i="1" s="1"/>
  <c r="R365" i="1"/>
  <c r="S365" i="1" s="1"/>
  <c r="Y365" i="1" s="1"/>
  <c r="R358" i="1"/>
  <c r="W358" i="1"/>
  <c r="R347" i="1"/>
  <c r="S347" i="1" s="1"/>
  <c r="Y347" i="1" s="1"/>
  <c r="V329" i="1"/>
  <c r="S320" i="1"/>
  <c r="Y320" i="1" s="1"/>
  <c r="W315" i="1"/>
  <c r="S315" i="1" s="1"/>
  <c r="Y315" i="1" s="1"/>
  <c r="W313" i="1"/>
  <c r="S313" i="1" s="1"/>
  <c r="Y313" i="1" s="1"/>
  <c r="W306" i="1"/>
  <c r="S306" i="1" s="1"/>
  <c r="Y306" i="1" s="1"/>
  <c r="W278" i="1"/>
  <c r="S278" i="1" s="1"/>
  <c r="Y278" i="1" s="1"/>
  <c r="T277" i="1"/>
  <c r="X277" i="1"/>
  <c r="T248" i="1"/>
  <c r="X248" i="1"/>
  <c r="R236" i="1"/>
  <c r="V236" i="1"/>
  <c r="T223" i="1"/>
  <c r="X223" i="1"/>
  <c r="T219" i="1"/>
  <c r="U219" i="1" s="1"/>
  <c r="Z219" i="1" s="1"/>
  <c r="X216" i="1"/>
  <c r="U216" i="1" s="1"/>
  <c r="Z216" i="1" s="1"/>
  <c r="V212" i="1"/>
  <c r="R192" i="1"/>
  <c r="W192" i="1"/>
  <c r="W123" i="1"/>
  <c r="R123" i="1"/>
  <c r="X90" i="1"/>
  <c r="T90" i="1"/>
  <c r="X176" i="1"/>
  <c r="U176" i="1" s="1"/>
  <c r="Z176" i="1" s="1"/>
  <c r="V148" i="1"/>
  <c r="W121" i="1"/>
  <c r="S121" i="1" s="1"/>
  <c r="Y121" i="1" s="1"/>
  <c r="W119" i="1"/>
  <c r="S119" i="1" s="1"/>
  <c r="Y119" i="1" s="1"/>
  <c r="V415" i="1"/>
  <c r="X412" i="1"/>
  <c r="U412" i="1" s="1"/>
  <c r="Z412" i="1" s="1"/>
  <c r="V409" i="1"/>
  <c r="V315" i="1"/>
  <c r="W240" i="1"/>
  <c r="S240" i="1" s="1"/>
  <c r="Y240" i="1" s="1"/>
  <c r="W204" i="1"/>
  <c r="S204" i="1" s="1"/>
  <c r="Y204" i="1" s="1"/>
  <c r="W176" i="1"/>
  <c r="S176" i="1" s="1"/>
  <c r="Y176" i="1" s="1"/>
  <c r="W174" i="1"/>
  <c r="S174" i="1" s="1"/>
  <c r="Y174" i="1" s="1"/>
  <c r="V172" i="1"/>
  <c r="V168" i="1"/>
  <c r="V160" i="1"/>
  <c r="W141" i="1"/>
  <c r="S141" i="1" s="1"/>
  <c r="Y141" i="1" s="1"/>
  <c r="W140" i="1"/>
  <c r="S140" i="1" s="1"/>
  <c r="Y140" i="1" s="1"/>
  <c r="R129" i="1"/>
  <c r="S129" i="1" s="1"/>
  <c r="Y129" i="1" s="1"/>
  <c r="X118" i="1"/>
  <c r="U118" i="1" s="1"/>
  <c r="Z118" i="1" s="1"/>
  <c r="V416" i="1"/>
  <c r="R415" i="1"/>
  <c r="R409" i="1"/>
  <c r="S409" i="1" s="1"/>
  <c r="Y409" i="1" s="1"/>
  <c r="X334" i="1"/>
  <c r="W178" i="1"/>
  <c r="S178" i="1" s="1"/>
  <c r="Y178" i="1" s="1"/>
  <c r="R406" i="1"/>
  <c r="W406" i="1"/>
  <c r="X351" i="1"/>
  <c r="T351" i="1"/>
  <c r="T335" i="1"/>
  <c r="X335" i="1"/>
  <c r="T317" i="1"/>
  <c r="X317" i="1"/>
  <c r="R241" i="1"/>
  <c r="W241" i="1"/>
  <c r="T215" i="1"/>
  <c r="X215" i="1"/>
  <c r="T120" i="1"/>
  <c r="X120" i="1"/>
  <c r="T114" i="1"/>
  <c r="X114" i="1"/>
  <c r="R93" i="1"/>
  <c r="W93" i="1"/>
  <c r="X83" i="1"/>
  <c r="T83" i="1"/>
  <c r="V83" i="1"/>
  <c r="R71" i="1"/>
  <c r="W71" i="1"/>
  <c r="W381" i="1"/>
  <c r="S381" i="1" s="1"/>
  <c r="Y381" i="1" s="1"/>
  <c r="W379" i="1"/>
  <c r="R379" i="1"/>
  <c r="X365" i="1"/>
  <c r="U365" i="1" s="1"/>
  <c r="Z365" i="1" s="1"/>
  <c r="R318" i="1"/>
  <c r="V318" i="1"/>
  <c r="T314" i="1"/>
  <c r="X314" i="1"/>
  <c r="T271" i="1"/>
  <c r="X271" i="1"/>
  <c r="V192" i="1"/>
  <c r="T192" i="1"/>
  <c r="X192" i="1"/>
  <c r="R97" i="1"/>
  <c r="W97" i="1"/>
  <c r="T89" i="1"/>
  <c r="X89" i="1"/>
  <c r="R411" i="1"/>
  <c r="W411" i="1"/>
  <c r="S407" i="1"/>
  <c r="Y407" i="1" s="1"/>
  <c r="R402" i="1"/>
  <c r="W402" i="1"/>
  <c r="R394" i="1"/>
  <c r="W394" i="1"/>
  <c r="R391" i="1"/>
  <c r="W391" i="1"/>
  <c r="X379" i="1"/>
  <c r="U379" i="1" s="1"/>
  <c r="Z379" i="1" s="1"/>
  <c r="T363" i="1"/>
  <c r="U363" i="1" s="1"/>
  <c r="Z363" i="1" s="1"/>
  <c r="V363" i="1"/>
  <c r="W354" i="1"/>
  <c r="S354" i="1" s="1"/>
  <c r="Y354" i="1" s="1"/>
  <c r="T353" i="1"/>
  <c r="X353" i="1"/>
  <c r="X343" i="1"/>
  <c r="T343" i="1"/>
  <c r="X342" i="1"/>
  <c r="V342" i="1"/>
  <c r="T332" i="1"/>
  <c r="X332" i="1"/>
  <c r="W321" i="1"/>
  <c r="S321" i="1" s="1"/>
  <c r="Y321" i="1" s="1"/>
  <c r="W310" i="1"/>
  <c r="R310" i="1"/>
  <c r="T301" i="1"/>
  <c r="U301" i="1" s="1"/>
  <c r="Z301" i="1" s="1"/>
  <c r="X300" i="1"/>
  <c r="U300" i="1" s="1"/>
  <c r="Z300" i="1" s="1"/>
  <c r="R282" i="1"/>
  <c r="W282" i="1"/>
  <c r="T224" i="1"/>
  <c r="X224" i="1"/>
  <c r="T200" i="1"/>
  <c r="V200" i="1"/>
  <c r="X200" i="1"/>
  <c r="R131" i="1"/>
  <c r="W131" i="1"/>
  <c r="W107" i="1"/>
  <c r="V107" i="1"/>
  <c r="R89" i="1"/>
  <c r="W89" i="1"/>
  <c r="R78" i="1"/>
  <c r="W78" i="1"/>
  <c r="R74" i="1"/>
  <c r="W74" i="1"/>
  <c r="R386" i="1"/>
  <c r="W386" i="1"/>
  <c r="R344" i="1"/>
  <c r="W344" i="1"/>
  <c r="R302" i="1"/>
  <c r="W302" i="1"/>
  <c r="R296" i="1"/>
  <c r="W296" i="1"/>
  <c r="R246" i="1"/>
  <c r="W246" i="1"/>
  <c r="V411" i="1"/>
  <c r="T411" i="1"/>
  <c r="W401" i="1"/>
  <c r="S401" i="1" s="1"/>
  <c r="Y401" i="1" s="1"/>
  <c r="R375" i="1"/>
  <c r="W375" i="1"/>
  <c r="X352" i="1"/>
  <c r="T352" i="1"/>
  <c r="W331" i="1"/>
  <c r="S331" i="1" s="1"/>
  <c r="Y331" i="1" s="1"/>
  <c r="W326" i="1"/>
  <c r="R326" i="1"/>
  <c r="X310" i="1"/>
  <c r="V310" i="1"/>
  <c r="W300" i="1"/>
  <c r="R300" i="1"/>
  <c r="T281" i="1"/>
  <c r="X281" i="1"/>
  <c r="T276" i="1"/>
  <c r="X276" i="1"/>
  <c r="T267" i="1"/>
  <c r="X267" i="1"/>
  <c r="R254" i="1"/>
  <c r="W254" i="1"/>
  <c r="R220" i="1"/>
  <c r="W220" i="1"/>
  <c r="T197" i="1"/>
  <c r="X197" i="1"/>
  <c r="T177" i="1"/>
  <c r="X177" i="1"/>
  <c r="X411" i="1"/>
  <c r="X398" i="1"/>
  <c r="T398" i="1"/>
  <c r="X399" i="1"/>
  <c r="T399" i="1"/>
  <c r="R395" i="1"/>
  <c r="S395" i="1" s="1"/>
  <c r="Y395" i="1" s="1"/>
  <c r="X384" i="1"/>
  <c r="U384" i="1" s="1"/>
  <c r="Z384" i="1" s="1"/>
  <c r="T380" i="1"/>
  <c r="X380" i="1"/>
  <c r="V379" i="1"/>
  <c r="T378" i="1"/>
  <c r="U378" i="1" s="1"/>
  <c r="Z378" i="1" s="1"/>
  <c r="W360" i="1"/>
  <c r="S360" i="1" s="1"/>
  <c r="Y360" i="1" s="1"/>
  <c r="W356" i="1"/>
  <c r="S356" i="1" s="1"/>
  <c r="Y356" i="1" s="1"/>
  <c r="T350" i="1"/>
  <c r="U350" i="1" s="1"/>
  <c r="Z350" i="1" s="1"/>
  <c r="X349" i="1"/>
  <c r="U349" i="1" s="1"/>
  <c r="Z349" i="1" s="1"/>
  <c r="T347" i="1"/>
  <c r="U347" i="1" s="1"/>
  <c r="Z347" i="1" s="1"/>
  <c r="V347" i="1"/>
  <c r="W345" i="1"/>
  <c r="S345" i="1" s="1"/>
  <c r="Y345" i="1" s="1"/>
  <c r="T340" i="1"/>
  <c r="X340" i="1"/>
  <c r="W336" i="1"/>
  <c r="S336" i="1" s="1"/>
  <c r="Y336" i="1" s="1"/>
  <c r="V326" i="1"/>
  <c r="T325" i="1"/>
  <c r="U325" i="1" s="1"/>
  <c r="Z325" i="1" s="1"/>
  <c r="V321" i="1"/>
  <c r="W303" i="1"/>
  <c r="S303" i="1" s="1"/>
  <c r="Y303" i="1" s="1"/>
  <c r="V300" i="1"/>
  <c r="X291" i="1"/>
  <c r="U291" i="1" s="1"/>
  <c r="Z291" i="1" s="1"/>
  <c r="R268" i="1"/>
  <c r="W268" i="1"/>
  <c r="R260" i="1"/>
  <c r="W260" i="1"/>
  <c r="T239" i="1"/>
  <c r="X239" i="1"/>
  <c r="R230" i="1"/>
  <c r="W230" i="1"/>
  <c r="R225" i="1"/>
  <c r="W225" i="1"/>
  <c r="R222" i="1"/>
  <c r="W222" i="1"/>
  <c r="T207" i="1"/>
  <c r="U207" i="1" s="1"/>
  <c r="Z207" i="1" s="1"/>
  <c r="R200" i="1"/>
  <c r="W200" i="1"/>
  <c r="T147" i="1"/>
  <c r="X147" i="1"/>
  <c r="X143" i="1"/>
  <c r="U143" i="1" s="1"/>
  <c r="Z143" i="1" s="1"/>
  <c r="T141" i="1"/>
  <c r="U141" i="1" s="1"/>
  <c r="Z141" i="1" s="1"/>
  <c r="T112" i="1"/>
  <c r="U112" i="1" s="1"/>
  <c r="Z112" i="1" s="1"/>
  <c r="R79" i="1"/>
  <c r="W79" i="1"/>
  <c r="V417" i="1"/>
  <c r="T417" i="1"/>
  <c r="U417" i="1" s="1"/>
  <c r="Z417" i="1" s="1"/>
  <c r="V284" i="1"/>
  <c r="R244" i="1"/>
  <c r="W244" i="1"/>
  <c r="R208" i="1"/>
  <c r="V208" i="1"/>
  <c r="T184" i="1"/>
  <c r="U184" i="1" s="1"/>
  <c r="Z184" i="1" s="1"/>
  <c r="V184" i="1"/>
  <c r="R158" i="1"/>
  <c r="W158" i="1"/>
  <c r="R154" i="1"/>
  <c r="W154" i="1"/>
  <c r="T152" i="1"/>
  <c r="U152" i="1" s="1"/>
  <c r="Z152" i="1" s="1"/>
  <c r="V152" i="1"/>
  <c r="R125" i="1"/>
  <c r="W125" i="1"/>
  <c r="T111" i="1"/>
  <c r="U111" i="1" s="1"/>
  <c r="Z111" i="1" s="1"/>
  <c r="V111" i="1"/>
  <c r="X98" i="1"/>
  <c r="T98" i="1"/>
  <c r="T77" i="1"/>
  <c r="X77" i="1"/>
  <c r="R417" i="1"/>
  <c r="W417" i="1"/>
  <c r="W415" i="1"/>
  <c r="V408" i="1"/>
  <c r="T408" i="1"/>
  <c r="U408" i="1" s="1"/>
  <c r="Z408" i="1" s="1"/>
  <c r="W390" i="1"/>
  <c r="S390" i="1" s="1"/>
  <c r="Y390" i="1" s="1"/>
  <c r="W374" i="1"/>
  <c r="S374" i="1" s="1"/>
  <c r="Y374" i="1" s="1"/>
  <c r="W369" i="1"/>
  <c r="S369" i="1" s="1"/>
  <c r="Y369" i="1" s="1"/>
  <c r="W335" i="1"/>
  <c r="S335" i="1" s="1"/>
  <c r="Y335" i="1" s="1"/>
  <c r="V331" i="1"/>
  <c r="V322" i="1"/>
  <c r="V283" i="1"/>
  <c r="T229" i="1"/>
  <c r="X229" i="1"/>
  <c r="X220" i="1"/>
  <c r="T220" i="1"/>
  <c r="V220" i="1"/>
  <c r="T180" i="1"/>
  <c r="X180" i="1"/>
  <c r="V131" i="1"/>
  <c r="T131" i="1"/>
  <c r="U131" i="1" s="1"/>
  <c r="Z131" i="1" s="1"/>
  <c r="T123" i="1"/>
  <c r="U123" i="1" s="1"/>
  <c r="Z123" i="1" s="1"/>
  <c r="V123" i="1"/>
  <c r="R103" i="1"/>
  <c r="W103" i="1"/>
  <c r="X99" i="1"/>
  <c r="T99" i="1"/>
  <c r="V99" i="1"/>
  <c r="T96" i="1"/>
  <c r="X96" i="1"/>
  <c r="T92" i="1"/>
  <c r="X92" i="1"/>
  <c r="X91" i="1"/>
  <c r="U91" i="1" s="1"/>
  <c r="Z91" i="1" s="1"/>
  <c r="V91" i="1"/>
  <c r="X82" i="1"/>
  <c r="T82" i="1"/>
  <c r="W81" i="1"/>
  <c r="S81" i="1" s="1"/>
  <c r="Y81" i="1" s="1"/>
  <c r="V414" i="1"/>
  <c r="T414" i="1"/>
  <c r="U414" i="1" s="1"/>
  <c r="Z414" i="1" s="1"/>
  <c r="X240" i="1"/>
  <c r="U240" i="1" s="1"/>
  <c r="Z240" i="1" s="1"/>
  <c r="W236" i="1"/>
  <c r="X232" i="1"/>
  <c r="U232" i="1" s="1"/>
  <c r="Z232" i="1" s="1"/>
  <c r="W194" i="1"/>
  <c r="S194" i="1" s="1"/>
  <c r="Y194" i="1" s="1"/>
  <c r="W102" i="1"/>
  <c r="S102" i="1" s="1"/>
  <c r="Y102" i="1" s="1"/>
  <c r="X413" i="1"/>
  <c r="V412" i="1"/>
  <c r="R412" i="1"/>
  <c r="S412" i="1" s="1"/>
  <c r="Y412" i="1" s="1"/>
  <c r="V377" i="1"/>
  <c r="T377" i="1"/>
  <c r="X377" i="1"/>
  <c r="R373" i="1"/>
  <c r="W373" i="1"/>
  <c r="R368" i="1"/>
  <c r="W368" i="1"/>
  <c r="V357" i="1"/>
  <c r="T357" i="1"/>
  <c r="X357" i="1"/>
  <c r="R353" i="1"/>
  <c r="W353" i="1"/>
  <c r="V405" i="1"/>
  <c r="T405" i="1"/>
  <c r="X405" i="1"/>
  <c r="V404" i="1"/>
  <c r="X404" i="1"/>
  <c r="T404" i="1"/>
  <c r="V392" i="1"/>
  <c r="T392" i="1"/>
  <c r="X392" i="1"/>
  <c r="X370" i="1"/>
  <c r="T370" i="1"/>
  <c r="R400" i="1"/>
  <c r="W400" i="1"/>
  <c r="R355" i="1"/>
  <c r="W355" i="1"/>
  <c r="V355" i="1"/>
  <c r="R405" i="1"/>
  <c r="W405" i="1"/>
  <c r="X386" i="1"/>
  <c r="T386" i="1"/>
  <c r="T375" i="1"/>
  <c r="V375" i="1"/>
  <c r="X375" i="1"/>
  <c r="X402" i="1"/>
  <c r="T402" i="1"/>
  <c r="T390" i="1"/>
  <c r="X390" i="1"/>
  <c r="R387" i="1"/>
  <c r="W387" i="1"/>
  <c r="V387" i="1"/>
  <c r="T391" i="1"/>
  <c r="V391" i="1"/>
  <c r="V388" i="1"/>
  <c r="X388" i="1"/>
  <c r="T388" i="1"/>
  <c r="V376" i="1"/>
  <c r="T376" i="1"/>
  <c r="R366" i="1"/>
  <c r="W366" i="1"/>
  <c r="V340" i="1"/>
  <c r="W340" i="1"/>
  <c r="S340" i="1" s="1"/>
  <c r="Y340" i="1" s="1"/>
  <c r="V323" i="1"/>
  <c r="X323" i="1"/>
  <c r="X95" i="1"/>
  <c r="T95" i="1"/>
  <c r="V95" i="1"/>
  <c r="X87" i="1"/>
  <c r="T87" i="1"/>
  <c r="V87" i="1"/>
  <c r="R77" i="1"/>
  <c r="W77" i="1"/>
  <c r="X403" i="1"/>
  <c r="T403" i="1"/>
  <c r="R398" i="1"/>
  <c r="W398" i="1"/>
  <c r="V393" i="1"/>
  <c r="T393" i="1"/>
  <c r="X371" i="1"/>
  <c r="T371" i="1"/>
  <c r="V356" i="1"/>
  <c r="X356" i="1"/>
  <c r="T356" i="1"/>
  <c r="W351" i="1"/>
  <c r="R351" i="1"/>
  <c r="V345" i="1"/>
  <c r="T345" i="1"/>
  <c r="T337" i="1"/>
  <c r="X337" i="1"/>
  <c r="V330" i="1"/>
  <c r="R330" i="1"/>
  <c r="S330" i="1" s="1"/>
  <c r="Y330" i="1" s="1"/>
  <c r="W304" i="1"/>
  <c r="S304" i="1" s="1"/>
  <c r="Y304" i="1" s="1"/>
  <c r="T269" i="1"/>
  <c r="X269" i="1"/>
  <c r="T261" i="1"/>
  <c r="X261" i="1"/>
  <c r="R252" i="1"/>
  <c r="W252" i="1"/>
  <c r="X244" i="1"/>
  <c r="T244" i="1"/>
  <c r="R234" i="1"/>
  <c r="W234" i="1"/>
  <c r="R226" i="1"/>
  <c r="W226" i="1"/>
  <c r="X225" i="1"/>
  <c r="T225" i="1"/>
  <c r="R187" i="1"/>
  <c r="W187" i="1"/>
  <c r="R135" i="1"/>
  <c r="V135" i="1"/>
  <c r="W135" i="1"/>
  <c r="X102" i="1"/>
  <c r="T102" i="1"/>
  <c r="W404" i="1"/>
  <c r="S404" i="1" s="1"/>
  <c r="Y404" i="1" s="1"/>
  <c r="X393" i="1"/>
  <c r="X391" i="1"/>
  <c r="X387" i="1"/>
  <c r="T387" i="1"/>
  <c r="W383" i="1"/>
  <c r="R383" i="1"/>
  <c r="X376" i="1"/>
  <c r="X374" i="1"/>
  <c r="U374" i="1" s="1"/>
  <c r="Z374" i="1" s="1"/>
  <c r="V373" i="1"/>
  <c r="T373" i="1"/>
  <c r="U373" i="1" s="1"/>
  <c r="Z373" i="1" s="1"/>
  <c r="V360" i="1"/>
  <c r="T360" i="1"/>
  <c r="U360" i="1" s="1"/>
  <c r="Z360" i="1" s="1"/>
  <c r="W357" i="1"/>
  <c r="S357" i="1" s="1"/>
  <c r="Y357" i="1" s="1"/>
  <c r="X355" i="1"/>
  <c r="T355" i="1"/>
  <c r="V351" i="1"/>
  <c r="R350" i="1"/>
  <c r="W350" i="1"/>
  <c r="X345" i="1"/>
  <c r="V332" i="1"/>
  <c r="W332" i="1"/>
  <c r="S332" i="1" s="1"/>
  <c r="Y332" i="1" s="1"/>
  <c r="X330" i="1"/>
  <c r="U330" i="1" s="1"/>
  <c r="Z330" i="1" s="1"/>
  <c r="T329" i="1"/>
  <c r="X329" i="1"/>
  <c r="V324" i="1"/>
  <c r="W324" i="1"/>
  <c r="S324" i="1" s="1"/>
  <c r="Y324" i="1" s="1"/>
  <c r="T321" i="1"/>
  <c r="X321" i="1"/>
  <c r="X319" i="1"/>
  <c r="U319" i="1" s="1"/>
  <c r="Z319" i="1" s="1"/>
  <c r="V314" i="1"/>
  <c r="R314" i="1"/>
  <c r="S314" i="1" s="1"/>
  <c r="Y314" i="1" s="1"/>
  <c r="V307" i="1"/>
  <c r="X307" i="1"/>
  <c r="T304" i="1"/>
  <c r="U304" i="1" s="1"/>
  <c r="Z304" i="1" s="1"/>
  <c r="V304" i="1"/>
  <c r="W298" i="1"/>
  <c r="S298" i="1" s="1"/>
  <c r="Y298" i="1" s="1"/>
  <c r="W280" i="1"/>
  <c r="S280" i="1" s="1"/>
  <c r="Y280" i="1" s="1"/>
  <c r="T275" i="1"/>
  <c r="X275" i="1"/>
  <c r="X273" i="1"/>
  <c r="U273" i="1" s="1"/>
  <c r="Z273" i="1" s="1"/>
  <c r="T265" i="1"/>
  <c r="X265" i="1"/>
  <c r="T264" i="1"/>
  <c r="V264" i="1"/>
  <c r="X264" i="1"/>
  <c r="T259" i="1"/>
  <c r="X259" i="1"/>
  <c r="T257" i="1"/>
  <c r="X257" i="1"/>
  <c r="R216" i="1"/>
  <c r="S216" i="1" s="1"/>
  <c r="Y216" i="1" s="1"/>
  <c r="V216" i="1"/>
  <c r="R201" i="1"/>
  <c r="W201" i="1"/>
  <c r="V198" i="1"/>
  <c r="T198" i="1"/>
  <c r="X195" i="1"/>
  <c r="T195" i="1"/>
  <c r="R166" i="1"/>
  <c r="W166" i="1"/>
  <c r="R162" i="1"/>
  <c r="W162" i="1"/>
  <c r="X338" i="1"/>
  <c r="T338" i="1"/>
  <c r="V316" i="1"/>
  <c r="W316" i="1"/>
  <c r="S316" i="1" s="1"/>
  <c r="Y316" i="1" s="1"/>
  <c r="T313" i="1"/>
  <c r="X313" i="1"/>
  <c r="V308" i="1"/>
  <c r="W308" i="1"/>
  <c r="S308" i="1" s="1"/>
  <c r="Y308" i="1" s="1"/>
  <c r="V299" i="1"/>
  <c r="T299" i="1"/>
  <c r="U299" i="1" s="1"/>
  <c r="Z299" i="1" s="1"/>
  <c r="W294" i="1"/>
  <c r="S294" i="1" s="1"/>
  <c r="Y294" i="1" s="1"/>
  <c r="W292" i="1"/>
  <c r="R292" i="1"/>
  <c r="W290" i="1"/>
  <c r="S290" i="1" s="1"/>
  <c r="Y290" i="1" s="1"/>
  <c r="X286" i="1"/>
  <c r="T286" i="1"/>
  <c r="V280" i="1"/>
  <c r="W276" i="1"/>
  <c r="R276" i="1"/>
  <c r="V268" i="1"/>
  <c r="T268" i="1"/>
  <c r="U268" i="1" s="1"/>
  <c r="Z268" i="1" s="1"/>
  <c r="R248" i="1"/>
  <c r="V248" i="1"/>
  <c r="W248" i="1"/>
  <c r="V238" i="1"/>
  <c r="T238" i="1"/>
  <c r="T237" i="1"/>
  <c r="X237" i="1"/>
  <c r="X233" i="1"/>
  <c r="T233" i="1"/>
  <c r="V230" i="1"/>
  <c r="T230" i="1"/>
  <c r="W228" i="1"/>
  <c r="S228" i="1" s="1"/>
  <c r="Y228" i="1" s="1"/>
  <c r="R224" i="1"/>
  <c r="S224" i="1" s="1"/>
  <c r="Y224" i="1" s="1"/>
  <c r="V224" i="1"/>
  <c r="T221" i="1"/>
  <c r="U221" i="1" s="1"/>
  <c r="Z221" i="1" s="1"/>
  <c r="T213" i="1"/>
  <c r="X213" i="1"/>
  <c r="X212" i="1"/>
  <c r="T212" i="1"/>
  <c r="R202" i="1"/>
  <c r="W202" i="1"/>
  <c r="R195" i="1"/>
  <c r="W195" i="1"/>
  <c r="W399" i="1"/>
  <c r="R399" i="1"/>
  <c r="V389" i="1"/>
  <c r="T389" i="1"/>
  <c r="U389" i="1" s="1"/>
  <c r="Z389" i="1" s="1"/>
  <c r="R384" i="1"/>
  <c r="W384" i="1"/>
  <c r="R382" i="1"/>
  <c r="W382" i="1"/>
  <c r="V372" i="1"/>
  <c r="X372" i="1"/>
  <c r="T372" i="1"/>
  <c r="V371" i="1"/>
  <c r="W367" i="1"/>
  <c r="R367" i="1"/>
  <c r="V361" i="1"/>
  <c r="T361" i="1"/>
  <c r="U361" i="1" s="1"/>
  <c r="Z361" i="1" s="1"/>
  <c r="T359" i="1"/>
  <c r="U359" i="1" s="1"/>
  <c r="Z359" i="1" s="1"/>
  <c r="V359" i="1"/>
  <c r="X354" i="1"/>
  <c r="T354" i="1"/>
  <c r="R352" i="1"/>
  <c r="W352" i="1"/>
  <c r="V339" i="1"/>
  <c r="X339" i="1"/>
  <c r="V338" i="1"/>
  <c r="X322" i="1"/>
  <c r="T322" i="1"/>
  <c r="V303" i="1"/>
  <c r="X303" i="1"/>
  <c r="T303" i="1"/>
  <c r="T296" i="1"/>
  <c r="U296" i="1" s="1"/>
  <c r="Z296" i="1" s="1"/>
  <c r="V296" i="1"/>
  <c r="V292" i="1"/>
  <c r="V290" i="1"/>
  <c r="T290" i="1"/>
  <c r="X287" i="1"/>
  <c r="T287" i="1"/>
  <c r="V286" i="1"/>
  <c r="R283" i="1"/>
  <c r="W283" i="1"/>
  <c r="V276" i="1"/>
  <c r="R256" i="1"/>
  <c r="S256" i="1" s="1"/>
  <c r="Y256" i="1" s="1"/>
  <c r="V256" i="1"/>
  <c r="X252" i="1"/>
  <c r="T252" i="1"/>
  <c r="V252" i="1"/>
  <c r="T245" i="1"/>
  <c r="X245" i="1"/>
  <c r="V244" i="1"/>
  <c r="R233" i="1"/>
  <c r="W233" i="1"/>
  <c r="V228" i="1"/>
  <c r="X217" i="1"/>
  <c r="T217" i="1"/>
  <c r="R186" i="1"/>
  <c r="W186" i="1"/>
  <c r="W180" i="1"/>
  <c r="R180" i="1"/>
  <c r="V180" i="1"/>
  <c r="R109" i="1"/>
  <c r="W109" i="1"/>
  <c r="X94" i="1"/>
  <c r="T94" i="1"/>
  <c r="T80" i="1"/>
  <c r="X80" i="1"/>
  <c r="V397" i="1"/>
  <c r="W396" i="1"/>
  <c r="S396" i="1" s="1"/>
  <c r="Y396" i="1" s="1"/>
  <c r="V396" i="1"/>
  <c r="V381" i="1"/>
  <c r="W380" i="1"/>
  <c r="S380" i="1" s="1"/>
  <c r="Y380" i="1" s="1"/>
  <c r="V380" i="1"/>
  <c r="W378" i="1"/>
  <c r="S378" i="1" s="1"/>
  <c r="Y378" i="1" s="1"/>
  <c r="V365" i="1"/>
  <c r="W364" i="1"/>
  <c r="S364" i="1" s="1"/>
  <c r="Y364" i="1" s="1"/>
  <c r="V364" i="1"/>
  <c r="W362" i="1"/>
  <c r="S362" i="1" s="1"/>
  <c r="Y362" i="1" s="1"/>
  <c r="V349" i="1"/>
  <c r="W348" i="1"/>
  <c r="S348" i="1" s="1"/>
  <c r="Y348" i="1" s="1"/>
  <c r="V348" i="1"/>
  <c r="W346" i="1"/>
  <c r="S346" i="1" s="1"/>
  <c r="Y346" i="1" s="1"/>
  <c r="W341" i="1"/>
  <c r="S341" i="1" s="1"/>
  <c r="Y341" i="1" s="1"/>
  <c r="V336" i="1"/>
  <c r="W333" i="1"/>
  <c r="S333" i="1" s="1"/>
  <c r="Y333" i="1" s="1"/>
  <c r="W325" i="1"/>
  <c r="S325" i="1" s="1"/>
  <c r="Y325" i="1" s="1"/>
  <c r="V320" i="1"/>
  <c r="W317" i="1"/>
  <c r="S317" i="1" s="1"/>
  <c r="Y317" i="1" s="1"/>
  <c r="W309" i="1"/>
  <c r="S309" i="1" s="1"/>
  <c r="Y309" i="1" s="1"/>
  <c r="V306" i="1"/>
  <c r="V295" i="1"/>
  <c r="V291" i="1"/>
  <c r="T272" i="1"/>
  <c r="U272" i="1" s="1"/>
  <c r="Z272" i="1" s="1"/>
  <c r="V272" i="1"/>
  <c r="X263" i="1"/>
  <c r="T263" i="1"/>
  <c r="R250" i="1"/>
  <c r="W250" i="1"/>
  <c r="X249" i="1"/>
  <c r="T249" i="1"/>
  <c r="X236" i="1"/>
  <c r="T236" i="1"/>
  <c r="V206" i="1"/>
  <c r="T206" i="1"/>
  <c r="T205" i="1"/>
  <c r="X205" i="1"/>
  <c r="R196" i="1"/>
  <c r="S196" i="1" s="1"/>
  <c r="Y196" i="1" s="1"/>
  <c r="V196" i="1"/>
  <c r="R182" i="1"/>
  <c r="W182" i="1"/>
  <c r="V170" i="1"/>
  <c r="T170" i="1"/>
  <c r="W148" i="1"/>
  <c r="R148" i="1"/>
  <c r="R142" i="1"/>
  <c r="W142" i="1"/>
  <c r="R127" i="1"/>
  <c r="W127" i="1"/>
  <c r="V401" i="1"/>
  <c r="V400" i="1"/>
  <c r="V385" i="1"/>
  <c r="V384" i="1"/>
  <c r="V369" i="1"/>
  <c r="V368" i="1"/>
  <c r="V353" i="1"/>
  <c r="V352" i="1"/>
  <c r="V298" i="1"/>
  <c r="T260" i="1"/>
  <c r="U260" i="1" s="1"/>
  <c r="Z260" i="1" s="1"/>
  <c r="V260" i="1"/>
  <c r="V246" i="1"/>
  <c r="T246" i="1"/>
  <c r="R242" i="1"/>
  <c r="W242" i="1"/>
  <c r="X241" i="1"/>
  <c r="T241" i="1"/>
  <c r="X228" i="1"/>
  <c r="T228" i="1"/>
  <c r="X201" i="1"/>
  <c r="T201" i="1"/>
  <c r="V190" i="1"/>
  <c r="T190" i="1"/>
  <c r="U190" i="1" s="1"/>
  <c r="Z190" i="1" s="1"/>
  <c r="T189" i="1"/>
  <c r="X189" i="1"/>
  <c r="X186" i="1"/>
  <c r="T186" i="1"/>
  <c r="V186" i="1"/>
  <c r="R170" i="1"/>
  <c r="W170" i="1"/>
  <c r="R157" i="1"/>
  <c r="W157" i="1"/>
  <c r="W156" i="1"/>
  <c r="R156" i="1"/>
  <c r="V156" i="1"/>
  <c r="V146" i="1"/>
  <c r="T146" i="1"/>
  <c r="V130" i="1"/>
  <c r="T130" i="1"/>
  <c r="X130" i="1"/>
  <c r="X204" i="1"/>
  <c r="T204" i="1"/>
  <c r="X188" i="1"/>
  <c r="T188" i="1"/>
  <c r="V178" i="1"/>
  <c r="T178" i="1"/>
  <c r="W164" i="1"/>
  <c r="R164" i="1"/>
  <c r="V154" i="1"/>
  <c r="T154" i="1"/>
  <c r="X140" i="1"/>
  <c r="T140" i="1"/>
  <c r="V140" i="1"/>
  <c r="R85" i="1"/>
  <c r="W85" i="1"/>
  <c r="X79" i="1"/>
  <c r="T79" i="1"/>
  <c r="V79" i="1"/>
  <c r="V222" i="1"/>
  <c r="T222" i="1"/>
  <c r="V214" i="1"/>
  <c r="T214" i="1"/>
  <c r="W212" i="1"/>
  <c r="S212" i="1" s="1"/>
  <c r="Y212" i="1" s="1"/>
  <c r="R210" i="1"/>
  <c r="W210" i="1"/>
  <c r="X209" i="1"/>
  <c r="T209" i="1"/>
  <c r="W208" i="1"/>
  <c r="X196" i="1"/>
  <c r="T196" i="1"/>
  <c r="X187" i="1"/>
  <c r="T187" i="1"/>
  <c r="W172" i="1"/>
  <c r="R172" i="1"/>
  <c r="V164" i="1"/>
  <c r="V162" i="1"/>
  <c r="T162" i="1"/>
  <c r="R149" i="1"/>
  <c r="W149" i="1"/>
  <c r="T136" i="1"/>
  <c r="X136" i="1"/>
  <c r="V136" i="1"/>
  <c r="T127" i="1"/>
  <c r="V127" i="1"/>
  <c r="X127" i="1"/>
  <c r="V122" i="1"/>
  <c r="T122" i="1"/>
  <c r="X122" i="1"/>
  <c r="T88" i="1"/>
  <c r="X88" i="1"/>
  <c r="X137" i="1"/>
  <c r="T137" i="1"/>
  <c r="V134" i="1"/>
  <c r="V126" i="1"/>
  <c r="X126" i="1"/>
  <c r="T126" i="1"/>
  <c r="T119" i="1"/>
  <c r="U119" i="1" s="1"/>
  <c r="Z119" i="1" s="1"/>
  <c r="V119" i="1"/>
  <c r="V117" i="1"/>
  <c r="T117" i="1"/>
  <c r="W115" i="1"/>
  <c r="R115" i="1"/>
  <c r="X86" i="1"/>
  <c r="T86" i="1"/>
  <c r="X78" i="1"/>
  <c r="T78" i="1"/>
  <c r="X71" i="1"/>
  <c r="T71" i="1"/>
  <c r="V71" i="1"/>
  <c r="V194" i="1"/>
  <c r="R134" i="1"/>
  <c r="W134" i="1"/>
  <c r="X103" i="1"/>
  <c r="T103" i="1"/>
  <c r="V103" i="1"/>
  <c r="V118" i="1"/>
  <c r="R107" i="1"/>
  <c r="V105" i="1"/>
  <c r="R99" i="1"/>
  <c r="S99" i="1" s="1"/>
  <c r="Y99" i="1" s="1"/>
  <c r="V97" i="1"/>
  <c r="R91" i="1"/>
  <c r="S91" i="1" s="1"/>
  <c r="Y91" i="1" s="1"/>
  <c r="V89" i="1"/>
  <c r="R83" i="1"/>
  <c r="S83" i="1" s="1"/>
  <c r="Y83" i="1" s="1"/>
  <c r="V81" i="1"/>
  <c r="R75" i="1"/>
  <c r="V73" i="1"/>
  <c r="V125" i="1"/>
  <c r="W106" i="1"/>
  <c r="S106" i="1" s="1"/>
  <c r="Y106" i="1" s="1"/>
  <c r="W98" i="1"/>
  <c r="S98" i="1" s="1"/>
  <c r="Y98" i="1" s="1"/>
  <c r="W90" i="1"/>
  <c r="S90" i="1" s="1"/>
  <c r="Y90" i="1" s="1"/>
  <c r="W82" i="1"/>
  <c r="S82" i="1" s="1"/>
  <c r="Y82" i="1" s="1"/>
  <c r="V109" i="1"/>
  <c r="V101" i="1"/>
  <c r="V93" i="1"/>
  <c r="V85" i="1"/>
  <c r="V77" i="1"/>
  <c r="R305" i="1"/>
  <c r="V305" i="1"/>
  <c r="W284" i="1"/>
  <c r="R237" i="1"/>
  <c r="W237" i="1"/>
  <c r="X226" i="1"/>
  <c r="T226" i="1"/>
  <c r="V226" i="1"/>
  <c r="R205" i="1"/>
  <c r="W205" i="1"/>
  <c r="X166" i="1"/>
  <c r="T166" i="1"/>
  <c r="V166" i="1"/>
  <c r="R104" i="1"/>
  <c r="V104" i="1"/>
  <c r="W104" i="1"/>
  <c r="R96" i="1"/>
  <c r="V96" i="1"/>
  <c r="W96" i="1"/>
  <c r="R88" i="1"/>
  <c r="V88" i="1"/>
  <c r="W88" i="1"/>
  <c r="R80" i="1"/>
  <c r="V80" i="1"/>
  <c r="W80" i="1"/>
  <c r="R72" i="1"/>
  <c r="V72" i="1"/>
  <c r="W72" i="1"/>
  <c r="V344" i="1"/>
  <c r="T342" i="1"/>
  <c r="V341" i="1"/>
  <c r="W339" i="1"/>
  <c r="S339" i="1" s="1"/>
  <c r="Y339" i="1" s="1"/>
  <c r="X336" i="1"/>
  <c r="T336" i="1"/>
  <c r="V335" i="1"/>
  <c r="W334" i="1"/>
  <c r="S334" i="1" s="1"/>
  <c r="Y334" i="1" s="1"/>
  <c r="T331" i="1"/>
  <c r="V328" i="1"/>
  <c r="T326" i="1"/>
  <c r="U326" i="1" s="1"/>
  <c r="Z326" i="1" s="1"/>
  <c r="V325" i="1"/>
  <c r="W323" i="1"/>
  <c r="S323" i="1" s="1"/>
  <c r="Y323" i="1" s="1"/>
  <c r="X320" i="1"/>
  <c r="T320" i="1"/>
  <c r="V319" i="1"/>
  <c r="W318" i="1"/>
  <c r="T315" i="1"/>
  <c r="V312" i="1"/>
  <c r="T310" i="1"/>
  <c r="V309" i="1"/>
  <c r="W307" i="1"/>
  <c r="S307" i="1" s="1"/>
  <c r="Y307" i="1" s="1"/>
  <c r="X306" i="1"/>
  <c r="U306" i="1" s="1"/>
  <c r="Z306" i="1" s="1"/>
  <c r="V302" i="1"/>
  <c r="W299" i="1"/>
  <c r="S299" i="1" s="1"/>
  <c r="Y299" i="1" s="1"/>
  <c r="X298" i="1"/>
  <c r="U298" i="1" s="1"/>
  <c r="Z298" i="1" s="1"/>
  <c r="V294" i="1"/>
  <c r="W291" i="1"/>
  <c r="S291" i="1" s="1"/>
  <c r="Y291" i="1" s="1"/>
  <c r="X290" i="1"/>
  <c r="V288" i="1"/>
  <c r="V285" i="1"/>
  <c r="T285" i="1"/>
  <c r="U285" i="1" s="1"/>
  <c r="Z285" i="1" s="1"/>
  <c r="V278" i="1"/>
  <c r="X278" i="1"/>
  <c r="U278" i="1" s="1"/>
  <c r="Z278" i="1" s="1"/>
  <c r="W277" i="1"/>
  <c r="S277" i="1" s="1"/>
  <c r="Y277" i="1" s="1"/>
  <c r="V270" i="1"/>
  <c r="X270" i="1"/>
  <c r="U270" i="1" s="1"/>
  <c r="Z270" i="1" s="1"/>
  <c r="W269" i="1"/>
  <c r="S269" i="1" s="1"/>
  <c r="Y269" i="1" s="1"/>
  <c r="V262" i="1"/>
  <c r="X262" i="1"/>
  <c r="U262" i="1" s="1"/>
  <c r="Z262" i="1" s="1"/>
  <c r="W261" i="1"/>
  <c r="S261" i="1" s="1"/>
  <c r="Y261" i="1" s="1"/>
  <c r="V254" i="1"/>
  <c r="X254" i="1"/>
  <c r="U254" i="1" s="1"/>
  <c r="Z254" i="1" s="1"/>
  <c r="W253" i="1"/>
  <c r="S253" i="1" s="1"/>
  <c r="Y253" i="1" s="1"/>
  <c r="X250" i="1"/>
  <c r="T250" i="1"/>
  <c r="V250" i="1"/>
  <c r="R229" i="1"/>
  <c r="W229" i="1"/>
  <c r="X218" i="1"/>
  <c r="T218" i="1"/>
  <c r="V218" i="1"/>
  <c r="R197" i="1"/>
  <c r="W197" i="1"/>
  <c r="R189" i="1"/>
  <c r="W189" i="1"/>
  <c r="R177" i="1"/>
  <c r="V177" i="1"/>
  <c r="W177" i="1"/>
  <c r="W343" i="1"/>
  <c r="S343" i="1" s="1"/>
  <c r="Y343" i="1" s="1"/>
  <c r="W338" i="1"/>
  <c r="R338" i="1"/>
  <c r="X331" i="1"/>
  <c r="W327" i="1"/>
  <c r="S327" i="1" s="1"/>
  <c r="Y327" i="1" s="1"/>
  <c r="W322" i="1"/>
  <c r="R322" i="1"/>
  <c r="X315" i="1"/>
  <c r="W311" i="1"/>
  <c r="S311" i="1" s="1"/>
  <c r="Y311" i="1" s="1"/>
  <c r="W305" i="1"/>
  <c r="T302" i="1"/>
  <c r="U302" i="1" s="1"/>
  <c r="Z302" i="1" s="1"/>
  <c r="R301" i="1"/>
  <c r="S301" i="1" s="1"/>
  <c r="Y301" i="1" s="1"/>
  <c r="V301" i="1"/>
  <c r="T294" i="1"/>
  <c r="U294" i="1" s="1"/>
  <c r="Z294" i="1" s="1"/>
  <c r="R293" i="1"/>
  <c r="S293" i="1" s="1"/>
  <c r="Y293" i="1" s="1"/>
  <c r="V293" i="1"/>
  <c r="R287" i="1"/>
  <c r="S287" i="1" s="1"/>
  <c r="Y287" i="1" s="1"/>
  <c r="V287" i="1"/>
  <c r="R284" i="1"/>
  <c r="X242" i="1"/>
  <c r="T242" i="1"/>
  <c r="V242" i="1"/>
  <c r="R221" i="1"/>
  <c r="W221" i="1"/>
  <c r="X210" i="1"/>
  <c r="T210" i="1"/>
  <c r="V210" i="1"/>
  <c r="R145" i="1"/>
  <c r="W145" i="1"/>
  <c r="R297" i="1"/>
  <c r="S297" i="1" s="1"/>
  <c r="Y297" i="1" s="1"/>
  <c r="V297" i="1"/>
  <c r="V406" i="1"/>
  <c r="V402" i="1"/>
  <c r="V398" i="1"/>
  <c r="V394" i="1"/>
  <c r="V390" i="1"/>
  <c r="V386" i="1"/>
  <c r="V382" i="1"/>
  <c r="V378" i="1"/>
  <c r="V374" i="1"/>
  <c r="V370" i="1"/>
  <c r="V366" i="1"/>
  <c r="V362" i="1"/>
  <c r="V358" i="1"/>
  <c r="V354" i="1"/>
  <c r="V350" i="1"/>
  <c r="V346" i="1"/>
  <c r="X344" i="1"/>
  <c r="U344" i="1" s="1"/>
  <c r="Z344" i="1" s="1"/>
  <c r="V343" i="1"/>
  <c r="T339" i="1"/>
  <c r="V333" i="1"/>
  <c r="X328" i="1"/>
  <c r="U328" i="1" s="1"/>
  <c r="Z328" i="1" s="1"/>
  <c r="V327" i="1"/>
  <c r="T323" i="1"/>
  <c r="V317" i="1"/>
  <c r="X312" i="1"/>
  <c r="U312" i="1" s="1"/>
  <c r="Z312" i="1" s="1"/>
  <c r="V311" i="1"/>
  <c r="T307" i="1"/>
  <c r="X288" i="1"/>
  <c r="U288" i="1" s="1"/>
  <c r="Z288" i="1" s="1"/>
  <c r="X282" i="1"/>
  <c r="U282" i="1" s="1"/>
  <c r="Z282" i="1" s="1"/>
  <c r="V282" i="1"/>
  <c r="W281" i="1"/>
  <c r="S281" i="1" s="1"/>
  <c r="Y281" i="1" s="1"/>
  <c r="X274" i="1"/>
  <c r="U274" i="1" s="1"/>
  <c r="Z274" i="1" s="1"/>
  <c r="V274" i="1"/>
  <c r="W273" i="1"/>
  <c r="S273" i="1" s="1"/>
  <c r="Y273" i="1" s="1"/>
  <c r="X266" i="1"/>
  <c r="U266" i="1" s="1"/>
  <c r="Z266" i="1" s="1"/>
  <c r="V266" i="1"/>
  <c r="W265" i="1"/>
  <c r="S265" i="1" s="1"/>
  <c r="Y265" i="1" s="1"/>
  <c r="X258" i="1"/>
  <c r="U258" i="1" s="1"/>
  <c r="Z258" i="1" s="1"/>
  <c r="V258" i="1"/>
  <c r="W257" i="1"/>
  <c r="S257" i="1" s="1"/>
  <c r="Y257" i="1" s="1"/>
  <c r="R245" i="1"/>
  <c r="W245" i="1"/>
  <c r="X234" i="1"/>
  <c r="T234" i="1"/>
  <c r="V234" i="1"/>
  <c r="R213" i="1"/>
  <c r="W213" i="1"/>
  <c r="X202" i="1"/>
  <c r="T202" i="1"/>
  <c r="V202" i="1"/>
  <c r="R193" i="1"/>
  <c r="W193" i="1"/>
  <c r="V289" i="1"/>
  <c r="V281" i="1"/>
  <c r="R275" i="1"/>
  <c r="V275" i="1"/>
  <c r="V273" i="1"/>
  <c r="R267" i="1"/>
  <c r="V267" i="1"/>
  <c r="V265" i="1"/>
  <c r="R259" i="1"/>
  <c r="V259" i="1"/>
  <c r="V257" i="1"/>
  <c r="R251" i="1"/>
  <c r="V251" i="1"/>
  <c r="V249" i="1"/>
  <c r="X246" i="1"/>
  <c r="R243" i="1"/>
  <c r="V243" i="1"/>
  <c r="V241" i="1"/>
  <c r="X238" i="1"/>
  <c r="R235" i="1"/>
  <c r="V235" i="1"/>
  <c r="V233" i="1"/>
  <c r="X230" i="1"/>
  <c r="R227" i="1"/>
  <c r="V227" i="1"/>
  <c r="V225" i="1"/>
  <c r="X222" i="1"/>
  <c r="R219" i="1"/>
  <c r="V219" i="1"/>
  <c r="V217" i="1"/>
  <c r="X214" i="1"/>
  <c r="R211" i="1"/>
  <c r="V211" i="1"/>
  <c r="V209" i="1"/>
  <c r="X206" i="1"/>
  <c r="R203" i="1"/>
  <c r="V203" i="1"/>
  <c r="V201" i="1"/>
  <c r="X198" i="1"/>
  <c r="R169" i="1"/>
  <c r="V169" i="1"/>
  <c r="W169" i="1"/>
  <c r="X158" i="1"/>
  <c r="T158" i="1"/>
  <c r="V158" i="1"/>
  <c r="R124" i="1"/>
  <c r="V124" i="1"/>
  <c r="W124" i="1"/>
  <c r="X113" i="1"/>
  <c r="T113" i="1"/>
  <c r="V113" i="1"/>
  <c r="X182" i="1"/>
  <c r="T182" i="1"/>
  <c r="V182" i="1"/>
  <c r="R161" i="1"/>
  <c r="V161" i="1"/>
  <c r="W161" i="1"/>
  <c r="X150" i="1"/>
  <c r="T150" i="1"/>
  <c r="V150" i="1"/>
  <c r="V137" i="1"/>
  <c r="R137" i="1"/>
  <c r="X289" i="1"/>
  <c r="U289" i="1" s="1"/>
  <c r="Z289" i="1" s="1"/>
  <c r="W285" i="1"/>
  <c r="S285" i="1" s="1"/>
  <c r="Y285" i="1" s="1"/>
  <c r="R279" i="1"/>
  <c r="S279" i="1" s="1"/>
  <c r="Y279" i="1" s="1"/>
  <c r="V279" i="1"/>
  <c r="V277" i="1"/>
  <c r="W275" i="1"/>
  <c r="R271" i="1"/>
  <c r="S271" i="1" s="1"/>
  <c r="Y271" i="1" s="1"/>
  <c r="V271" i="1"/>
  <c r="V269" i="1"/>
  <c r="W267" i="1"/>
  <c r="R263" i="1"/>
  <c r="S263" i="1" s="1"/>
  <c r="Y263" i="1" s="1"/>
  <c r="V263" i="1"/>
  <c r="V261" i="1"/>
  <c r="W259" i="1"/>
  <c r="R255" i="1"/>
  <c r="S255" i="1" s="1"/>
  <c r="Y255" i="1" s="1"/>
  <c r="V255" i="1"/>
  <c r="V253" i="1"/>
  <c r="W251" i="1"/>
  <c r="R247" i="1"/>
  <c r="S247" i="1" s="1"/>
  <c r="Y247" i="1" s="1"/>
  <c r="V247" i="1"/>
  <c r="V245" i="1"/>
  <c r="W243" i="1"/>
  <c r="R239" i="1"/>
  <c r="S239" i="1" s="1"/>
  <c r="Y239" i="1" s="1"/>
  <c r="V239" i="1"/>
  <c r="V237" i="1"/>
  <c r="W235" i="1"/>
  <c r="R231" i="1"/>
  <c r="S231" i="1" s="1"/>
  <c r="Y231" i="1" s="1"/>
  <c r="V231" i="1"/>
  <c r="V229" i="1"/>
  <c r="W227" i="1"/>
  <c r="R223" i="1"/>
  <c r="S223" i="1" s="1"/>
  <c r="Y223" i="1" s="1"/>
  <c r="V223" i="1"/>
  <c r="V221" i="1"/>
  <c r="W219" i="1"/>
  <c r="R215" i="1"/>
  <c r="S215" i="1" s="1"/>
  <c r="Y215" i="1" s="1"/>
  <c r="V215" i="1"/>
  <c r="V213" i="1"/>
  <c r="W211" i="1"/>
  <c r="R207" i="1"/>
  <c r="S207" i="1" s="1"/>
  <c r="Y207" i="1" s="1"/>
  <c r="V207" i="1"/>
  <c r="V205" i="1"/>
  <c r="W203" i="1"/>
  <c r="R199" i="1"/>
  <c r="S199" i="1" s="1"/>
  <c r="Y199" i="1" s="1"/>
  <c r="V199" i="1"/>
  <c r="V197" i="1"/>
  <c r="V193" i="1"/>
  <c r="V189" i="1"/>
  <c r="R185" i="1"/>
  <c r="V185" i="1"/>
  <c r="W185" i="1"/>
  <c r="X174" i="1"/>
  <c r="T174" i="1"/>
  <c r="V174" i="1"/>
  <c r="R153" i="1"/>
  <c r="W153" i="1"/>
  <c r="X142" i="1"/>
  <c r="T142" i="1"/>
  <c r="V142" i="1"/>
  <c r="W137" i="1"/>
  <c r="R183" i="1"/>
  <c r="S183" i="1" s="1"/>
  <c r="Y183" i="1" s="1"/>
  <c r="V183" i="1"/>
  <c r="X178" i="1"/>
  <c r="R175" i="1"/>
  <c r="S175" i="1" s="1"/>
  <c r="Y175" i="1" s="1"/>
  <c r="V175" i="1"/>
  <c r="X170" i="1"/>
  <c r="R167" i="1"/>
  <c r="S167" i="1" s="1"/>
  <c r="Y167" i="1" s="1"/>
  <c r="V167" i="1"/>
  <c r="X162" i="1"/>
  <c r="R159" i="1"/>
  <c r="S159" i="1" s="1"/>
  <c r="Y159" i="1" s="1"/>
  <c r="V159" i="1"/>
  <c r="V157" i="1"/>
  <c r="X154" i="1"/>
  <c r="R151" i="1"/>
  <c r="S151" i="1" s="1"/>
  <c r="Y151" i="1" s="1"/>
  <c r="V151" i="1"/>
  <c r="V149" i="1"/>
  <c r="X146" i="1"/>
  <c r="R143" i="1"/>
  <c r="S143" i="1" s="1"/>
  <c r="Y143" i="1" s="1"/>
  <c r="V143" i="1"/>
  <c r="V141" i="1"/>
  <c r="V138" i="1"/>
  <c r="T138" i="1"/>
  <c r="U138" i="1" s="1"/>
  <c r="Z138" i="1" s="1"/>
  <c r="R116" i="1"/>
  <c r="V116" i="1"/>
  <c r="W116" i="1"/>
  <c r="R181" i="1"/>
  <c r="S181" i="1" s="1"/>
  <c r="Y181" i="1" s="1"/>
  <c r="V181" i="1"/>
  <c r="R173" i="1"/>
  <c r="S173" i="1" s="1"/>
  <c r="Y173" i="1" s="1"/>
  <c r="V173" i="1"/>
  <c r="R165" i="1"/>
  <c r="S165" i="1" s="1"/>
  <c r="Y165" i="1" s="1"/>
  <c r="V165" i="1"/>
  <c r="V133" i="1"/>
  <c r="X133" i="1"/>
  <c r="U133" i="1" s="1"/>
  <c r="Z133" i="1" s="1"/>
  <c r="X129" i="1"/>
  <c r="T129" i="1"/>
  <c r="V129" i="1"/>
  <c r="R108" i="1"/>
  <c r="V108" i="1"/>
  <c r="W108" i="1"/>
  <c r="R100" i="1"/>
  <c r="V100" i="1"/>
  <c r="W100" i="1"/>
  <c r="R92" i="1"/>
  <c r="V92" i="1"/>
  <c r="W92" i="1"/>
  <c r="R84" i="1"/>
  <c r="V84" i="1"/>
  <c r="W84" i="1"/>
  <c r="R76" i="1"/>
  <c r="V76" i="1"/>
  <c r="W76" i="1"/>
  <c r="V195" i="1"/>
  <c r="V191" i="1"/>
  <c r="V187" i="1"/>
  <c r="R179" i="1"/>
  <c r="S179" i="1" s="1"/>
  <c r="Y179" i="1" s="1"/>
  <c r="V179" i="1"/>
  <c r="R171" i="1"/>
  <c r="S171" i="1" s="1"/>
  <c r="Y171" i="1" s="1"/>
  <c r="V171" i="1"/>
  <c r="R163" i="1"/>
  <c r="S163" i="1" s="1"/>
  <c r="Y163" i="1" s="1"/>
  <c r="V163" i="1"/>
  <c r="R155" i="1"/>
  <c r="S155" i="1" s="1"/>
  <c r="Y155" i="1" s="1"/>
  <c r="V155" i="1"/>
  <c r="V153" i="1"/>
  <c r="R147" i="1"/>
  <c r="S147" i="1" s="1"/>
  <c r="Y147" i="1" s="1"/>
  <c r="V147" i="1"/>
  <c r="V145" i="1"/>
  <c r="R139" i="1"/>
  <c r="S139" i="1" s="1"/>
  <c r="Y139" i="1" s="1"/>
  <c r="V139" i="1"/>
  <c r="R132" i="1"/>
  <c r="S132" i="1" s="1"/>
  <c r="Y132" i="1" s="1"/>
  <c r="V132" i="1"/>
  <c r="X121" i="1"/>
  <c r="T121" i="1"/>
  <c r="V121" i="1"/>
  <c r="X125" i="1"/>
  <c r="U125" i="1" s="1"/>
  <c r="Z125" i="1" s="1"/>
  <c r="X117" i="1"/>
  <c r="R114" i="1"/>
  <c r="V114" i="1"/>
  <c r="X109" i="1"/>
  <c r="U109" i="1" s="1"/>
  <c r="Z109" i="1" s="1"/>
  <c r="R128" i="1"/>
  <c r="S128" i="1" s="1"/>
  <c r="Y128" i="1" s="1"/>
  <c r="V128" i="1"/>
  <c r="R120" i="1"/>
  <c r="S120" i="1" s="1"/>
  <c r="Y120" i="1" s="1"/>
  <c r="V120" i="1"/>
  <c r="R112" i="1"/>
  <c r="S112" i="1" s="1"/>
  <c r="Y112" i="1" s="1"/>
  <c r="V112" i="1"/>
  <c r="W138" i="1"/>
  <c r="S138" i="1" s="1"/>
  <c r="Y138" i="1" s="1"/>
  <c r="X135" i="1"/>
  <c r="U135" i="1" s="1"/>
  <c r="Z135" i="1" s="1"/>
  <c r="W130" i="1"/>
  <c r="S130" i="1" s="1"/>
  <c r="Y130" i="1" s="1"/>
  <c r="W122" i="1"/>
  <c r="S122" i="1" s="1"/>
  <c r="Y122" i="1" s="1"/>
  <c r="W114" i="1"/>
  <c r="R110" i="1"/>
  <c r="S110" i="1" s="1"/>
  <c r="Y110" i="1" s="1"/>
  <c r="V110" i="1"/>
  <c r="V106" i="1"/>
  <c r="V102" i="1"/>
  <c r="V98" i="1"/>
  <c r="V94" i="1"/>
  <c r="V90" i="1"/>
  <c r="V86" i="1"/>
  <c r="V82" i="1"/>
  <c r="V78" i="1"/>
  <c r="V74" i="1"/>
  <c r="N5" i="3"/>
  <c r="N8" i="3"/>
  <c r="N4" i="3"/>
  <c r="M5" i="3"/>
  <c r="M8" i="3"/>
  <c r="M18" i="3"/>
  <c r="M4" i="3"/>
  <c r="U178" i="1" l="1"/>
  <c r="Z178" i="1" s="1"/>
  <c r="S189" i="1"/>
  <c r="Y189" i="1" s="1"/>
  <c r="U89" i="1"/>
  <c r="Z89" i="1" s="1"/>
  <c r="S75" i="1"/>
  <c r="Y75" i="1" s="1"/>
  <c r="S111" i="1"/>
  <c r="Y111" i="1" s="1"/>
  <c r="U366" i="1"/>
  <c r="Z366" i="1" s="1"/>
  <c r="U410" i="1"/>
  <c r="Z410" i="1" s="1"/>
  <c r="U277" i="1"/>
  <c r="Z277" i="1" s="1"/>
  <c r="U231" i="1"/>
  <c r="Z231" i="1" s="1"/>
  <c r="U311" i="1"/>
  <c r="Z311" i="1" s="1"/>
  <c r="U235" i="1"/>
  <c r="Z235" i="1" s="1"/>
  <c r="U382" i="1"/>
  <c r="Z382" i="1" s="1"/>
  <c r="S126" i="1"/>
  <c r="Y126" i="1" s="1"/>
  <c r="S312" i="1"/>
  <c r="Y312" i="1" s="1"/>
  <c r="U310" i="1"/>
  <c r="Z310" i="1" s="1"/>
  <c r="S244" i="1"/>
  <c r="Y244" i="1" s="1"/>
  <c r="U413" i="1"/>
  <c r="Z413" i="1" s="1"/>
  <c r="S123" i="1"/>
  <c r="Y123" i="1" s="1"/>
  <c r="U170" i="1"/>
  <c r="Z170" i="1" s="1"/>
  <c r="S318" i="1"/>
  <c r="Y318" i="1" s="1"/>
  <c r="S192" i="1"/>
  <c r="Y192" i="1" s="1"/>
  <c r="S349" i="1"/>
  <c r="Y349" i="1" s="1"/>
  <c r="U173" i="1"/>
  <c r="Z173" i="1" s="1"/>
  <c r="S238" i="1"/>
  <c r="Y238" i="1" s="1"/>
  <c r="U367" i="1"/>
  <c r="Z367" i="1" s="1"/>
  <c r="U206" i="1"/>
  <c r="Z206" i="1" s="1"/>
  <c r="S107" i="1"/>
  <c r="Y107" i="1" s="1"/>
  <c r="S415" i="1"/>
  <c r="Y415" i="1" s="1"/>
  <c r="S89" i="1"/>
  <c r="Y89" i="1" s="1"/>
  <c r="U83" i="1"/>
  <c r="Z83" i="1" s="1"/>
  <c r="U114" i="1"/>
  <c r="Z114" i="1" s="1"/>
  <c r="U215" i="1"/>
  <c r="Z215" i="1" s="1"/>
  <c r="U411" i="1"/>
  <c r="Z411" i="1" s="1"/>
  <c r="U157" i="1"/>
  <c r="Z157" i="1" s="1"/>
  <c r="S103" i="1"/>
  <c r="Y103" i="1" s="1"/>
  <c r="S282" i="1"/>
  <c r="Y282" i="1" s="1"/>
  <c r="U332" i="1"/>
  <c r="Z332" i="1" s="1"/>
  <c r="S93" i="1"/>
  <c r="Y93" i="1" s="1"/>
  <c r="U120" i="1"/>
  <c r="Z120" i="1" s="1"/>
  <c r="U334" i="1"/>
  <c r="Z334" i="1" s="1"/>
  <c r="U150" i="1"/>
  <c r="Z150" i="1" s="1"/>
  <c r="U236" i="1"/>
  <c r="Z236" i="1" s="1"/>
  <c r="S203" i="1"/>
  <c r="Y203" i="1" s="1"/>
  <c r="S161" i="1"/>
  <c r="Y161" i="1" s="1"/>
  <c r="U331" i="1"/>
  <c r="Z331" i="1" s="1"/>
  <c r="S268" i="1"/>
  <c r="Y268" i="1" s="1"/>
  <c r="S254" i="1"/>
  <c r="Y254" i="1" s="1"/>
  <c r="U276" i="1"/>
  <c r="Z276" i="1" s="1"/>
  <c r="U342" i="1"/>
  <c r="Z342" i="1" s="1"/>
  <c r="U223" i="1"/>
  <c r="Z223" i="1" s="1"/>
  <c r="U70" i="1"/>
  <c r="Z70" i="1" s="1"/>
  <c r="S113" i="1"/>
  <c r="Y113" i="1" s="1"/>
  <c r="U191" i="1"/>
  <c r="Z191" i="1" s="1"/>
  <c r="U222" i="1"/>
  <c r="Z222" i="1" s="1"/>
  <c r="U290" i="1"/>
  <c r="Z290" i="1" s="1"/>
  <c r="S156" i="1"/>
  <c r="Y156" i="1" s="1"/>
  <c r="U147" i="1"/>
  <c r="Z147" i="1" s="1"/>
  <c r="U399" i="1"/>
  <c r="Z399" i="1" s="1"/>
  <c r="S300" i="1"/>
  <c r="Y300" i="1" s="1"/>
  <c r="S326" i="1"/>
  <c r="Y326" i="1" s="1"/>
  <c r="U90" i="1"/>
  <c r="Z90" i="1" s="1"/>
  <c r="S236" i="1"/>
  <c r="Y236" i="1" s="1"/>
  <c r="U153" i="1"/>
  <c r="Z153" i="1" s="1"/>
  <c r="S79" i="1"/>
  <c r="Y79" i="1" s="1"/>
  <c r="S200" i="1"/>
  <c r="Y200" i="1" s="1"/>
  <c r="U281" i="1"/>
  <c r="Z281" i="1" s="1"/>
  <c r="U192" i="1"/>
  <c r="Z192" i="1" s="1"/>
  <c r="U162" i="1"/>
  <c r="Z162" i="1" s="1"/>
  <c r="U322" i="1"/>
  <c r="Z322" i="1" s="1"/>
  <c r="S187" i="1"/>
  <c r="Y187" i="1" s="1"/>
  <c r="U156" i="1"/>
  <c r="Z156" i="1" s="1"/>
  <c r="U348" i="1"/>
  <c r="Z348" i="1" s="1"/>
  <c r="S148" i="1"/>
  <c r="Y148" i="1" s="1"/>
  <c r="U393" i="1"/>
  <c r="Z393" i="1" s="1"/>
  <c r="U77" i="1"/>
  <c r="Z77" i="1" s="1"/>
  <c r="U343" i="1"/>
  <c r="Z343" i="1" s="1"/>
  <c r="S235" i="1"/>
  <c r="Y235" i="1" s="1"/>
  <c r="U246" i="1"/>
  <c r="Z246" i="1" s="1"/>
  <c r="U339" i="1"/>
  <c r="Z339" i="1" s="1"/>
  <c r="S115" i="1"/>
  <c r="Y115" i="1" s="1"/>
  <c r="S142" i="1"/>
  <c r="Y142" i="1" s="1"/>
  <c r="U354" i="1"/>
  <c r="Z354" i="1" s="1"/>
  <c r="S135" i="1"/>
  <c r="Y135" i="1" s="1"/>
  <c r="S405" i="1"/>
  <c r="Y405" i="1" s="1"/>
  <c r="U92" i="1"/>
  <c r="Z92" i="1" s="1"/>
  <c r="U180" i="1"/>
  <c r="Z180" i="1" s="1"/>
  <c r="U220" i="1"/>
  <c r="Z220" i="1" s="1"/>
  <c r="S417" i="1"/>
  <c r="Y417" i="1" s="1"/>
  <c r="U352" i="1"/>
  <c r="Z352" i="1" s="1"/>
  <c r="S246" i="1"/>
  <c r="Y246" i="1" s="1"/>
  <c r="S78" i="1"/>
  <c r="Y78" i="1" s="1"/>
  <c r="S127" i="1"/>
  <c r="Y127" i="1" s="1"/>
  <c r="U198" i="1"/>
  <c r="Z198" i="1" s="1"/>
  <c r="S134" i="1"/>
  <c r="Y134" i="1" s="1"/>
  <c r="S164" i="1"/>
  <c r="Y164" i="1" s="1"/>
  <c r="U80" i="1"/>
  <c r="Z80" i="1" s="1"/>
  <c r="S109" i="1"/>
  <c r="Y109" i="1" s="1"/>
  <c r="S248" i="1"/>
  <c r="Y248" i="1" s="1"/>
  <c r="U96" i="1"/>
  <c r="Z96" i="1" s="1"/>
  <c r="U229" i="1"/>
  <c r="Z229" i="1" s="1"/>
  <c r="S222" i="1"/>
  <c r="Y222" i="1" s="1"/>
  <c r="S230" i="1"/>
  <c r="Y230" i="1" s="1"/>
  <c r="S260" i="1"/>
  <c r="Y260" i="1" s="1"/>
  <c r="U340" i="1"/>
  <c r="Z340" i="1" s="1"/>
  <c r="U177" i="1"/>
  <c r="Z177" i="1" s="1"/>
  <c r="S220" i="1"/>
  <c r="Y220" i="1" s="1"/>
  <c r="U267" i="1"/>
  <c r="Z267" i="1" s="1"/>
  <c r="S375" i="1"/>
  <c r="Y375" i="1" s="1"/>
  <c r="S296" i="1"/>
  <c r="Y296" i="1" s="1"/>
  <c r="S344" i="1"/>
  <c r="Y344" i="1" s="1"/>
  <c r="S97" i="1"/>
  <c r="Y97" i="1" s="1"/>
  <c r="U314" i="1"/>
  <c r="Z314" i="1" s="1"/>
  <c r="S71" i="1"/>
  <c r="Y71" i="1" s="1"/>
  <c r="U185" i="1"/>
  <c r="Z185" i="1" s="1"/>
  <c r="U305" i="1"/>
  <c r="Z305" i="1" s="1"/>
  <c r="S267" i="1"/>
  <c r="Y267" i="1" s="1"/>
  <c r="U166" i="1"/>
  <c r="Z166" i="1" s="1"/>
  <c r="U187" i="1"/>
  <c r="Z187" i="1" s="1"/>
  <c r="U140" i="1"/>
  <c r="Z140" i="1" s="1"/>
  <c r="U252" i="1"/>
  <c r="Z252" i="1" s="1"/>
  <c r="U303" i="1"/>
  <c r="Z303" i="1" s="1"/>
  <c r="S208" i="1"/>
  <c r="Y208" i="1" s="1"/>
  <c r="S84" i="1"/>
  <c r="Y84" i="1" s="1"/>
  <c r="S137" i="1"/>
  <c r="Y137" i="1" s="1"/>
  <c r="S153" i="1"/>
  <c r="Y153" i="1" s="1"/>
  <c r="U218" i="1"/>
  <c r="Z218" i="1" s="1"/>
  <c r="U71" i="1"/>
  <c r="Z71" i="1" s="1"/>
  <c r="U126" i="1"/>
  <c r="Z126" i="1" s="1"/>
  <c r="S172" i="1"/>
  <c r="Y172" i="1" s="1"/>
  <c r="S242" i="1"/>
  <c r="Y242" i="1" s="1"/>
  <c r="S283" i="1"/>
  <c r="Y283" i="1" s="1"/>
  <c r="U287" i="1"/>
  <c r="Z287" i="1" s="1"/>
  <c r="S382" i="1"/>
  <c r="Y382" i="1" s="1"/>
  <c r="S195" i="1"/>
  <c r="Y195" i="1" s="1"/>
  <c r="U237" i="1"/>
  <c r="Z237" i="1" s="1"/>
  <c r="S292" i="1"/>
  <c r="Y292" i="1" s="1"/>
  <c r="U338" i="1"/>
  <c r="Z338" i="1" s="1"/>
  <c r="U265" i="1"/>
  <c r="Z265" i="1" s="1"/>
  <c r="U321" i="1"/>
  <c r="Z321" i="1" s="1"/>
  <c r="U345" i="1"/>
  <c r="Z345" i="1" s="1"/>
  <c r="U387" i="1"/>
  <c r="Z387" i="1" s="1"/>
  <c r="S234" i="1"/>
  <c r="Y234" i="1" s="1"/>
  <c r="S252" i="1"/>
  <c r="Y252" i="1" s="1"/>
  <c r="U269" i="1"/>
  <c r="Z269" i="1" s="1"/>
  <c r="S398" i="1"/>
  <c r="Y398" i="1" s="1"/>
  <c r="S77" i="1"/>
  <c r="Y77" i="1" s="1"/>
  <c r="S387" i="1"/>
  <c r="Y387" i="1" s="1"/>
  <c r="S400" i="1"/>
  <c r="Y400" i="1" s="1"/>
  <c r="U392" i="1"/>
  <c r="Z392" i="1" s="1"/>
  <c r="U82" i="1"/>
  <c r="Z82" i="1" s="1"/>
  <c r="S125" i="1"/>
  <c r="Y125" i="1" s="1"/>
  <c r="S154" i="1"/>
  <c r="Y154" i="1" s="1"/>
  <c r="S302" i="1"/>
  <c r="Y302" i="1" s="1"/>
  <c r="S74" i="1"/>
  <c r="Y74" i="1" s="1"/>
  <c r="U200" i="1"/>
  <c r="Z200" i="1" s="1"/>
  <c r="S310" i="1"/>
  <c r="Y310" i="1" s="1"/>
  <c r="S358" i="1"/>
  <c r="Y358" i="1" s="1"/>
  <c r="S376" i="1"/>
  <c r="Y376" i="1" s="1"/>
  <c r="S249" i="1"/>
  <c r="Y249" i="1" s="1"/>
  <c r="U204" i="1"/>
  <c r="Z204" i="1" s="1"/>
  <c r="U388" i="1"/>
  <c r="Z388" i="1" s="1"/>
  <c r="U99" i="1"/>
  <c r="Z99" i="1" s="1"/>
  <c r="U117" i="1"/>
  <c r="Z117" i="1" s="1"/>
  <c r="U146" i="1"/>
  <c r="Z146" i="1" s="1"/>
  <c r="S124" i="1"/>
  <c r="Y124" i="1" s="1"/>
  <c r="U238" i="1"/>
  <c r="Z238" i="1" s="1"/>
  <c r="U307" i="1"/>
  <c r="Z307" i="1" s="1"/>
  <c r="U88" i="1"/>
  <c r="Z88" i="1" s="1"/>
  <c r="S149" i="1"/>
  <c r="Y149" i="1" s="1"/>
  <c r="S180" i="1"/>
  <c r="Y180" i="1" s="1"/>
  <c r="S276" i="1"/>
  <c r="Y276" i="1" s="1"/>
  <c r="U264" i="1"/>
  <c r="Z264" i="1" s="1"/>
  <c r="S131" i="1"/>
  <c r="Y131" i="1" s="1"/>
  <c r="U353" i="1"/>
  <c r="Z353" i="1" s="1"/>
  <c r="S394" i="1"/>
  <c r="Y394" i="1" s="1"/>
  <c r="U317" i="1"/>
  <c r="Z317" i="1" s="1"/>
  <c r="U351" i="1"/>
  <c r="Z351" i="1" s="1"/>
  <c r="U248" i="1"/>
  <c r="Z248" i="1" s="1"/>
  <c r="U128" i="1"/>
  <c r="Z128" i="1" s="1"/>
  <c r="U391" i="1"/>
  <c r="Z391" i="1" s="1"/>
  <c r="U230" i="1"/>
  <c r="Z230" i="1" s="1"/>
  <c r="U249" i="1"/>
  <c r="Z249" i="1" s="1"/>
  <c r="U263" i="1"/>
  <c r="Z263" i="1" s="1"/>
  <c r="U217" i="1"/>
  <c r="Z217" i="1" s="1"/>
  <c r="U87" i="1"/>
  <c r="Z87" i="1" s="1"/>
  <c r="S185" i="1"/>
  <c r="Y185" i="1" s="1"/>
  <c r="S219" i="1"/>
  <c r="Y219" i="1" s="1"/>
  <c r="S251" i="1"/>
  <c r="Y251" i="1" s="1"/>
  <c r="S367" i="1"/>
  <c r="Y367" i="1" s="1"/>
  <c r="S384" i="1"/>
  <c r="Y384" i="1" s="1"/>
  <c r="S202" i="1"/>
  <c r="Y202" i="1" s="1"/>
  <c r="U213" i="1"/>
  <c r="Z213" i="1" s="1"/>
  <c r="U313" i="1"/>
  <c r="Z313" i="1" s="1"/>
  <c r="U195" i="1"/>
  <c r="Z195" i="1" s="1"/>
  <c r="S350" i="1"/>
  <c r="Y350" i="1" s="1"/>
  <c r="U355" i="1"/>
  <c r="Z355" i="1" s="1"/>
  <c r="S383" i="1"/>
  <c r="Y383" i="1" s="1"/>
  <c r="U102" i="1"/>
  <c r="Z102" i="1" s="1"/>
  <c r="S226" i="1"/>
  <c r="Y226" i="1" s="1"/>
  <c r="U261" i="1"/>
  <c r="Z261" i="1" s="1"/>
  <c r="U356" i="1"/>
  <c r="Z356" i="1" s="1"/>
  <c r="S366" i="1"/>
  <c r="Y366" i="1" s="1"/>
  <c r="U402" i="1"/>
  <c r="Z402" i="1" s="1"/>
  <c r="S225" i="1"/>
  <c r="Y225" i="1" s="1"/>
  <c r="U239" i="1"/>
  <c r="Z239" i="1" s="1"/>
  <c r="U398" i="1"/>
  <c r="Z398" i="1" s="1"/>
  <c r="U197" i="1"/>
  <c r="Z197" i="1" s="1"/>
  <c r="S386" i="1"/>
  <c r="Y386" i="1" s="1"/>
  <c r="S411" i="1"/>
  <c r="Y411" i="1" s="1"/>
  <c r="U271" i="1"/>
  <c r="Z271" i="1" s="1"/>
  <c r="S379" i="1"/>
  <c r="Y379" i="1" s="1"/>
  <c r="S241" i="1"/>
  <c r="Y241" i="1" s="1"/>
  <c r="U335" i="1"/>
  <c r="Z335" i="1" s="1"/>
  <c r="S406" i="1"/>
  <c r="Y406" i="1" s="1"/>
  <c r="U320" i="1"/>
  <c r="Z320" i="1" s="1"/>
  <c r="U209" i="1"/>
  <c r="Z209" i="1" s="1"/>
  <c r="U79" i="1"/>
  <c r="Z79" i="1" s="1"/>
  <c r="U371" i="1"/>
  <c r="Z371" i="1" s="1"/>
  <c r="U404" i="1"/>
  <c r="Z404" i="1" s="1"/>
  <c r="U98" i="1"/>
  <c r="Z98" i="1" s="1"/>
  <c r="U154" i="1"/>
  <c r="Z154" i="1" s="1"/>
  <c r="U214" i="1"/>
  <c r="Z214" i="1" s="1"/>
  <c r="U323" i="1"/>
  <c r="Z323" i="1" s="1"/>
  <c r="S197" i="1"/>
  <c r="Y197" i="1" s="1"/>
  <c r="U122" i="1"/>
  <c r="Z122" i="1" s="1"/>
  <c r="U189" i="1"/>
  <c r="Z189" i="1" s="1"/>
  <c r="U245" i="1"/>
  <c r="Z245" i="1" s="1"/>
  <c r="U376" i="1"/>
  <c r="Z376" i="1" s="1"/>
  <c r="U405" i="1"/>
  <c r="Z405" i="1" s="1"/>
  <c r="S158" i="1"/>
  <c r="Y158" i="1" s="1"/>
  <c r="U380" i="1"/>
  <c r="Z380" i="1" s="1"/>
  <c r="U224" i="1"/>
  <c r="Z224" i="1" s="1"/>
  <c r="S391" i="1"/>
  <c r="Y391" i="1" s="1"/>
  <c r="S402" i="1"/>
  <c r="Y402" i="1" s="1"/>
  <c r="S76" i="1"/>
  <c r="Y76" i="1" s="1"/>
  <c r="S108" i="1"/>
  <c r="Y108" i="1" s="1"/>
  <c r="S72" i="1"/>
  <c r="Y72" i="1" s="1"/>
  <c r="S104" i="1"/>
  <c r="Y104" i="1" s="1"/>
  <c r="S114" i="1"/>
  <c r="Y114" i="1" s="1"/>
  <c r="U121" i="1"/>
  <c r="Z121" i="1" s="1"/>
  <c r="S275" i="1"/>
  <c r="Y275" i="1" s="1"/>
  <c r="S213" i="1"/>
  <c r="Y213" i="1" s="1"/>
  <c r="U234" i="1"/>
  <c r="Z234" i="1" s="1"/>
  <c r="S221" i="1"/>
  <c r="Y221" i="1" s="1"/>
  <c r="U242" i="1"/>
  <c r="Z242" i="1" s="1"/>
  <c r="S305" i="1"/>
  <c r="Y305" i="1" s="1"/>
  <c r="S322" i="1"/>
  <c r="Y322" i="1" s="1"/>
  <c r="S338" i="1"/>
  <c r="Y338" i="1" s="1"/>
  <c r="U103" i="1"/>
  <c r="Z103" i="1" s="1"/>
  <c r="U78" i="1"/>
  <c r="Z78" i="1" s="1"/>
  <c r="U127" i="1"/>
  <c r="Z127" i="1" s="1"/>
  <c r="U136" i="1"/>
  <c r="Z136" i="1" s="1"/>
  <c r="U196" i="1"/>
  <c r="Z196" i="1" s="1"/>
  <c r="S210" i="1"/>
  <c r="Y210" i="1" s="1"/>
  <c r="S85" i="1"/>
  <c r="Y85" i="1" s="1"/>
  <c r="S170" i="1"/>
  <c r="Y170" i="1" s="1"/>
  <c r="U186" i="1"/>
  <c r="Z186" i="1" s="1"/>
  <c r="U228" i="1"/>
  <c r="Z228" i="1" s="1"/>
  <c r="S250" i="1"/>
  <c r="Y250" i="1" s="1"/>
  <c r="S186" i="1"/>
  <c r="Y186" i="1" s="1"/>
  <c r="S352" i="1"/>
  <c r="Y352" i="1" s="1"/>
  <c r="U372" i="1"/>
  <c r="Z372" i="1" s="1"/>
  <c r="U212" i="1"/>
  <c r="Z212" i="1" s="1"/>
  <c r="U286" i="1"/>
  <c r="Z286" i="1" s="1"/>
  <c r="S162" i="1"/>
  <c r="Y162" i="1" s="1"/>
  <c r="S201" i="1"/>
  <c r="Y201" i="1" s="1"/>
  <c r="U257" i="1"/>
  <c r="Z257" i="1" s="1"/>
  <c r="U329" i="1"/>
  <c r="Z329" i="1" s="1"/>
  <c r="U225" i="1"/>
  <c r="Z225" i="1" s="1"/>
  <c r="U337" i="1"/>
  <c r="Z337" i="1" s="1"/>
  <c r="U403" i="1"/>
  <c r="Z403" i="1" s="1"/>
  <c r="U95" i="1"/>
  <c r="Z95" i="1" s="1"/>
  <c r="U370" i="1"/>
  <c r="Z370" i="1" s="1"/>
  <c r="U357" i="1"/>
  <c r="Z357" i="1" s="1"/>
  <c r="S368" i="1"/>
  <c r="Y368" i="1" s="1"/>
  <c r="U377" i="1"/>
  <c r="Z377" i="1" s="1"/>
  <c r="S259" i="1"/>
  <c r="Y259" i="1" s="1"/>
  <c r="U315" i="1"/>
  <c r="Z315" i="1" s="1"/>
  <c r="S177" i="1"/>
  <c r="Y177" i="1" s="1"/>
  <c r="S80" i="1"/>
  <c r="Y80" i="1" s="1"/>
  <c r="S205" i="1"/>
  <c r="Y205" i="1" s="1"/>
  <c r="U226" i="1"/>
  <c r="Z226" i="1" s="1"/>
  <c r="U86" i="1"/>
  <c r="Z86" i="1" s="1"/>
  <c r="U137" i="1"/>
  <c r="Z137" i="1" s="1"/>
  <c r="U188" i="1"/>
  <c r="Z188" i="1" s="1"/>
  <c r="U130" i="1"/>
  <c r="Z130" i="1" s="1"/>
  <c r="S157" i="1"/>
  <c r="Y157" i="1" s="1"/>
  <c r="U201" i="1"/>
  <c r="Z201" i="1" s="1"/>
  <c r="U241" i="1"/>
  <c r="Z241" i="1" s="1"/>
  <c r="S182" i="1"/>
  <c r="Y182" i="1" s="1"/>
  <c r="U205" i="1"/>
  <c r="Z205" i="1" s="1"/>
  <c r="U94" i="1"/>
  <c r="Z94" i="1" s="1"/>
  <c r="S233" i="1"/>
  <c r="Y233" i="1" s="1"/>
  <c r="S399" i="1"/>
  <c r="Y399" i="1" s="1"/>
  <c r="U233" i="1"/>
  <c r="Z233" i="1" s="1"/>
  <c r="S166" i="1"/>
  <c r="Y166" i="1" s="1"/>
  <c r="U259" i="1"/>
  <c r="Z259" i="1" s="1"/>
  <c r="U275" i="1"/>
  <c r="Z275" i="1" s="1"/>
  <c r="U244" i="1"/>
  <c r="Z244" i="1" s="1"/>
  <c r="S351" i="1"/>
  <c r="Y351" i="1" s="1"/>
  <c r="U390" i="1"/>
  <c r="Z390" i="1" s="1"/>
  <c r="U375" i="1"/>
  <c r="Z375" i="1" s="1"/>
  <c r="U386" i="1"/>
  <c r="Z386" i="1" s="1"/>
  <c r="S355" i="1"/>
  <c r="Y355" i="1" s="1"/>
  <c r="S353" i="1"/>
  <c r="Y353" i="1" s="1"/>
  <c r="S373" i="1"/>
  <c r="Y373" i="1" s="1"/>
  <c r="U142" i="1"/>
  <c r="Z142" i="1" s="1"/>
  <c r="S227" i="1"/>
  <c r="Y227" i="1" s="1"/>
  <c r="U182" i="1"/>
  <c r="Z182" i="1" s="1"/>
  <c r="U158" i="1"/>
  <c r="Z158" i="1" s="1"/>
  <c r="S245" i="1"/>
  <c r="Y245" i="1" s="1"/>
  <c r="S229" i="1"/>
  <c r="Y229" i="1" s="1"/>
  <c r="U250" i="1"/>
  <c r="Z250" i="1" s="1"/>
  <c r="S96" i="1"/>
  <c r="Y96" i="1" s="1"/>
  <c r="S284" i="1"/>
  <c r="Y284" i="1" s="1"/>
  <c r="S169" i="1"/>
  <c r="Y169" i="1" s="1"/>
  <c r="S88" i="1"/>
  <c r="Y88" i="1" s="1"/>
  <c r="S100" i="1"/>
  <c r="Y100" i="1" s="1"/>
  <c r="S92" i="1"/>
  <c r="Y92" i="1" s="1"/>
  <c r="U129" i="1"/>
  <c r="Z129" i="1" s="1"/>
  <c r="S116" i="1"/>
  <c r="Y116" i="1" s="1"/>
  <c r="U174" i="1"/>
  <c r="Z174" i="1" s="1"/>
  <c r="S211" i="1"/>
  <c r="Y211" i="1" s="1"/>
  <c r="S243" i="1"/>
  <c r="Y243" i="1" s="1"/>
  <c r="U113" i="1"/>
  <c r="Z113" i="1" s="1"/>
  <c r="S193" i="1"/>
  <c r="Y193" i="1" s="1"/>
  <c r="U202" i="1"/>
  <c r="Z202" i="1" s="1"/>
  <c r="S145" i="1"/>
  <c r="Y145" i="1" s="1"/>
  <c r="U210" i="1"/>
  <c r="Z210" i="1" s="1"/>
  <c r="U336" i="1"/>
  <c r="Z336" i="1" s="1"/>
  <c r="S237" i="1"/>
  <c r="Y237" i="1" s="1"/>
  <c r="P3" i="1"/>
  <c r="T3" i="1" s="1"/>
  <c r="P4" i="1"/>
  <c r="P5" i="1"/>
  <c r="X5" i="1" s="1"/>
  <c r="P6" i="1"/>
  <c r="P7" i="1"/>
  <c r="P8" i="1"/>
  <c r="P9" i="1"/>
  <c r="P10" i="1"/>
  <c r="P11" i="1"/>
  <c r="X11" i="1" s="1"/>
  <c r="P12" i="1"/>
  <c r="P13" i="1"/>
  <c r="P14" i="1"/>
  <c r="P15" i="1"/>
  <c r="T15" i="1" s="1"/>
  <c r="P16" i="1"/>
  <c r="P17" i="1"/>
  <c r="P18" i="1"/>
  <c r="P19" i="1"/>
  <c r="T19" i="1" s="1"/>
  <c r="P20" i="1"/>
  <c r="P21" i="1"/>
  <c r="P22" i="1"/>
  <c r="P23" i="1"/>
  <c r="P24" i="1"/>
  <c r="P25" i="1"/>
  <c r="X25" i="1" s="1"/>
  <c r="P26" i="1"/>
  <c r="P27" i="1"/>
  <c r="T27" i="1" s="1"/>
  <c r="P28" i="1"/>
  <c r="P29" i="1"/>
  <c r="P30" i="1"/>
  <c r="P31" i="1"/>
  <c r="T31" i="1" s="1"/>
  <c r="P32" i="1"/>
  <c r="T32" i="1" s="1"/>
  <c r="P33" i="1"/>
  <c r="P34" i="1"/>
  <c r="P35" i="1"/>
  <c r="T35" i="1" s="1"/>
  <c r="P36" i="1"/>
  <c r="P37" i="1"/>
  <c r="P38" i="1"/>
  <c r="P39" i="1"/>
  <c r="P40" i="1"/>
  <c r="P41" i="1"/>
  <c r="P42" i="1"/>
  <c r="P43" i="1"/>
  <c r="T43" i="1" s="1"/>
  <c r="P44" i="1"/>
  <c r="P45" i="1"/>
  <c r="P46" i="1"/>
  <c r="P47" i="1"/>
  <c r="T47" i="1" s="1"/>
  <c r="P48" i="1"/>
  <c r="P49" i="1"/>
  <c r="P50" i="1"/>
  <c r="P51" i="1"/>
  <c r="T51" i="1" s="1"/>
  <c r="P52" i="1"/>
  <c r="P53" i="1"/>
  <c r="X53" i="1" s="1"/>
  <c r="P54" i="1"/>
  <c r="T54" i="1" s="1"/>
  <c r="P55" i="1"/>
  <c r="P56" i="1"/>
  <c r="P57" i="1"/>
  <c r="X57" i="1" s="1"/>
  <c r="P58" i="1"/>
  <c r="X58" i="1" s="1"/>
  <c r="P59" i="1"/>
  <c r="T59" i="1" s="1"/>
  <c r="P60" i="1"/>
  <c r="P61" i="1"/>
  <c r="P62" i="1"/>
  <c r="P63" i="1"/>
  <c r="T63" i="1" s="1"/>
  <c r="P64" i="1"/>
  <c r="P65" i="1"/>
  <c r="T65" i="1" s="1"/>
  <c r="P66" i="1"/>
  <c r="P67" i="1"/>
  <c r="T67" i="1" s="1"/>
  <c r="P68" i="1"/>
  <c r="P69" i="1"/>
  <c r="P2" i="1"/>
  <c r="O3" i="1"/>
  <c r="W3" i="1" s="1"/>
  <c r="O4" i="1"/>
  <c r="W4" i="1" s="1"/>
  <c r="O5" i="1"/>
  <c r="W5" i="1" s="1"/>
  <c r="O6" i="1"/>
  <c r="R6" i="1" s="1"/>
  <c r="O7" i="1"/>
  <c r="R7" i="1" s="1"/>
  <c r="O8" i="1"/>
  <c r="W8" i="1" s="1"/>
  <c r="O9" i="1"/>
  <c r="W9" i="1" s="1"/>
  <c r="O10" i="1"/>
  <c r="O11" i="1"/>
  <c r="R11" i="1" s="1"/>
  <c r="O12" i="1"/>
  <c r="W12" i="1" s="1"/>
  <c r="O13" i="1"/>
  <c r="W13" i="1" s="1"/>
  <c r="O14" i="1"/>
  <c r="R14" i="1" s="1"/>
  <c r="O15" i="1"/>
  <c r="W15" i="1" s="1"/>
  <c r="O16" i="1"/>
  <c r="W16" i="1" s="1"/>
  <c r="O17" i="1"/>
  <c r="W17" i="1" s="1"/>
  <c r="O18" i="1"/>
  <c r="R18" i="1" s="1"/>
  <c r="O19" i="1"/>
  <c r="W19" i="1" s="1"/>
  <c r="O20" i="1"/>
  <c r="W20" i="1" s="1"/>
  <c r="O21" i="1"/>
  <c r="W21" i="1" s="1"/>
  <c r="O22" i="1"/>
  <c r="R22" i="1" s="1"/>
  <c r="O23" i="1"/>
  <c r="W23" i="1" s="1"/>
  <c r="O24" i="1"/>
  <c r="W24" i="1" s="1"/>
  <c r="O25" i="1"/>
  <c r="W25" i="1" s="1"/>
  <c r="O26" i="1"/>
  <c r="O27" i="1"/>
  <c r="R27" i="1" s="1"/>
  <c r="O28" i="1"/>
  <c r="W28" i="1" s="1"/>
  <c r="O29" i="1"/>
  <c r="W29" i="1" s="1"/>
  <c r="O30" i="1"/>
  <c r="R30" i="1" s="1"/>
  <c r="O31" i="1"/>
  <c r="W31" i="1" s="1"/>
  <c r="O32" i="1"/>
  <c r="W32" i="1" s="1"/>
  <c r="O33" i="1"/>
  <c r="W33" i="1" s="1"/>
  <c r="O34" i="1"/>
  <c r="R34" i="1" s="1"/>
  <c r="O35" i="1"/>
  <c r="W35" i="1" s="1"/>
  <c r="O36" i="1"/>
  <c r="W36" i="1" s="1"/>
  <c r="O37" i="1"/>
  <c r="W37" i="1" s="1"/>
  <c r="O38" i="1"/>
  <c r="R38" i="1" s="1"/>
  <c r="O39" i="1"/>
  <c r="R39" i="1" s="1"/>
  <c r="O40" i="1"/>
  <c r="R40" i="1" s="1"/>
  <c r="O41" i="1"/>
  <c r="W41" i="1" s="1"/>
  <c r="O42" i="1"/>
  <c r="O43" i="1"/>
  <c r="R43" i="1" s="1"/>
  <c r="O44" i="1"/>
  <c r="R44" i="1" s="1"/>
  <c r="O45" i="1"/>
  <c r="W45" i="1" s="1"/>
  <c r="O46" i="1"/>
  <c r="R46" i="1" s="1"/>
  <c r="O47" i="1"/>
  <c r="W47" i="1" s="1"/>
  <c r="O48" i="1"/>
  <c r="W48" i="1" s="1"/>
  <c r="O49" i="1"/>
  <c r="W49" i="1" s="1"/>
  <c r="O50" i="1"/>
  <c r="R50" i="1" s="1"/>
  <c r="O51" i="1"/>
  <c r="R51" i="1" s="1"/>
  <c r="O52" i="1"/>
  <c r="R52" i="1" s="1"/>
  <c r="O53" i="1"/>
  <c r="W53" i="1" s="1"/>
  <c r="O54" i="1"/>
  <c r="R54" i="1" s="1"/>
  <c r="O55" i="1"/>
  <c r="W55" i="1" s="1"/>
  <c r="O56" i="1"/>
  <c r="W56" i="1" s="1"/>
  <c r="O57" i="1"/>
  <c r="W57" i="1" s="1"/>
  <c r="O58" i="1"/>
  <c r="O59" i="1"/>
  <c r="R59" i="1" s="1"/>
  <c r="O60" i="1"/>
  <c r="W60" i="1" s="1"/>
  <c r="O61" i="1"/>
  <c r="W61" i="1" s="1"/>
  <c r="O62" i="1"/>
  <c r="R62" i="1" s="1"/>
  <c r="O63" i="1"/>
  <c r="W63" i="1" s="1"/>
  <c r="O64" i="1"/>
  <c r="R64" i="1" s="1"/>
  <c r="O65" i="1"/>
  <c r="W65" i="1" s="1"/>
  <c r="O66" i="1"/>
  <c r="R66" i="1" s="1"/>
  <c r="O67" i="1"/>
  <c r="W67" i="1" s="1"/>
  <c r="O68" i="1"/>
  <c r="W68" i="1" s="1"/>
  <c r="O69" i="1"/>
  <c r="W69" i="1" s="1"/>
  <c r="O2" i="1"/>
  <c r="W2" i="1" s="1"/>
  <c r="N2" i="1"/>
  <c r="Q2" i="1" s="1"/>
  <c r="R35" i="1" l="1"/>
  <c r="W34" i="1"/>
  <c r="S34" i="1" s="1"/>
  <c r="Y34" i="1" s="1"/>
  <c r="R15" i="1"/>
  <c r="S15" i="1" s="1"/>
  <c r="Y15" i="1" s="1"/>
  <c r="W14" i="1"/>
  <c r="S14" i="1" s="1"/>
  <c r="Y14" i="1" s="1"/>
  <c r="W7" i="1"/>
  <c r="S7" i="1" s="1"/>
  <c r="Y7" i="1" s="1"/>
  <c r="R67" i="1"/>
  <c r="R60" i="1"/>
  <c r="S60" i="1" s="1"/>
  <c r="Y60" i="1" s="1"/>
  <c r="W52" i="1"/>
  <c r="S52" i="1" s="1"/>
  <c r="Y52" i="1" s="1"/>
  <c r="R48" i="1"/>
  <c r="S48" i="1" s="1"/>
  <c r="Y48" i="1" s="1"/>
  <c r="R28" i="1"/>
  <c r="S28" i="1" s="1"/>
  <c r="Y28" i="1" s="1"/>
  <c r="R3" i="1"/>
  <c r="S3" i="1" s="1"/>
  <c r="Y3" i="1" s="1"/>
  <c r="W51" i="1"/>
  <c r="S51" i="1" s="1"/>
  <c r="Y51" i="1" s="1"/>
  <c r="W27" i="1"/>
  <c r="S27" i="1" s="1"/>
  <c r="Y27" i="1" s="1"/>
  <c r="W6" i="1"/>
  <c r="S6" i="1" s="1"/>
  <c r="Y6" i="1" s="1"/>
  <c r="X3" i="1"/>
  <c r="R4" i="1"/>
  <c r="S4" i="1" s="1"/>
  <c r="Y4" i="1" s="1"/>
  <c r="R68" i="1"/>
  <c r="S68" i="1" s="1"/>
  <c r="Y68" i="1" s="1"/>
  <c r="R47" i="1"/>
  <c r="R16" i="1"/>
  <c r="S16" i="1" s="1"/>
  <c r="Y16" i="1" s="1"/>
  <c r="W44" i="1"/>
  <c r="S44" i="1" s="1"/>
  <c r="Y44" i="1" s="1"/>
  <c r="R36" i="1"/>
  <c r="S36" i="1" s="1"/>
  <c r="Y36" i="1" s="1"/>
  <c r="W64" i="1"/>
  <c r="S64" i="1" s="1"/>
  <c r="Y64" i="1" s="1"/>
  <c r="R56" i="1"/>
  <c r="S56" i="1" s="1"/>
  <c r="Y56" i="1" s="1"/>
  <c r="R24" i="1"/>
  <c r="S24" i="1" s="1"/>
  <c r="Y24" i="1" s="1"/>
  <c r="W40" i="1"/>
  <c r="S40" i="1" s="1"/>
  <c r="Y40" i="1" s="1"/>
  <c r="T11" i="1"/>
  <c r="U11" i="1" s="1"/>
  <c r="Z11" i="1" s="1"/>
  <c r="S67" i="1"/>
  <c r="Y67" i="1" s="1"/>
  <c r="S35" i="1"/>
  <c r="Y35" i="1" s="1"/>
  <c r="R32" i="1"/>
  <c r="S32" i="1" s="1"/>
  <c r="Y32" i="1" s="1"/>
  <c r="R20" i="1"/>
  <c r="S20" i="1" s="1"/>
  <c r="Y20" i="1" s="1"/>
  <c r="R12" i="1"/>
  <c r="S12" i="1" s="1"/>
  <c r="Y12" i="1" s="1"/>
  <c r="W59" i="1"/>
  <c r="S59" i="1" s="1"/>
  <c r="Y59" i="1" s="1"/>
  <c r="W39" i="1"/>
  <c r="S39" i="1" s="1"/>
  <c r="Y39" i="1" s="1"/>
  <c r="X19" i="1"/>
  <c r="U19" i="1" s="1"/>
  <c r="Z19" i="1" s="1"/>
  <c r="U3" i="1"/>
  <c r="Z3" i="1" s="1"/>
  <c r="V45" i="1"/>
  <c r="V17" i="1"/>
  <c r="R63" i="1"/>
  <c r="S63" i="1" s="1"/>
  <c r="Y63" i="1" s="1"/>
  <c r="R31" i="1"/>
  <c r="S31" i="1" s="1"/>
  <c r="Y31" i="1" s="1"/>
  <c r="R19" i="1"/>
  <c r="S19" i="1" s="1"/>
  <c r="Y19" i="1" s="1"/>
  <c r="R8" i="1"/>
  <c r="S8" i="1" s="1"/>
  <c r="Y8" i="1" s="1"/>
  <c r="W66" i="1"/>
  <c r="S66" i="1" s="1"/>
  <c r="Y66" i="1" s="1"/>
  <c r="W46" i="1"/>
  <c r="S46" i="1" s="1"/>
  <c r="Y46" i="1" s="1"/>
  <c r="W38" i="1"/>
  <c r="S38" i="1" s="1"/>
  <c r="Y38" i="1" s="1"/>
  <c r="T58" i="1"/>
  <c r="U58" i="1" s="1"/>
  <c r="Z58" i="1" s="1"/>
  <c r="V58" i="1"/>
  <c r="V68" i="1"/>
  <c r="T68" i="1"/>
  <c r="T64" i="1"/>
  <c r="V64" i="1"/>
  <c r="T60" i="1"/>
  <c r="X60" i="1"/>
  <c r="T56" i="1"/>
  <c r="V56" i="1"/>
  <c r="X56" i="1"/>
  <c r="V52" i="1"/>
  <c r="T52" i="1"/>
  <c r="X52" i="1"/>
  <c r="T48" i="1"/>
  <c r="V48" i="1"/>
  <c r="X48" i="1"/>
  <c r="T44" i="1"/>
  <c r="X44" i="1"/>
  <c r="T40" i="1"/>
  <c r="V40" i="1"/>
  <c r="X40" i="1"/>
  <c r="V36" i="1"/>
  <c r="T36" i="1"/>
  <c r="T28" i="1"/>
  <c r="X28" i="1"/>
  <c r="V28" i="1"/>
  <c r="T16" i="1"/>
  <c r="X16" i="1"/>
  <c r="T8" i="1"/>
  <c r="X8" i="1"/>
  <c r="V8" i="1"/>
  <c r="V60" i="1"/>
  <c r="R29" i="1"/>
  <c r="S29" i="1" s="1"/>
  <c r="Y29" i="1" s="1"/>
  <c r="X32" i="1"/>
  <c r="U32" i="1" s="1"/>
  <c r="Z32" i="1" s="1"/>
  <c r="S47" i="1"/>
  <c r="Y47" i="1" s="1"/>
  <c r="T66" i="1"/>
  <c r="X66" i="1"/>
  <c r="V66" i="1"/>
  <c r="V62" i="1"/>
  <c r="T62" i="1"/>
  <c r="X62" i="1"/>
  <c r="V54" i="1"/>
  <c r="X54" i="1"/>
  <c r="U54" i="1" s="1"/>
  <c r="Z54" i="1" s="1"/>
  <c r="T50" i="1"/>
  <c r="X50" i="1"/>
  <c r="V50" i="1"/>
  <c r="V46" i="1"/>
  <c r="T46" i="1"/>
  <c r="V42" i="1"/>
  <c r="T42" i="1"/>
  <c r="X38" i="1"/>
  <c r="V38" i="1"/>
  <c r="T34" i="1"/>
  <c r="V34" i="1"/>
  <c r="X34" i="1"/>
  <c r="V30" i="1"/>
  <c r="T30" i="1"/>
  <c r="X30" i="1"/>
  <c r="V26" i="1"/>
  <c r="X26" i="1"/>
  <c r="T26" i="1"/>
  <c r="X22" i="1"/>
  <c r="V22" i="1"/>
  <c r="T22" i="1"/>
  <c r="X18" i="1"/>
  <c r="V18" i="1"/>
  <c r="T18" i="1"/>
  <c r="X14" i="1"/>
  <c r="V14" i="1"/>
  <c r="T14" i="1"/>
  <c r="X10" i="1"/>
  <c r="V10" i="1"/>
  <c r="X6" i="1"/>
  <c r="V6" i="1"/>
  <c r="T6" i="1"/>
  <c r="R2" i="1"/>
  <c r="S2" i="1" s="1"/>
  <c r="Y2" i="1" s="1"/>
  <c r="R65" i="1"/>
  <c r="S65" i="1" s="1"/>
  <c r="Y65" i="1" s="1"/>
  <c r="R55" i="1"/>
  <c r="S55" i="1" s="1"/>
  <c r="Y55" i="1" s="1"/>
  <c r="R49" i="1"/>
  <c r="S49" i="1" s="1"/>
  <c r="Y49" i="1" s="1"/>
  <c r="R33" i="1"/>
  <c r="S33" i="1" s="1"/>
  <c r="Y33" i="1" s="1"/>
  <c r="R23" i="1"/>
  <c r="S23" i="1" s="1"/>
  <c r="Y23" i="1" s="1"/>
  <c r="R17" i="1"/>
  <c r="S17" i="1" s="1"/>
  <c r="Y17" i="1" s="1"/>
  <c r="W62" i="1"/>
  <c r="S62" i="1" s="1"/>
  <c r="Y62" i="1" s="1"/>
  <c r="W50" i="1"/>
  <c r="S50" i="1" s="1"/>
  <c r="Y50" i="1" s="1"/>
  <c r="W43" i="1"/>
  <c r="S43" i="1" s="1"/>
  <c r="Y43" i="1" s="1"/>
  <c r="W30" i="1"/>
  <c r="S30" i="1" s="1"/>
  <c r="Y30" i="1" s="1"/>
  <c r="W18" i="1"/>
  <c r="S18" i="1" s="1"/>
  <c r="Y18" i="1" s="1"/>
  <c r="W11" i="1"/>
  <c r="S11" i="1" s="1"/>
  <c r="Y11" i="1" s="1"/>
  <c r="T38" i="1"/>
  <c r="X68" i="1"/>
  <c r="X46" i="1"/>
  <c r="T24" i="1"/>
  <c r="X24" i="1"/>
  <c r="V24" i="1"/>
  <c r="V20" i="1"/>
  <c r="T20" i="1"/>
  <c r="X12" i="1"/>
  <c r="T12" i="1"/>
  <c r="V12" i="1"/>
  <c r="V4" i="1"/>
  <c r="T4" i="1"/>
  <c r="X4" i="1"/>
  <c r="R57" i="1"/>
  <c r="S57" i="1" s="1"/>
  <c r="Y57" i="1" s="1"/>
  <c r="R41" i="1"/>
  <c r="S41" i="1" s="1"/>
  <c r="Y41" i="1" s="1"/>
  <c r="R25" i="1"/>
  <c r="S25" i="1" s="1"/>
  <c r="Y25" i="1" s="1"/>
  <c r="R9" i="1"/>
  <c r="S9" i="1" s="1"/>
  <c r="Y9" i="1" s="1"/>
  <c r="X36" i="1"/>
  <c r="V32" i="1"/>
  <c r="R61" i="1"/>
  <c r="S61" i="1" s="1"/>
  <c r="Y61" i="1" s="1"/>
  <c r="R45" i="1"/>
  <c r="S45" i="1" s="1"/>
  <c r="Y45" i="1" s="1"/>
  <c r="R13" i="1"/>
  <c r="S13" i="1" s="1"/>
  <c r="Y13" i="1" s="1"/>
  <c r="V29" i="1"/>
  <c r="R58" i="1"/>
  <c r="W58" i="1"/>
  <c r="R42" i="1"/>
  <c r="W42" i="1"/>
  <c r="R26" i="1"/>
  <c r="W26" i="1"/>
  <c r="R10" i="1"/>
  <c r="W10" i="1"/>
  <c r="V2" i="1"/>
  <c r="X2" i="1"/>
  <c r="T2" i="1"/>
  <c r="V69" i="1"/>
  <c r="X69" i="1"/>
  <c r="T69" i="1"/>
  <c r="X65" i="1"/>
  <c r="U65" i="1" s="1"/>
  <c r="Z65" i="1" s="1"/>
  <c r="V65" i="1"/>
  <c r="V61" i="1"/>
  <c r="T61" i="1"/>
  <c r="X61" i="1"/>
  <c r="V57" i="1"/>
  <c r="T57" i="1"/>
  <c r="U57" i="1" s="1"/>
  <c r="Z57" i="1" s="1"/>
  <c r="V53" i="1"/>
  <c r="T53" i="1"/>
  <c r="U53" i="1" s="1"/>
  <c r="Z53" i="1" s="1"/>
  <c r="X49" i="1"/>
  <c r="V49" i="1"/>
  <c r="T45" i="1"/>
  <c r="X45" i="1"/>
  <c r="V41" i="1"/>
  <c r="T41" i="1"/>
  <c r="X41" i="1"/>
  <c r="V37" i="1"/>
  <c r="X37" i="1"/>
  <c r="V33" i="1"/>
  <c r="X33" i="1"/>
  <c r="T33" i="1"/>
  <c r="T29" i="1"/>
  <c r="X29" i="1"/>
  <c r="V25" i="1"/>
  <c r="T25" i="1"/>
  <c r="U25" i="1" s="1"/>
  <c r="Z25" i="1" s="1"/>
  <c r="X21" i="1"/>
  <c r="V21" i="1"/>
  <c r="X17" i="1"/>
  <c r="T17" i="1"/>
  <c r="T13" i="1"/>
  <c r="V13" i="1"/>
  <c r="X13" i="1"/>
  <c r="V9" i="1"/>
  <c r="X9" i="1"/>
  <c r="T9" i="1"/>
  <c r="V5" i="1"/>
  <c r="T5" i="1"/>
  <c r="U5" i="1" s="1"/>
  <c r="Z5" i="1" s="1"/>
  <c r="R69" i="1"/>
  <c r="S69" i="1" s="1"/>
  <c r="Y69" i="1" s="1"/>
  <c r="R53" i="1"/>
  <c r="S53" i="1" s="1"/>
  <c r="Y53" i="1" s="1"/>
  <c r="R37" i="1"/>
  <c r="S37" i="1" s="1"/>
  <c r="Y37" i="1" s="1"/>
  <c r="R21" i="1"/>
  <c r="S21" i="1" s="1"/>
  <c r="Y21" i="1" s="1"/>
  <c r="R5" i="1"/>
  <c r="S5" i="1" s="1"/>
  <c r="Y5" i="1" s="1"/>
  <c r="W54" i="1"/>
  <c r="S54" i="1" s="1"/>
  <c r="Y54" i="1" s="1"/>
  <c r="W22" i="1"/>
  <c r="S22" i="1" s="1"/>
  <c r="Y22" i="1" s="1"/>
  <c r="T49" i="1"/>
  <c r="T37" i="1"/>
  <c r="T21" i="1"/>
  <c r="T10" i="1"/>
  <c r="X64" i="1"/>
  <c r="X42" i="1"/>
  <c r="X20" i="1"/>
  <c r="V44" i="1"/>
  <c r="V16" i="1"/>
  <c r="V67" i="1"/>
  <c r="X67" i="1"/>
  <c r="U67" i="1" s="1"/>
  <c r="Z67" i="1" s="1"/>
  <c r="V63" i="1"/>
  <c r="X63" i="1"/>
  <c r="U63" i="1" s="1"/>
  <c r="Z63" i="1" s="1"/>
  <c r="V59" i="1"/>
  <c r="X59" i="1"/>
  <c r="U59" i="1" s="1"/>
  <c r="Z59" i="1" s="1"/>
  <c r="V55" i="1"/>
  <c r="X55" i="1"/>
  <c r="V51" i="1"/>
  <c r="X51" i="1"/>
  <c r="U51" i="1" s="1"/>
  <c r="Z51" i="1" s="1"/>
  <c r="V47" i="1"/>
  <c r="X47" i="1"/>
  <c r="U47" i="1" s="1"/>
  <c r="Z47" i="1" s="1"/>
  <c r="V43" i="1"/>
  <c r="X43" i="1"/>
  <c r="U43" i="1" s="1"/>
  <c r="Z43" i="1" s="1"/>
  <c r="V39" i="1"/>
  <c r="X39" i="1"/>
  <c r="V35" i="1"/>
  <c r="X35" i="1"/>
  <c r="U35" i="1" s="1"/>
  <c r="Z35" i="1" s="1"/>
  <c r="V31" i="1"/>
  <c r="X31" i="1"/>
  <c r="U31" i="1" s="1"/>
  <c r="Z31" i="1" s="1"/>
  <c r="V27" i="1"/>
  <c r="X27" i="1"/>
  <c r="U27" i="1" s="1"/>
  <c r="Z27" i="1" s="1"/>
  <c r="V23" i="1"/>
  <c r="X23" i="1"/>
  <c r="V19" i="1"/>
  <c r="V15" i="1"/>
  <c r="V11" i="1"/>
  <c r="V7" i="1"/>
  <c r="X7" i="1"/>
  <c r="V3" i="1"/>
  <c r="T55" i="1"/>
  <c r="T39" i="1"/>
  <c r="T23" i="1"/>
  <c r="T7" i="1"/>
  <c r="X15" i="1"/>
  <c r="U15" i="1" s="1"/>
  <c r="Z15" i="1" s="1"/>
  <c r="U8" i="1" l="1"/>
  <c r="Z8" i="1" s="1"/>
  <c r="U44" i="1"/>
  <c r="Z44" i="1" s="1"/>
  <c r="U20" i="1"/>
  <c r="Z20" i="1" s="1"/>
  <c r="M24" i="3"/>
  <c r="M40" i="3"/>
  <c r="M14" i="3"/>
  <c r="N15" i="3"/>
  <c r="N31" i="3"/>
  <c r="M11" i="3"/>
  <c r="N12" i="3"/>
  <c r="N28" i="3"/>
  <c r="N9" i="3"/>
  <c r="N25" i="3"/>
  <c r="N41" i="3"/>
  <c r="N14" i="3"/>
  <c r="N30" i="3"/>
  <c r="M23" i="3"/>
  <c r="M31" i="3"/>
  <c r="M39" i="3"/>
  <c r="M37" i="3"/>
  <c r="M25" i="3"/>
  <c r="M41" i="3"/>
  <c r="M26" i="3"/>
  <c r="M34" i="3"/>
  <c r="M28" i="3"/>
  <c r="M9" i="3"/>
  <c r="N19" i="3"/>
  <c r="N35" i="3"/>
  <c r="M6" i="3"/>
  <c r="M15" i="3"/>
  <c r="N16" i="3"/>
  <c r="N32" i="3"/>
  <c r="M19" i="3"/>
  <c r="N13" i="3"/>
  <c r="N29" i="3"/>
  <c r="N18" i="3"/>
  <c r="N34" i="3"/>
  <c r="M32" i="3"/>
  <c r="N6" i="3"/>
  <c r="N23" i="3"/>
  <c r="N39" i="3"/>
  <c r="N20" i="3"/>
  <c r="N36" i="3"/>
  <c r="M7" i="3"/>
  <c r="M12" i="3"/>
  <c r="N17" i="3"/>
  <c r="N33" i="3"/>
  <c r="M13" i="3"/>
  <c r="N22" i="3"/>
  <c r="N38" i="3"/>
  <c r="M27" i="3"/>
  <c r="M35" i="3"/>
  <c r="M29" i="3"/>
  <c r="M21" i="3"/>
  <c r="M33" i="3"/>
  <c r="M22" i="3"/>
  <c r="M30" i="3"/>
  <c r="M38" i="3"/>
  <c r="M20" i="3"/>
  <c r="M36" i="3"/>
  <c r="M10" i="3"/>
  <c r="N11" i="3"/>
  <c r="N27" i="3"/>
  <c r="N7" i="3"/>
  <c r="N24" i="3"/>
  <c r="N40" i="3"/>
  <c r="M16" i="3"/>
  <c r="N21" i="3"/>
  <c r="N37" i="3"/>
  <c r="M17" i="3"/>
  <c r="N10" i="3"/>
  <c r="N26" i="3"/>
  <c r="U49" i="1"/>
  <c r="Z49" i="1" s="1"/>
  <c r="S10" i="1"/>
  <c r="Y10" i="1" s="1"/>
  <c r="S42" i="1"/>
  <c r="Y42" i="1" s="1"/>
  <c r="U45" i="1"/>
  <c r="Z45" i="1" s="1"/>
  <c r="U61" i="1"/>
  <c r="Z61" i="1" s="1"/>
  <c r="U37" i="1"/>
  <c r="Z37" i="1" s="1"/>
  <c r="U4" i="1"/>
  <c r="Z4" i="1" s="1"/>
  <c r="U46" i="1"/>
  <c r="Z46" i="1" s="1"/>
  <c r="U6" i="1"/>
  <c r="Z6" i="1" s="1"/>
  <c r="U18" i="1"/>
  <c r="Z18" i="1" s="1"/>
  <c r="U50" i="1"/>
  <c r="Z50" i="1" s="1"/>
  <c r="U62" i="1"/>
  <c r="Z62" i="1" s="1"/>
  <c r="U66" i="1"/>
  <c r="Z66" i="1" s="1"/>
  <c r="U60" i="1"/>
  <c r="Z60" i="1" s="1"/>
  <c r="U36" i="1"/>
  <c r="Z36" i="1" s="1"/>
  <c r="U23" i="1"/>
  <c r="Z23" i="1" s="1"/>
  <c r="U39" i="1"/>
  <c r="Z39" i="1" s="1"/>
  <c r="U55" i="1"/>
  <c r="Z55" i="1" s="1"/>
  <c r="U29" i="1"/>
  <c r="Z29" i="1" s="1"/>
  <c r="U69" i="1"/>
  <c r="Z69" i="1" s="1"/>
  <c r="U2" i="1"/>
  <c r="Z2" i="1" s="1"/>
  <c r="S26" i="1"/>
  <c r="Y26" i="1" s="1"/>
  <c r="S58" i="1"/>
  <c r="Y58" i="1" s="1"/>
  <c r="U24" i="1"/>
  <c r="Z24" i="1" s="1"/>
  <c r="U22" i="1"/>
  <c r="Z22" i="1" s="1"/>
  <c r="U30" i="1"/>
  <c r="Z30" i="1" s="1"/>
  <c r="U16" i="1"/>
  <c r="Z16" i="1" s="1"/>
  <c r="U48" i="1"/>
  <c r="Z48" i="1" s="1"/>
  <c r="U9" i="1"/>
  <c r="Z9" i="1" s="1"/>
  <c r="U21" i="1"/>
  <c r="Z21" i="1" s="1"/>
  <c r="U12" i="1"/>
  <c r="Z12" i="1" s="1"/>
  <c r="U42" i="1"/>
  <c r="Z42" i="1" s="1"/>
  <c r="U68" i="1"/>
  <c r="Z68" i="1" s="1"/>
  <c r="U14" i="1"/>
  <c r="Z14" i="1" s="1"/>
  <c r="U26" i="1"/>
  <c r="Z26" i="1" s="1"/>
  <c r="U56" i="1"/>
  <c r="Z56" i="1" s="1"/>
  <c r="U7" i="1"/>
  <c r="Z7" i="1" s="1"/>
  <c r="U64" i="1"/>
  <c r="Z64" i="1" s="1"/>
  <c r="U13" i="1"/>
  <c r="Z13" i="1" s="1"/>
  <c r="U17" i="1"/>
  <c r="Z17" i="1" s="1"/>
  <c r="U33" i="1"/>
  <c r="Z33" i="1" s="1"/>
  <c r="U41" i="1"/>
  <c r="Z41" i="1" s="1"/>
  <c r="U10" i="1"/>
  <c r="Z10" i="1" s="1"/>
  <c r="U34" i="1"/>
  <c r="Z34" i="1" s="1"/>
  <c r="U38" i="1"/>
  <c r="Z38" i="1" s="1"/>
  <c r="U28" i="1"/>
  <c r="Z28" i="1" s="1"/>
  <c r="U40" i="1"/>
  <c r="Z40" i="1" s="1"/>
  <c r="U52" i="1"/>
  <c r="Z52" i="1" s="1"/>
</calcChain>
</file>

<file path=xl/sharedStrings.xml><?xml version="1.0" encoding="utf-8"?>
<sst xmlns="http://schemas.openxmlformats.org/spreadsheetml/2006/main" count="5687" uniqueCount="1189">
  <si>
    <t>Clave</t>
  </si>
  <si>
    <t>Resumen</t>
  </si>
  <si>
    <t>Componentes</t>
  </si>
  <si>
    <t>Creada</t>
  </si>
  <si>
    <t>Resuelta</t>
  </si>
  <si>
    <t>Opción 1</t>
  </si>
  <si>
    <t>Opción 2</t>
  </si>
  <si>
    <t>Opción 3</t>
  </si>
  <si>
    <t>Equipo</t>
  </si>
  <si>
    <t>Prioridad</t>
  </si>
  <si>
    <t>Estado</t>
  </si>
  <si>
    <t>Sprint</t>
  </si>
  <si>
    <t>DESARROLLO</t>
  </si>
  <si>
    <t/>
  </si>
  <si>
    <t>Highest</t>
  </si>
  <si>
    <t>CERRADO</t>
  </si>
  <si>
    <t>Medium</t>
  </si>
  <si>
    <t>CANCELADO</t>
  </si>
  <si>
    <t>C360_Team_Mtto</t>
  </si>
  <si>
    <t>DEFINICIÓN</t>
  </si>
  <si>
    <t>FUNCIONAL</t>
  </si>
  <si>
    <t>SOPORTE</t>
  </si>
  <si>
    <t>Tested CERT / TEST</t>
  </si>
  <si>
    <t>Blocked</t>
  </si>
  <si>
    <t>Upstream Generic State 06</t>
  </si>
  <si>
    <t>Tipologia</t>
  </si>
  <si>
    <t>Fecha_apertura</t>
  </si>
  <si>
    <t>Fecha_cierre</t>
  </si>
  <si>
    <t>Categoria</t>
  </si>
  <si>
    <t>Semana del año apertura</t>
  </si>
  <si>
    <t>Primer dia de la semana apertura</t>
  </si>
  <si>
    <t>Semana de cierre</t>
  </si>
  <si>
    <t>Primer dia de la semana de cierre</t>
  </si>
  <si>
    <t>Año APERTIRA</t>
  </si>
  <si>
    <t>Año cierre</t>
  </si>
  <si>
    <t>diferencia</t>
  </si>
  <si>
    <t>Etiquetas de fila</t>
  </si>
  <si>
    <t>Total general</t>
  </si>
  <si>
    <t>Etiquetas de columna</t>
  </si>
  <si>
    <t>Externo</t>
  </si>
  <si>
    <t>Interno</t>
  </si>
  <si>
    <t>Cuenta de Tipologia</t>
  </si>
  <si>
    <t>Semana</t>
  </si>
  <si>
    <t>Abiertos Internos</t>
  </si>
  <si>
    <t>Abiertos Externos</t>
  </si>
  <si>
    <t>Cerrados Internos</t>
  </si>
  <si>
    <t>Total abiertos</t>
  </si>
  <si>
    <t>Total Cerrados</t>
  </si>
  <si>
    <t>Acum. Cerrados Internos</t>
  </si>
  <si>
    <t>Acum. Cerrados Externos</t>
  </si>
  <si>
    <t>ESPC360-5150</t>
  </si>
  <si>
    <t>[PRE] [KS] Fallo de  ks-java-50061915-dgos-avro-gs en PRE</t>
  </si>
  <si>
    <t>OPERACIONAL</t>
  </si>
  <si>
    <t>TÉCNICO</t>
  </si>
  <si>
    <t>ESPC360-5701</t>
  </si>
  <si>
    <t>[PRE] [KStream] Error tests unitarios PC en accounts-movs-avro-gs</t>
  </si>
  <si>
    <t>ESPC360-6192</t>
  </si>
  <si>
    <t>[AVRO] Movimientos Cuentas - Construcción errónea del IdMov</t>
  </si>
  <si>
    <t>Movimientos Cuentas</t>
  </si>
  <si>
    <t>C360_Operacional_Team_Hero</t>
  </si>
  <si>
    <t>C360_Operacional_Sprint 172</t>
  </si>
  <si>
    <t>ESPC360-6934</t>
  </si>
  <si>
    <t>[Swagger] - Componentes que no han subido en sprint 173</t>
  </si>
  <si>
    <t>ESPC360-7230</t>
  </si>
  <si>
    <t>[PRE] Error Broken pipe en micro s-java-50059982-card-contracts</t>
  </si>
  <si>
    <t>C360_Operacional_Sprint 175;C360_Operacional_Sprint 176</t>
  </si>
  <si>
    <t>ESPC360-8113</t>
  </si>
  <si>
    <t>[DEV] Null pointer exception en GPI-Avro</t>
  </si>
  <si>
    <t>ESPC360-11020</t>
  </si>
  <si>
    <t>[Batch] [Tarjetas] Solucionar actualización del nombre de beneficiario al actualizar solo la pers_fisica y juridica</t>
  </si>
  <si>
    <t>Tarjetas</t>
  </si>
  <si>
    <t>ESPC360-11527</t>
  </si>
  <si>
    <t>[PRE] [Accounts Movements] [KStream] - Error en la generación del idMov con microsegundos a 0</t>
  </si>
  <si>
    <t>C360_Operacional_Sprint 186</t>
  </si>
  <si>
    <t>ESPC360-11687</t>
  </si>
  <si>
    <t>La función batch DATE_TO_LONG realiza conversión a UTC</t>
  </si>
  <si>
    <t>ESPC360-11832</t>
  </si>
  <si>
    <t>[PRO] [Fondos] INC046770445 - Denuncian dos fondos del cliente con descripción errónea.</t>
  </si>
  <si>
    <t>Fondos</t>
  </si>
  <si>
    <t>ESPC360-12380</t>
  </si>
  <si>
    <t>[PRO] [Tarjetas] La carga batch de tarjetas debe cargar una cuenta asociada</t>
  </si>
  <si>
    <t>ESPC360-13013</t>
  </si>
  <si>
    <t>[ACCOUNTS - PRE] Errores detectados con la actualización a Darwin 4.3.3</t>
  </si>
  <si>
    <t>Cuentas</t>
  </si>
  <si>
    <t>C360_Operacional_Sprint 189</t>
  </si>
  <si>
    <t>ESPC360-13392</t>
  </si>
  <si>
    <t>[ACCOUNTS - PRE] Errores detectados en el swagger de accounts con la actualización a Darwin 4.3.3</t>
  </si>
  <si>
    <t>C360_Operacional_Sprint 190</t>
  </si>
  <si>
    <t>ESPC360-13531</t>
  </si>
  <si>
    <t>[PRO] [Mov. Cuentas] INC048649441 - Error 500 movimientos cuentas</t>
  </si>
  <si>
    <t>ESPC360-13558</t>
  </si>
  <si>
    <t>[PRO] [PMP] INC048843528 - Marca PMP no se muestra D+1 desde contratación</t>
  </si>
  <si>
    <t>ESPC360-13787</t>
  </si>
  <si>
    <t>[PRO] [Mov. Cuentas] INC048917883 - No funcionan filtros de movimientos en cuentas</t>
  </si>
  <si>
    <t>ESPC360-13853</t>
  </si>
  <si>
    <t>[PRO] [Renting] Contratos alfanumericos no actualzian el GSI</t>
  </si>
  <si>
    <t>Renting</t>
  </si>
  <si>
    <t>ESPC360-13890</t>
  </si>
  <si>
    <t>[Santander GO - Users CMC] Búsqueda y Filtros en la obtención de los usuarios de un CMC</t>
  </si>
  <si>
    <t>C360_Operacional_Team_2</t>
  </si>
  <si>
    <t>C360_Operacional_Sprint 191</t>
  </si>
  <si>
    <t>ESPC360-14102</t>
  </si>
  <si>
    <t>[PRO] [Planes Pensiones] INC049562301 - Error en planes de pensiones</t>
  </si>
  <si>
    <t>Planes de Pensiones</t>
  </si>
  <si>
    <t>ESPC360-14147</t>
  </si>
  <si>
    <t>[PRO] [Confidencialidad] INC049392464 - Se ven contratos de depósitos que no se filtran por confidencialidad</t>
  </si>
  <si>
    <t>Confidencialidad;Depósitos</t>
  </si>
  <si>
    <t>ESPC360-14170</t>
  </si>
  <si>
    <t>[PRO] [Seguros] INC049893945 - No aparece la prima en ADN360</t>
  </si>
  <si>
    <t>Seguros</t>
  </si>
  <si>
    <t>ESPC360-14171</t>
  </si>
  <si>
    <t>[PRO] [FRONT] INC049918076 - Al imprimir PG del cliente no se exportan en PDF todos los contratos</t>
  </si>
  <si>
    <t>Front ADN360</t>
  </si>
  <si>
    <t>ESPC360-14328</t>
  </si>
  <si>
    <t>[PRO] [Planes Pensiones] Error en planes de pensiones al no existir rentabilidades</t>
  </si>
  <si>
    <t>ESPC360-14346</t>
  </si>
  <si>
    <t>[PRO] [Cuentas]  INCXXXX - ejemplo descripcion</t>
  </si>
  <si>
    <t>ESPC360-14415</t>
  </si>
  <si>
    <t>[PRO]  [Dock Station] INC050200140 - Problemas con la dockstation</t>
  </si>
  <si>
    <t>ESPC360-14434</t>
  </si>
  <si>
    <t>[PRO] [Cuentas] INC050189525 - no se ven los recibos b2b en el canal  y en el sico de la oficina si</t>
  </si>
  <si>
    <t>Cuentas;Recibos</t>
  </si>
  <si>
    <t>ESPC360-14463</t>
  </si>
  <si>
    <t>[PRO] [Creditos] INC050294916 - Empresa no ve su cuenta crédito</t>
  </si>
  <si>
    <t>Créditos</t>
  </si>
  <si>
    <t>ESPC360-14464</t>
  </si>
  <si>
    <t>[PRO] [Valores] INC050336446 - no muestra correctamente la rentabilidad</t>
  </si>
  <si>
    <t>Valores</t>
  </si>
  <si>
    <t>ESPC360-14465</t>
  </si>
  <si>
    <t>[PRE] [Cuentas] Error 403 forbidden al consultar cuentas</t>
  </si>
  <si>
    <t>ESPC360-14466</t>
  </si>
  <si>
    <t>[PRO] [Mov. Cuentas] INC050337181- No aparecen movimientos y consultas de mas de 20s</t>
  </si>
  <si>
    <t>Cuentas;Movimientos Cuentas</t>
  </si>
  <si>
    <t>ESPC360-14467</t>
  </si>
  <si>
    <t>[PRO] [Cuentas] INC050367771 - contrato partenón con numeración distinta</t>
  </si>
  <si>
    <t>ESPC360-14482</t>
  </si>
  <si>
    <t>[PRO] [Cuentas] INC050340970 - error 500 al llamar al micro de /accouts/compact</t>
  </si>
  <si>
    <t>ESPC360-14500</t>
  </si>
  <si>
    <t>[PRE] [Confidencialidad] INC050408143 - Error Forbidden al recuperar los detalles de una cuenta</t>
  </si>
  <si>
    <t>Confidencialidad</t>
  </si>
  <si>
    <t>ESPC360-14503</t>
  </si>
  <si>
    <t>[PRO] [Tarjetas] nuevo job update-cuentas-asociadas en bb-scla-50061915-cards</t>
  </si>
  <si>
    <t>ESPC360-14766</t>
  </si>
  <si>
    <t>[PRO] [Tarjetas] INC050425769 -  CONTRATO TARJETA FIRMADO no se ve</t>
  </si>
  <si>
    <t>ESPC360-14795</t>
  </si>
  <si>
    <t>[PRO] [Seguros] INC050524831 - La póliza sale a cero en ADN</t>
  </si>
  <si>
    <t>ESPC360-14798</t>
  </si>
  <si>
    <t>[PRO] [Valores] el proceso  carga-valores-valor-emision está mal planificado en la migración a Databricks</t>
  </si>
  <si>
    <t>C360_Operacional_Team_1</t>
  </si>
  <si>
    <t>C360_Operacional_Sprint 195</t>
  </si>
  <si>
    <t>ESPC360-14816</t>
  </si>
  <si>
    <t>[PRO] [Seguros] INC050567816 - Contrato debería estar dado de baja y aparece activo</t>
  </si>
  <si>
    <t>ESPC360-14817</t>
  </si>
  <si>
    <t>[PRO][Seguros] INC050568621 - Cliente no ve contrato dado de alta</t>
  </si>
  <si>
    <t>ESPC360-14864</t>
  </si>
  <si>
    <t>[PRE] [PMP] INC050609464 - No aparece póliza pmp</t>
  </si>
  <si>
    <t>Póliza Multiproducto (PMP)</t>
  </si>
  <si>
    <t>ESPC360-14873</t>
  </si>
  <si>
    <t>[Databricks] Corregir fallo en los procesos TTL con test-script</t>
  </si>
  <si>
    <t>C360_Operacional_Sprint 196</t>
  </si>
  <si>
    <t>ESPC360-14874</t>
  </si>
  <si>
    <t>[PRE] [Carteras Gestionadas] INC050567501 - Error al obtener carteras gestionadas cuando gravity esta activado</t>
  </si>
  <si>
    <t>Carteras Gestionadas</t>
  </si>
  <si>
    <t>ESPC360-14880</t>
  </si>
  <si>
    <t>[PRO] [Fondos] INC050599939 - El cliente no ve el detalle de fondos en NWE</t>
  </si>
  <si>
    <t>ESPC360-14885</t>
  </si>
  <si>
    <t>[PRO]  Se debe modificar la configuración de los logs para poder ver los logs funcionales en kibana</t>
  </si>
  <si>
    <t>Cuentas;Fondos;Tarjetas</t>
  </si>
  <si>
    <t>ESPC360-14886</t>
  </si>
  <si>
    <t>[FRONT] El front al levantar en local falla tirando de los servicios de dev</t>
  </si>
  <si>
    <t>ESPC360-15019</t>
  </si>
  <si>
    <t>[PRO] [Seguros] INC050749339- No aparece el seguro en la posición global</t>
  </si>
  <si>
    <t>ESPC360-15055</t>
  </si>
  <si>
    <t>[PRO] [Cuentas] INC050762442</t>
  </si>
  <si>
    <t>ESPC360-15081</t>
  </si>
  <si>
    <t>[PRO] [Seguros] INC050829728 - Cliente no ve sus seguros</t>
  </si>
  <si>
    <t>ESPC360-15085</t>
  </si>
  <si>
    <t>[PRO] [Fondos] INC050791871 - Aparecen fondos que antes no aparecían en la posición del cliente</t>
  </si>
  <si>
    <t>ESPC360-15087</t>
  </si>
  <si>
    <t>[PRE] Habilitar contador movimientos tarjetas Particulares para prepago</t>
  </si>
  <si>
    <t>ESPC360-15362</t>
  </si>
  <si>
    <t>[PRO] [Cuentas] INC050873250 - No aparece una de las cuentas junto con el resto.</t>
  </si>
  <si>
    <t>ESPC360-15407</t>
  </si>
  <si>
    <t>[BUZON] [Préstamos] Cancelación Registral: prueba piloto 2 (Cris Villagrasa) - informzación sobre intervininentes dados de baja</t>
  </si>
  <si>
    <t>Préstamos</t>
  </si>
  <si>
    <t>ESPC360-15438</t>
  </si>
  <si>
    <t>[PRO] [Seguros] INC050990290 - La póliza aparece a 0 en ADN.</t>
  </si>
  <si>
    <t>ESPC360-15440</t>
  </si>
  <si>
    <t>[PRO] [Seguros] INC050896200 - Seguro está en vigor, en ADN en las posiciones de seguros aparece a 0.</t>
  </si>
  <si>
    <t>ESPC360-15442</t>
  </si>
  <si>
    <t>[PRO] [Hipotecas] INC051015804 - Al acceder al detalle del préstamo 0049 6574 1030000090, da error</t>
  </si>
  <si>
    <t>Hipotecas</t>
  </si>
  <si>
    <t>ESPC360-15445</t>
  </si>
  <si>
    <t>[PRO] [Cuentas] INC051024909 - No aparece una cuenta en NWE</t>
  </si>
  <si>
    <t>ESPC360-15451</t>
  </si>
  <si>
    <t>[PRO] - Corrección de los identificadores de propuestas asociadas en préstamos</t>
  </si>
  <si>
    <t>ESPC360-15452</t>
  </si>
  <si>
    <t>Ajustar la devolución de la rentabilidad histórica de valores en el front</t>
  </si>
  <si>
    <t>ESPC360-15453</t>
  </si>
  <si>
    <t>[PRO] Crear workflows para los jobs de contador de movimientos de personas</t>
  </si>
  <si>
    <t>ESPC360-15455</t>
  </si>
  <si>
    <t>[PRO] [Seguros] INC051057453 - La póliza aparece a 0 en ADN.</t>
  </si>
  <si>
    <t>ESPC360-15460</t>
  </si>
  <si>
    <t>[PRO] - Completar configuración del batch de santander-go</t>
  </si>
  <si>
    <t>C360_Operacional_Sprint 197</t>
  </si>
  <si>
    <t>ESPC360-15464</t>
  </si>
  <si>
    <t>Corrección de los idPropuesta de propuestas asociadas</t>
  </si>
  <si>
    <t>ESPC360-15467</t>
  </si>
  <si>
    <t>[PRO] [PFEs] INC051071394 - PFE dado de baja que sigue en ADN360</t>
  </si>
  <si>
    <t>PFEs</t>
  </si>
  <si>
    <t>ESPC360-15488</t>
  </si>
  <si>
    <t>[PRO] [Mov. Cuentas] INC051075419 - Diferencia entre la fecha operación del movimiento de ADN360 y otros aplicativos</t>
  </si>
  <si>
    <t>ESPC360-15650</t>
  </si>
  <si>
    <t>[PRO] [Customers] - Alerta de cuerpo del mensaje null cuando devolvemos 403</t>
  </si>
  <si>
    <t>ADN_Team_Mtto</t>
  </si>
  <si>
    <t>ESPC360-15652</t>
  </si>
  <si>
    <t>[PRO] [Tarjetas] Errores alertado debido a un 404</t>
  </si>
  <si>
    <t>ESPC360-15666</t>
  </si>
  <si>
    <t>[PRO] [Mov. Cuentas]  Mejora en la query a mongo en caso de buscar por rango con el mismo dato</t>
  </si>
  <si>
    <t>ESPC360-15679</t>
  </si>
  <si>
    <t>[PRO][Seguros] INC051249883 - Cliente no ve contrato dado de alta</t>
  </si>
  <si>
    <t>ESPC360-15691</t>
  </si>
  <si>
    <t>[PRO] [Fondos] INC051285409 - Contrato deberia estar cancelado lo mostramos como activo</t>
  </si>
  <si>
    <t>ESPC360-15692</t>
  </si>
  <si>
    <t>[PRO] [Mov. Cuentas] INC051277655 - Informan de conceptos incorrectamente categorizados</t>
  </si>
  <si>
    <t>ESPC360-15698</t>
  </si>
  <si>
    <t>[PRO] [Valores] INC051289141 - Error en rentabilidad</t>
  </si>
  <si>
    <t>Fondos;Valores</t>
  </si>
  <si>
    <t>ESPC360-15702</t>
  </si>
  <si>
    <t>[PRO] [Planeta Seguros] INC051319567 - Contrato Cancelado sigue vigente en adn360</t>
  </si>
  <si>
    <t>Planeta Seguros</t>
  </si>
  <si>
    <t>ESPC360-15704</t>
  </si>
  <si>
    <t>[PRO] [FRONT] En el detalle de un producto se debe mostrar error si no existe el contrato</t>
  </si>
  <si>
    <t>ESPC360-15705</t>
  </si>
  <si>
    <t>[PRO] [global-search] Se necesita modificar la clave de cache actual</t>
  </si>
  <si>
    <t>ESPC360-15706</t>
  </si>
  <si>
    <t>[PRO] [Mov. Cuentas] INC051319057 - Indican que faltan movimientos desde CERTO</t>
  </si>
  <si>
    <t>ESPC360-15708</t>
  </si>
  <si>
    <t>[PRO] [Seguros] INC051326299 - Provisión de seguros se ve 0</t>
  </si>
  <si>
    <t>ESPC360-15931</t>
  </si>
  <si>
    <t>[PRO] [Tarjetas]  Error en nombre beneficiario tarjeta</t>
  </si>
  <si>
    <t>ESPC360-15978</t>
  </si>
  <si>
    <t>[PRO] [Seguros] INC051523797 - Póliza no aparece en ADN360</t>
  </si>
  <si>
    <t>ESPC360-16008</t>
  </si>
  <si>
    <t>[PRO] [Seguros] INC051535834 - Póliza Planeta Seguros dada de baja que sigue apareciendo</t>
  </si>
  <si>
    <t>ESPC360-16018</t>
  </si>
  <si>
    <t>[PRO] [Fondos] INC051523575 - No ve fondo desde empresas</t>
  </si>
  <si>
    <t>ESPC360-16020</t>
  </si>
  <si>
    <t>[PRO] [Customers] INC051500484 - Error en nombre empresa al solicitar certificado de titularidad</t>
  </si>
  <si>
    <t>ESPC360-16021</t>
  </si>
  <si>
    <t>[PRO] [Tarjetas] INC051573279 - No aparece tarjeta prepago mini</t>
  </si>
  <si>
    <t>ESPC360-16024</t>
  </si>
  <si>
    <t>[PRO] [Planes Empleo] INC051614426 - No se muestra plan de pensiones de empleado</t>
  </si>
  <si>
    <t>ESPC360-16121</t>
  </si>
  <si>
    <t>[PRO] [Valores] INC051619640 - Rentabilidad con error v2</t>
  </si>
  <si>
    <t>ESPC360-16149</t>
  </si>
  <si>
    <t>[PRO] [Planes Empleo] INC051287970 - No se muestra plan de pensiones de empleado</t>
  </si>
  <si>
    <t>ESPC360-16150</t>
  </si>
  <si>
    <t>[PRO] [Préstamos] INC051615141 -Deuda en TPX en AREs no reflejada</t>
  </si>
  <si>
    <t>Técnico</t>
  </si>
  <si>
    <t>ESPC360-16196</t>
  </si>
  <si>
    <t>[PRO] [Valores] INC051764804 - No se muestra contrato</t>
  </si>
  <si>
    <t>ESPC360-16206</t>
  </si>
  <si>
    <t>[PRO] [Tarjetas] problema con usuario con demasiados contratos de tarjetas</t>
  </si>
  <si>
    <t>ESPC360-16218</t>
  </si>
  <si>
    <t>[PRO] [Fondos] INC051805761 - Fondo de inversión que aparece en ADN como en proceso de cálculo</t>
  </si>
  <si>
    <t>ESPC360-16232</t>
  </si>
  <si>
    <t>[PRO] [Seguros] INC051846252 - No se ve poliza dado de alta</t>
  </si>
  <si>
    <t>ESPC360-16233</t>
  </si>
  <si>
    <t>[PRE] [Cuentas] INC051845983 - Error en la actualización de las cuentas del servicio adn360-api.pru.bsch/v1/accounts</t>
  </si>
  <si>
    <t>ESPC360-16468</t>
  </si>
  <si>
    <t>[PRO] [Cuentas] INC051929527 - no visualiza la cuenta asociada</t>
  </si>
  <si>
    <t>ESPC360-16479</t>
  </si>
  <si>
    <t>[PRO] [Confidencialidad] INC051932003 - Cliente sin confidencialidad no pueden darle la clave de acceso</t>
  </si>
  <si>
    <t>ESPC360-16505</t>
  </si>
  <si>
    <t>[PRO] [Cuentas] INC052035804 - No ve cuenta</t>
  </si>
  <si>
    <t>Bolaseg;Cuentas</t>
  </si>
  <si>
    <t>ESPC360-16524</t>
  </si>
  <si>
    <t>[PRO] INC052043294 - Alertado en bills - Llamada a movimientos</t>
  </si>
  <si>
    <t>ESPC360-16541</t>
  </si>
  <si>
    <t>Corrección JAVA_OPTS en custmovssearchms</t>
  </si>
  <si>
    <t>ESPC360-16545</t>
  </si>
  <si>
    <t>[PRO] Actualizar versión de avro-models en dp-pmp-avro</t>
  </si>
  <si>
    <t>ESPC360-16549</t>
  </si>
  <si>
    <t>[PRO] [FRONT] - No se muestran alertas en prestamos/hipotecas en Santander GO.</t>
  </si>
  <si>
    <t>ESPC360-16550</t>
  </si>
  <si>
    <t>[PRO][Seguros] INC052091864 - La póliza no se visualiza en ADN</t>
  </si>
  <si>
    <t>ESPC360-16595</t>
  </si>
  <si>
    <t>[PRO] [Seguros] INC052136894 - Provision a 0</t>
  </si>
  <si>
    <t>ESPC360-16697</t>
  </si>
  <si>
    <t>[PRE] [Confirming] INC052138222 - No se está mostrando el campo contract holder en oficina pero si en NWE</t>
  </si>
  <si>
    <t>Factoring &amp; Confirming</t>
  </si>
  <si>
    <t>ESPC360-16726</t>
  </si>
  <si>
    <t>[PRO] [Valores] INC052250965 - No se muestra un contrato por canal INT application PGP</t>
  </si>
  <si>
    <t>ESPC360-16727</t>
  </si>
  <si>
    <t>[PRO] [Seguros] INC052263273  - No se muestra seguro de tipo 311 en ADN360 pero si en ADN Seguros</t>
  </si>
  <si>
    <t>ESPC360-16729</t>
  </si>
  <si>
    <t>[PRO] [Derivados Financieros] INC052294757 - En la posición de Derivados de ADN 360 están apareciendo dos contratos que ya están vencidos</t>
  </si>
  <si>
    <t>Derivados</t>
  </si>
  <si>
    <t>ESPC360-16745</t>
  </si>
  <si>
    <t>[PRO] [Valores] INC052141165 - Rentabilidades devuelve error true</t>
  </si>
  <si>
    <t>ESPC360-16746</t>
  </si>
  <si>
    <t>[PRO] [Seguros] INC052309896 - No se muestra la prima del seguro en ADN</t>
  </si>
  <si>
    <t>ESPC360-16749</t>
  </si>
  <si>
    <t>[PRO] [Planes Pensiones] INC052313320 - No se muestra contrato de planes de pensiones</t>
  </si>
  <si>
    <t>ESPC360-16762</t>
  </si>
  <si>
    <t>[PRE] [Carteras] INC052361039 - Servicio externo de carteras con tiempos altos</t>
  </si>
  <si>
    <t>ESPC360-16869</t>
  </si>
  <si>
    <t>[PRO] [Préstamos] INC052313320 - en el api de refinanciacion hay diferencia con respecto a la cuota impagada año anterior</t>
  </si>
  <si>
    <t>ESPC360-16871</t>
  </si>
  <si>
    <t>[PRO] [Préstamos] INC052391091 - Indican que en ADN360 la cuenta asociada es erronea.</t>
  </si>
  <si>
    <t>ESPC360-16959</t>
  </si>
  <si>
    <t>[PRO] [Depósitos Estructurados] - INC052570220 - Solicitan cancelación de PFEs erróneos.</t>
  </si>
  <si>
    <t>Depósitos;PFEs</t>
  </si>
  <si>
    <t>ESPC360-16962</t>
  </si>
  <si>
    <t>Migración de marca PMP batch al nuevo modelo de propuestas (Comex)</t>
  </si>
  <si>
    <t>ESPC360-16970</t>
  </si>
  <si>
    <t>[PRO] [Valores] INC052606330 - No aparece la revalorizacion del contrato</t>
  </si>
  <si>
    <t>ESPC360-16971</t>
  </si>
  <si>
    <t>[PRO] Corregir filtro del update del pdf de movimientos</t>
  </si>
  <si>
    <t>C360_Operacional_Sprint 198</t>
  </si>
  <si>
    <t>ESPC360-16972</t>
  </si>
  <si>
    <t>[PRO] [Confidencialidad] INC052605945 - Aviso de confidencialidad y no pueden ver los contratos.</t>
  </si>
  <si>
    <t>ESPC360-16976</t>
  </si>
  <si>
    <t>[PRO] [Tarjetas] INC052600241 - No se muestra el saldo dispuesto para 2 tarjetas  Corporate</t>
  </si>
  <si>
    <t>ESPC360-16978</t>
  </si>
  <si>
    <t>[PRO] [Tarjetas] se debe de borrar el cálculo de tarjetasLimite si tiene estdo RM</t>
  </si>
  <si>
    <t>ESPC360-17090</t>
  </si>
  <si>
    <t>[PRO] [Fondos] INC052386456 - Incidencia al contratar fondo de inversión</t>
  </si>
  <si>
    <t>Cuentas;Fondos</t>
  </si>
  <si>
    <t>ESPC360-17091</t>
  </si>
  <si>
    <t>Migración libreria front a a la última versión disponible de angular</t>
  </si>
  <si>
    <t>ESPC360-17092</t>
  </si>
  <si>
    <t>Migración proyecto de front a a la última versión disponible de angular</t>
  </si>
  <si>
    <t>ESPC360-17093</t>
  </si>
  <si>
    <t>[PRO] Corregir filtro del update del pdf de movimientos (Atlas)</t>
  </si>
  <si>
    <t>C360_Operacional_Sprint 199</t>
  </si>
  <si>
    <t>ESPC360-17137</t>
  </si>
  <si>
    <t>[PRO] [Seguros] INC052819986 - No se muestra póliza de accidentes en ADN360</t>
  </si>
  <si>
    <t>ESPC360-17160</t>
  </si>
  <si>
    <t>[PRO] [PFES] INC052862823 - Saldo incorrecto en adn</t>
  </si>
  <si>
    <t>ESPC360-17169</t>
  </si>
  <si>
    <t>[PRO] Cambiar a ataque bulk el update-contratos-carteras</t>
  </si>
  <si>
    <t>ESPC360-17170</t>
  </si>
  <si>
    <t>[PRO] [Fondos] INC052867604 - Error rentabilidad en proceso de calculo</t>
  </si>
  <si>
    <t>ESPC360-17286</t>
  </si>
  <si>
    <t>Migración de marca PMP batch al nuevo modelo de propuestas (Credits)</t>
  </si>
  <si>
    <t>ESPC360-17287</t>
  </si>
  <si>
    <t>Migración de marca PMP batch al nuevo modelo de propuestas (Discounts)</t>
  </si>
  <si>
    <t>ESPC360-17288</t>
  </si>
  <si>
    <t>Migración de marca PMP batch al nuevo modelo de propuestas (Exchange Insurances)</t>
  </si>
  <si>
    <t>ESPC360-17289</t>
  </si>
  <si>
    <t>Migración de marca PMP batch al nuevo modelo de propuestas (Factoring-Confirming)</t>
  </si>
  <si>
    <t>ESPC360-17290</t>
  </si>
  <si>
    <t>Migración de marca PMP batch al nuevo modelo de propuestas (Financial Derivates)</t>
  </si>
  <si>
    <t>ESPC360-17291</t>
  </si>
  <si>
    <t>Migración de marca PMP batch al nuevo modelo de propuestas (Guarantees)</t>
  </si>
  <si>
    <t>ESPC360-17302</t>
  </si>
  <si>
    <t>[PRO] [PFEs] INC052934819 - Datos descuadrados entre ADN360 y la aplicación particulares</t>
  </si>
  <si>
    <t>ESPC360-17338</t>
  </si>
  <si>
    <t>[PRO] [Seguros] INC052906685 - Ramo de póliza incorrecto en ADN360</t>
  </si>
  <si>
    <t>ESPC360-17349</t>
  </si>
  <si>
    <t>[PRO] [Seguros] INC053063539 - Póliza con salgo 0 en ADN360</t>
  </si>
  <si>
    <t>ESPC360-17358</t>
  </si>
  <si>
    <t>Corrección de Control-Hismo en OnPremise</t>
  </si>
  <si>
    <t>ESPC360-17364</t>
  </si>
  <si>
    <t>[PRO] [Préstamos] La refinanciacion del contrato 004950311030609075 tiene descuadre y no deberia</t>
  </si>
  <si>
    <t>ESPC360-17376</t>
  </si>
  <si>
    <t>[PRO] Los servicios digitales de Santander Go no siempre se están traduciendo</t>
  </si>
  <si>
    <t>ESPC360-17377</t>
  </si>
  <si>
    <t>[PRE] [BGM] INC053124945 - Modificación en API  Buscador Global - Movimientos Tarjeta</t>
  </si>
  <si>
    <t>Movimientos Tarjetas</t>
  </si>
  <si>
    <t>ESPC360-17513</t>
  </si>
  <si>
    <t>[Cuentas] Solución  de relación contrato cuentas con contrato rel_contratos</t>
  </si>
  <si>
    <t>ESPC360-17522</t>
  </si>
  <si>
    <t>[PRE] [Aggregations] INC054876772 - Field total cuando deberia ser Número total de contratos</t>
  </si>
  <si>
    <t>Desarrollo</t>
  </si>
  <si>
    <t>C360_Operacional_Sprint 201</t>
  </si>
  <si>
    <t>ESPC360-17590</t>
  </si>
  <si>
    <t>[PRO] [FRONT] INC053368186 - Error Bizum en ADN360</t>
  </si>
  <si>
    <t>ESPC360-17597</t>
  </si>
  <si>
    <t>[PRO] INC053378862 - Error en la descripción de un movimiento</t>
  </si>
  <si>
    <t>ESPC360-17600</t>
  </si>
  <si>
    <t>[PRO] [Valores] INC052939932 - No se muestra un contrato de valores</t>
  </si>
  <si>
    <t>Carteras Gestionadas;Valores</t>
  </si>
  <si>
    <t>ESPC360-17601</t>
  </si>
  <si>
    <t>[PRO] [Valores] INC053380917 - Error visualización rentabilidad valores</t>
  </si>
  <si>
    <t>ESPC360-17658</t>
  </si>
  <si>
    <t>[PRO] [Préstamos] INC053452332 - Descuadre de la deuda entre ADN360 y teleproceso. Adjuntamos imágenes con ejemplo</t>
  </si>
  <si>
    <t>ESPC360-17666</t>
  </si>
  <si>
    <t>[PRO] [Cuentas-Créditos] INC053537096 - Fecha vencimiento del crédito errónea en ADN360</t>
  </si>
  <si>
    <t>ESPC360-17667</t>
  </si>
  <si>
    <t>[PRO] [Seguros] INC053542406 - No aparece la póliza en la posición del cliente</t>
  </si>
  <si>
    <t>ESPC360-17671</t>
  </si>
  <si>
    <t>[PRO] [Depósitos] INC053551773 - Le aparecen en ADN dos nuevos PFE sin importe</t>
  </si>
  <si>
    <t>ESPC360-17674</t>
  </si>
  <si>
    <t>[PRO] [Seguros] INC053551404 - No aparece nueva póliza en ADN360</t>
  </si>
  <si>
    <t>ESPC360-17682</t>
  </si>
  <si>
    <t>[Observabilidad] - No se visualizan eventos OK</t>
  </si>
  <si>
    <t>ESPC360-17684</t>
  </si>
  <si>
    <t>[Observabilidad] - No se está obteniendo el customerId en la API al no ingestarse normalizado</t>
  </si>
  <si>
    <t>ESPC360-17699</t>
  </si>
  <si>
    <t>[Dispositivo Seguro] [RT] - No se están eliminando los dispositivos en los eventos DLET</t>
  </si>
  <si>
    <t>C360_Operacional_Sprint 200</t>
  </si>
  <si>
    <t>ESPC360-17708</t>
  </si>
  <si>
    <t>[PRO] [Cuentas]  INC053419855 - Error al llamar al detalle por cuenta local</t>
  </si>
  <si>
    <t>Confidencialidad;Cuentas</t>
  </si>
  <si>
    <t>ESPC360-17712</t>
  </si>
  <si>
    <t>[PRO] Fix para leer la última partición de la tabla de dispositivos seguros</t>
  </si>
  <si>
    <t>C360_Operacional_Sprint 202</t>
  </si>
  <si>
    <t>ESPC360-17721</t>
  </si>
  <si>
    <t>[PRO] [PFEs] INC053778847 - No aparecen PFEs en posición del cliente</t>
  </si>
  <si>
    <t>ESPC360-17816</t>
  </si>
  <si>
    <t>[PRO] [PMP] INC053847245 - Error en vencimiento en adn de la póliza de crédito</t>
  </si>
  <si>
    <t>ESPC360-17821</t>
  </si>
  <si>
    <t>[PRO] [Cuentas] INC053857963 - No se visualiza nueva cuenta del cliente</t>
  </si>
  <si>
    <t>ESPC360-17822</t>
  </si>
  <si>
    <t>[PRO]  [Fondos]  INC053854041 - Api devuelve titulos disponibles a 0</t>
  </si>
  <si>
    <t>ESPC360-17833</t>
  </si>
  <si>
    <t>[PRO] [Valores] INC053838458 - rentabilidad no cuiadradad</t>
  </si>
  <si>
    <t>ESPC360-18006</t>
  </si>
  <si>
    <t>[PRE] [Movimientos Tarjetas] No se muestra financiables movimientos que cumplen condiciones</t>
  </si>
  <si>
    <t>ESPC360-18008</t>
  </si>
  <si>
    <t>[PRE] [Valores] INC053459805 - Error en el front al desplegar contratos hijos no se ve el menú del contrato</t>
  </si>
  <si>
    <t>Front ADN360;Valores</t>
  </si>
  <si>
    <t>ESPC360-18009</t>
  </si>
  <si>
    <t>[PRO] [Planeta Seguros] INC054015357 - Seguro cancelado aparece activo en adn360</t>
  </si>
  <si>
    <t>ESPC360-18144</t>
  </si>
  <si>
    <t>[PRO] [Tarjetas] INC054166559 - Tarjeta bloqueada aparece en vigor en adn360</t>
  </si>
  <si>
    <t>ESPC360-18150</t>
  </si>
  <si>
    <t>[PRO] [Cuentas] INC054107597 - No se muestra la posición global al acceder con uno de los usuarios</t>
  </si>
  <si>
    <t>ESPC360-18167</t>
  </si>
  <si>
    <t>[PRO] INC054272268  - Tarjeta contratada el 30.04.2025 que no figura en ADN cliente</t>
  </si>
  <si>
    <t>ESPC360-18331</t>
  </si>
  <si>
    <t>[PRO] [Seguros] INC054368331 - ADN360 no está recogiendo el importe correctamente</t>
  </si>
  <si>
    <t>ESPC360-18343</t>
  </si>
  <si>
    <t>[PRO] [Valores] INC054282349 - No se muestran las rentabilidades por la app</t>
  </si>
  <si>
    <t>ESPC360-18362</t>
  </si>
  <si>
    <t>[PRO] [Valores] INC054404336 - No se muestra contrao por PGP</t>
  </si>
  <si>
    <t>ESPC360-18420</t>
  </si>
  <si>
    <t>[PRO] [Seguros] INC054601440 - no se ven dos contratos</t>
  </si>
  <si>
    <t>ESPC360-18422</t>
  </si>
  <si>
    <t>[PRO]] [PFE] INC054605254 - imposición dada de baja se muestra en adn360 como alta</t>
  </si>
  <si>
    <t>ESPC360-18425</t>
  </si>
  <si>
    <t>[PRO] [FRONT] INC053536658 - no pinta valores la impresion del PDF para el usuario F9326478</t>
  </si>
  <si>
    <t>ESPC360-18523</t>
  </si>
  <si>
    <t>[PRO] [Mov. Cuentas] INC054721549 - cliente no ve movimeiento del dia 16/05</t>
  </si>
  <si>
    <t>ESPC360-18524</t>
  </si>
  <si>
    <t>[PRO] [Tarjetas] INC054722673 - No aparece el nombre del beneficiario de la tarjeta</t>
  </si>
  <si>
    <t>ESPC360-18525</t>
  </si>
  <si>
    <t>[PRO] [Seguros] INC054727364 - Seguros de mediación con la prima a 0</t>
  </si>
  <si>
    <t>ESPC360-18526</t>
  </si>
  <si>
    <t>[PRO] [Seguros] INC054727595 - seguro no aparece en adn360</t>
  </si>
  <si>
    <t>ESPC360-18557</t>
  </si>
  <si>
    <t>[Libreria Commons] Serialización objetos de cache</t>
  </si>
  <si>
    <t>Ready to Develop</t>
  </si>
  <si>
    <t>ESPC360-18559</t>
  </si>
  <si>
    <t>[PRO] [Cuentas] INC054644103 -  Usuario no ve cesta de cuentas ni cuenta asociada</t>
  </si>
  <si>
    <t>ESPC360-18567</t>
  </si>
  <si>
    <t>[PRO] [Avales] No le aparece contrasto  al cliente en sus posiciones de ADN</t>
  </si>
  <si>
    <t>Avales</t>
  </si>
  <si>
    <t>ESPC360-18589</t>
  </si>
  <si>
    <t>Restaurar el parámetro odate en batches de CDP360</t>
  </si>
  <si>
    <t>ESPC360-18621</t>
  </si>
  <si>
    <t>[KSTREAM] Incluir campos de movimientos en la primera escritura de OB_MOVTOS</t>
  </si>
  <si>
    <t>C360_Operacional_Sprint 203</t>
  </si>
  <si>
    <t>ESPC360-18622</t>
  </si>
  <si>
    <t>[PRO] [NO-CUSTOMER360] -  INC054813446 ADN-CLIENTE</t>
  </si>
  <si>
    <t>NO-CUSTOMER360</t>
  </si>
  <si>
    <t>ESPC360-18644</t>
  </si>
  <si>
    <t>[PRO] [Creditos] INC054840112 - El GSI se debe actualizar para no tener el icono</t>
  </si>
  <si>
    <t>ESPC360-18767</t>
  </si>
  <si>
    <t>[PRO] [Valores] INC049602001 - No aparece la rentabilidad en valores.</t>
  </si>
  <si>
    <t>ESPC360-18768</t>
  </si>
  <si>
    <t>[PRO] [Mov. Cuentas] INC054947727 - No se actualizan los movimientos en la web</t>
  </si>
  <si>
    <t>ESPC360-18774</t>
  </si>
  <si>
    <t>Corrección coste fondeo y subvención en Préstamos ICO</t>
  </si>
  <si>
    <t>ESPC360-18782</t>
  </si>
  <si>
    <t>Configurar la opción auto.register.schemas en los Serde</t>
  </si>
  <si>
    <t>ESPC360-18790</t>
  </si>
  <si>
    <t>[PRO] [NO-CUSTOMER360] INC055020087 - no me funciona la base del ordenador , es urgente</t>
  </si>
  <si>
    <t xml:space="preserve"> NO-CUSTOMER360</t>
  </si>
  <si>
    <t>ESPC360-18791</t>
  </si>
  <si>
    <t>[PRO] [Procesos] INC054994421 - Fallos al obtener la  configuración</t>
  </si>
  <si>
    <t>PROCESOS</t>
  </si>
  <si>
    <t>ESPC360-18792</t>
  </si>
  <si>
    <t>[PRO] [Valores] INC054812048 - No ve rentabilidad de acciones</t>
  </si>
  <si>
    <t>ESPC360-18793</t>
  </si>
  <si>
    <t>[PRO][Avales] INC054768507 - No le aparece al cliente en sus posiciones de ADN</t>
  </si>
  <si>
    <t>CONSULTA_OPERATIVA</t>
  </si>
  <si>
    <t>ESPC360-18796</t>
  </si>
  <si>
    <t>[PRO] [FRONT]  no pinta ultima cesta la impresion del PDF para el usuario F9326478</t>
  </si>
  <si>
    <t>BACKLOG</t>
  </si>
  <si>
    <t>ESPC360-18797</t>
  </si>
  <si>
    <t>PEX_0036786737 F9326478</t>
  </si>
  <si>
    <t>ESPC360-18800</t>
  </si>
  <si>
    <t>[PRO] [Planes Pensiones] INC055018165 - No se muestra el contrato</t>
  </si>
  <si>
    <t>ESPC360-18803</t>
  </si>
  <si>
    <t>[PRO] [Movimientos] INC054994767 - Discrepancias entre certificados de saldo</t>
  </si>
  <si>
    <t>Buscador Global de Movimientos</t>
  </si>
  <si>
    <t>ESPC360-18804</t>
  </si>
  <si>
    <t>[PRE] [Seguros] INC055027113 - ERROR APIS POSICIÓN GLOBAL</t>
  </si>
  <si>
    <t>ESPC360-18817</t>
  </si>
  <si>
    <t>[PRO] INC055063514 - Problemas de acceso ADN</t>
  </si>
  <si>
    <t>NO-CUSTOMER</t>
  </si>
  <si>
    <t>ESPC360-18906</t>
  </si>
  <si>
    <t>Corrección coste fondeo y subvención en Préstamos ICO [Real Time]</t>
  </si>
  <si>
    <t>ESPC360-18927</t>
  </si>
  <si>
    <t>[PRE] [Descuentos] INC055094820 - Servicio de descuentos da error</t>
  </si>
  <si>
    <t>Descuento Comercial</t>
  </si>
  <si>
    <t>ESPC360-18959</t>
  </si>
  <si>
    <t>[PRO] [Préstamos] El préstamo 004949081030607791 tiene descuadre y está desactualizado</t>
  </si>
  <si>
    <t>ESPC360-18961</t>
  </si>
  <si>
    <t>[PRO] [Cuentas] INC055100406 - han desaparecido las cuentas</t>
  </si>
  <si>
    <t>ESPC360-18982</t>
  </si>
  <si>
    <t>[PRO] INC055192942 - FTP_PHDPSCRM0254D / B-SANES-P-HDP.INGESTA-800030677 error odate 06/02</t>
  </si>
  <si>
    <t>ESPC360-18983</t>
  </si>
  <si>
    <t>[PRO] INC055192986 - FTP_PHDPSPASV1119D / B-SANES-P-HDP.INGESTA-800030677 error odate 06/02</t>
  </si>
  <si>
    <t>ESPC360-18987</t>
  </si>
  <si>
    <t>[PRO] [Cuentas] INC055210765 - No se muestra la cuenta</t>
  </si>
  <si>
    <t>ESPC360-18990</t>
  </si>
  <si>
    <t>[PRO] INC055216859 - Portal Cliente - Error Acceso ADN360</t>
  </si>
  <si>
    <t>ESPC360-18994</t>
  </si>
  <si>
    <t>[PRO] [Planeta Seguros] INC055223338 - Contrato dado de baja sale activo en adn360</t>
  </si>
  <si>
    <t>ESPC360-19002</t>
  </si>
  <si>
    <t>[PRO] [PFEs] Modificar lógica depósitos estructurados.</t>
  </si>
  <si>
    <t>ESPC360-19005</t>
  </si>
  <si>
    <t>[PRO] [Mov. Cuentas] INC055210375 - La descripción de los movimientos se muestra mal.</t>
  </si>
  <si>
    <t>ESPC360-19017</t>
  </si>
  <si>
    <t>[PRO] [Cuentas] INC055169114 - Error al ver el detalle de una cuenta</t>
  </si>
  <si>
    <t>ESPC360-19035</t>
  </si>
  <si>
    <t>[PRO] [ADN Cliente] INC055299640 - No se muestra seguro</t>
  </si>
  <si>
    <t>ESPC360-19110</t>
  </si>
  <si>
    <t>[PRO] [Planeta Seguros] INC055340185 - contrato cancelado aparece activo</t>
  </si>
  <si>
    <t>ESPC360-19117</t>
  </si>
  <si>
    <t>[Securities-Market] En su agregado muestra información incorrecta</t>
  </si>
  <si>
    <t>ESPC360-19122</t>
  </si>
  <si>
    <t>[PRO] [Préstamos] INC055099259 - Contratación prestamo online: modificación de condiciones</t>
  </si>
  <si>
    <t>Detalle Prestamos</t>
  </si>
  <si>
    <t>ESPC360-19135</t>
  </si>
  <si>
    <t>[PRO] [Créditos] INC055442299 - Se muestra limite incorrecto</t>
  </si>
  <si>
    <t>ESPC360-19138</t>
  </si>
  <si>
    <t>[PRO] [PFES] INC055449201 - IPF cancelada sale activa</t>
  </si>
  <si>
    <t>ESPC360-19141</t>
  </si>
  <si>
    <t>[PRO] [SP2TXT] INC055465824 - PADN164D/B-SANES-P-HDP.ADN360-800012122 - Odate: 2025/06/09</t>
  </si>
  <si>
    <t>ESPC360-19153</t>
  </si>
  <si>
    <t>[PRO] [Valores] INC055490999 - Rentabilidad incorrecta</t>
  </si>
  <si>
    <t>ESPC360-19159</t>
  </si>
  <si>
    <t>[Customer-Position] En accounts y creditAccounts en lugar de availableAuthorized hay que mapear authorizedDiscoveredBalance</t>
  </si>
  <si>
    <t>C360_Operacional_Sprint 204</t>
  </si>
  <si>
    <t>ESPC360-19169</t>
  </si>
  <si>
    <t>[PRO] [ADN Cliente] INC055564492 - No aparece cuenta en adn cliente</t>
  </si>
  <si>
    <t>ESPC360-19170</t>
  </si>
  <si>
    <t>[PRO] [ADN Cliente] INC055565288- No aparece cartera en adn cliente</t>
  </si>
  <si>
    <t>ESPC360-19171</t>
  </si>
  <si>
    <t>[PRO] [Fondos] INC055479264 - Se muestran 2 fondos que no deberian en web particulares</t>
  </si>
  <si>
    <t>C360_Operacional_Sprint 206</t>
  </si>
  <si>
    <t>ESPC360-19249</t>
  </si>
  <si>
    <t>[PRO] [Cuentas] INC055600469 - No se ve cuenta</t>
  </si>
  <si>
    <t>ESPC360-19254</t>
  </si>
  <si>
    <t>[PRO] Resolución errónea de descripciones de movimientos de cuentas</t>
  </si>
  <si>
    <t>ESPC360-19264</t>
  </si>
  <si>
    <t>[PRO] no funciona el emulador 3270,  solicitar instalación de PRO-GRAVITY</t>
  </si>
  <si>
    <t>ESPC360-19265</t>
  </si>
  <si>
    <t>[PRO] [Créditos] INC055688802 - No se muestra el limite de crédito renovado</t>
  </si>
  <si>
    <t>ESPC360-19267</t>
  </si>
  <si>
    <t>[PRO] [Movimientos] INC055686174 - Nexus- Santander España BSP - IATA - Timeout en peticiones a api ESPAÑA</t>
  </si>
  <si>
    <t>ESPC360-19268</t>
  </si>
  <si>
    <t>[PRO] [Créditos] INC055690473 - Se muestra limite incorrecto</t>
  </si>
  <si>
    <t>ESPC360-19273</t>
  </si>
  <si>
    <t>[PRO] [Seguros] INC055691537 - PEX_0038371095 - 40308049C Número de póliza: 250420334082</t>
  </si>
  <si>
    <t>GRAVITY</t>
  </si>
  <si>
    <t>ESPC360-19276</t>
  </si>
  <si>
    <t>[PRO] [Cuentas] INC055692286 -  ERROR VENCIMIENTO ADN 0049 3166 0922 1470 1538</t>
  </si>
  <si>
    <t>ESPC360-19277</t>
  </si>
  <si>
    <t>[PRO] [Préstamos] -  INC055689732 APERTURA INCIDENCIA VISUALIZACION DE POSICIONES</t>
  </si>
  <si>
    <t>ESPC360-19279</t>
  </si>
  <si>
    <t>[PRO] [PMP] INC055693024 - no se muestra saldo de confirming para el cliente J255431</t>
  </si>
  <si>
    <t>ESPC360-19280</t>
  </si>
  <si>
    <t>[PRO] [Mov. cuentas] INC055721407 - No se ven movimientos del fin de semana</t>
  </si>
  <si>
    <t>ESPC360-19282</t>
  </si>
  <si>
    <t>[PRO] INC055061896 - PEX_0037927410 le sale como pdtes mvtos</t>
  </si>
  <si>
    <t>ESPC360-19285</t>
  </si>
  <si>
    <t>[PRO] [Depósitos] INC055728440 - Error en los precios de las IPFs contratadas</t>
  </si>
  <si>
    <t>Depósitos</t>
  </si>
  <si>
    <t>ESPC360-19286</t>
  </si>
  <si>
    <t>[PRO] [Seguros] INC055732618 - PEX_0038384197 - B82268327 - poliza 0782555022268 no aparece en posiciones</t>
  </si>
  <si>
    <t>ESPC360-19287</t>
  </si>
  <si>
    <t>[PRO] [Seguros] INC055727943 - Número de póliza: 051492935888</t>
  </si>
  <si>
    <t>ESPC360-19288</t>
  </si>
  <si>
    <t>[PRO] [Seguros] INC055737426 - contratacion seguro de vida</t>
  </si>
  <si>
    <t>ESPC360-19292</t>
  </si>
  <si>
    <t>[PRO] [NO-CUSTOMER360] INC055746517 - El usuario no tiene acceso completo a ADN MERCADOS</t>
  </si>
  <si>
    <t>ESPC360-19295</t>
  </si>
  <si>
    <t>[PRO] [Cuentas] INC055765346 - Fecha de vencimiento incorrecto</t>
  </si>
  <si>
    <t>ESPC360-19296</t>
  </si>
  <si>
    <t>[PRO] [NO-CUSTOMER360] INC055729803 - INCIDENCIA GRAVITY CONSULTA RESOLUCION PROPUESTAS</t>
  </si>
  <si>
    <t>ESPC360-19297</t>
  </si>
  <si>
    <t>[PRO] [Créditos] INC055769025 - El crédito sale en adn con límite 0 y en tp límite de 297.000</t>
  </si>
  <si>
    <t>ESPC360-19299</t>
  </si>
  <si>
    <t>[PRO] [Seguros] INC055769329 - No aparece seguro</t>
  </si>
  <si>
    <t>ESPC360-19300</t>
  </si>
  <si>
    <t>[PRO] [Movimientos] INC055771390 - No se ven movimientos de transferencias/bizums</t>
  </si>
  <si>
    <t>ESPC360-19309</t>
  </si>
  <si>
    <t>[PRO] [Descuentos] INC055807178 - Fecha de vencimiento incorrecta</t>
  </si>
  <si>
    <t>ESPC360-19326</t>
  </si>
  <si>
    <t>[PRE] [Descuentos] INC055811773 -  Error llamada ADN discounts</t>
  </si>
  <si>
    <t>ESPC360-19370</t>
  </si>
  <si>
    <t>[PRO] [ADN Cliente] INC055839625 - No se muiestra una cuenta en adn cliente</t>
  </si>
  <si>
    <t>ESPC360-19378</t>
  </si>
  <si>
    <t>Corrección marca PMP en el front</t>
  </si>
  <si>
    <t>C360_Operacional_Sprint 205</t>
  </si>
  <si>
    <t>ESPC360-19379</t>
  </si>
  <si>
    <t>[PRO] No se devuelven seguros con estado PS en global-position/customer-position</t>
  </si>
  <si>
    <t>ESPC360-19381</t>
  </si>
  <si>
    <t>[PRO] [Cuentas] INC055924752 - Error en llamada a detalle de cuenta</t>
  </si>
  <si>
    <t>ESPC360-19386</t>
  </si>
  <si>
    <t>[PRO] [SMART-PRICING] INC055820369 -  Necesitamos actualizar los datos productivos relativos a la API de Smartpricing expuesta en la aplicación de ADN360. Se trata de un proceso crítico que afecta a</t>
  </si>
  <si>
    <t>smart-pricing</t>
  </si>
  <si>
    <t>ESPC360-19388</t>
  </si>
  <si>
    <t>[PRO] [ADN OPERATIVO] INC055995702 - Actualización libreta</t>
  </si>
  <si>
    <t>ESPC360-19391</t>
  </si>
  <si>
    <t>[PRO] [Tarjetas] INC055913133 - Ve tarjeta de persona física no asociada</t>
  </si>
  <si>
    <t>ESPC360-19398</t>
  </si>
  <si>
    <t>Corrección de ks-globalktables para poder desplegar en PRO</t>
  </si>
  <si>
    <t>ESPC360-19402</t>
  </si>
  <si>
    <t>[PRO] [ADN CLIENTE] INC056005482 - Dar de baja Alarmas de cliente 40401615E</t>
  </si>
  <si>
    <t>ESPC360-19405</t>
  </si>
  <si>
    <t>[PRO] [ADN-CLIENTE] INC056032954 - Error 500 cuando accedo a ver estado de campaña de cliente</t>
  </si>
  <si>
    <t>ESPC360-19406</t>
  </si>
  <si>
    <t>[PRO] [Cuentas] INC056012492 - Incidencia actualización de saldos</t>
  </si>
  <si>
    <t>ESPC360-19491</t>
  </si>
  <si>
    <t>[PRO] Recargar Movimientos de Cuentas en Atlas para el odate 20250616</t>
  </si>
  <si>
    <t>ESPC360-19499</t>
  </si>
  <si>
    <t>[PRO] [Seguros] INC056140943 - La póliza 250420245432 está anulada pero aun aparece en ADN 360</t>
  </si>
  <si>
    <t>NO_CUSTOMER360</t>
  </si>
  <si>
    <t>ESPC360-19521</t>
  </si>
  <si>
    <t>[PRO] [Créditos] INC056144723 - Fecha de vencimeneto incorrecto</t>
  </si>
  <si>
    <t>ESPC360-19524</t>
  </si>
  <si>
    <t>[PRO] [Cuentas] INC056037354 PEX_0038636335 no ve una cuenta</t>
  </si>
  <si>
    <t>ESPC360-19528</t>
  </si>
  <si>
    <t>[PRO] INCIDENCIA ACCESO APP</t>
  </si>
  <si>
    <t>ESPC360-19529</t>
  </si>
  <si>
    <t>[PRO] [SMART-PRICING]  INC055921174 Necesitamos actualizar los precios personalizados que se cargan a nivel cliente en ADN 360. Se trata de un proceso crítico.</t>
  </si>
  <si>
    <t>ESPC360-19530</t>
  </si>
  <si>
    <t>[PRO] INC056141216 Contrato digitalizado</t>
  </si>
  <si>
    <t>ESPC360-19532</t>
  </si>
  <si>
    <t>[PRO] [ADN-Cliente] INC056052288 - Aparece relación en fondo dado de baja</t>
  </si>
  <si>
    <t>ESPC360-19542</t>
  </si>
  <si>
    <t>[PRO] [Seguros] INC056187888 - No se muestra Póliza: 710510023397</t>
  </si>
  <si>
    <t>ESPC360-19546</t>
  </si>
  <si>
    <t>[PRO] [Mov. Cuentas] INC056200081 - No se visualizan ingreso</t>
  </si>
  <si>
    <t>ESPC360-19547</t>
  </si>
  <si>
    <t>[PRO] [Préstamos] La tabla de opening tiene una estructura diferente a la que indicaron</t>
  </si>
  <si>
    <t>ESPC360-19549</t>
  </si>
  <si>
    <t>[PRO] [Fondos] INC056222137 - NO APARECE EL FONDO EUROCRÉDITO 0049 4684    0010431 823</t>
  </si>
  <si>
    <t>ESPC360-19552</t>
  </si>
  <si>
    <t>[PRO] [Depósitos] INC056192814 - Saldo duplicado en ADN</t>
  </si>
  <si>
    <t>ESPC360-19565</t>
  </si>
  <si>
    <t>[PRO] [Mov. Cuentas] INC056274778 - Descripción errónea</t>
  </si>
  <si>
    <t>ESPC360-19566</t>
  </si>
  <si>
    <t>[PRO] [Fondos] INC056275762 - Cliente visualiza más fondos de los que ha suscrito</t>
  </si>
  <si>
    <t>ESPC360-19604</t>
  </si>
  <si>
    <t>[PRO] [Fondos] INC056277755 - Contratos con estado Pg en lugar de AC</t>
  </si>
  <si>
    <t>ESPC360-19606</t>
  </si>
  <si>
    <t>[PRO] [Valores] Error en llamadas a la TRX V6C2'-'L'- de securities-market en la version 1</t>
  </si>
  <si>
    <t>ESPC360-19629</t>
  </si>
  <si>
    <t>[PRO] [ADN-CLIENTE] INC056371875 - Contrato no se muestra</t>
  </si>
  <si>
    <t>ESPC360-19639</t>
  </si>
  <si>
    <t>[PRO] [Mov. Cuentas] INC056375109 - Errores 500 esporádicos tras llamada a API de movimientos de ADN360 en PRO</t>
  </si>
  <si>
    <t>ESPC360-19648</t>
  </si>
  <si>
    <t>[PRO] [Seguros] INC056407190 -  No aparece contrato de rentas</t>
  </si>
  <si>
    <t>ESPC360-19661</t>
  </si>
  <si>
    <t>[PRO] [DERIVADOS] - INC056306826 INCIDENCIA POSICION DERIVADOS EN ADN - FRUTAS IBEROS S.L. (J-004244079)</t>
  </si>
  <si>
    <t>ESPC360-19662</t>
  </si>
  <si>
    <t>[PRO] [Cuentas] El KStream de relcontratos está apuntando a la colección cuentas_creditos_contratos_v199_0</t>
  </si>
  <si>
    <t>ESPC360-19663</t>
  </si>
  <si>
    <t>[PRO][RENTING] INC056235393 - PEX_0038766593 F-26155742 le sale una exclamación</t>
  </si>
  <si>
    <t>ESPC360-19686</t>
  </si>
  <si>
    <t>[PRO] [ADN-CLIENTE] INC056478477 - Error de Confidencialidad</t>
  </si>
  <si>
    <t>ESPC360-19771</t>
  </si>
  <si>
    <t>[PRO] [Comex] INC056509952 - Aparecen créditos documentarios que están pagados</t>
  </si>
  <si>
    <t>Comex</t>
  </si>
  <si>
    <t>ESPC360-19772</t>
  </si>
  <si>
    <t>[PRE] [PMP] [Consultas] Consulta a la hora de llamar a la cesta de aval comercial de una PMP</t>
  </si>
  <si>
    <t>ESPC360-19773</t>
  </si>
  <si>
    <t>[PRO] [Seguros] INC056579901 - póliza anulada esta renovada</t>
  </si>
  <si>
    <t>ESPC360-19775</t>
  </si>
  <si>
    <t>0265cle0000001  han desaparecido las cuentas</t>
  </si>
  <si>
    <t>ESPC360-19776</t>
  </si>
  <si>
    <t>[Consulta] Comparativa de incidencias entre primer semestre de 2024 y 2025</t>
  </si>
  <si>
    <t>ESPC360-19780</t>
  </si>
  <si>
    <t>[PRO] [NWE] INC056277343 - ¿PODÉIS REVISAR LA INCIDENCIA DEL MAIL ADJUNTO?</t>
  </si>
  <si>
    <t>ESPC360-19788</t>
  </si>
  <si>
    <t>[PRO] [Depósitos] INC056615851 - Saldo incorrecto</t>
  </si>
  <si>
    <t>ESPC360-19802</t>
  </si>
  <si>
    <t>ESPC360-19817</t>
  </si>
  <si>
    <t>[PRO] [Cuentas] INC056611570 - Error al traspasar el bizum</t>
  </si>
  <si>
    <t>ESPC360-19822</t>
  </si>
  <si>
    <t>[PRO] [Cuentas] INC056611570 - APP/ Error "Lo sentimos no se puede completar la operación" al intentar modificar la cuenta vinculada a Bizum</t>
  </si>
  <si>
    <t>ESPC360-19833</t>
  </si>
  <si>
    <t>[PRO] [Tarjetas] INC056658335 - El saldo dispuesto en adn no es es 0 y no es correcto .</t>
  </si>
  <si>
    <t>ESPC360-19834</t>
  </si>
  <si>
    <t>[PRO] [Cuentas] INC056626210 - No aparece cuenta para contratar fondo</t>
  </si>
  <si>
    <t>ESPC360-19835</t>
  </si>
  <si>
    <t>[PRO] [Procesos] INC056674780 - Ha fallado el proceso PADN164D</t>
  </si>
  <si>
    <t>ESPC360-19887</t>
  </si>
  <si>
    <t>[Customer Position] - Corrección typeCode en tarjetas de débito</t>
  </si>
  <si>
    <t>C360_Operacional_Sprint 207</t>
  </si>
  <si>
    <t>ESPC360-19911</t>
  </si>
  <si>
    <t>[PRO] [ADN-Cliente]  INC056729068 - Baja adn redes</t>
  </si>
  <si>
    <t>ESPC360-19913</t>
  </si>
  <si>
    <t>[PRO] [Préstamos] INC056730117 - Fecha de vencimiento errónea</t>
  </si>
  <si>
    <t>ESPC360-19914</t>
  </si>
  <si>
    <t>[PRO][Cuentas] INC056733427 - Cuentas Con saldo 0</t>
  </si>
  <si>
    <t>ESPC360-19919</t>
  </si>
  <si>
    <t>PRO [Seguros] INC056813177 - Póliza no activa en ADN360</t>
  </si>
  <si>
    <t>ESPC360-19921</t>
  </si>
  <si>
    <t>Titulo de prueba para BUG desde API 2</t>
  </si>
  <si>
    <t>ESPC360-19922</t>
  </si>
  <si>
    <t>[PRO][SEGUROS] [INC056817268] - PEX_0039131146  kibot nif 01176646N</t>
  </si>
  <si>
    <t>ESPC360-19928</t>
  </si>
  <si>
    <t>[Customer Position] - Corrección saldo tarjetas prepago</t>
  </si>
  <si>
    <t>ESPC360-19938</t>
  </si>
  <si>
    <t>[PRO] [Cuentas] INC056879485 - No se muestra el ccc</t>
  </si>
  <si>
    <t>ESPC360-19939</t>
  </si>
  <si>
    <t>PRO [PMP] - INC056884368 - No se traspasa el saldo a ADN360</t>
  </si>
  <si>
    <t>Créditos;Póliza Multiproducto (PMP)</t>
  </si>
  <si>
    <t>ESPC360-19942</t>
  </si>
  <si>
    <t>[Customer Position] - Corrección de los saldos de cuentas/créditos</t>
  </si>
  <si>
    <t>ESPC360-20030</t>
  </si>
  <si>
    <t>[PRO] [Cuentas] INC056953650 - No aparece cuenta en adn360</t>
  </si>
  <si>
    <t>ESPC360-20031</t>
  </si>
  <si>
    <t>[PRO] [Procesos] INC056964003 - Han fallado los procesos de categorización con odate del día 24/07</t>
  </si>
  <si>
    <t>ESPC360-20033</t>
  </si>
  <si>
    <t>[PRO] [ADNCliente] INC056928300  EN ADN Cliente no se muestra rating</t>
  </si>
  <si>
    <t>ESPC360-20034</t>
  </si>
  <si>
    <t>[PRO] [Seguros] INC056957061 - Póliza anulada se muestra en ADN360</t>
  </si>
  <si>
    <t>ESPC360-20035</t>
  </si>
  <si>
    <t>[PRO] [Mov. Cuentas] INC057018845 - No se están mostrando todos los movimientos online</t>
  </si>
  <si>
    <t>Recibos</t>
  </si>
  <si>
    <t>ESPC360-20038</t>
  </si>
  <si>
    <t>[PRO] [Valores] Se sigue dando error en llamadas a la TRX V6C2'-'L'- de securities-market en la version 1</t>
  </si>
  <si>
    <t>ESPC360-20039</t>
  </si>
  <si>
    <t>[PRO] [Planeta Seguros] INC057022594 Póliza en vigor no aparece en posiciones ADN360</t>
  </si>
  <si>
    <t>ESPC360-20054</t>
  </si>
  <si>
    <t>[PRO] [Tarjetas] INC057025566 - No puede sacar dinero con código</t>
  </si>
  <si>
    <t>ESPC360-20056</t>
  </si>
  <si>
    <t>[PRO][Tarjetas] INC057032091 - Incidencia visualización tarjeta.</t>
  </si>
  <si>
    <t>ESPC360-20071</t>
  </si>
  <si>
    <t>[PRO] [Mov. Cuentas] INC056608575 - Descripciones de movimientos online  distintas a cosnolidados</t>
  </si>
  <si>
    <t>ESPC360-20083</t>
  </si>
  <si>
    <t>Error java.lang.NumberFormatException fix-hismo-resto ODATE 2023-10-10</t>
  </si>
  <si>
    <t>ESPC360-20157</t>
  </si>
  <si>
    <t>[PRO] [Tarjetas] INC057137420 - Error en operativa tarjeta prepago</t>
  </si>
  <si>
    <t>ESPC360-20162</t>
  </si>
  <si>
    <t>[PRO] [Movimientos Cuentas]  INC057089296 - Problemas al ver los movimientos de cuenta</t>
  </si>
  <si>
    <t>ESPC360-20163</t>
  </si>
  <si>
    <t>[PRO] [NO-CUSTOMER360] A4JMCPAT</t>
  </si>
  <si>
    <t>ESPC360-20166</t>
  </si>
  <si>
    <t>[Customer Position] - Modificar uri en la configuración de structure_deposits</t>
  </si>
  <si>
    <t>C360_Operacional_Sprint 208</t>
  </si>
  <si>
    <t>ESPC360-20171</t>
  </si>
  <si>
    <t>[PRO] [PFEs] INC057158562 - Error vision saldos ipfs</t>
  </si>
  <si>
    <t>ESPC360-20172</t>
  </si>
  <si>
    <t>[PRO][PRESTAMOS] [INC057158008] - PEX_0039302658 - ADN360 no actualiza la posición del cliente, no aparece préstamo dispuesto el 27/07/2025</t>
  </si>
  <si>
    <t>ESPC360-20176</t>
  </si>
  <si>
    <t>[PRO] [Jobs] INC057131604 - PADN360125D/B-SANES-P-HDP.ADN360-800012122 - Odate: 2025/07/29</t>
  </si>
  <si>
    <t>ESPC360-20186</t>
  </si>
  <si>
    <t>[PRO] [NO-CUSTOMER360] INC057223324 -  En intranet corporativo no me sale la opción de poder acceder al AIS.</t>
  </si>
  <si>
    <t>ESPC360-20189</t>
  </si>
  <si>
    <t>[PRO] [Portal Deudor] No se contabilizan los créditos en aggregations</t>
  </si>
  <si>
    <t>ESPC360-20193</t>
  </si>
  <si>
    <t>[PRO] [NO-CUSTOMER360] INC057226804 - Usuarios con problemas al realizar operativas desde ADN abierto desde Citrix</t>
  </si>
  <si>
    <t>ESPC360-20194</t>
  </si>
  <si>
    <t>[PRO] [Movimientos Cuentas] No se muestran los movimientos de Julio ni en ADN nien la banca online del cliente</t>
  </si>
  <si>
    <t>ESPC360-20195</t>
  </si>
  <si>
    <t>[PRE] [NO-CUSTOMER360] INC057255766 - Usuario PRE sin acceso ADN Cliente: X901103</t>
  </si>
  <si>
    <t>ESPC360-20197</t>
  </si>
  <si>
    <t>[PRO] [Depósitos] INC057096037- HELPY 14800568 error valoración depósito entre web y app</t>
  </si>
  <si>
    <t>ESPC360-20198</t>
  </si>
  <si>
    <t>[PRO] [Créditos] El límite del crédito es erróneo en ADN360</t>
  </si>
  <si>
    <t>ESPC360-20200</t>
  </si>
  <si>
    <t>[PRO] [Movimientos Cuentas] INC057265237 - No se visualizan los movimientos de los ayuntamientos</t>
  </si>
  <si>
    <t>ESPC360-20201</t>
  </si>
  <si>
    <t>[PRO][SEGUROS] [INC057265077] - PEX_0039409573**KIBOT**46341403Z</t>
  </si>
  <si>
    <t>ESPC360-20202</t>
  </si>
  <si>
    <t>[PRO] [Cuentas] INC057266714 - El usuario no ve una de sus cuentas en ADN360</t>
  </si>
  <si>
    <t>ESPC360-20203</t>
  </si>
  <si>
    <t>[PRO] Fallos al desplegar ks-globalktables</t>
  </si>
  <si>
    <t>ESPC360-20205</t>
  </si>
  <si>
    <t>[Customer Position] Corrección saldos tarjetas débido</t>
  </si>
  <si>
    <t>ESPC360-20211</t>
  </si>
  <si>
    <t>[PRO] [Movimientos Cuentas]  INC057307410 - NO VEN MOVIMIENTOS EN CUENTA RECAUDACION AYTO</t>
  </si>
  <si>
    <t>ESPC360-20212</t>
  </si>
  <si>
    <t>[PRO] [Procesos] PADN164D fallido con Odate: 2025/08/06</t>
  </si>
  <si>
    <t>Procesos</t>
  </si>
  <si>
    <t>ESPC360-20213</t>
  </si>
  <si>
    <t>[PRO][CUENTAS] [INC057335594] - PEX_0039434124_ vencimiento  0049 1809 26 2110018160</t>
  </si>
  <si>
    <t>ESPC360-20214</t>
  </si>
  <si>
    <t>[PRO] [NO-CUSTOMER360] INC057336947 - Error en las liquidaciones ADN Operativo</t>
  </si>
  <si>
    <t>ESPC360-20279</t>
  </si>
  <si>
    <t>[PRO] [Procesos] PADN164D Fallido con Odate: 2025/08/07</t>
  </si>
  <si>
    <t>ESPC360-20283</t>
  </si>
  <si>
    <t>[PRO] [Procesos] PADNGPI004D Fallido Odate: 2025/08/02</t>
  </si>
  <si>
    <t>ESPC360-20284</t>
  </si>
  <si>
    <t>[PRO] [Préstamos] No actualizar cuentaAsociada si no se encuentra</t>
  </si>
  <si>
    <t>ESPC360-20290</t>
  </si>
  <si>
    <t>[PRO] [PFEs] INC057338033 - WEB/ Cliente visualiza dos depósitos en sus posiciones y nos indica que no llegó a finalizar al contratación</t>
  </si>
  <si>
    <t>ESPC360-20296</t>
  </si>
  <si>
    <t>[PRO] [Valores] INC056689439 - Indican que ADN360 no esta devolviendo ciertos campos</t>
  </si>
  <si>
    <t>Tested PRE</t>
  </si>
  <si>
    <t>ESPC360-20305</t>
  </si>
  <si>
    <t>[PRO] [Procesos] INC057465637 -  Proceso Fallido PADN360112D Odate: 2025/08/11</t>
  </si>
  <si>
    <t>ESPC360-20306</t>
  </si>
  <si>
    <t>[PRO] [Procesos]  INC057463531 - Proceso fallido PADN164D  Odate: 2025/08/11</t>
  </si>
  <si>
    <t>ESPC360-20316</t>
  </si>
  <si>
    <t>[PRO] [Procesos] INC057498220 - Proceso fallido PADN360045D con Odate: 2025/08/12</t>
  </si>
  <si>
    <t>ESPC360-20317</t>
  </si>
  <si>
    <t>[PRO] [Procesos] INC057503347 - Proceso PADN166D con Odate: 2025/08/12</t>
  </si>
  <si>
    <t>ESPC360-20333</t>
  </si>
  <si>
    <t>[PRO] [Planes Pensiones] Corrección operaciones en vuelo planes</t>
  </si>
  <si>
    <t>C360_Operacional_Sprint 209</t>
  </si>
  <si>
    <t>ESPC360-20397</t>
  </si>
  <si>
    <t>[PRO] [Tarjetas] INC057562295 - No hay cuenta asociada a la tarjeta en adn 360</t>
  </si>
  <si>
    <t>ESPC360-20399</t>
  </si>
  <si>
    <t>[PRO] [NO-CUSTOMER360] INC057657900 -  Contraseña Nimbus</t>
  </si>
  <si>
    <t>ESPC360-20400</t>
  </si>
  <si>
    <t>[PRO] [Procesos] INC057565909 - Procesos fallidos PADN360128D con Odate: 2025/08/13</t>
  </si>
  <si>
    <t>ESPC360-20401</t>
  </si>
  <si>
    <t>[PRO] [Procesos] INC057565912 - Proceso fallido PADN360126D con Odate: 2025/08/12</t>
  </si>
  <si>
    <t>ESPC360-20418</t>
  </si>
  <si>
    <t>[PRO] [Fondos] INC057734558 - Saldos títulos disponibles incorretos</t>
  </si>
  <si>
    <t>ESPC360-20489</t>
  </si>
  <si>
    <t>[PRO] [Mov. cuentas] INC057836292 - No se visualizan movimientos</t>
  </si>
  <si>
    <t>ESPC360-20490</t>
  </si>
  <si>
    <t>[PRO] [JOB] INC057825080 - Ha fallado el proceso PAND164D con odate del dia 22/08</t>
  </si>
  <si>
    <t>ESPC360-20491</t>
  </si>
  <si>
    <t>[PRO] [ADN] INC057870395 - No puede abrir ADN</t>
  </si>
  <si>
    <t>ESPC360-20522</t>
  </si>
  <si>
    <t>[PRO] [NO-CUSTOMER360] INC057914017- En la aplicacion TEAMS me ha desaparecido el apartado de CHATS</t>
  </si>
  <si>
    <t>ESPC360-20524</t>
  </si>
  <si>
    <t>[PRO] [JOBS] INC057936928 - PADN190D/B-SANES-P-HDP.ADN360-100058456 - Odate: 2025/08/26</t>
  </si>
  <si>
    <t>JOBS</t>
  </si>
  <si>
    <t>ESPC360-20525</t>
  </si>
  <si>
    <t>[PRO] [JOBS] INC057930290 - PADN164D/B-SANES-P-HDP.ADN360-800012122 - Odate: 2025/08/26</t>
  </si>
  <si>
    <t>ESPC360-20527</t>
  </si>
  <si>
    <t>[PRO] [ADN Cliente] INC057871409 - La póliza 305492990793 ya se encuentra anulada</t>
  </si>
  <si>
    <t>ESPC360-20534</t>
  </si>
  <si>
    <t>Movimientos - Ajustar idMov de cuentas en movimientos provisionales</t>
  </si>
  <si>
    <t>C360_Operacional_Sprint 210</t>
  </si>
  <si>
    <t>ESPC360-20538</t>
  </si>
  <si>
    <t>[Customer Position] - Devolver el siga en las carteras no gestionadas</t>
  </si>
  <si>
    <t>ESPC360-20620</t>
  </si>
  <si>
    <t xml:space="preserve">[PRO] [Cuentas] INC057875631 -  intentar operar en cuenta  0049 0011 21 2810851767 </t>
  </si>
  <si>
    <t>ESPC360-20621</t>
  </si>
  <si>
    <t>[PRO] [Mov. Cuentas] INC058063236 - Petición se ha ido de tiempos</t>
  </si>
  <si>
    <t>ESPC360-20625</t>
  </si>
  <si>
    <t>[PRO] [Renting] INC058066427 - Por mis funciones necesito poder ver los contratos de Renting de mis clientes</t>
  </si>
  <si>
    <t>ESPC360-20627</t>
  </si>
  <si>
    <t>[PRO] [Valores] INC058074705 - No permite subir contrato de valores para firma web</t>
  </si>
  <si>
    <t>ESPC360-20628</t>
  </si>
  <si>
    <t>[PRO] [Tarjetas] INC057945974 - No se esta mostrando el contrato por ADN360</t>
  </si>
  <si>
    <t>ESPC360-20629</t>
  </si>
  <si>
    <t>[PRO] [Timeline] Problemas en las descripciones de movimientos</t>
  </si>
  <si>
    <t>ESPC360-20630</t>
  </si>
  <si>
    <t>[PRO] [JOBS] INC058094545 - Fallo en proceso PADN091D</t>
  </si>
  <si>
    <t>ESPC360-20637</t>
  </si>
  <si>
    <t>[PRO] [Cuentas] INC058100154 -  visualiza cuenta que no reconoce como suya</t>
  </si>
  <si>
    <t>ESPC360-20641</t>
  </si>
  <si>
    <t>[PRO] [Seguros] INC058134682 - Solicitan dar de baja un seguro en ADN</t>
  </si>
  <si>
    <t>ESPC360-20649</t>
  </si>
  <si>
    <t xml:space="preserve">[PRO] [Préstamos]  INC058168745 - No coincide saldo de demora en refinanciación </t>
  </si>
  <si>
    <t>ESPC360-20650</t>
  </si>
  <si>
    <t>[PG Inversión] - Ajuste de saldos en depósitos estructurados</t>
  </si>
  <si>
    <t>ESPC360-20652</t>
  </si>
  <si>
    <t>[PRO] [ADN-Cliente] INC058169357 - Acceso adn cliente</t>
  </si>
  <si>
    <t>ESPC360-20656</t>
  </si>
  <si>
    <t>[PRO] [Tarjetas] INC058172414 - ADN 360 no nos devuelve el campo Contract HolderId</t>
  </si>
  <si>
    <t>ESPC360-20748</t>
  </si>
  <si>
    <t>[PRO] [Agregados] INC058176731 - KIBOT Remesa de transferencias internacional en estado Pendiente de aceptación cuando ya está procesada</t>
  </si>
  <si>
    <t>ESPC360-20758</t>
  </si>
  <si>
    <t>[PRE] [Cuentas] El listado para TODOS de EMPMARZO tarda mucho en responder</t>
  </si>
  <si>
    <t>ESPC360-20759</t>
  </si>
  <si>
    <t>[PRO] [PG Inversión] [Planes Pensiones] Ajustar conteo de operaciones en vuelo</t>
  </si>
  <si>
    <t>ESPC360-20762</t>
  </si>
  <si>
    <t xml:space="preserve">[PRO] [Préstamos] INC058286300 - No aparece el contrato de préstamos en la posición del cliente </t>
  </si>
  <si>
    <t>ESPC360-20791</t>
  </si>
  <si>
    <t>[PRO] [Préstamos] INC058298119 - No aparece el préstamo en las posiciones de ADN360</t>
  </si>
  <si>
    <t>ESPC360-20792</t>
  </si>
  <si>
    <t>[PRO] [ADN-Cliente] INC058329936 - ERROR ACCESO APP ADN</t>
  </si>
  <si>
    <t>ESPC360-20796</t>
  </si>
  <si>
    <t>[PRO] [SRE] [TOP DE ALERTAS] INC058353127 - Alertados por consumos de memoria alta ks-java-50061916-pmp-mark</t>
  </si>
  <si>
    <t>ESPC360-20804</t>
  </si>
  <si>
    <t>[PRO][Préstamos] INC058315958 - Indican que la tasa mostrada en ADN360 es errónea</t>
  </si>
  <si>
    <t>ESPC360-20806</t>
  </si>
  <si>
    <t>[PRO][Préstamos] INC058359056 - HELPY 15040466 error al solicitar certificado de cancelación registral</t>
  </si>
  <si>
    <t>ESPC360-20808</t>
  </si>
  <si>
    <t>[PRO][Mov. Tarjetas] INC058211676 - No visualiza todas sus financiaciones de tarjeta en la web</t>
  </si>
  <si>
    <t>Movimientos Tarjetas;Tarjetas</t>
  </si>
  <si>
    <t>ESPC360-20870</t>
  </si>
  <si>
    <t>[PRO][Seguros] INC058403509 - Solicitan eliminar un seguro de ADN360 que esta de baja.</t>
  </si>
  <si>
    <t>ESPC360-20874</t>
  </si>
  <si>
    <t>[PRO][ADN-Operativo] INC058432110 - Al acceder a ADN Operativo, hemos dejado de tener acceso en la aplicación de AVALES, TRADENXT, ORBE, HISTORICO DE SWIFT, SEPA</t>
  </si>
  <si>
    <t>ESPC360-20877</t>
  </si>
  <si>
    <t>[PRO][Cuentas] INC058368384 -   Indican que tienen cuentas en las que no pueden operar</t>
  </si>
  <si>
    <t>ESPC360-20898</t>
  </si>
  <si>
    <t>[PRO] [Fondos] INC058532827 - Rentablidad errónea</t>
  </si>
  <si>
    <t>ESPC360-20909</t>
  </si>
  <si>
    <t>[PRO][Cuentas] INC058172461 - No le aparece en el canal el descubierto que tiene asignado la cuenta</t>
  </si>
  <si>
    <t>ESPC360-20912</t>
  </si>
  <si>
    <t>[PRO] [Fondos] INC058533961 - Rentabilidad en proceso de cálculo</t>
  </si>
  <si>
    <t>ESPC360-20913</t>
  </si>
  <si>
    <t>[PRO][Mov. Cuentas] INC058438267 - consulta sucursal texto erroneo</t>
  </si>
  <si>
    <t>ESPC360-20925</t>
  </si>
  <si>
    <t>[PRO][Valores] INC058578561 - No se muestra un contrato de valores en ADN360</t>
  </si>
  <si>
    <t>ESPC360-20926</t>
  </si>
  <si>
    <t>[PRO][Alertado-SRE] INC058601589 - [SRE CoE DevSecOps] [TOP DE ALERTAS] [Failure Rate Increase] [sanes-portaladn360-pro] [s-java-50059982-customers y s-java-50059982-accounts]</t>
  </si>
  <si>
    <t>ESPC360-20928</t>
  </si>
  <si>
    <t>[PRO][Cuentas] INC058560867 - PEX_0040078118 - [NHB] KIBOT No puede contratar fondo de inversión con un titular y un representante legal</t>
  </si>
  <si>
    <t>ESPC360-21026</t>
  </si>
  <si>
    <t>[PRO][Cuentas] INC058670428 - No devolvemos una cuenta en ADN360</t>
  </si>
  <si>
    <t>ESPC360-21029</t>
  </si>
  <si>
    <t>[PRO] [Valores] INC058678240 - No visualiza el porcentaje de AC.ZOOM VIDEO COM USD</t>
  </si>
  <si>
    <t>ESPC360-21030</t>
  </si>
  <si>
    <t>[PRO] [GPI] INC058727380 - Proceso fallido</t>
  </si>
  <si>
    <t>ESPC360-21044</t>
  </si>
  <si>
    <t>[PRO][Seguros] INC058755795 - CLIENTE B67604751. NO SE VISUALIZAN SEGUROS DE WILLIS EN ADN 360</t>
  </si>
  <si>
    <t>ESPC360-21050</t>
  </si>
  <si>
    <t>[PRO][Seguros] INC058789596 - PEX_0040229693 KIBOT  nif 10496516Y</t>
  </si>
  <si>
    <t>ESPC360-21056</t>
  </si>
  <si>
    <t>[PRO] [Front] Incluir la marca de PMP en los contratos de línea de avales</t>
  </si>
  <si>
    <t>ESPC360-21062</t>
  </si>
  <si>
    <t xml:space="preserve">[PRO] [NO-CUSTOMER360] INC058742371 - Recibe comunicaciones que no corresponde </t>
  </si>
  <si>
    <t>ON HOLD</t>
  </si>
  <si>
    <t>ESPC360-21067</t>
  </si>
  <si>
    <t>[PRO][NO-CUSTOMER360] INC058742371 - PEX_0040178289 Recibe comunicaciones que no corresponde</t>
  </si>
  <si>
    <t>ESPC360-21073</t>
  </si>
  <si>
    <t>[PRO][Movimientos] INC058834997 - Faltan movimientos en ADN360</t>
  </si>
  <si>
    <t>Movimientos Cuentas;Movimientos Tarjetas</t>
  </si>
  <si>
    <t>ESPC360-21074</t>
  </si>
  <si>
    <t xml:space="preserve">[PRO][Cuentas] INC058835762 - Empresa no ve una cuenta que tiene asociada por la web ni por la app </t>
  </si>
  <si>
    <t>(en blanco)</t>
  </si>
  <si>
    <t>REPROCESO</t>
  </si>
  <si>
    <t>ESPC360-21141</t>
  </si>
  <si>
    <t>[PRO][ADN-Cliente] INC058870185 - No ve el Margen bruto del cliente</t>
  </si>
  <si>
    <t>ESPC360-21142</t>
  </si>
  <si>
    <t>[PRO][ADN-OPERATIVO] INC058874722 - PEX_0040229483</t>
  </si>
  <si>
    <t>ESPC360-21144</t>
  </si>
  <si>
    <t>[PRO][NO-CUSTOMER360] INC058875674 - NO SE GRABAN NUESTRAS AGENDAS DESDE NIMBUS</t>
  </si>
  <si>
    <t>ESPC360-21145</t>
  </si>
  <si>
    <t>[PRO] [ADN-CLIENTE]  INC058873723 - Error a la hora de intentar subir la documentación</t>
  </si>
  <si>
    <t>ESPC360-21148</t>
  </si>
  <si>
    <t>[PRO][ADN-CLIENTE] INC058906716 - preconcedidos en ADN</t>
  </si>
  <si>
    <t>ESPC360-21149</t>
  </si>
  <si>
    <t>[PRO][NO-CUSTOMER360] INC058907539 - Incidencia Alertas precon en ADN</t>
  </si>
  <si>
    <t>ESPC360-21150</t>
  </si>
  <si>
    <t xml:space="preserve">[PRO][NO-CUSTOMER360] INC058907558 - NO APARECEN LOS RIESGOS PRECONCEDIDOS NI EN ADN NI EN GO </t>
  </si>
  <si>
    <t>ESPC360-21151</t>
  </si>
  <si>
    <t>[PRO][Seguros] INC058868103 - QUE NO SALE LA PRIMA CORRECTAMENTE EN ADN CLIENTE</t>
  </si>
  <si>
    <t>ESPC360-21155</t>
  </si>
  <si>
    <t>[PRO] [Tarjetas] INC058912756 - NO informa cuenta en adn 360</t>
  </si>
  <si>
    <t>ESPC360-21167</t>
  </si>
  <si>
    <t>[PRO] [Tarjetas] INC058912756 - Tarjeta no tiene cuenta asociada débito</t>
  </si>
  <si>
    <t>ESPC360-21170</t>
  </si>
  <si>
    <t>[PRO][Tarjetas] INC058988400 - ADN360 no esta devolviendo el IBAN de la tarjeta</t>
  </si>
  <si>
    <t>Upstream Generic State 00</t>
  </si>
  <si>
    <t>Cerrados externos</t>
  </si>
  <si>
    <t>Acum Abiertos Extermos</t>
  </si>
  <si>
    <t>Acum. Abiertos Internos</t>
  </si>
  <si>
    <t>Mes_Apertura</t>
  </si>
  <si>
    <t>Mes Cierre</t>
  </si>
  <si>
    <t>Cuenta de Clave</t>
  </si>
  <si>
    <t>Fecha</t>
  </si>
  <si>
    <t>Definición</t>
  </si>
  <si>
    <t>Funcional</t>
  </si>
  <si>
    <t>Reproceso</t>
  </si>
  <si>
    <t>Soporte</t>
  </si>
  <si>
    <t>2024-10</t>
  </si>
  <si>
    <t>Abierta</t>
  </si>
  <si>
    <t>2024-11</t>
  </si>
  <si>
    <t>Cerrada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</si>
  <si>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</si>
  <si>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</si>
  <si>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</si>
  <si>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</si>
  <si>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</si>
  <si>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</si>
  <si>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</si>
  <si>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</si>
  <si>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</si>
  <si>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</si>
  <si>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#¡VALOR!</t>
  </si>
  <si>
    <t>2024-02</t>
  </si>
  <si>
    <t>2024-03</t>
  </si>
  <si>
    <t>2024-04</t>
  </si>
  <si>
    <t>2024-05</t>
  </si>
  <si>
    <t>2024-08</t>
  </si>
  <si>
    <t>2024-09</t>
  </si>
  <si>
    <t>ESPC360-21171</t>
  </si>
  <si>
    <t>[PRO] [Customers] INC059021930 - Cliente aparece como banca privada en el api de customers.</t>
  </si>
  <si>
    <t>ESPC360-21175</t>
  </si>
  <si>
    <t>[PRO] [Fondos] INC059001170 -  Fondo carterizado aparece duplicado</t>
  </si>
  <si>
    <t>ESPC360-21178</t>
  </si>
  <si>
    <t xml:space="preserve">[PRO][Mov. Cuentas] INC059023774 - Remesa de transferencias: Al consultar los movimientos están intercaladas  / 004918685200000623 / B40162224 / EL PINAR BERRIES SLU </t>
  </si>
  <si>
    <t>ESPC360-21180</t>
  </si>
  <si>
    <t>[PRO][Cuentas] INC059032875 - Cuenta con saldo pendiente de consolidar por Web que no es correcto</t>
  </si>
  <si>
    <t>ESPC360-21181</t>
  </si>
  <si>
    <t>[PRO] [Créditos] INC059062808 - Fecha vencimiento errónea</t>
  </si>
  <si>
    <t>ESPC360-21182</t>
  </si>
  <si>
    <t>[PRO][Cuentas] INC059070581 - PEX_0040411533 No se visualiza cuenta Hucha vigente y con saldo desde ADN y si en los canales</t>
  </si>
  <si>
    <t>ESPC360-21188</t>
  </si>
  <si>
    <t>[PRO] [Leasing] INC059074445 - Contrato marcado como dudoso</t>
  </si>
  <si>
    <t>Leasing</t>
  </si>
  <si>
    <t>ESPC360-21193</t>
  </si>
  <si>
    <t>[PRO] [Comex] INC059070592 - Alertado errores 400</t>
  </si>
  <si>
    <t>ESPC360-21194</t>
  </si>
  <si>
    <t>[PRO] [Agenda Financiera] INC059103026 - Alertado errores 400</t>
  </si>
  <si>
    <t>agenda financiera</t>
  </si>
  <si>
    <t>ESPC360-21195</t>
  </si>
  <si>
    <t>[PRO] [Cuentas] INC059079019 - Alertados errores 400</t>
  </si>
  <si>
    <t>ESPC360-21203</t>
  </si>
  <si>
    <t>ESPC360-21205</t>
  </si>
  <si>
    <t>[PRO] [Tarjetas] INC059104726 - No se muestra la cuenta cargo</t>
  </si>
  <si>
    <t>ESPC360-21277</t>
  </si>
  <si>
    <t>[PRO] [Fondos] INC059111714 - No se muestra fondo</t>
  </si>
  <si>
    <t>ESPC360-21278</t>
  </si>
  <si>
    <t>[PRO][ADN-OPERATIVO] INC058654472 - INCIDENCIA EN ADN OPERATIVO</t>
  </si>
  <si>
    <t>ESPC360-21280</t>
  </si>
  <si>
    <t>[PRO] [Cuentas] INC059118322 - Cuenta Local no es correcta</t>
  </si>
  <si>
    <t>ESPC360-21294</t>
  </si>
  <si>
    <t>[PRO] [Cuentas] INC059176977 - Alertados errores 400</t>
  </si>
  <si>
    <t>ESPC360-21295</t>
  </si>
  <si>
    <t>[PRO][Cuentas] INC059146688 - Alertado errores 400</t>
  </si>
  <si>
    <t>ESPC360-21305</t>
  </si>
  <si>
    <t>[PRO] [Mov. Cuentas] INC059226600 - Alertado errores 400</t>
  </si>
  <si>
    <t>ESPC360-21306</t>
  </si>
  <si>
    <t>ESPC360-21308</t>
  </si>
  <si>
    <t>[PRO] [Comex] INC059234916 - Alertado errores 400</t>
  </si>
  <si>
    <t>ESPC360-21311</t>
  </si>
  <si>
    <t>[PRO][Tarjetas] INC059248583 - KIBOTPEX0040496713 Error información ADN 360</t>
  </si>
  <si>
    <t>ESPC360-21312</t>
  </si>
  <si>
    <t>[PRO] [Tarjetas] INC059214438 - No se muestra iban</t>
  </si>
  <si>
    <t>ESPC360-21319</t>
  </si>
  <si>
    <t>[PRO][Comex] INC056509952 - PEX_0038946340 kibot aparecen creditos documentarios que estan pagados</t>
  </si>
  <si>
    <t>ESPC360-21321</t>
  </si>
  <si>
    <t>[PRO][Fondos] INC059251300 - PEX_0040523288 [NWE] No puede ver detalle ni rentabilidad correcta</t>
  </si>
  <si>
    <t>ESPC360-21326</t>
  </si>
  <si>
    <t xml:space="preserve">[PRO][Cuentas] INC059085408 - PEX_0040332255 [NHB] Representante Legal no puede comprar un fondo de terceros para su hijo. </t>
  </si>
  <si>
    <t>2025-10</t>
  </si>
  <si>
    <t>ALERTADO</t>
  </si>
  <si>
    <t>[PRO] [FRONT] Error puntual en el front de adn360</t>
  </si>
  <si>
    <t>[PRO] [Recibos] INC059239561 - Alertado errores 400</t>
  </si>
  <si>
    <t>ESPC360-21328</t>
  </si>
  <si>
    <t>[PRO][Fondos] INC059301877 - PEX_0040567946 - descuadre  adn 360 de contrato de fondos de inversión - G20057840</t>
  </si>
  <si>
    <t>ESPC360-21372</t>
  </si>
  <si>
    <t>[PRO] [Recibos] INC059319587 - Alertado errores 400</t>
  </si>
  <si>
    <t>ESPC360-21378</t>
  </si>
  <si>
    <t>[PRO][Recibos] INC059356665 - Alertado errores 400</t>
  </si>
  <si>
    <t>ESPC360-21379</t>
  </si>
  <si>
    <t>[PRO][Cuentas] INC059372286 - Saldo diferente en ADN360</t>
  </si>
  <si>
    <t>ESPC360-21382</t>
  </si>
  <si>
    <t>[PRO] [Recibos]  INC059417216 -  Alertados  s-java-50059982-bills-1</t>
  </si>
  <si>
    <t>ESPC360-21383</t>
  </si>
  <si>
    <t>[PRO] [Procesos]  INC059416395- Fallo procesos por conexión con el GIT</t>
  </si>
  <si>
    <t>Fondos;Póliza Multiproducto (PMP)</t>
  </si>
  <si>
    <t>ESPC360-21405</t>
  </si>
  <si>
    <t>[PRO][Mov. Cuentas] INC059474673 - PEX_0040640372 kibot valores</t>
  </si>
  <si>
    <t>ESPC360-21410</t>
  </si>
  <si>
    <t>[PRO] [Descuentos] El batch update-fico-balance borra el saldo impagado</t>
  </si>
  <si>
    <t>Upstream Generic State 01</t>
  </si>
  <si>
    <t>ESPC360-21412</t>
  </si>
  <si>
    <t>[PRO] [Carteras] Correcciones por el uso de APIs externos</t>
  </si>
  <si>
    <t>C360_Operacional_Sprint 213</t>
  </si>
  <si>
    <t>ESPC360-21413</t>
  </si>
  <si>
    <t>ESPC360-21414</t>
  </si>
  <si>
    <t>[PRO] [Cuentas] INC059344010 - Error por confidencialidad</t>
  </si>
  <si>
    <t>ESPC360-21415</t>
  </si>
  <si>
    <t>[PRO][Cuentas] INC059472291 - PEX_0040645467 [NHB] No permite seleccionar cuenta menor contratación fondo por la web (Representante+Menor)</t>
  </si>
  <si>
    <t>ESPC360-21416</t>
  </si>
  <si>
    <t>[PRO] [CERTO] Añadir URL de OCU en certo</t>
  </si>
  <si>
    <t>Santanger GO</t>
  </si>
  <si>
    <t>ESPC360-21422</t>
  </si>
  <si>
    <t>[PRO][Mov. Cuentas] INC059511806 - HELPY 15249736 no visualiza cuenta en app</t>
  </si>
  <si>
    <t>ESPC360-21424</t>
  </si>
  <si>
    <t>[PRO][sp2txt] INC059542249 - Error in job PADN190D, application B-SANES-P-HDP.ADN360-100058456</t>
  </si>
  <si>
    <t>SP2TXT</t>
  </si>
  <si>
    <t>ESPC360-21425</t>
  </si>
  <si>
    <t>[PRO][Créditos] INC059513136 - Reducción de limite en cuenta de credito que no se refleja en la información de ADN.</t>
  </si>
  <si>
    <t>ESPC360-21484</t>
  </si>
  <si>
    <t>[PRO][Procesos] INC059571936 - Error in job PADN360122D, application B-SANES-P-HDP.ADN360-800012122</t>
  </si>
  <si>
    <t>ESPC360-21493</t>
  </si>
  <si>
    <t>[PRO][Santander Go] INC059587709 - No puedo acceder a la aplicación de clientes</t>
  </si>
  <si>
    <t>ESPC360-21498</t>
  </si>
  <si>
    <t>[PRO][Cuentas] INC059589766 - PEX_0040749574 elevada doble consulta a kibot</t>
  </si>
  <si>
    <t>ESPC360-21499</t>
  </si>
  <si>
    <t xml:space="preserve">[PRO] [Cuentas] INC059589766 - No se muestra cuentas </t>
  </si>
  <si>
    <t>Carteras Gestionadas;Cuentas</t>
  </si>
  <si>
    <t>ESPC360-21500</t>
  </si>
  <si>
    <t>[PRO][Créditos] INC059591592 - PEX_0040753332_ Poliza 004948812416620283 limite incorrecto en ADN</t>
  </si>
  <si>
    <t>ESPC360-21501</t>
  </si>
  <si>
    <t>[PRO][Cuentas] INC059592267 - PEX_0040379689 - KIBOT Ve saldo pendiente de consolidar por Web que no es correcto</t>
  </si>
  <si>
    <t>ESPC360-21503</t>
  </si>
  <si>
    <t>[PRO][Alertado] INC059613062 - [LE][DYN] CPU saturation</t>
  </si>
  <si>
    <t>ESPC360-21504</t>
  </si>
  <si>
    <t>[PRO][Santander Go] INC059662105 - Cliente sin permisos en Santander Go</t>
  </si>
  <si>
    <t>ESPC360-21506</t>
  </si>
  <si>
    <t>[PRO][PMP] INC059552011 - PEX_0040701237_0049 6755 2025 04702 PMP en estado aprobada , al iniciar la subyacente ya directamente sale la pantalla adjunta.</t>
  </si>
  <si>
    <t>ESPC360-21508</t>
  </si>
  <si>
    <t>[PRO][Tarjetas] INC059668392 - Indican problemas en el API de refinanciación de tarjetas</t>
  </si>
  <si>
    <t>Selecciona (SOPORTE/DEFINICIÓN/FUNCIONAL/TÉCNICO/DESARROLLO)</t>
  </si>
  <si>
    <t>ESPC360-21512</t>
  </si>
  <si>
    <t>[PRO][Mov. Cuentas] INC059668433 - Por favor indiquen porque la información en adn es erronea en el numero de titulos comprados, Se adjunta</t>
  </si>
  <si>
    <t>ESPC360-21525</t>
  </si>
  <si>
    <t>[PRO][Procesos] INC059596608 - Error in job PADN360132D, application B-SANES-P-HDP.ADN360-800012122</t>
  </si>
  <si>
    <t>ESPC360-21530</t>
  </si>
  <si>
    <t>[PRO][ADN-Cliente] INC059667640 - VODAFONE, EN LA WEB/APP le sale su oficina de referencia que no es la correcta</t>
  </si>
  <si>
    <t>ESPC360-21531</t>
  </si>
  <si>
    <t>[PRO] [Cuentas] INC059590476 - Diferencia entre saldo y saldo de movimientos</t>
  </si>
  <si>
    <t>ESPC360-21532</t>
  </si>
  <si>
    <t>[PRO][ADN-Cliente] INC059703460 - F-32380971  No le permite contratar porque aparece como incapacitado en ADN Cliente</t>
  </si>
  <si>
    <t>ESPC360-21535</t>
  </si>
  <si>
    <t>[PRO] [Deudor] Se pierden eventos para préstamos y descuentos</t>
  </si>
  <si>
    <t>ESPC360-21537</t>
  </si>
  <si>
    <t>[PRO][Mov. Cuentas] INC059709233 - Los movimientos visibles a través de ADN ES89 0049 6689 0526 1622 5934</t>
  </si>
  <si>
    <t>ESPC360-21539</t>
  </si>
  <si>
    <t>[PRO][ADN-Cliente] INC059710869 - oficina modifico el CNAE del cliente y no esta actualizado en ADN</t>
  </si>
  <si>
    <t>ESPC360-21543</t>
  </si>
  <si>
    <t>[PRO][Alertado-SRE] INC059730428 - [LE][DYN] Failure rate increase | PaaS | sanes-bipghl-pro-s-java-*-posglob-b, s-java-50066452-posglob-b</t>
  </si>
  <si>
    <t>Pendiente clasificar</t>
  </si>
  <si>
    <t>ESPC360-21548</t>
  </si>
  <si>
    <t>[PRO][Seguros] INC059670810 - PEX_0040781584 - KIBOT - 73902098Q RAV CANCELADOS QUE LE SIGUEN APARECIENDO EN BANCA ONLINE</t>
  </si>
  <si>
    <t>ESPC360-21551</t>
  </si>
  <si>
    <t>[PRO][Mov. Cuentas] INC059745819 - Descripción movimientos erróneos</t>
  </si>
  <si>
    <t>ESPC360-21553</t>
  </si>
  <si>
    <t>[PRO][Tarjetas] INC059751075 - PEX40823318 KIBOT - Tarjeta débito PJ 4176570170878492 que está activada y sin embargo en ADN360 aparece PENDIENTE DE ACTIVAR</t>
  </si>
  <si>
    <t>Tarjetas de Débito</t>
  </si>
  <si>
    <t>ESPC360-21554</t>
  </si>
  <si>
    <t>ESPC360-21637</t>
  </si>
  <si>
    <t>[PRO][PMP] INC059774655 - PEX_0040844836 - pmp 0049 2833 2025 04054 migrada - no aparecen datos</t>
  </si>
  <si>
    <t>ESPC360-21641</t>
  </si>
  <si>
    <t>[PRO][Seguros] INC059776016 - El seguro no tiene provisión en ADN360</t>
  </si>
  <si>
    <t>ESPC360-21643</t>
  </si>
  <si>
    <t>[PRO][Seguros] INC059778299 - No se muestra el seguro por ADN360</t>
  </si>
  <si>
    <t>ESPC360-21652</t>
  </si>
  <si>
    <t xml:space="preserve">[PRO][Depósitos] INC059791621 - PEX_0040877035_ 004969923020000143_ error saldo </t>
  </si>
  <si>
    <t>ESPC360-21666</t>
  </si>
  <si>
    <t>[PRO] [Préstamos] INC059810710 - PEX_0040880123  no ve los préstamos</t>
  </si>
  <si>
    <t>ESPC360-21674</t>
  </si>
  <si>
    <t>[PRO][Santander Go] INC059882708 - no me permite ver posiciones del cliente, tanto de adn cliente como en santander go</t>
  </si>
  <si>
    <t>Confidencialidad;Santanger GO</t>
  </si>
  <si>
    <t>ESPC360-21686</t>
  </si>
  <si>
    <t xml:space="preserve">[PRO][Préstamos] INC059913097 - No ve el préstamo aunque lo tiene asociado </t>
  </si>
  <si>
    <t>ESPC360-21687</t>
  </si>
  <si>
    <t>[PRO][Seguros] INC059441277 - NO APARECE POLIZA ASISA EN POSICIONES ADN 360º</t>
  </si>
  <si>
    <t>ESPC360-21688</t>
  </si>
  <si>
    <t xml:space="preserve">[PRO][Préstamos] INC059916939 - PEX_0040949583 no ve prestamo asociado </t>
  </si>
  <si>
    <t>ESPC360-21689</t>
  </si>
  <si>
    <t>[PRO][ADN-Operativo] INC059920890 - En ADN Operativo no puedo accede a los informes de Auditorias SAN a través del menú: ADN - INFORMES JURÍDICOS - CLIENTES AUDITORIAS SAN - GESTIÓN. La pantalla e</t>
  </si>
  <si>
    <t>ESPC360-21691</t>
  </si>
  <si>
    <t>[PRO][Seguros] INC059915592 - PEX_0040944976 - KIBOT - CLIENTE Y7730660Y POLIZA ACCIDENTES 710210098826 QUE NO LE SALE EN ADN CLIENTE</t>
  </si>
  <si>
    <t>EXTRACCIÓN</t>
  </si>
  <si>
    <t>PRE</t>
  </si>
  <si>
    <t>PRO</t>
  </si>
  <si>
    <t>DEV;PRE</t>
  </si>
  <si>
    <t>DEV</t>
  </si>
  <si>
    <t>PRE;PRO</t>
  </si>
  <si>
    <t>EN DESARROLLO</t>
  </si>
  <si>
    <t>[PRO][Fondos] INC059747893 - No se actualiza la valoración de sus fondos de inversión</t>
  </si>
  <si>
    <t>ESPC360-21703</t>
  </si>
  <si>
    <t>[PRO][Fondos] INC059882170 - No ve fondos filial</t>
  </si>
  <si>
    <t>ESPC360-21708</t>
  </si>
  <si>
    <t>[PRO][ADN-CLIENTE] INC059984726 - No se puede consultar la posicion por grupo  desde ADN. hace dias que no funciona</t>
  </si>
  <si>
    <t>ESPC360-21709</t>
  </si>
  <si>
    <t>[PRO] [Cuentas] INC059983624 - No aparece cuenta</t>
  </si>
  <si>
    <t>EXTRACCION</t>
  </si>
  <si>
    <t>ESPC360-21710</t>
  </si>
  <si>
    <t>[PRO][NO-CUSTOMER360] INC059985781 - Escribo desde el apartado de mi compañera, por que no tengo acceso desde esta mañana y en la pantalla del ordenador me indica que tenga la contraseña deshabilit</t>
  </si>
  <si>
    <t>ESPC360-21732</t>
  </si>
  <si>
    <t>[PRO] [Procesos] INC060050236 - Proceso  PADN360098D superando estadisticas</t>
  </si>
  <si>
    <t>ESPC360-21733</t>
  </si>
  <si>
    <t>[PRO] [NO-CUSTOMER360] INC060033972 - En consulta de domiciliaciones sepa y transferencias no puedo entrar se me queda pantalla en blaNCO</t>
  </si>
  <si>
    <t>Entorno</t>
  </si>
  <si>
    <t>Tipología</t>
  </si>
  <si>
    <t>Pre</t>
  </si>
  <si>
    <t>Pro</t>
  </si>
  <si>
    <t>Total</t>
  </si>
  <si>
    <t>Etiqueta Personalizada</t>
  </si>
  <si>
    <t>Pte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</si>
</sst>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rgb="FF1265BE"/>
      <name val="Calibri"/>
      <family val="2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22" fontId="1" fillId="0" borderId="0" xfId="0" applyNumberFormat="1" applyFont="1"/>
    <xf numFmtId="17" fontId="1" fillId="0" borderId="0" xfId="0" applyNumberFormat="1" applyFont="1"/>
    <xf numFmtId="0" fontId="3" fillId="2" borderId="0" xfId="0" applyFont="1" applyFill="1"/>
    <xf numFmtId="14" fontId="1" fillId="0" borderId="0" xfId="0" applyNumberFormat="1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1" xfId="0" applyBorder="1"/>
    <xf numFmtId="0" fontId="5" fillId="3" borderId="1" xfId="0" applyFont="1" applyFill="1" applyBorder="1"/>
    <xf numFmtId="0" fontId="5" fillId="3" borderId="2" xfId="0" applyFont="1" applyFill="1" applyBorder="1"/>
    <xf numFmtId="0" fontId="5" fillId="4" borderId="1" xfId="0" applyFont="1" applyFill="1" applyBorder="1"/>
    <xf numFmtId="0" fontId="5" fillId="4" borderId="2" xfId="0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0" borderId="7" xfId="0" applyBorder="1"/>
    <xf numFmtId="14" fontId="4" fillId="0" borderId="8" xfId="0" applyNumberFormat="1" applyFont="1" applyBorder="1"/>
    <xf numFmtId="14" fontId="4" fillId="0" borderId="9" xfId="0" applyNumberFormat="1" applyFont="1" applyBorder="1"/>
    <xf numFmtId="0" fontId="0" fillId="0" borderId="3" xfId="0" applyBorder="1"/>
    <xf numFmtId="0" fontId="0" fillId="0" borderId="5" xfId="0" applyBorder="1"/>
    <xf numFmtId="164" fontId="0" fillId="0" borderId="0" xfId="0" applyNumberFormat="1"/>
    <xf numFmtId="0" fontId="0" fillId="5" borderId="0" xfId="0" applyFill="1"/>
    <xf numFmtId="164" fontId="0" fillId="5" borderId="0" xfId="0" applyNumberFormat="1" applyFill="1"/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F79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baseline="0"/>
              <a:t>Progresión de Bug Internos&amp;Externos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Resumen!$P$3</c:f>
              <c:strCache>
                <c:ptCount val="1"/>
                <c:pt idx="0">
                  <c:v>Acum. Abiertos Internos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2457653674676262E-3"/>
                  <c:y val="2.83641445432509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FE-471F-8E53-283E3B28BD0A}"/>
                </c:ext>
              </c:extLst>
            </c:dLbl>
            <c:dLbl>
              <c:idx val="1"/>
              <c:layout>
                <c:manualLayout>
                  <c:x val="-1.0206296993299096E-2"/>
                  <c:y val="1.98591737561512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FE-471F-8E53-283E3B28BD0A}"/>
                </c:ext>
              </c:extLst>
            </c:dLbl>
            <c:dLbl>
              <c:idx val="2"/>
              <c:layout>
                <c:manualLayout>
                  <c:x val="-5.4010724201827608E-3"/>
                  <c:y val="1.30551971264716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FE-471F-8E53-283E3B28BD0A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6FE-471F-8E53-283E3B28BD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Resumen!$H$4:$H$60</c15:sqref>
                  </c15:fullRef>
                </c:ext>
              </c:extLst>
              <c:f>Resumen!$H$25:$H$46</c:f>
              <c:numCache>
                <c:formatCode>m/d/yyyy</c:formatCode>
                <c:ptCount val="22"/>
                <c:pt idx="0">
                  <c:v>45810</c:v>
                </c:pt>
                <c:pt idx="1">
                  <c:v>45817</c:v>
                </c:pt>
                <c:pt idx="2">
                  <c:v>45824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Resumen!$P$4:$P$60</c15:sqref>
                  </c15:fullRef>
                </c:ext>
              </c:extLst>
              <c:f>Resumen!$P$25:$P$46</c:f>
              <c:numCache>
                <c:formatCode>General</c:formatCode>
                <c:ptCount val="22"/>
                <c:pt idx="0">
                  <c:v>97</c:v>
                </c:pt>
                <c:pt idx="1">
                  <c:v>101</c:v>
                </c:pt>
                <c:pt idx="2">
                  <c:v>104</c:v>
                </c:pt>
                <c:pt idx="3">
                  <c:v>108</c:v>
                </c:pt>
                <c:pt idx="4">
                  <c:v>114</c:v>
                </c:pt>
                <c:pt idx="5">
                  <c:v>115</c:v>
                </c:pt>
                <c:pt idx="6">
                  <c:v>118</c:v>
                </c:pt>
                <c:pt idx="7">
                  <c:v>119</c:v>
                </c:pt>
                <c:pt idx="8">
                  <c:v>124</c:v>
                </c:pt>
                <c:pt idx="9">
                  <c:v>129</c:v>
                </c:pt>
                <c:pt idx="10">
                  <c:v>132</c:v>
                </c:pt>
                <c:pt idx="11">
                  <c:v>132</c:v>
                </c:pt>
                <c:pt idx="12">
                  <c:v>132</c:v>
                </c:pt>
                <c:pt idx="13">
                  <c:v>136</c:v>
                </c:pt>
                <c:pt idx="14">
                  <c:v>141</c:v>
                </c:pt>
                <c:pt idx="15">
                  <c:v>141</c:v>
                </c:pt>
                <c:pt idx="16">
                  <c:v>144</c:v>
                </c:pt>
                <c:pt idx="17">
                  <c:v>149</c:v>
                </c:pt>
                <c:pt idx="18">
                  <c:v>151</c:v>
                </c:pt>
                <c:pt idx="19">
                  <c:v>158</c:v>
                </c:pt>
                <c:pt idx="20">
                  <c:v>165</c:v>
                </c:pt>
                <c:pt idx="21">
                  <c:v>165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Resumen!$P$12</c15:sqref>
                  <c15:dLbl>
                    <c:idx val="-1"/>
                    <c:layout>
                      <c:manualLayout>
                        <c:x val="-1.6293855788067798E-2"/>
                        <c:y val="-1.011774726549374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82F4-4394-823B-26E9F9EAE010}"/>
                      </c:ext>
                    </c:extLst>
                  </c15:dLbl>
                </c15:categoryFilterException>
                <c15:categoryFilterException>
                  <c15:sqref>Resumen!$P$13</c15:sqref>
                  <c15:dLbl>
                    <c:idx val="-1"/>
                    <c:layout>
                      <c:manualLayout>
                        <c:x val="-1.7644921773811342E-2"/>
                        <c:y val="-1.011774726549374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82F4-4394-823B-26E9F9EAE01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82F4-4394-823B-26E9F9EAE010}"/>
            </c:ext>
          </c:extLst>
        </c:ser>
        <c:ser>
          <c:idx val="3"/>
          <c:order val="1"/>
          <c:tx>
            <c:strRef>
              <c:f>Resumen!$R$3</c:f>
              <c:strCache>
                <c:ptCount val="1"/>
                <c:pt idx="0">
                  <c:v>Acum. Cerrados Internos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Resumen!$H$4:$H$60</c15:sqref>
                  </c15:fullRef>
                </c:ext>
              </c:extLst>
              <c:f>Resumen!$H$25:$H$46</c:f>
              <c:numCache>
                <c:formatCode>m/d/yyyy</c:formatCode>
                <c:ptCount val="22"/>
                <c:pt idx="0">
                  <c:v>45810</c:v>
                </c:pt>
                <c:pt idx="1">
                  <c:v>45817</c:v>
                </c:pt>
                <c:pt idx="2">
                  <c:v>45824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Resumen!$R$4:$R$60</c15:sqref>
                  </c15:fullRef>
                </c:ext>
              </c:extLst>
              <c:f>Resumen!$R$25:$R$46</c:f>
              <c:numCache>
                <c:formatCode>General</c:formatCode>
                <c:ptCount val="22"/>
                <c:pt idx="0">
                  <c:v>77</c:v>
                </c:pt>
                <c:pt idx="1">
                  <c:v>78</c:v>
                </c:pt>
                <c:pt idx="2">
                  <c:v>81</c:v>
                </c:pt>
                <c:pt idx="3">
                  <c:v>92</c:v>
                </c:pt>
                <c:pt idx="4">
                  <c:v>100</c:v>
                </c:pt>
                <c:pt idx="5">
                  <c:v>103</c:v>
                </c:pt>
                <c:pt idx="6">
                  <c:v>104</c:v>
                </c:pt>
                <c:pt idx="7">
                  <c:v>110</c:v>
                </c:pt>
                <c:pt idx="8">
                  <c:v>113</c:v>
                </c:pt>
                <c:pt idx="9">
                  <c:v>118</c:v>
                </c:pt>
                <c:pt idx="10">
                  <c:v>118</c:v>
                </c:pt>
                <c:pt idx="11">
                  <c:v>119</c:v>
                </c:pt>
                <c:pt idx="12">
                  <c:v>120</c:v>
                </c:pt>
                <c:pt idx="13">
                  <c:v>123</c:v>
                </c:pt>
                <c:pt idx="14">
                  <c:v>126</c:v>
                </c:pt>
                <c:pt idx="15">
                  <c:v>128</c:v>
                </c:pt>
                <c:pt idx="16">
                  <c:v>131</c:v>
                </c:pt>
                <c:pt idx="17">
                  <c:v>141</c:v>
                </c:pt>
                <c:pt idx="18">
                  <c:v>142</c:v>
                </c:pt>
                <c:pt idx="19">
                  <c:v>144</c:v>
                </c:pt>
                <c:pt idx="20">
                  <c:v>149</c:v>
                </c:pt>
                <c:pt idx="21">
                  <c:v>155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Resumen!$R$5</c15:sqref>
                  <c15:dLbl>
                    <c:idx val="-1"/>
                    <c:layout>
                      <c:manualLayout>
                        <c:x val="-5.1070294261107863E-3"/>
                        <c:y val="5.646937040489911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82F4-4394-823B-26E9F9EAE010}"/>
                      </c:ext>
                    </c:extLst>
                  </c15:dLbl>
                </c15:categoryFilterException>
                <c15:categoryFilterException>
                  <c15:sqref>Resumen!$R$7</c15:sqref>
                  <c15:dLbl>
                    <c:idx val="-1"/>
                    <c:layout>
                      <c:manualLayout>
                        <c:x val="-2.8075151183751902E-2"/>
                        <c:y val="1.4268179268552225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82F4-4394-823B-26E9F9EAE010}"/>
                      </c:ext>
                    </c:extLst>
                  </c15:dLbl>
                </c15:categoryFilterException>
                <c15:categoryFilterException>
                  <c15:sqref>Resumen!$R$8</c15:sqref>
                  <c15:dLbl>
                    <c:idx val="-1"/>
                    <c:layout>
                      <c:manualLayout>
                        <c:x val="-1.8617689283546728E-2"/>
                        <c:y val="4.3237943730680649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82F4-4394-823B-26E9F9EAE010}"/>
                      </c:ext>
                    </c:extLst>
                  </c15:dLbl>
                </c15:categoryFilterException>
                <c15:categoryFilterException>
                  <c15:sqref>Resumen!$R$10</c15:sqref>
                  <c15:dLbl>
                    <c:idx val="-1"/>
                    <c:layout>
                      <c:manualLayout>
                        <c:x val="-2.4048974546235979E-3"/>
                        <c:y val="6.51602997435377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82F4-4394-823B-26E9F9EAE01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82F4-4394-823B-26E9F9EAE010}"/>
            </c:ext>
          </c:extLst>
        </c:ser>
        <c:ser>
          <c:idx val="0"/>
          <c:order val="2"/>
          <c:tx>
            <c:strRef>
              <c:f>Resumen!$O$3</c:f>
              <c:strCache>
                <c:ptCount val="1"/>
                <c:pt idx="0">
                  <c:v>Acum Abiertos Extermos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Resumen!$H$4:$H$60</c15:sqref>
                  </c15:fullRef>
                </c:ext>
              </c:extLst>
              <c:f>Resumen!$H$25:$H$46</c:f>
              <c:numCache>
                <c:formatCode>m/d/yyyy</c:formatCode>
                <c:ptCount val="22"/>
                <c:pt idx="0">
                  <c:v>45810</c:v>
                </c:pt>
                <c:pt idx="1">
                  <c:v>45817</c:v>
                </c:pt>
                <c:pt idx="2">
                  <c:v>45824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Resumen!$O$4:$O$60</c15:sqref>
                  </c15:fullRef>
                </c:ext>
              </c:extLst>
              <c:f>Resumen!$O$25:$O$46</c:f>
              <c:numCache>
                <c:formatCode>General</c:formatCode>
                <c:ptCount val="22"/>
                <c:pt idx="0">
                  <c:v>115</c:v>
                </c:pt>
                <c:pt idx="1">
                  <c:v>120</c:v>
                </c:pt>
                <c:pt idx="2">
                  <c:v>140</c:v>
                </c:pt>
                <c:pt idx="3">
                  <c:v>148</c:v>
                </c:pt>
                <c:pt idx="4">
                  <c:v>158</c:v>
                </c:pt>
                <c:pt idx="5">
                  <c:v>164</c:v>
                </c:pt>
                <c:pt idx="6">
                  <c:v>177</c:v>
                </c:pt>
                <c:pt idx="7">
                  <c:v>184</c:v>
                </c:pt>
                <c:pt idx="8">
                  <c:v>196</c:v>
                </c:pt>
                <c:pt idx="9">
                  <c:v>211</c:v>
                </c:pt>
                <c:pt idx="10">
                  <c:v>216</c:v>
                </c:pt>
                <c:pt idx="11">
                  <c:v>220</c:v>
                </c:pt>
                <c:pt idx="12">
                  <c:v>229</c:v>
                </c:pt>
                <c:pt idx="13">
                  <c:v>239</c:v>
                </c:pt>
                <c:pt idx="14">
                  <c:v>246</c:v>
                </c:pt>
                <c:pt idx="15">
                  <c:v>254</c:v>
                </c:pt>
                <c:pt idx="16">
                  <c:v>269</c:v>
                </c:pt>
                <c:pt idx="17">
                  <c:v>281</c:v>
                </c:pt>
                <c:pt idx="18">
                  <c:v>293</c:v>
                </c:pt>
                <c:pt idx="19">
                  <c:v>304</c:v>
                </c:pt>
                <c:pt idx="20">
                  <c:v>319</c:v>
                </c:pt>
                <c:pt idx="21">
                  <c:v>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F4-4394-823B-26E9F9EAE010}"/>
            </c:ext>
          </c:extLst>
        </c:ser>
        <c:ser>
          <c:idx val="2"/>
          <c:order val="3"/>
          <c:tx>
            <c:strRef>
              <c:f>Resumen!$Q$3</c:f>
              <c:strCache>
                <c:ptCount val="1"/>
                <c:pt idx="0">
                  <c:v>Acum. Cerrados Externos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4050476651792163E-2"/>
                  <c:y val="1.4160843328794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FE-471F-8E53-283E3B28BD0A}"/>
                </c:ext>
              </c:extLst>
            </c:dLbl>
            <c:dLbl>
              <c:idx val="1"/>
              <c:layout>
                <c:manualLayout>
                  <c:x val="-1.116734190792238E-2"/>
                  <c:y val="1.07588550139548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FE-471F-8E53-283E3B28BD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Resumen!$H$4:$H$60</c15:sqref>
                  </c15:fullRef>
                </c:ext>
              </c:extLst>
              <c:f>Resumen!$H$25:$H$46</c:f>
              <c:numCache>
                <c:formatCode>m/d/yyyy</c:formatCode>
                <c:ptCount val="22"/>
                <c:pt idx="0">
                  <c:v>45810</c:v>
                </c:pt>
                <c:pt idx="1">
                  <c:v>45817</c:v>
                </c:pt>
                <c:pt idx="2">
                  <c:v>45824</c:v>
                </c:pt>
                <c:pt idx="3">
                  <c:v>45831</c:v>
                </c:pt>
                <c:pt idx="4">
                  <c:v>45838</c:v>
                </c:pt>
                <c:pt idx="5">
                  <c:v>45845</c:v>
                </c:pt>
                <c:pt idx="6">
                  <c:v>45852</c:v>
                </c:pt>
                <c:pt idx="7">
                  <c:v>45859</c:v>
                </c:pt>
                <c:pt idx="8">
                  <c:v>45866</c:v>
                </c:pt>
                <c:pt idx="9">
                  <c:v>45873</c:v>
                </c:pt>
                <c:pt idx="10">
                  <c:v>45880</c:v>
                </c:pt>
                <c:pt idx="11">
                  <c:v>45887</c:v>
                </c:pt>
                <c:pt idx="12">
                  <c:v>45894</c:v>
                </c:pt>
                <c:pt idx="13">
                  <c:v>45901</c:v>
                </c:pt>
                <c:pt idx="14">
                  <c:v>45908</c:v>
                </c:pt>
                <c:pt idx="15">
                  <c:v>45915</c:v>
                </c:pt>
                <c:pt idx="16">
                  <c:v>45922</c:v>
                </c:pt>
                <c:pt idx="17">
                  <c:v>45929</c:v>
                </c:pt>
                <c:pt idx="18">
                  <c:v>45936</c:v>
                </c:pt>
                <c:pt idx="19">
                  <c:v>45943</c:v>
                </c:pt>
                <c:pt idx="20">
                  <c:v>45950</c:v>
                </c:pt>
                <c:pt idx="21">
                  <c:v>45957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Resumen!$Q$4:$Q$60</c15:sqref>
                  </c15:fullRef>
                </c:ext>
              </c:extLst>
              <c:f>Resumen!$Q$25:$Q$46</c:f>
              <c:numCache>
                <c:formatCode>General</c:formatCode>
                <c:ptCount val="22"/>
                <c:pt idx="0">
                  <c:v>108</c:v>
                </c:pt>
                <c:pt idx="1">
                  <c:v>114</c:v>
                </c:pt>
                <c:pt idx="2">
                  <c:v>129</c:v>
                </c:pt>
                <c:pt idx="3">
                  <c:v>144</c:v>
                </c:pt>
                <c:pt idx="4">
                  <c:v>149</c:v>
                </c:pt>
                <c:pt idx="5">
                  <c:v>157</c:v>
                </c:pt>
                <c:pt idx="6">
                  <c:v>165</c:v>
                </c:pt>
                <c:pt idx="7">
                  <c:v>178</c:v>
                </c:pt>
                <c:pt idx="8">
                  <c:v>190</c:v>
                </c:pt>
                <c:pt idx="9">
                  <c:v>206</c:v>
                </c:pt>
                <c:pt idx="10">
                  <c:v>212</c:v>
                </c:pt>
                <c:pt idx="11">
                  <c:v>217</c:v>
                </c:pt>
                <c:pt idx="12">
                  <c:v>219</c:v>
                </c:pt>
                <c:pt idx="13">
                  <c:v>232</c:v>
                </c:pt>
                <c:pt idx="14">
                  <c:v>238</c:v>
                </c:pt>
                <c:pt idx="15">
                  <c:v>243</c:v>
                </c:pt>
                <c:pt idx="16">
                  <c:v>253</c:v>
                </c:pt>
                <c:pt idx="17">
                  <c:v>264</c:v>
                </c:pt>
                <c:pt idx="18">
                  <c:v>272</c:v>
                </c:pt>
                <c:pt idx="19">
                  <c:v>287</c:v>
                </c:pt>
                <c:pt idx="20">
                  <c:v>302</c:v>
                </c:pt>
                <c:pt idx="21">
                  <c:v>314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Resumen!$Q$10</c15:sqref>
                  <c15:dLbl>
                    <c:idx val="-1"/>
                    <c:layout>
                      <c:manualLayout>
                        <c:x val="-1.3213425340572352E-2"/>
                        <c:y val="2.170565305034501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82F4-4394-823B-26E9F9EAE01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82F4-4394-823B-26E9F9EAE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266991"/>
        <c:axId val="387262191"/>
      </c:lineChart>
      <c:dateAx>
        <c:axId val="3872669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7262191"/>
        <c:crossesAt val="-15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387262191"/>
        <c:scaling>
          <c:orientation val="minMax"/>
          <c:max val="34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7266991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Bug Abierto&amp;Cerrados por Tipología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Resumen_Tipologia!$N$2</c:f>
              <c:strCache>
                <c:ptCount val="1"/>
                <c:pt idx="0">
                  <c:v>Definición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extLst>
                <c:ext xmlns:c15="http://schemas.microsoft.com/office/drawing/2012/chart" uri="{02D57815-91ED-43cb-92C2-25804820EDAC}">
                  <c15:fullRef>
                    <c15:sqref>Resumen_Tipologia!$N$3:$N$26</c15:sqref>
                  </c15:fullRef>
                </c:ext>
              </c:extLst>
              <c:f>Resumen_Tipologia!$N$3:$N$22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Resumen_Tipologia!$L$3:$M$26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2C2-4C5F-A056-613794A35C37}"/>
            </c:ext>
          </c:extLst>
        </c:ser>
        <c:ser>
          <c:idx val="1"/>
          <c:order val="1"/>
          <c:tx>
            <c:strRef>
              <c:f>Resumen_Tipologia!$O$2</c:f>
              <c:strCache>
                <c:ptCount val="1"/>
                <c:pt idx="0">
                  <c:v>Desarrollo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extLst>
                <c:ext xmlns:c15="http://schemas.microsoft.com/office/drawing/2012/chart" uri="{02D57815-91ED-43cb-92C2-25804820EDAC}">
                  <c15:fullRef>
                    <c15:sqref>Resumen_Tipologia!$O$3:$O$26</c15:sqref>
                  </c15:fullRef>
                </c:ext>
              </c:extLst>
              <c:f>Resumen_Tipologia!$O$3:$O$22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Resumen_Tipologia!$L$3:$M$26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2C2-4C5F-A056-613794A35C37}"/>
            </c:ext>
          </c:extLst>
        </c:ser>
        <c:ser>
          <c:idx val="2"/>
          <c:order val="2"/>
          <c:tx>
            <c:strRef>
              <c:f>Resumen_Tipologia!$P$2</c:f>
              <c:strCache>
                <c:ptCount val="1"/>
                <c:pt idx="0">
                  <c:v>Funcional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extLst>
                <c:ext xmlns:c15="http://schemas.microsoft.com/office/drawing/2012/chart" uri="{02D57815-91ED-43cb-92C2-25804820EDAC}">
                  <c15:fullRef>
                    <c15:sqref>Resumen_Tipologia!$P$3:$P$26</c15:sqref>
                  </c15:fullRef>
                </c:ext>
              </c:extLst>
              <c:f>Resumen_Tipologia!$P$3:$P$22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Resumen_Tipologia!$L$3:$M$26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2C2-4C5F-A056-613794A35C37}"/>
            </c:ext>
          </c:extLst>
        </c:ser>
        <c:ser>
          <c:idx val="3"/>
          <c:order val="3"/>
          <c:tx>
            <c:strRef>
              <c:f>Resumen_Tipologia!$Q$2</c:f>
              <c:strCache>
                <c:ptCount val="1"/>
                <c:pt idx="0">
                  <c:v>Reproceso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extLst>
                <c:ext xmlns:c15="http://schemas.microsoft.com/office/drawing/2012/chart" uri="{02D57815-91ED-43cb-92C2-25804820EDAC}">
                  <c15:fullRef>
                    <c15:sqref>Resumen_Tipologia!$Q$3:$Q$26</c15:sqref>
                  </c15:fullRef>
                </c:ext>
              </c:extLst>
              <c:f>Resumen_Tipologia!$Q$3:$Q$22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Resumen_Tipologia!$L$3:$M$26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C2C2-4C5F-A056-613794A35C37}"/>
            </c:ext>
          </c:extLst>
        </c:ser>
        <c:ser>
          <c:idx val="4"/>
          <c:order val="4"/>
          <c:tx>
            <c:strRef>
              <c:f>Resumen_Tipologia!$R$2</c:f>
              <c:strCache>
                <c:ptCount val="1"/>
                <c:pt idx="0">
                  <c:v>Soporte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extLst>
                <c:ext xmlns:c15="http://schemas.microsoft.com/office/drawing/2012/chart" uri="{02D57815-91ED-43cb-92C2-25804820EDAC}">
                  <c15:fullRef>
                    <c15:sqref>Resumen_Tipologia!$R$3:$R$26</c15:sqref>
                  </c15:fullRef>
                </c:ext>
              </c:extLst>
              <c:f>Resumen_Tipologia!$R$3:$R$22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Resumen_Tipologia!$L$3:$M$26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C2C2-4C5F-A056-613794A35C37}"/>
            </c:ext>
          </c:extLst>
        </c:ser>
        <c:ser>
          <c:idx val="5"/>
          <c:order val="5"/>
          <c:tx>
            <c:strRef>
              <c:f>Resumen_Tipologia!$S$2</c:f>
              <c:strCache>
                <c:ptCount val="1"/>
                <c:pt idx="0">
                  <c:v>Técnico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extLst>
                <c:ext xmlns:c15="http://schemas.microsoft.com/office/drawing/2012/chart" uri="{02D57815-91ED-43cb-92C2-25804820EDAC}">
                  <c15:fullRef>
                    <c15:sqref>Resumen_Tipologia!$S$3:$S$26</c15:sqref>
                  </c15:fullRef>
                </c:ext>
              </c:extLst>
              <c:f>Resumen_Tipologia!$S$3:$S$22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Resumen_Tipologia!$L$3:$M$26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C2C2-4C5F-A056-613794A35C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370664687"/>
        <c:axId val="370659887"/>
      </c:barChart>
      <c:catAx>
        <c:axId val="37066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0659887"/>
        <c:crosses val="autoZero"/>
        <c:auto val="1"/>
        <c:lblAlgn val="ctr"/>
        <c:lblOffset val="100"/>
        <c:noMultiLvlLbl val="0"/>
      </c:catAx>
      <c:valAx>
        <c:axId val="37065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\-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066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baseline="0"/>
              <a:t>Bug Abiertos por Tipologia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Resumen_Tipologia!$X$2</c:f>
              <c:strCache>
                <c:ptCount val="1"/>
                <c:pt idx="0">
                  <c:v>Definición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Resumen_Tipologia!$W$3:$W$13</c:f>
              <c:strCache>
                <c:ptCount val="11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  <c:pt idx="7">
                  <c:v>2025-07</c:v>
                </c:pt>
                <c:pt idx="8">
                  <c:v>2025-08</c:v>
                </c:pt>
                <c:pt idx="9">
                  <c:v>2025-09</c:v>
                </c:pt>
                <c:pt idx="10">
                  <c:v>2025-10</c:v>
                </c:pt>
              </c:strCache>
            </c:strRef>
          </c:cat>
          <c:val>
            <c:numRef>
              <c:f>Resumen_Tipologia!$X$3:$X$13</c:f>
              <c:numCache>
                <c:formatCode>0;\-0;;@</c:formatCode>
                <c:ptCount val="11"/>
                <c:pt idx="3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3-43E6-8E2F-E11E65521228}"/>
            </c:ext>
          </c:extLst>
        </c:ser>
        <c:ser>
          <c:idx val="1"/>
          <c:order val="1"/>
          <c:tx>
            <c:strRef>
              <c:f>Resumen_Tipologia!$Y$2</c:f>
              <c:strCache>
                <c:ptCount val="1"/>
                <c:pt idx="0">
                  <c:v>Desarrollo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Resumen_Tipologia!$W$3:$W$13</c:f>
              <c:strCache>
                <c:ptCount val="11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  <c:pt idx="7">
                  <c:v>2025-07</c:v>
                </c:pt>
                <c:pt idx="8">
                  <c:v>2025-08</c:v>
                </c:pt>
                <c:pt idx="9">
                  <c:v>2025-09</c:v>
                </c:pt>
                <c:pt idx="10">
                  <c:v>2025-10</c:v>
                </c:pt>
              </c:strCache>
            </c:strRef>
          </c:cat>
          <c:val>
            <c:numRef>
              <c:f>Resumen_Tipologia!$Y$3:$Y$13</c:f>
              <c:numCache>
                <c:formatCode>0;\-0;;@</c:formatCode>
                <c:ptCount val="11"/>
                <c:pt idx="0">
                  <c:v>10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6</c:v>
                </c:pt>
                <c:pt idx="8">
                  <c:v>2</c:v>
                </c:pt>
                <c:pt idx="9">
                  <c:v>10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D3-43E6-8E2F-E11E65521228}"/>
            </c:ext>
          </c:extLst>
        </c:ser>
        <c:ser>
          <c:idx val="2"/>
          <c:order val="2"/>
          <c:tx>
            <c:strRef>
              <c:f>Resumen_Tipologia!$Z$2</c:f>
              <c:strCache>
                <c:ptCount val="1"/>
                <c:pt idx="0">
                  <c:v>Funcional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Resumen_Tipologia!$W$3:$W$13</c:f>
              <c:strCache>
                <c:ptCount val="11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  <c:pt idx="7">
                  <c:v>2025-07</c:v>
                </c:pt>
                <c:pt idx="8">
                  <c:v>2025-08</c:v>
                </c:pt>
                <c:pt idx="9">
                  <c:v>2025-09</c:v>
                </c:pt>
                <c:pt idx="10">
                  <c:v>2025-10</c:v>
                </c:pt>
              </c:strCache>
            </c:strRef>
          </c:cat>
          <c:val>
            <c:numRef>
              <c:f>Resumen_Tipologia!$Z$3:$Z$13</c:f>
              <c:numCache>
                <c:formatCode>0;\-0;;@</c:formatCode>
                <c:ptCount val="11"/>
                <c:pt idx="4">
                  <c:v>1</c:v>
                </c:pt>
                <c:pt idx="9">
                  <c:v>1</c:v>
                </c:pt>
                <c:pt idx="10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D3-43E6-8E2F-E11E65521228}"/>
            </c:ext>
          </c:extLst>
        </c:ser>
        <c:ser>
          <c:idx val="3"/>
          <c:order val="3"/>
          <c:tx>
            <c:strRef>
              <c:f>Resumen_Tipologia!$AA$2</c:f>
              <c:strCache>
                <c:ptCount val="1"/>
                <c:pt idx="0">
                  <c:v>Reproceso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Resumen_Tipologia!$W$3:$W$13</c:f>
              <c:strCache>
                <c:ptCount val="11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  <c:pt idx="7">
                  <c:v>2025-07</c:v>
                </c:pt>
                <c:pt idx="8">
                  <c:v>2025-08</c:v>
                </c:pt>
                <c:pt idx="9">
                  <c:v>2025-09</c:v>
                </c:pt>
                <c:pt idx="10">
                  <c:v>2025-10</c:v>
                </c:pt>
              </c:strCache>
            </c:strRef>
          </c:cat>
          <c:val>
            <c:numRef>
              <c:f>Resumen_Tipologia!$AA$3:$AA$13</c:f>
              <c:numCache>
                <c:formatCode>0;\-0;;@</c:formatCode>
                <c:ptCount val="11"/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D3-43E6-8E2F-E11E65521228}"/>
            </c:ext>
          </c:extLst>
        </c:ser>
        <c:ser>
          <c:idx val="4"/>
          <c:order val="4"/>
          <c:tx>
            <c:strRef>
              <c:f>Resumen_Tipologia!$AB$2</c:f>
              <c:strCache>
                <c:ptCount val="1"/>
                <c:pt idx="0">
                  <c:v>Soporte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Resumen_Tipologia!$W$3:$W$13</c:f>
              <c:strCache>
                <c:ptCount val="11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  <c:pt idx="7">
                  <c:v>2025-07</c:v>
                </c:pt>
                <c:pt idx="8">
                  <c:v>2025-08</c:v>
                </c:pt>
                <c:pt idx="9">
                  <c:v>2025-09</c:v>
                </c:pt>
                <c:pt idx="10">
                  <c:v>2025-10</c:v>
                </c:pt>
              </c:strCache>
            </c:strRef>
          </c:cat>
          <c:val>
            <c:numRef>
              <c:f>Resumen_Tipologia!$AB$3:$AB$13</c:f>
              <c:numCache>
                <c:formatCode>0;\-0;;@</c:formatCode>
                <c:ptCount val="11"/>
                <c:pt idx="0">
                  <c:v>5</c:v>
                </c:pt>
                <c:pt idx="1">
                  <c:v>20</c:v>
                </c:pt>
                <c:pt idx="2">
                  <c:v>23</c:v>
                </c:pt>
                <c:pt idx="3">
                  <c:v>22</c:v>
                </c:pt>
                <c:pt idx="4">
                  <c:v>13</c:v>
                </c:pt>
                <c:pt idx="5">
                  <c:v>20</c:v>
                </c:pt>
                <c:pt idx="6">
                  <c:v>50</c:v>
                </c:pt>
                <c:pt idx="7">
                  <c:v>36</c:v>
                </c:pt>
                <c:pt idx="8">
                  <c:v>31</c:v>
                </c:pt>
                <c:pt idx="9">
                  <c:v>51</c:v>
                </c:pt>
                <c:pt idx="1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D3-43E6-8E2F-E11E65521228}"/>
            </c:ext>
          </c:extLst>
        </c:ser>
        <c:ser>
          <c:idx val="5"/>
          <c:order val="5"/>
          <c:tx>
            <c:strRef>
              <c:f>Resumen_Tipologia!$AC$2</c:f>
              <c:strCache>
                <c:ptCount val="1"/>
                <c:pt idx="0">
                  <c:v>Técnico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Resumen_Tipologia!$W$3:$W$13</c:f>
              <c:strCache>
                <c:ptCount val="11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  <c:pt idx="7">
                  <c:v>2025-07</c:v>
                </c:pt>
                <c:pt idx="8">
                  <c:v>2025-08</c:v>
                </c:pt>
                <c:pt idx="9">
                  <c:v>2025-09</c:v>
                </c:pt>
                <c:pt idx="10">
                  <c:v>2025-10</c:v>
                </c:pt>
              </c:strCache>
            </c:strRef>
          </c:cat>
          <c:val>
            <c:numRef>
              <c:f>Resumen_Tipologia!$AC$3:$AC$13</c:f>
              <c:numCache>
                <c:formatCode>0;\-0;;@</c:formatCode>
                <c:ptCount val="11"/>
                <c:pt idx="0">
                  <c:v>7</c:v>
                </c:pt>
                <c:pt idx="1">
                  <c:v>3</c:v>
                </c:pt>
                <c:pt idx="2">
                  <c:v>9</c:v>
                </c:pt>
                <c:pt idx="3">
                  <c:v>13</c:v>
                </c:pt>
                <c:pt idx="4">
                  <c:v>2</c:v>
                </c:pt>
                <c:pt idx="5">
                  <c:v>5</c:v>
                </c:pt>
                <c:pt idx="6">
                  <c:v>13</c:v>
                </c:pt>
                <c:pt idx="7">
                  <c:v>3</c:v>
                </c:pt>
                <c:pt idx="8">
                  <c:v>6</c:v>
                </c:pt>
                <c:pt idx="9">
                  <c:v>7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D3-43E6-8E2F-E11E655212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043135695"/>
        <c:axId val="1043132815"/>
      </c:barChart>
      <c:catAx>
        <c:axId val="104313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12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3132815"/>
        <c:crosses val="autoZero"/>
        <c:auto val="1"/>
        <c:lblAlgn val="ctr"/>
        <c:lblOffset val="100"/>
        <c:noMultiLvlLbl val="0"/>
      </c:catAx>
      <c:valAx>
        <c:axId val="10431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\-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313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2200" b="1" i="0" u="none" strike="noStrike" kern="1200" cap="all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Bug OPERACIONAL por categorías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AF58-4E83-BA9B-856393027050}"/>
              </c:ext>
            </c:extLst>
          </c:dPt>
          <c:dPt>
            <c:idx val="1"/>
            <c:bubble3D val="0"/>
            <c:explosion val="9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F58-4E83-BA9B-8563930270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F58-4E83-BA9B-8563930270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AF58-4E83-BA9B-8563930270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AF58-4E83-BA9B-856393027050}"/>
              </c:ext>
            </c:extLst>
          </c:dPt>
          <c:dPt>
            <c:idx val="5"/>
            <c:bubble3D val="0"/>
            <c:explosion val="11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AF58-4E83-BA9B-85639302705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F58-4E83-BA9B-856393027050}"/>
                </c:ext>
              </c:extLst>
            </c:dLbl>
            <c:dLbl>
              <c:idx val="1"/>
              <c:layout>
                <c:manualLayout>
                  <c:x val="-2.7311522048364154E-2"/>
                  <c:y val="-3.20361772872257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58-4E83-BA9B-856393027050}"/>
                </c:ext>
              </c:extLst>
            </c:dLbl>
            <c:dLbl>
              <c:idx val="2"/>
              <c:layout>
                <c:manualLayout>
                  <c:x val="3.0651340996168583E-3"/>
                  <c:y val="2.192638997650738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58-4E83-BA9B-856393027050}"/>
                </c:ext>
              </c:extLst>
            </c:dLbl>
            <c:dLbl>
              <c:idx val="3"/>
              <c:layout>
                <c:manualLayout>
                  <c:x val="4.5977011494252873E-3"/>
                  <c:y val="-0.1158966327329679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58-4E83-BA9B-85639302705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AF58-4E83-BA9B-85639302705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AF58-4E83-BA9B-856393027050}"/>
                </c:ext>
              </c:extLst>
            </c:dLbl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Resumen_Tipologia!$AE$2:$AE$7</c:f>
              <c:strCache>
                <c:ptCount val="6"/>
                <c:pt idx="0">
                  <c:v>Definición</c:v>
                </c:pt>
                <c:pt idx="1">
                  <c:v>Desarrollo</c:v>
                </c:pt>
                <c:pt idx="2">
                  <c:v>Funcional</c:v>
                </c:pt>
                <c:pt idx="3">
                  <c:v>Reproceso</c:v>
                </c:pt>
                <c:pt idx="4">
                  <c:v>Soporte</c:v>
                </c:pt>
                <c:pt idx="5">
                  <c:v>Técnico</c:v>
                </c:pt>
              </c:strCache>
            </c:strRef>
          </c:cat>
          <c:val>
            <c:numRef>
              <c:f>Resumen_Tipologia!$AF$2:$AF$7</c:f>
              <c:numCache>
                <c:formatCode>0%</c:formatCode>
                <c:ptCount val="6"/>
                <c:pt idx="0">
                  <c:v>1.8442622950819672E-2</c:v>
                </c:pt>
                <c:pt idx="1">
                  <c:v>0.17827868852459017</c:v>
                </c:pt>
                <c:pt idx="2">
                  <c:v>6.1475409836065573E-3</c:v>
                </c:pt>
                <c:pt idx="3">
                  <c:v>2.0491803278688526E-3</c:v>
                </c:pt>
                <c:pt idx="4">
                  <c:v>0.64754098360655743</c:v>
                </c:pt>
                <c:pt idx="5">
                  <c:v>0.14754098360655737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8-4E83-BA9B-85639302705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AF58-4E83-BA9B-8563930270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AF58-4E83-BA9B-8563930270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AF58-4E83-BA9B-8563930270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AF58-4E83-BA9B-8563930270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AF58-4E83-BA9B-85639302705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AF58-4E83-BA9B-85639302705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AF58-4E83-BA9B-85639302705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AF58-4E83-BA9B-85639302705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AF58-4E83-BA9B-85639302705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AF58-4E83-BA9B-85639302705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AF58-4E83-BA9B-85639302705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AF58-4E83-BA9B-856393027050}"/>
                </c:ext>
              </c:extLst>
            </c:dLbl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Resumen_Tipologia!$AE$2:$AE$7</c:f>
              <c:strCache>
                <c:ptCount val="6"/>
                <c:pt idx="0">
                  <c:v>Definición</c:v>
                </c:pt>
                <c:pt idx="1">
                  <c:v>Desarrollo</c:v>
                </c:pt>
                <c:pt idx="2">
                  <c:v>Funcional</c:v>
                </c:pt>
                <c:pt idx="3">
                  <c:v>Reproceso</c:v>
                </c:pt>
                <c:pt idx="4">
                  <c:v>Soporte</c:v>
                </c:pt>
                <c:pt idx="5">
                  <c:v>Técnico</c:v>
                </c:pt>
              </c:strCache>
            </c:strRef>
          </c:cat>
          <c:val>
            <c:numRef>
              <c:f>Resumen_Tipologia!$AG$2:$AG$7</c:f>
              <c:numCache>
                <c:formatCode>0;\-0;;@</c:formatCode>
                <c:ptCount val="6"/>
                <c:pt idx="0">
                  <c:v>9</c:v>
                </c:pt>
                <c:pt idx="1">
                  <c:v>87</c:v>
                </c:pt>
                <c:pt idx="2">
                  <c:v>3</c:v>
                </c:pt>
                <c:pt idx="3">
                  <c:v>1</c:v>
                </c:pt>
                <c:pt idx="4">
                  <c:v>316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58-4E83-BA9B-8563930270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BUG ANALÍTICO POR CATEGORIAS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Grafica_Estado!$N$4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5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712B-49FF-BB54-F87878BC2DF7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12B-49FF-BB54-F87878BC2DF7}"/>
              </c:ext>
            </c:extLst>
          </c:dPt>
          <c:dPt>
            <c:idx val="2"/>
            <c:bubble3D val="0"/>
            <c:explosion val="8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712B-49FF-BB54-F87878BC2DF7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12B-49FF-BB54-F87878BC2DF7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12B-49FF-BB54-F87878BC2DF7}"/>
              </c:ext>
            </c:extLst>
          </c:dPt>
          <c:dPt>
            <c:idx val="5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712B-49FF-BB54-F87878BC2DF7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12B-49FF-BB54-F87878BC2DF7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 sz="1000" baseline="0"/>
                  </a:p>
                  <a:p>
                    <a:pPr>
                      <a:defRPr sz="1000" baseline="0">
                        <a:solidFill>
                          <a:schemeClr val="accent2"/>
                        </a:solidFill>
                      </a:defRPr>
                    </a:pPr>
                    <a:fld id="{CC910873-03DA-47EE-87BD-0100761D0C37}" type="CATEGORYNAME">
                      <a:rPr lang="en-US" sz="1000" b="1" i="0" u="none" strike="noStrike" kern="1200" spc="0" baseline="0">
                        <a:solidFill>
                          <a:srgbClr val="ED7D31"/>
                        </a:solidFill>
                      </a:rPr>
                      <a:pPr>
                        <a:defRPr sz="1000" baseline="0">
                          <a:solidFill>
                            <a:schemeClr val="accent2"/>
                          </a:solidFill>
                        </a:defRPr>
                      </a:pPr>
                      <a:t>[NOMBRE DE CATEGORÍA]</a:t>
                    </a:fld>
                    <a:r>
                      <a:rPr lang="en-US" sz="1000" b="1" i="0" u="none" strike="noStrike" kern="1200" spc="0" baseline="0">
                        <a:solidFill>
                          <a:srgbClr val="ED7D31"/>
                        </a:solidFill>
                      </a:rPr>
                      <a:t>
</a:t>
                    </a:r>
                    <a:fld id="{7F4C8BBE-B7A3-4120-B91D-12A1335D798F}" type="CELLRANGE">
                      <a:rPr lang="en-US" sz="1000" baseline="0"/>
                      <a:pPr>
                        <a:defRPr sz="1000" baseline="0">
                          <a:solidFill>
                            <a:schemeClr val="accent2"/>
                          </a:solidFill>
                        </a:defRPr>
                      </a:pPr>
                      <a:t>[CELLRANGE]</a:t>
                    </a:fld>
                    <a:r>
                      <a:rPr lang="en-US" sz="1000" baseline="0"/>
                      <a:t>
</a:t>
                    </a:r>
                    <a:fld id="{C3557659-FBB8-480B-95FC-4170D47058DC}" type="PERCENTAGE">
                      <a:rPr lang="en-US" sz="1000" b="1" i="0" u="none" strike="noStrike" kern="1200" spc="0" baseline="0">
                        <a:solidFill>
                          <a:srgbClr val="ED7D31"/>
                        </a:solidFill>
                      </a:rPr>
                      <a:pPr>
                        <a:defRPr sz="1000" baseline="0">
                          <a:solidFill>
                            <a:schemeClr val="accent2"/>
                          </a:solidFill>
                        </a:defRPr>
                      </a:pPr>
                      <a:t>[PORCENTAJE]</a:t>
                    </a:fld>
                    <a:endParaRPr lang="en-US" sz="10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12B-49FF-BB54-F87878BC2DF7}"/>
                </c:ext>
              </c:extLst>
            </c:dLbl>
            <c:dLbl>
              <c:idx val="1"/>
              <c:layout>
                <c:manualLayout>
                  <c:x val="1.5023473289802216E-2"/>
                  <c:y val="-3.976608187134507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spc="0" baseline="0">
                        <a:solidFill>
                          <a:schemeClr val="bg1">
                            <a:lumMod val="6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975500A-D957-4F01-BF34-B105D3E1DA75}" type="CATEGORYNAME">
                      <a:rPr lang="en-US" sz="800" b="1" i="0" u="none" strike="noStrike" kern="1200" spc="0" baseline="0">
                        <a:solidFill>
                          <a:sysClr val="window" lastClr="FFFFFF">
                            <a:lumMod val="65000"/>
                          </a:sysClr>
                        </a:solidFill>
                      </a:rPr>
                      <a:pPr>
                        <a:defRPr sz="800" baseline="0">
                          <a:solidFill>
                            <a:schemeClr val="bg1">
                              <a:lumMod val="65000"/>
                            </a:schemeClr>
                          </a:solidFill>
                        </a:defRPr>
                      </a:pPr>
                      <a:t>[NOMBRE DE CATEGORÍA]</a:t>
                    </a:fld>
                    <a:endParaRPr lang="en-US" sz="800" b="1" i="0" u="none" strike="noStrike" kern="1200" spc="0" baseline="0">
                      <a:solidFill>
                        <a:sysClr val="window" lastClr="FFFFFF">
                          <a:lumMod val="65000"/>
                        </a:sysClr>
                      </a:solidFill>
                    </a:endParaRPr>
                  </a:p>
                  <a:p>
                    <a:pPr>
                      <a:defRPr sz="800" baseline="0">
                        <a:solidFill>
                          <a:schemeClr val="bg1">
                            <a:lumMod val="65000"/>
                          </a:schemeClr>
                        </a:solidFill>
                      </a:defRPr>
                    </a:pPr>
                    <a:r>
                      <a:rPr lang="en-US" sz="800" b="1" i="0" u="none" strike="noStrike" kern="1200" spc="0" baseline="0">
                        <a:solidFill>
                          <a:sysClr val="window" lastClr="FFFFFF">
                            <a:lumMod val="65000"/>
                          </a:sysClr>
                        </a:solidFill>
                      </a:rPr>
                      <a:t>3 (1 pre / 2 pro)
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bg1">
                          <a:lumMod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12B-49FF-BB54-F87878BC2DF7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6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18BD9B6-B903-44A3-9E93-18AFF086C465}" type="CATEGORYNAME">
                      <a:rPr lang="en-US" sz="800" b="1" i="0" u="none" strike="noStrike" kern="1200" spc="0" baseline="0">
                        <a:solidFill>
                          <a:srgbClr val="70AD47"/>
                        </a:solidFill>
                      </a:rPr>
                      <a:pPr>
                        <a:defRPr baseline="0">
                          <a:solidFill>
                            <a:schemeClr val="accent6"/>
                          </a:solidFill>
                        </a:defRPr>
                      </a:pPr>
                      <a:t>[NOMBRE DE CATEGORÍA]</a:t>
                    </a:fld>
                    <a:endParaRPr lang="en-US"/>
                  </a:p>
                  <a:p>
                    <a:pPr>
                      <a:defRPr baseline="0">
                        <a:solidFill>
                          <a:schemeClr val="accent6"/>
                        </a:solidFill>
                      </a:defRPr>
                    </a:pPr>
                    <a:fld id="{EA10179A-5C5E-4109-95AF-D6C7D861AC96}" type="CELLRANGE">
                      <a:rPr lang="en-US"/>
                      <a:pPr>
                        <a:defRPr baseline="0">
                          <a:solidFill>
                            <a:schemeClr val="accent6"/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03F6D3BE-5D99-4E7D-A1A6-C245123755CD}" type="PERCENTAGE">
                      <a:rPr lang="en-US" baseline="0"/>
                      <a:pPr>
                        <a:defRPr baseline="0">
                          <a:solidFill>
                            <a:schemeClr val="accent6"/>
                          </a:solidFill>
                        </a:defRPr>
                      </a:pPr>
                      <a:t>[PORCENTAJE]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12B-49FF-BB54-F87878BC2DF7}"/>
                </c:ext>
              </c:extLst>
            </c:dLbl>
            <c:dLbl>
              <c:idx val="3"/>
              <c:layout>
                <c:manualLayout>
                  <c:x val="3.0046946579604583E-3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spc="0" baseline="0">
                        <a:solidFill>
                          <a:schemeClr val="accent5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0AF83C8-9A8A-48E3-A564-951324FD7EA6}" type="CATEGORYNAME">
                      <a:rPr lang="en-US" sz="800" b="1" i="0" u="none" strike="noStrike" kern="1200" spc="0" baseline="0">
                        <a:solidFill>
                          <a:schemeClr val="accent5"/>
                        </a:solidFill>
                      </a:rPr>
                      <a:pPr>
                        <a:defRPr sz="800" baseline="0">
                          <a:solidFill>
                            <a:schemeClr val="accent5"/>
                          </a:solidFill>
                        </a:defRPr>
                      </a:pPr>
                      <a:t>[NOMBRE DE CATEGORÍA]</a:t>
                    </a:fld>
                    <a:endParaRPr lang="en-US" sz="800" baseline="0">
                      <a:solidFill>
                        <a:schemeClr val="accent5"/>
                      </a:solidFill>
                    </a:endParaRPr>
                  </a:p>
                  <a:p>
                    <a:pPr>
                      <a:defRPr sz="800" baseline="0">
                        <a:solidFill>
                          <a:schemeClr val="accent5"/>
                        </a:solidFill>
                      </a:defRPr>
                    </a:pPr>
                    <a:fld id="{567A3DFF-6AB4-4FDC-B590-1C253ACB41F1}" type="CELLRANGE">
                      <a:rPr lang="en-US" sz="800" baseline="0">
                        <a:solidFill>
                          <a:schemeClr val="accent5"/>
                        </a:solidFill>
                      </a:rPr>
                      <a:pPr>
                        <a:defRPr sz="800" baseline="0">
                          <a:solidFill>
                            <a:schemeClr val="accent5"/>
                          </a:solidFill>
                        </a:defRPr>
                      </a:pPr>
                      <a:t>[CELLRANGE]</a:t>
                    </a:fld>
                    <a:r>
                      <a:rPr lang="en-US" sz="800" baseline="0">
                        <a:solidFill>
                          <a:schemeClr val="accent5"/>
                        </a:solidFill>
                      </a:rPr>
                      <a:t>
</a:t>
                    </a:r>
                    <a:fld id="{E7632B17-A5FA-4E73-B684-73F078EA1111}" type="PERCENTAGE">
                      <a:rPr lang="en-US" sz="800" baseline="0">
                        <a:solidFill>
                          <a:schemeClr val="accent5"/>
                        </a:solidFill>
                      </a:rPr>
                      <a:pPr>
                        <a:defRPr sz="800" baseline="0">
                          <a:solidFill>
                            <a:schemeClr val="accent5"/>
                          </a:solidFill>
                        </a:defRPr>
                      </a:pPr>
                      <a:t>[PORCENTAJE]</a:t>
                    </a:fld>
                    <a:endParaRPr lang="en-US" sz="800" baseline="0">
                      <a:solidFill>
                        <a:schemeClr val="accent5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12B-49FF-BB54-F87878BC2DF7}"/>
                </c:ext>
              </c:extLst>
            </c:dLbl>
            <c:dLbl>
              <c:idx val="4"/>
              <c:layout>
                <c:manualLayout>
                  <c:x val="-3.1549293908584887E-2"/>
                  <c:y val="-7.017543859649133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="1" i="0" u="none" strike="noStrike" kern="1200" spc="0" baseline="0">
                        <a:solidFill>
                          <a:schemeClr val="accent1"/>
                        </a:solidFill>
                      </a:rPr>
                      <a:t>
</a:t>
                    </a:r>
                    <a:fld id="{76D11A21-C67A-4343-87D8-11511880AA16}" type="CATEGORYNAME">
                      <a:rPr lang="en-US" sz="800" b="1" i="0" u="none" strike="noStrike" kern="1200" spc="0" baseline="0">
                        <a:solidFill>
                          <a:schemeClr val="accent1"/>
                        </a:solidFill>
                      </a:rPr>
                      <a:pPr>
                        <a:defRPr sz="800" baseline="0">
                          <a:solidFill>
                            <a:schemeClr val="accent1"/>
                          </a:solidFill>
                        </a:defRPr>
                      </a:pPr>
                      <a:t>[NOMBRE DE CATEGORÍA]</a:t>
                    </a:fld>
                    <a:r>
                      <a:rPr lang="en-US" sz="800" b="1" i="0" u="none" strike="noStrike" kern="1200" spc="0" baseline="0">
                        <a:solidFill>
                          <a:schemeClr val="accent1"/>
                        </a:solidFill>
                      </a:rPr>
                      <a:t>
</a:t>
                    </a:r>
                    <a:fld id="{3692AA2A-F525-40E4-A8FD-8E6CB43563BE}" type="CELLRANGE">
                      <a:rPr lang="en-US" sz="800" baseline="0">
                        <a:solidFill>
                          <a:schemeClr val="accent1"/>
                        </a:solidFill>
                      </a:rPr>
                      <a:pPr>
                        <a:defRPr sz="800" baseline="0">
                          <a:solidFill>
                            <a:schemeClr val="accent1"/>
                          </a:solidFill>
                        </a:defRPr>
                      </a:pPr>
                      <a:t>[CELLRANGE]</a:t>
                    </a:fld>
                    <a:endParaRPr lang="en-US" sz="800" baseline="0">
                      <a:solidFill>
                        <a:schemeClr val="accent1"/>
                      </a:solidFill>
                    </a:endParaRPr>
                  </a:p>
                  <a:p>
                    <a:pPr>
                      <a:defRPr sz="800" baseline="0">
                        <a:solidFill>
                          <a:schemeClr val="accent1"/>
                        </a:solidFill>
                      </a:defRPr>
                    </a:pPr>
                    <a:fld id="{B75A9D88-3EF1-4163-BA51-AF4E8A4F2DA2}" type="PERCENTAGE">
                      <a:rPr lang="en-US" sz="800" baseline="0">
                        <a:solidFill>
                          <a:schemeClr val="accent1"/>
                        </a:solidFill>
                      </a:rPr>
                      <a:pPr>
                        <a:defRPr sz="800" baseline="0">
                          <a:solidFill>
                            <a:schemeClr val="accent1"/>
                          </a:solidFill>
                        </a:defRPr>
                      </a:pPr>
                      <a:t>[PORCENTAJE]</a:t>
                    </a:fld>
                    <a:endParaRPr lang="es-E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12B-49FF-BB54-F87878BC2DF7}"/>
                </c:ext>
              </c:extLst>
            </c:dLbl>
            <c:dLbl>
              <c:idx val="5"/>
              <c:layout>
                <c:manualLayout>
                  <c:x val="3.1549293908584887E-2"/>
                  <c:y val="-3.040935672514620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spc="0" baseline="0">
                        <a:solidFill>
                          <a:srgbClr val="FFC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3CC93AA-7189-47BF-B2AC-15EDD38169CF}" type="CATEGORYNAME">
                      <a:rPr lang="en-US" sz="800" b="1" i="0" u="none" strike="noStrike" kern="1200" spc="0" baseline="0">
                        <a:solidFill>
                          <a:srgbClr val="FFC000"/>
                        </a:solidFill>
                      </a:rPr>
                      <a:pPr>
                        <a:defRPr sz="800" baseline="0">
                          <a:solidFill>
                            <a:srgbClr val="FFC000"/>
                          </a:solidFill>
                        </a:defRPr>
                      </a:pPr>
                      <a:t>[NOMBRE DE CATEGORÍA]</a:t>
                    </a:fld>
                    <a:endParaRPr lang="en-US" sz="800" b="1" i="0" u="none" strike="noStrike" kern="1200" spc="0" baseline="0">
                      <a:solidFill>
                        <a:srgbClr val="FFC000"/>
                      </a:solidFill>
                    </a:endParaRPr>
                  </a:p>
                  <a:p>
                    <a:pPr>
                      <a:defRPr sz="800" baseline="0">
                        <a:solidFill>
                          <a:srgbClr val="FFC000"/>
                        </a:solidFill>
                      </a:defRPr>
                    </a:pPr>
                    <a:fld id="{FDE08A27-7BB8-4E8F-8B7E-F8A08DD125F8}" type="CELLRANGE">
                      <a:rPr lang="en-US" sz="800" baseline="0">
                        <a:solidFill>
                          <a:srgbClr val="FFC000"/>
                        </a:solidFill>
                      </a:rPr>
                      <a:pPr>
                        <a:defRPr sz="800" baseline="0">
                          <a:solidFill>
                            <a:srgbClr val="FFC000"/>
                          </a:solidFill>
                        </a:defRPr>
                      </a:pPr>
                      <a:t>[CELLRANGE]</a:t>
                    </a:fld>
                    <a:r>
                      <a:rPr lang="en-US" sz="800" baseline="0">
                        <a:solidFill>
                          <a:srgbClr val="FFC000"/>
                        </a:solidFill>
                      </a:rPr>
                      <a:t>
</a:t>
                    </a:r>
                    <a:fld id="{F94FE802-AA29-41F5-90BA-9CE1E49F0656}" type="PERCENTAGE">
                      <a:rPr lang="en-US" sz="800" baseline="0">
                        <a:solidFill>
                          <a:srgbClr val="FFC000"/>
                        </a:solidFill>
                      </a:rPr>
                      <a:pPr>
                        <a:defRPr sz="800" baseline="0">
                          <a:solidFill>
                            <a:srgbClr val="FFC000"/>
                          </a:solidFill>
                        </a:defRPr>
                      </a:pPr>
                      <a:t>[PORCENTAJE]</a:t>
                    </a:fld>
                    <a:endParaRPr lang="en-US" sz="800" baseline="0">
                      <a:solidFill>
                        <a:srgbClr val="FFC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12B-49FF-BB54-F87878BC2DF7}"/>
                </c:ext>
              </c:extLst>
            </c:dLbl>
            <c:dLbl>
              <c:idx val="6"/>
              <c:layout>
                <c:manualLayout>
                  <c:x val="0.12619717563433955"/>
                  <c:y val="-7.0175438596491229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spc="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311D94A-0FA9-4E5C-93B1-7589A3AA6F49}" type="CATEGORYNAME">
                      <a:rPr lang="en-US" sz="800" b="1" i="0" u="none" strike="noStrike" kern="1200" spc="0" baseline="0">
                        <a:solidFill>
                          <a:srgbClr val="FF0000"/>
                        </a:solidFill>
                      </a:rPr>
                      <a:pPr>
                        <a:defRPr sz="800" baseline="0">
                          <a:solidFill>
                            <a:srgbClr val="FF0000"/>
                          </a:solidFill>
                        </a:defRPr>
                      </a:pPr>
                      <a:t>[NOMBRE DE CATEGORÍA]</a:t>
                    </a:fld>
                    <a:r>
                      <a:rPr lang="en-US" sz="800" b="1" i="0" u="none" strike="noStrike" kern="1200" spc="0" baseline="0">
                        <a:solidFill>
                          <a:srgbClr val="FF0000"/>
                        </a:solidFill>
                      </a:rPr>
                      <a:t>
</a:t>
                    </a:r>
                    <a:fld id="{E02CDA0F-FD61-43E0-966F-20ED86BF0B07}" type="CELLRANGE">
                      <a:rPr lang="en-US" sz="800" baseline="0">
                        <a:solidFill>
                          <a:srgbClr val="FF0000"/>
                        </a:solidFill>
                      </a:rPr>
                      <a:pPr>
                        <a:defRPr sz="800" baseline="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r>
                      <a:rPr lang="en-US" sz="800" baseline="0">
                        <a:solidFill>
                          <a:srgbClr val="FF0000"/>
                        </a:solidFill>
                      </a:rPr>
                      <a:t>
</a:t>
                    </a:r>
                    <a:fld id="{D5211B63-E6D0-481E-B3DE-2E5A52FF8D64}" type="PERCENTAGE">
                      <a:rPr lang="en-US" sz="800" baseline="0">
                        <a:solidFill>
                          <a:srgbClr val="FF0000"/>
                        </a:solidFill>
                      </a:rPr>
                      <a:pPr>
                        <a:defRPr sz="800" baseline="0">
                          <a:solidFill>
                            <a:srgbClr val="FF0000"/>
                          </a:solidFill>
                        </a:defRPr>
                      </a:pPr>
                      <a:t>[PORCENTAJE]</a:t>
                    </a:fld>
                    <a:endParaRPr lang="en-US" sz="800" baseline="0">
                      <a:solidFill>
                        <a:srgbClr val="FF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12B-49FF-BB54-F87878BC2DF7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Grafica_Estado!$K$5:$K$11</c:f>
              <c:strCache>
                <c:ptCount val="7"/>
                <c:pt idx="0">
                  <c:v>DESARROLLO</c:v>
                </c:pt>
                <c:pt idx="1">
                  <c:v>FUNCIONAL</c:v>
                </c:pt>
                <c:pt idx="2">
                  <c:v>TÉCNICO</c:v>
                </c:pt>
                <c:pt idx="3">
                  <c:v>SOPORTE</c:v>
                </c:pt>
                <c:pt idx="4">
                  <c:v>DEFINICIÓN</c:v>
                </c:pt>
                <c:pt idx="5">
                  <c:v>REPROCESO</c:v>
                </c:pt>
                <c:pt idx="6">
                  <c:v>Pte Clasificar</c:v>
                </c:pt>
              </c:strCache>
            </c:strRef>
          </c:cat>
          <c:val>
            <c:numRef>
              <c:f>Grafica_Estado!$N$5:$N$11</c:f>
              <c:numCache>
                <c:formatCode>General</c:formatCode>
                <c:ptCount val="7"/>
                <c:pt idx="0">
                  <c:v>91</c:v>
                </c:pt>
                <c:pt idx="1">
                  <c:v>3</c:v>
                </c:pt>
                <c:pt idx="2">
                  <c:v>72</c:v>
                </c:pt>
                <c:pt idx="3">
                  <c:v>318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Grafica_Estado!$O$5:$O$11</c15:f>
                <c15:dlblRangeCache>
                  <c:ptCount val="7"/>
                  <c:pt idx="0">
                    <c:v>91 (32 pre / 59 pro)</c:v>
                  </c:pt>
                  <c:pt idx="1">
                    <c:v>3 (1 pre / 2 pro)</c:v>
                  </c:pt>
                  <c:pt idx="2">
                    <c:v>72 (40 pre / 32 pro)</c:v>
                  </c:pt>
                  <c:pt idx="3">
                    <c:v>318 (29 pre / 289 pro)</c:v>
                  </c:pt>
                  <c:pt idx="4">
                    <c:v>9 (9 pre / 0 pro)</c:v>
                  </c:pt>
                  <c:pt idx="5">
                    <c:v>1 (0 pre / 1 pro)</c:v>
                  </c:pt>
                  <c:pt idx="6">
                    <c:v>1 (1 pre / 0 pro)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12B-49FF-BB54-F87878BC2D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696519</xdr:colOff>
      <xdr:row>73</xdr:row>
      <xdr:rowOff>176190</xdr:rowOff>
    </xdr:from>
    <xdr:to>
      <xdr:col>19</xdr:col>
      <xdr:colOff>739588</xdr:colOff>
      <xdr:row>113</xdr:row>
      <xdr:rowOff>22412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259BB3A-F89F-F805-1A42-15700A631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12701</xdr:colOff>
      <xdr:row>41</xdr:row>
      <xdr:rowOff>30479</xdr:rowOff>
    </xdr:from>
    <xdr:to>
      <xdr:col>21</xdr:col>
      <xdr:colOff>386080</xdr:colOff>
      <xdr:row>69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B9E9CD-F596-40C9-AA41-4E049C7D4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698499</xdr:colOff>
      <xdr:row>29</xdr:row>
      <xdr:rowOff>20863</xdr:rowOff>
    </xdr:from>
    <xdr:to>
      <xdr:col>37</xdr:col>
      <xdr:colOff>718910</xdr:colOff>
      <xdr:row>62</xdr:row>
      <xdr:rowOff>11339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3CD295-F2BC-8A0E-C6EE-E38BDAB27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380999</xdr:colOff>
      <xdr:row>11</xdr:row>
      <xdr:rowOff>101598</xdr:rowOff>
    </xdr:from>
    <xdr:to>
      <xdr:col>46</xdr:col>
      <xdr:colOff>111124</xdr:colOff>
      <xdr:row>46</xdr:row>
      <xdr:rowOff>173354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3F3AAFD-874B-9E8B-BF60-ECBD7089B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</xdr:colOff>
      <xdr:row>11</xdr:row>
      <xdr:rowOff>133350</xdr:rowOff>
    </xdr:from>
    <xdr:to>
      <xdr:col>13</xdr:col>
      <xdr:colOff>333375</xdr:colOff>
      <xdr:row>40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FB46C6-F8C1-A7F1-FE2D-5987EAF0F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eno Gomez Roso Maria Teresa Angel" refreshedDate="45959.720542939816" createdVersion="8" refreshedVersion="8" minRefreshableVersion="3" recordCount="490" xr:uid="{65F18D4F-1332-487E-9532-D2306A0CC643}">
  <cacheSource type="worksheet">
    <worksheetSource ref="A1:Z491" sheet="Datos"/>
  </cacheSource>
  <cacheFields count="26">
    <cacheField name="Clave" numFmtId="0">
      <sharedItems/>
    </cacheField>
    <cacheField name="Resumen" numFmtId="0">
      <sharedItems/>
    </cacheField>
    <cacheField name="Componentes" numFmtId="0">
      <sharedItems/>
    </cacheField>
    <cacheField name="Creada" numFmtId="0">
      <sharedItems containsSemiMixedTypes="0" containsNonDate="0" containsDate="1" containsString="0" minDate="2024-02-05T15:37:07" maxDate="2025-10-28T14:59:54"/>
    </cacheField>
    <cacheField name="Resuelta" numFmtId="0">
      <sharedItems containsSemiMixedTypes="0" containsNonDate="0" containsDate="1" containsString="0" minDate="2025-01-07T13:36:15" maxDate="9999-12-31T10:41:41"/>
    </cacheField>
    <cacheField name="Opción 1" numFmtId="0">
      <sharedItems/>
    </cacheField>
    <cacheField name="Opción 2" numFmtId="0">
      <sharedItems/>
    </cacheField>
    <cacheField name="Opción 3" numFmtId="0">
      <sharedItems/>
    </cacheField>
    <cacheField name="Equipo" numFmtId="0">
      <sharedItems/>
    </cacheField>
    <cacheField name="Prioridad" numFmtId="0">
      <sharedItems/>
    </cacheField>
    <cacheField name="Estado" numFmtId="0">
      <sharedItems/>
    </cacheField>
    <cacheField name="Sprint" numFmtId="0">
      <sharedItems/>
    </cacheField>
    <cacheField name="Informador" numFmtId="0">
      <sharedItems/>
    </cacheField>
    <cacheField name="Tipologia" numFmtId="0">
      <sharedItems count="8">
        <s v="TÉCNICO"/>
        <s v="DESARROLLO"/>
        <s v="SOPORTE"/>
        <s v="DEFINICIÓN"/>
        <s v="FUNCIONAL"/>
        <s v="REPROCESO"/>
        <s v=""/>
        <s v="Selecciona (SOPORTE/DEFINICIÓN/FUNCIONAL/TÉCNICO/DESARROLLO)"/>
      </sharedItems>
    </cacheField>
    <cacheField name="Fecha_apertura" numFmtId="22">
      <sharedItems containsSemiMixedTypes="0" containsNonDate="0" containsDate="1" containsString="0" minDate="2024-02-05T15:37:07" maxDate="2025-10-28T14:59:54"/>
    </cacheField>
    <cacheField name="Fecha_cierre" numFmtId="22">
      <sharedItems containsSemiMixedTypes="0" containsNonDate="0" containsDate="1" containsString="0" minDate="2025-01-07T13:36:15" maxDate="9999-12-31T10:41:41"/>
    </cacheField>
    <cacheField name="Categoria" numFmtId="0">
      <sharedItems/>
    </cacheField>
    <cacheField name="Semana del año apertura" numFmtId="0">
      <sharedItems containsSemiMixedTypes="0" containsString="0" containsNumber="1" containsInteger="1" minValue="2" maxValue="53"/>
    </cacheField>
    <cacheField name="Primer dia de la semana apertura" numFmtId="14">
      <sharedItems containsSemiMixedTypes="0" containsNonDate="0" containsDate="1" containsString="0" minDate="2024-02-05T00:00:00" maxDate="2025-10-28T00:00:00"/>
    </cacheField>
    <cacheField name="Semana de cierre" numFmtId="0">
      <sharedItems containsSemiMixedTypes="0" containsString="0" containsNumber="1" containsInteger="1" minValue="2" maxValue="53"/>
    </cacheField>
    <cacheField name="Primer dia de la semana de cierre" numFmtId="14">
      <sharedItems containsSemiMixedTypes="0" containsDate="1" containsString="0" containsMixedTypes="1" minDate="2025-01-06T00:00:00" maxDate="1900-01-06T03:11:05"/>
    </cacheField>
    <cacheField name="diferencia" numFmtId="0">
      <sharedItems containsSemiMixedTypes="0" containsString="0" containsNumber="1" minValue="1.4248032384784892E-3" maxValue="2912668"/>
    </cacheField>
    <cacheField name="Año APERTIRA" numFmtId="0">
      <sharedItems containsSemiMixedTypes="0" containsString="0" containsNumber="1" containsInteger="1" minValue="2024" maxValue="2025"/>
    </cacheField>
    <cacheField name="Año cierre" numFmtId="0">
      <sharedItems containsSemiMixedTypes="0" containsString="0" containsNumber="1" containsInteger="1" minValue="2025" maxValue="9999"/>
    </cacheField>
    <cacheField name="Mes_Apertura" numFmtId="0">
      <sharedItems count="19">
        <s v="2024-02"/>
        <s v="2024-03"/>
        <s v="2024-04"/>
        <s v="2024-05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</sharedItems>
    </cacheField>
    <cacheField name="Mes Cierre" numFmtId="0">
      <sharedItems count="11">
        <s v="2025-01"/>
        <s v="2025-06"/>
        <s v="2025-03"/>
        <s v="2025-02"/>
        <s v="2025-04"/>
        <s v="2025-08"/>
        <s v="2025-05"/>
        <s v="2025-07"/>
        <e v="#VALUE!"/>
        <s v="2025-09"/>
        <s v="2025-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eno Gomez Roso Maria Teresa Angel" refreshedDate="45959.720544212963" createdVersion="8" refreshedVersion="8" minRefreshableVersion="3" recordCount="491" xr:uid="{BD5D7BCC-969E-4786-9606-0FF4EF80A946}">
  <cacheSource type="worksheet">
    <worksheetSource ref="N1:X500" sheet="Datos"/>
  </cacheSource>
  <cacheFields count="11">
    <cacheField name="Tipologia" numFmtId="0">
      <sharedItems containsBlank="1"/>
    </cacheField>
    <cacheField name="Fecha_apertura" numFmtId="0">
      <sharedItems containsNonDate="0" containsDate="1" containsString="0" containsBlank="1" minDate="2024-02-05T15:37:07" maxDate="2025-10-28T14:59:54"/>
    </cacheField>
    <cacheField name="Fecha_cierre" numFmtId="0">
      <sharedItems containsNonDate="0" containsDate="1" containsString="0" containsBlank="1" minDate="2025-01-07T13:36:15" maxDate="9999-12-31T10:41:41"/>
    </cacheField>
    <cacheField name="Categoria" numFmtId="0">
      <sharedItems containsBlank="1" count="5">
        <s v="Interno"/>
        <s v="Externo"/>
        <s v="Pendiente clasificar"/>
        <m/>
        <s v="" u="1"/>
      </sharedItems>
    </cacheField>
    <cacheField name="Semana del año apertura" numFmtId="0">
      <sharedItems containsString="0" containsBlank="1" containsNumber="1" containsInteger="1" minValue="2" maxValue="53"/>
    </cacheField>
    <cacheField name="Primer dia de la semana apertura" numFmtId="14">
      <sharedItems containsNonDate="0" containsDate="1" containsString="0" containsBlank="1" minDate="2024-02-05T00:00:00" maxDate="2025-10-28T00:00:00" count="61">
        <d v="2024-02-05T00:00:00"/>
        <d v="2024-02-19T00:00:00"/>
        <d v="2024-03-04T00:00:00"/>
        <d v="2024-04-08T00:00:00"/>
        <d v="2024-04-22T00:00:00"/>
        <d v="2024-05-27T00:00:00"/>
        <d v="2024-08-19T00:00:00"/>
        <d v="2024-09-16T00:00:00"/>
        <d v="2024-09-23T00:00:00"/>
        <d v="2024-10-14T00:00:00"/>
        <d v="2024-11-04T00:00:00"/>
        <d v="2024-11-18T00:00:00"/>
        <d v="2024-11-25T00:00:00"/>
        <d v="2024-12-02T00:00:00"/>
        <d v="2024-12-09T00:00:00"/>
        <d v="2024-12-16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  <d v="2025-09-15T00:00:00"/>
        <d v="2025-09-22T00:00:00"/>
        <d v="2025-09-29T00:00:00"/>
        <d v="2025-10-06T00:00:00"/>
        <d v="2025-10-13T00:00:00"/>
        <d v="2025-10-20T00:00:00"/>
        <d v="2025-10-27T00:00:00"/>
        <m/>
      </sharedItems>
    </cacheField>
    <cacheField name="Semana de cierre" numFmtId="0">
      <sharedItems containsString="0" containsBlank="1" containsNumber="1" containsInteger="1" minValue="2" maxValue="53"/>
    </cacheField>
    <cacheField name="Primer dia de la semana de cierre" numFmtId="14">
      <sharedItems containsDate="1" containsString="0" containsBlank="1" containsMixedTypes="1" minDate="2024-12-30T00:00:00" maxDate="2024-12-31T00:00:00" count="46">
        <d v="2025-01-13T00:00:00"/>
        <d v="2025-06-30T00:00:00"/>
        <d v="2025-01-20T00:00:00"/>
        <d v="2025-01-27T00:00:00"/>
        <d v="2025-01-06T00:00:00"/>
        <d v="2025-06-16T00:00:00"/>
        <d v="2025-06-23T00:00:00"/>
        <d v="2025-03-03T00:00:00"/>
        <d v="2025-03-17T00:00:00"/>
        <d v="2025-02-17T00:00:00"/>
        <d v="2025-02-03T00:00:00"/>
        <d v="2025-04-07T00:00:00"/>
        <d v="2025-02-10T00:00:00"/>
        <d v="2025-02-24T00:00:00"/>
        <d v="2025-03-10T00:00:00"/>
        <d v="2025-03-24T00:00:00"/>
        <d v="2025-03-31T00:00:00"/>
        <d v="2025-08-25T00:00:00"/>
        <d v="2025-05-05T00:00:00"/>
        <d v="2025-04-21T00:00:00"/>
        <d v="2025-07-21T00:00:00"/>
        <d v="2025-04-14T00:00:00"/>
        <d v="2025-04-28T00:00:00"/>
        <d v="2025-05-19T00:00:00"/>
        <d v="2025-05-26T00:00:00"/>
        <d v="2025-05-12T00:00:00"/>
        <n v="2958468"/>
        <d v="2025-09-15T00:00:00"/>
        <d v="2025-06-09T00:00:00"/>
        <d v="2025-06-02T00:00:00"/>
        <d v="2025-07-14T00:00:00"/>
        <d v="2025-10-27T00:00:00"/>
        <d v="2025-07-07T00:00:00"/>
        <d v="2025-08-04T00:00:00"/>
        <d v="2025-07-28T00:00:00"/>
        <d v="2025-09-01T00:00:00"/>
        <d v="2025-08-11T00:00:00"/>
        <d v="2025-09-29T00:00:00"/>
        <d v="2025-08-18T00:00:00"/>
        <d v="2025-09-22T00:00:00"/>
        <d v="2025-09-08T00:00:00"/>
        <d v="2025-10-13T00:00:00"/>
        <d v="2025-10-06T00:00:00"/>
        <d v="2025-10-20T00:00:00"/>
        <m/>
        <d v="2024-12-30T00:00:00" u="1"/>
      </sharedItems>
    </cacheField>
    <cacheField name="diferencia" numFmtId="0">
      <sharedItems containsString="0" containsBlank="1" containsNumber="1" minValue="1.4248032384784892E-3" maxValue="2912668"/>
    </cacheField>
    <cacheField name="Año APERTIRA" numFmtId="0">
      <sharedItems containsString="0" containsBlank="1" containsNumber="1" containsInteger="1" minValue="2024" maxValue="2025"/>
    </cacheField>
    <cacheField name="Año cierre" numFmtId="0">
      <sharedItems containsString="0" containsBlank="1" containsNumber="1" containsInteger="1" minValue="2025" maxValue="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eno Gomez Roso Maria Teresa Angel" refreshedDate="45964.5390625" createdVersion="8" refreshedVersion="8" minRefreshableVersion="3" recordCount="496" xr:uid="{2DAA5F60-600D-49E4-8A6B-8CBA65A9D850}">
  <cacheSource type="worksheet">
    <worksheetSource ref="A1:Z497" sheet="Datos"/>
  </cacheSource>
  <cacheFields count="26">
    <cacheField name="Clave" numFmtId="0">
      <sharedItems/>
    </cacheField>
    <cacheField name="Resumen" numFmtId="0">
      <sharedItems/>
    </cacheField>
    <cacheField name="Componentes" numFmtId="0">
      <sharedItems/>
    </cacheField>
    <cacheField name="Creada" numFmtId="0">
      <sharedItems containsSemiMixedTypes="0" containsNonDate="0" containsDate="1" containsString="0" minDate="2024-02-05T15:37:07" maxDate="2025-11-03T10:29:50"/>
    </cacheField>
    <cacheField name="Resuelta" numFmtId="0">
      <sharedItems containsDate="1" containsMixedTypes="1" minDate="2025-01-07T13:36:15" maxDate="2025-11-03T10:26:30"/>
    </cacheField>
    <cacheField name="Opción 1" numFmtId="0">
      <sharedItems/>
    </cacheField>
    <cacheField name="Opción 2" numFmtId="0">
      <sharedItems/>
    </cacheField>
    <cacheField name="Opción 3" numFmtId="0">
      <sharedItems/>
    </cacheField>
    <cacheField name="Equipo" numFmtId="0">
      <sharedItems/>
    </cacheField>
    <cacheField name="Prioridad" numFmtId="0">
      <sharedItems/>
    </cacheField>
    <cacheField name="Estado" numFmtId="0">
      <sharedItems/>
    </cacheField>
    <cacheField name="Sprint" numFmtId="0">
      <sharedItems/>
    </cacheField>
    <cacheField name="Entorno" numFmtId="0">
      <sharedItems count="6">
        <s v="PRE"/>
        <s v="PRO"/>
        <s v=""/>
        <s v="DEV;PRE"/>
        <s v="DEV"/>
        <s v="PRE;PRO"/>
      </sharedItems>
    </cacheField>
    <cacheField name="Tipologia" numFmtId="0">
      <sharedItems count="8">
        <s v="TÉCNICO"/>
        <s v="DESARROLLO"/>
        <s v="SOPORTE"/>
        <s v="DEFINICIÓN"/>
        <s v="FUNCIONAL"/>
        <s v="REPROCESO"/>
        <s v=""/>
        <s v="Selecciona (SOPORTE/DEFINICIÓN/FUNCIONAL/TÉCNICO/DESARROLLO)"/>
      </sharedItems>
    </cacheField>
    <cacheField name="Fecha_apertura" numFmtId="22">
      <sharedItems containsSemiMixedTypes="0" containsNonDate="0" containsDate="1" containsString="0" minDate="2024-02-05T15:37:07" maxDate="2025-11-03T10:29:50"/>
    </cacheField>
    <cacheField name="Fecha_cierre" numFmtId="22">
      <sharedItems containsDate="1" containsMixedTypes="1" minDate="2025-01-07T13:36:15" maxDate="2025-11-03T10:26:30"/>
    </cacheField>
    <cacheField name="Categoria" numFmtId="0">
      <sharedItems/>
    </cacheField>
    <cacheField name="Semana del año apertura" numFmtId="0">
      <sharedItems containsSemiMixedTypes="0" containsString="0" containsNumber="1" containsInteger="1" minValue="2" maxValue="53"/>
    </cacheField>
    <cacheField name="Primer dia de la semana apertura" numFmtId="14">
      <sharedItems containsSemiMixedTypes="0" containsNonDate="0" containsDate="1" containsString="0" minDate="2024-02-05T00:00:00" maxDate="2025-11-04T00:00:00"/>
    </cacheField>
    <cacheField name="Semana de cierre" numFmtId="0">
      <sharedItems containsMixedTypes="1" containsNumber="1" containsInteger="1" minValue="2" maxValue="45"/>
    </cacheField>
    <cacheField name="Primer dia de la semana de cierre" numFmtId="14">
      <sharedItems containsDate="1" containsMixedTypes="1" minDate="2025-01-06T00:00:00" maxDate="2025-11-04T00:00:00"/>
    </cacheField>
    <cacheField name="diferencia" numFmtId="0">
      <sharedItems containsMixedTypes="1" containsNumber="1" minValue="1.4248032384784892E-3" maxValue="496.71420730324462"/>
    </cacheField>
    <cacheField name="Año APERTIRA" numFmtId="0">
      <sharedItems containsSemiMixedTypes="0" containsString="0" containsNumber="1" containsInteger="1" minValue="2024" maxValue="2025"/>
    </cacheField>
    <cacheField name="Año cierre" numFmtId="0">
      <sharedItems containsMixedTypes="1" containsNumber="1" containsInteger="1" minValue="2025" maxValue="2025"/>
    </cacheField>
    <cacheField name="Mes_Apertura" numFmtId="0">
      <sharedItems/>
    </cacheField>
    <cacheField name="Mes Cier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0">
  <r>
    <s v="ESPC360-5150"/>
    <s v="[PRE] [KS] Fallo de  ks-java-50061915-dgos-avro-gs en PRE"/>
    <s v=""/>
    <d v="2024-02-05T15:37:07"/>
    <d v="2025-01-17T09:53:58"/>
    <s v="OPERACIONAL"/>
    <s v="TÉCNICO"/>
    <s v=""/>
    <s v="C360_Team_Mtto"/>
    <s v="Medium"/>
    <s v="CANCELADO"/>
    <s v=""/>
    <s v="Automation for Jira"/>
    <x v="0"/>
    <d v="2024-02-05T15:37:07"/>
    <d v="2025-01-17T09:53:58"/>
    <s v="Interno"/>
    <n v="6"/>
    <d v="2024-02-05T00:00:00"/>
    <n v="3"/>
    <d v="2025-01-13T00:00:00"/>
    <n v="346.76169511573971"/>
    <n v="2024"/>
    <n v="2025"/>
    <x v="0"/>
    <x v="0"/>
  </r>
  <r>
    <s v="ESPC360-5701"/>
    <s v="[PRE] [KStream] Error tests unitarios PC en accounts-movs-avro-gs"/>
    <s v=""/>
    <d v="2024-02-19T17:14:37"/>
    <d v="2025-06-30T10:23:05"/>
    <s v="OPERACIONAL"/>
    <s v="TÉCNICO"/>
    <s v=""/>
    <s v="C360_Team_Mtto"/>
    <s v="Medium"/>
    <s v="CANCELADO"/>
    <s v=""/>
    <s v="Automation for Jira"/>
    <x v="0"/>
    <d v="2024-02-19T17:14:37"/>
    <d v="2025-06-30T10:23:05"/>
    <s v="Interno"/>
    <n v="8"/>
    <d v="2024-02-19T00:00:00"/>
    <n v="27"/>
    <d v="2025-06-30T00:00:00"/>
    <n v="496.71420730324462"/>
    <n v="2024"/>
    <n v="2025"/>
    <x v="0"/>
    <x v="1"/>
  </r>
  <r>
    <s v="ESPC360-6192"/>
    <s v="[AVRO] Movimientos Cuentas - Construcción errónea del IdMov"/>
    <s v="Movimientos Cuentas"/>
    <d v="2024-03-08T07:55:27"/>
    <d v="2025-01-22T09:14:11"/>
    <s v="OPERACIONAL"/>
    <s v="DESARROLLO"/>
    <s v=""/>
    <s v="C360_Operacional_Team_Hero"/>
    <s v="Medium"/>
    <s v="CERRADO"/>
    <s v="C360_Operacional_Sprint 172"/>
    <s v="Automation for Jira"/>
    <x v="1"/>
    <d v="2024-03-08T07:55:27"/>
    <d v="2025-01-22T09:14:11"/>
    <s v="Interno"/>
    <n v="10"/>
    <d v="2024-03-04T00:00:00"/>
    <n v="4"/>
    <d v="2025-01-20T00:00:00"/>
    <n v="320.05466725693987"/>
    <n v="2024"/>
    <n v="2025"/>
    <x v="1"/>
    <x v="0"/>
  </r>
  <r>
    <s v="ESPC360-6934"/>
    <s v="[Swagger] - Componentes que no han subido en sprint 173"/>
    <s v=""/>
    <d v="2024-04-12T14:26:49"/>
    <d v="2025-01-16T09:57:39"/>
    <s v="OPERACIONAL"/>
    <s v="TÉCNICO"/>
    <s v=""/>
    <s v=""/>
    <s v="Medium"/>
    <s v="CERRADO"/>
    <s v=""/>
    <s v="MIGUEL ANGEL BARRAGAN CARBONELL"/>
    <x v="0"/>
    <d v="2024-04-12T14:26:49"/>
    <d v="2025-01-16T09:57:39"/>
    <s v="Interno"/>
    <n v="15"/>
    <d v="2024-04-08T00:00:00"/>
    <n v="3"/>
    <d v="2025-01-13T00:00:00"/>
    <n v="278.81307679398014"/>
    <n v="2024"/>
    <n v="2025"/>
    <x v="2"/>
    <x v="0"/>
  </r>
  <r>
    <s v="ESPC360-7230"/>
    <s v="[PRE] Error Broken pipe en micro s-java-50059982-card-contracts"/>
    <s v=""/>
    <d v="2024-04-23T16:32:19"/>
    <d v="2025-01-31T13:13:33"/>
    <s v="OPERACIONAL"/>
    <s v="TÉCNICO"/>
    <s v=""/>
    <s v="C360_Team_Mtto"/>
    <s v="Medium"/>
    <s v="CANCELADO"/>
    <s v="C360_Operacional_Sprint 175;C360_Operacional_Sprint 176"/>
    <s v="MIGUEL ANGEL BARRAGAN CARBONELL"/>
    <x v="0"/>
    <d v="2024-04-23T16:32:19"/>
    <d v="2025-01-31T13:13:33"/>
    <s v="Interno"/>
    <n v="17"/>
    <d v="2024-04-22T00:00:00"/>
    <n v="5"/>
    <d v="2025-01-27T00:00:00"/>
    <n v="282.86196151620243"/>
    <n v="2024"/>
    <n v="2025"/>
    <x v="2"/>
    <x v="0"/>
  </r>
  <r>
    <s v="ESPC360-8113"/>
    <s v="[DEV] Null pointer exception en GPI-Avro"/>
    <s v=""/>
    <d v="2024-05-28T10:28:24"/>
    <d v="2025-01-17T10:49:05"/>
    <s v="OPERACIONAL"/>
    <s v="DESARROLLO"/>
    <s v=""/>
    <s v="C360_Team_Mtto"/>
    <s v="Medium"/>
    <s v="CERRADO"/>
    <s v=""/>
    <s v="Automation for Jira"/>
    <x v="1"/>
    <d v="2024-05-28T10:28:24"/>
    <d v="2025-01-17T10:49:05"/>
    <s v="Interno"/>
    <n v="22"/>
    <d v="2024-05-27T00:00:00"/>
    <n v="3"/>
    <d v="2025-01-13T00:00:00"/>
    <n v="234.01436315972387"/>
    <n v="2024"/>
    <n v="2025"/>
    <x v="3"/>
    <x v="0"/>
  </r>
  <r>
    <s v="ESPC360-11020"/>
    <s v="[Batch] [Tarjetas] Solucionar actualización del nombre de beneficiario al actualizar solo la pers_fisica y juridica"/>
    <s v="Tarjetas"/>
    <d v="2024-08-22T12:46:37"/>
    <d v="2025-01-07T16:01:30"/>
    <s v="OPERACIONAL"/>
    <s v="SOPORTE"/>
    <s v=""/>
    <s v=""/>
    <s v="Medium"/>
    <s v="CANCELADO"/>
    <s v=""/>
    <s v="Automation for Jira"/>
    <x v="2"/>
    <d v="2024-08-22T12:46:37"/>
    <d v="2025-01-07T16:01:30"/>
    <s v="Externo"/>
    <n v="34"/>
    <d v="2024-08-19T00:00:00"/>
    <n v="2"/>
    <d v="2025-01-06T00:00:00"/>
    <n v="138.13532729166764"/>
    <n v="2024"/>
    <n v="2025"/>
    <x v="4"/>
    <x v="0"/>
  </r>
  <r>
    <s v="ESPC360-11527"/>
    <s v="[PRE] [Accounts Movements] [KStream] - Error en la generación del idMov con microsegundos a 0"/>
    <s v="Movimientos Cuentas"/>
    <d v="2024-09-19T00:24:19"/>
    <d v="2025-01-22T09:14:11"/>
    <s v="OPERACIONAL"/>
    <s v="DESARROLLO"/>
    <s v=""/>
    <s v="C360_Operacional_Team_Hero"/>
    <s v="Medium"/>
    <s v="CERRADO"/>
    <s v="C360_Operacional_Sprint 186"/>
    <s v="Automation for Jira"/>
    <x v="1"/>
    <d v="2024-09-19T00:24:19"/>
    <d v="2025-01-22T09:14:11"/>
    <s v="Interno"/>
    <n v="38"/>
    <d v="2024-09-16T00:00:00"/>
    <n v="4"/>
    <d v="2025-01-20T00:00:00"/>
    <n v="125.36796297453839"/>
    <n v="2024"/>
    <n v="2025"/>
    <x v="5"/>
    <x v="0"/>
  </r>
  <r>
    <s v="ESPC360-11687"/>
    <s v="La función batch DATE_TO_LONG realiza conversión a UTC"/>
    <s v=""/>
    <d v="2024-09-19T12:18:46"/>
    <d v="2025-06-19T09:18:00"/>
    <s v="OPERACIONAL"/>
    <s v="TÉCNICO"/>
    <s v=""/>
    <s v=""/>
    <s v="Medium"/>
    <s v="CERRADO"/>
    <s v=""/>
    <s v="Automation for Jira"/>
    <x v="0"/>
    <d v="2024-09-19T12:18:46"/>
    <d v="2025-06-19T09:18:00"/>
    <s v="Interno"/>
    <n v="38"/>
    <d v="2024-09-16T00:00:00"/>
    <n v="25"/>
    <d v="2025-06-16T00:00:00"/>
    <n v="272.87447269675613"/>
    <n v="2024"/>
    <n v="2025"/>
    <x v="5"/>
    <x v="1"/>
  </r>
  <r>
    <s v="ESPC360-11832"/>
    <s v="[PRO] [Fondos] INC046770445 - Denuncian dos fondos del cliente con descripción errónea."/>
    <s v="Fondos"/>
    <d v="2024-09-26T15:07:09"/>
    <d v="2025-01-16T10:06:20"/>
    <s v="OPERACIONAL"/>
    <s v="SOPORTE"/>
    <s v=""/>
    <s v="C360_Team_Mtto"/>
    <s v="Medium"/>
    <s v="CERRADO"/>
    <s v=""/>
    <s v="BORJA CORTIJO LAJARA"/>
    <x v="2"/>
    <d v="2024-09-26T15:07:09"/>
    <d v="2025-01-16T10:06:20"/>
    <s v="Externo"/>
    <n v="39"/>
    <d v="2024-09-23T00:00:00"/>
    <n v="3"/>
    <d v="2025-01-13T00:00:00"/>
    <n v="111.79109862268524"/>
    <n v="2024"/>
    <n v="2025"/>
    <x v="5"/>
    <x v="0"/>
  </r>
  <r>
    <s v="ESPC360-12380"/>
    <s v="[PRO] [Tarjetas] La carga batch de tarjetas debe cargar una cuenta asociada"/>
    <s v=""/>
    <d v="2024-10-16T15:17:22"/>
    <d v="2025-01-29T13:40:06"/>
    <s v="OPERACIONAL"/>
    <s v="DESARROLLO"/>
    <s v=""/>
    <s v="C360_Team_Mtto"/>
    <s v="Medium"/>
    <s v="CERRADO"/>
    <s v=""/>
    <s v="Automation for Jira"/>
    <x v="1"/>
    <d v="2024-10-16T15:17:22"/>
    <d v="2025-01-29T13:40:06"/>
    <s v="Interno"/>
    <n v="42"/>
    <d v="2024-10-14T00:00:00"/>
    <n v="5"/>
    <d v="2025-01-27T00:00:00"/>
    <n v="104.93245473379648"/>
    <n v="2024"/>
    <n v="2025"/>
    <x v="6"/>
    <x v="0"/>
  </r>
  <r>
    <s v="ESPC360-13013"/>
    <s v="[ACCOUNTS - PRE] Errores detectados con la actualización a Darwin 4.3.3"/>
    <s v="Cuentas"/>
    <d v="2024-11-06T21:53:00"/>
    <d v="2025-01-17T09:02:58"/>
    <s v="OPERACIONAL"/>
    <s v="DESARROLLO"/>
    <s v=""/>
    <s v="C360_Operacional_Team_Hero"/>
    <s v="Medium"/>
    <s v="CERRADO"/>
    <s v="C360_Operacional_Sprint 189"/>
    <s v="MIGUEL ANGEL BARRAGAN CARBONELL"/>
    <x v="1"/>
    <d v="2024-11-06T21:53:00"/>
    <d v="2025-01-17T09:02:58"/>
    <s v="Interno"/>
    <n v="45"/>
    <d v="2024-11-04T00:00:00"/>
    <n v="3"/>
    <d v="2025-01-13T00:00:00"/>
    <n v="71.465246967592975"/>
    <n v="2024"/>
    <n v="2025"/>
    <x v="7"/>
    <x v="0"/>
  </r>
  <r>
    <s v="ESPC360-13392"/>
    <s v="[ACCOUNTS - PRE] Errores detectados en el swagger de accounts con la actualización a Darwin 4.3.3"/>
    <s v=""/>
    <d v="2024-11-20T11:27:17"/>
    <d v="2025-01-17T09:02:58"/>
    <s v="OPERACIONAL"/>
    <s v="TÉCNICO"/>
    <s v=""/>
    <s v="C360_Operacional_Team_Hero"/>
    <s v="Highest"/>
    <s v="CERRADO"/>
    <s v="C360_Operacional_Sprint 190"/>
    <s v="MIGUEL ANGEL BARRAGAN CARBONELL"/>
    <x v="0"/>
    <d v="2024-11-20T11:27:17"/>
    <d v="2025-01-17T09:02:58"/>
    <s v="Interno"/>
    <n v="47"/>
    <d v="2024-11-18T00:00:00"/>
    <n v="3"/>
    <d v="2025-01-13T00:00:00"/>
    <n v="57.899773622688372"/>
    <n v="2024"/>
    <n v="2025"/>
    <x v="7"/>
    <x v="0"/>
  </r>
  <r>
    <s v="ESPC360-13531"/>
    <s v="[PRO] [Mov. Cuentas] INC048649441 - Error 500 movimientos cuentas"/>
    <s v="Movimientos Cuentas"/>
    <d v="2024-11-25T17:41:10"/>
    <d v="2025-01-30T10:25:56"/>
    <s v="OPERACIONAL"/>
    <s v="DESARROLLO"/>
    <s v=""/>
    <s v="C360_Team_Mtto"/>
    <s v="Medium"/>
    <s v="CERRADO"/>
    <s v=""/>
    <s v="Automation for Jira"/>
    <x v="1"/>
    <d v="2024-11-25T17:41:10"/>
    <d v="2025-01-30T10:25:56"/>
    <s v="Interno"/>
    <n v="48"/>
    <d v="2024-11-25T00:00:00"/>
    <n v="5"/>
    <d v="2025-01-27T00:00:00"/>
    <n v="65.697754270833684"/>
    <n v="2024"/>
    <n v="2025"/>
    <x v="7"/>
    <x v="0"/>
  </r>
  <r>
    <s v="ESPC360-13558"/>
    <s v="[PRO] [PMP] INC048843528 - Marca PMP no se muestra D+1 desde contratación"/>
    <s v=""/>
    <d v="2024-11-28T09:38:38"/>
    <d v="2025-01-08T10:25:39"/>
    <s v="OPERACIONAL"/>
    <s v="DESARROLLO"/>
    <s v=""/>
    <s v="C360_Team_Mtto"/>
    <s v="Medium"/>
    <s v="CERRADO"/>
    <s v=""/>
    <s v="Automation for Jira"/>
    <x v="1"/>
    <d v="2024-11-28T09:38:38"/>
    <d v="2025-01-08T10:25:39"/>
    <s v="Interno"/>
    <n v="48"/>
    <d v="2024-11-25T00:00:00"/>
    <n v="2"/>
    <d v="2025-01-06T00:00:00"/>
    <n v="41.032652291665727"/>
    <n v="2024"/>
    <n v="2025"/>
    <x v="7"/>
    <x v="0"/>
  </r>
  <r>
    <s v="ESPC360-13787"/>
    <s v="[PRO] [Mov. Cuentas] INC048917883 - No funcionan filtros de movimientos en cuentas"/>
    <s v="Cuentas"/>
    <d v="2024-11-29T14:16:12"/>
    <d v="2025-06-27T10:31:32"/>
    <s v="OPERACIONAL"/>
    <s v="TÉCNICO"/>
    <s v=""/>
    <s v="C360_Team_Mtto"/>
    <s v="Medium"/>
    <s v="CANCELADO"/>
    <s v=""/>
    <s v="BORJA CORTIJO LAJARA"/>
    <x v="0"/>
    <d v="2024-11-29T14:16:12"/>
    <d v="2025-06-27T10:31:32"/>
    <s v="Interno"/>
    <n v="48"/>
    <d v="2024-11-25T00:00:00"/>
    <n v="26"/>
    <d v="2025-06-23T00:00:00"/>
    <n v="209.84398101851548"/>
    <n v="2024"/>
    <n v="2025"/>
    <x v="7"/>
    <x v="1"/>
  </r>
  <r>
    <s v="ESPC360-13853"/>
    <s v="[PRO] [Renting] Contratos alfanumericos no actualzian el GSI"/>
    <s v="Renting"/>
    <d v="2024-12-05T13:01:43"/>
    <d v="2025-01-17T09:02:31"/>
    <s v="OPERACIONAL"/>
    <s v="DESARROLLO"/>
    <s v=""/>
    <s v="C360_Team_Mtto"/>
    <s v="Medium"/>
    <s v="CERRADO"/>
    <s v=""/>
    <s v="JESUS VICENTE SALAMANCA"/>
    <x v="1"/>
    <d v="2024-12-05T13:01:43"/>
    <d v="2025-01-17T09:02:31"/>
    <s v="Interno"/>
    <n v="49"/>
    <d v="2024-12-02T00:00:00"/>
    <n v="3"/>
    <d v="2025-01-13T00:00:00"/>
    <n v="42.833895289353677"/>
    <n v="2024"/>
    <n v="2025"/>
    <x v="8"/>
    <x v="0"/>
  </r>
  <r>
    <s v="ESPC360-13890"/>
    <s v="[Santander GO - Users CMC] Búsqueda y Filtros en la obtención de los usuarios de un CMC"/>
    <s v=""/>
    <d v="2024-12-09T16:54:35"/>
    <d v="2025-01-17T09:03:23"/>
    <s v="OPERACIONAL"/>
    <s v="DESARROLLO"/>
    <s v=""/>
    <s v="C360_Operacional_Team_2"/>
    <s v="Highest"/>
    <s v="CERRADO"/>
    <s v="C360_Operacional_Sprint 191"/>
    <s v="Automation for Jira"/>
    <x v="1"/>
    <d v="2024-12-09T16:54:35"/>
    <d v="2025-01-17T09:03:23"/>
    <s v="Interno"/>
    <n v="50"/>
    <d v="2024-12-09T00:00:00"/>
    <n v="3"/>
    <d v="2025-01-13T00:00:00"/>
    <n v="38.672779375003302"/>
    <n v="2024"/>
    <n v="2025"/>
    <x v="8"/>
    <x v="0"/>
  </r>
  <r>
    <s v="ESPC360-14102"/>
    <s v="[PRO] [Planes Pensiones] INC049562301 - Error en planes de pensiones"/>
    <s v="Planes de Pensiones"/>
    <d v="2024-12-18T12:54:46"/>
    <d v="2025-01-07T14:17:05"/>
    <s v="OPERACIONAL"/>
    <s v="DESARROLLO"/>
    <s v=""/>
    <s v="C360_Team_Mtto"/>
    <s v="Medium"/>
    <s v="CERRADO"/>
    <s v=""/>
    <s v="Automation for Jira"/>
    <x v="1"/>
    <d v="2024-12-18T12:54:46"/>
    <d v="2025-01-07T14:17:05"/>
    <s v="Interno"/>
    <n v="51"/>
    <d v="2024-12-16T00:00:00"/>
    <n v="2"/>
    <d v="2025-01-06T00:00:00"/>
    <n v="20.057156782408128"/>
    <n v="2024"/>
    <n v="2025"/>
    <x v="8"/>
    <x v="0"/>
  </r>
  <r>
    <s v="ESPC360-14147"/>
    <s v="[PRO] [Confidencialidad] INC049392464 - Se ven contratos de depósitos que no se filtran por confidencialidad"/>
    <s v="Confidencialidad;Depósitos"/>
    <d v="2024-12-20T14:22:08"/>
    <d v="2025-01-07T13:36:15"/>
    <s v="OPERACIONAL"/>
    <s v="SOPORTE"/>
    <s v=""/>
    <s v="C360_Team_Mtto"/>
    <s v="Medium"/>
    <s v="CERRADO"/>
    <s v=""/>
    <s v="BORJA CORTIJO LAJARA"/>
    <x v="2"/>
    <d v="2024-12-20T14:22:08"/>
    <d v="2025-01-07T13:36:15"/>
    <s v="Externo"/>
    <n v="51"/>
    <d v="2024-12-16T00:00:00"/>
    <n v="2"/>
    <d v="2025-01-06T00:00:00"/>
    <n v="17.968137152776762"/>
    <n v="2024"/>
    <n v="2025"/>
    <x v="8"/>
    <x v="0"/>
  </r>
  <r>
    <s v="ESPC360-14170"/>
    <s v="[PRO] [Seguros] INC049893945 - No aparece la prima en ADN360"/>
    <s v="Seguros"/>
    <d v="2024-12-31T09:55:33"/>
    <d v="2025-01-14T10:23:27"/>
    <s v="OPERACIONAL"/>
    <s v="SOPORTE"/>
    <s v=""/>
    <s v="C360_Team_Mtto"/>
    <s v="Medium"/>
    <s v="CERRADO"/>
    <s v=""/>
    <s v="BORJA CORTIJO LAJARA"/>
    <x v="2"/>
    <d v="2024-12-31T09:55:33"/>
    <d v="2025-01-14T10:23:27"/>
    <s v="Externo"/>
    <n v="53"/>
    <d v="2024-12-30T00:00:00"/>
    <n v="3"/>
    <d v="2025-01-13T00:00:00"/>
    <n v="14.019374548610358"/>
    <n v="2024"/>
    <n v="2025"/>
    <x v="8"/>
    <x v="0"/>
  </r>
  <r>
    <s v="ESPC360-14171"/>
    <s v="[PRO] [FRONT] INC049918076 - Al imprimir PG del cliente no se exportan en PDF todos los contratos"/>
    <s v="Front ADN360"/>
    <d v="2024-12-31T12:00:14"/>
    <d v="2025-01-08T10:40:59"/>
    <s v="OPERACIONAL"/>
    <s v="SOPORTE"/>
    <s v=""/>
    <s v="C360_Team_Mtto"/>
    <s v="Medium"/>
    <s v="CERRADO"/>
    <s v=""/>
    <s v="BORJA CORTIJO LAJARA"/>
    <x v="2"/>
    <d v="2024-12-31T12:00:14"/>
    <d v="2025-01-08T10:40:59"/>
    <s v="Externo"/>
    <n v="53"/>
    <d v="2024-12-30T00:00:00"/>
    <n v="2"/>
    <d v="2025-01-06T00:00:00"/>
    <n v="7.9449663310224423"/>
    <n v="2024"/>
    <n v="2025"/>
    <x v="8"/>
    <x v="0"/>
  </r>
  <r>
    <s v="ESPC360-14328"/>
    <s v="[PRO] [Planes Pensiones] Error en planes de pensiones al no existir rentabilidades"/>
    <s v=""/>
    <d v="2025-01-07T14:09:59"/>
    <d v="2025-01-14T10:23:56"/>
    <s v="OPERACIONAL"/>
    <s v="DESARROLLO"/>
    <s v=""/>
    <s v=""/>
    <s v="Medium"/>
    <s v="CANCELADO"/>
    <s v=""/>
    <s v="Automation for Jira"/>
    <x v="1"/>
    <d v="2025-01-07T14:09:59"/>
    <d v="2025-01-14T10:23:56"/>
    <s v="Interno"/>
    <n v="2"/>
    <d v="2025-01-06T00:00:00"/>
    <n v="3"/>
    <d v="2025-01-13T00:00:00"/>
    <n v="6.8430214814870851"/>
    <n v="2025"/>
    <n v="2025"/>
    <x v="9"/>
    <x v="0"/>
  </r>
  <r>
    <s v="ESPC360-14346"/>
    <s v="[PRO] [Cuentas]  INCXXXX - ejemplo descripcion"/>
    <s v=""/>
    <d v="2025-01-09T12:32:59"/>
    <d v="2025-01-09T12:42:39"/>
    <s v="OPERACIONAL"/>
    <s v="DESARROLLO"/>
    <s v=""/>
    <s v="C360_Team_Mtto"/>
    <s v="Medium"/>
    <s v="CANCELADO"/>
    <s v=""/>
    <s v="Automation for Jira"/>
    <x v="1"/>
    <d v="2025-01-09T12:32:59"/>
    <d v="2025-01-09T12:42:39"/>
    <s v="Interno"/>
    <n v="2"/>
    <d v="2025-01-06T00:00:00"/>
    <n v="2"/>
    <d v="2025-01-06T00:00:00"/>
    <n v="6.7173726856708527E-3"/>
    <n v="2025"/>
    <n v="2025"/>
    <x v="9"/>
    <x v="0"/>
  </r>
  <r>
    <s v="ESPC360-14415"/>
    <s v="[PRO]  [Dock Station] INC050200140 - Problemas con la dockstation"/>
    <s v=""/>
    <d v="2025-01-10T09:05:18"/>
    <d v="2025-01-10T09:12:33"/>
    <s v="OPERACIONAL"/>
    <s v="SOPORTE"/>
    <s v=""/>
    <s v="C360_Team_Mtto"/>
    <s v="Medium"/>
    <s v="CERRADO"/>
    <s v=""/>
    <s v="Automation for Jira"/>
    <x v="2"/>
    <d v="2025-01-10T09:05:18"/>
    <d v="2025-01-10T09:12:33"/>
    <s v="Externo"/>
    <n v="2"/>
    <d v="2025-01-06T00:00:00"/>
    <n v="2"/>
    <d v="2025-01-06T00:00:00"/>
    <n v="5.0313425963395275E-3"/>
    <n v="2025"/>
    <n v="2025"/>
    <x v="9"/>
    <x v="0"/>
  </r>
  <r>
    <s v="ESPC360-14434"/>
    <s v="[PRO] [Cuentas] INC050189525 - no se ven los recibos b2b en el canal  y en el sico de la oficina si"/>
    <s v="Cuentas;Recibos"/>
    <d v="2025-01-13T15:57:45"/>
    <d v="2025-01-28T10:19:25"/>
    <s v="OPERACIONAL"/>
    <s v="SOPORTE"/>
    <s v=""/>
    <s v="C360_Team_Mtto"/>
    <s v="Medium"/>
    <s v="CERRADO"/>
    <s v=""/>
    <s v="Automation for Jira"/>
    <x v="2"/>
    <d v="2025-01-13T15:57:45"/>
    <d v="2025-01-28T10:19:25"/>
    <s v="Externo"/>
    <n v="3"/>
    <d v="2025-01-13T00:00:00"/>
    <n v="5"/>
    <d v="2025-01-27T00:00:00"/>
    <n v="14.765052256945637"/>
    <n v="2025"/>
    <n v="2025"/>
    <x v="9"/>
    <x v="0"/>
  </r>
  <r>
    <s v="ESPC360-14463"/>
    <s v="[PRO] [Creditos] INC050294916 - Empresa no ve su cuenta crédito"/>
    <s v="Créditos"/>
    <d v="2025-01-14T15:07:51"/>
    <d v="2025-01-21T12:50:59"/>
    <s v="OPERACIONAL"/>
    <s v="SOPORTE"/>
    <s v=""/>
    <s v="C360_Team_Mtto"/>
    <s v="Medium"/>
    <s v="CERRADO"/>
    <s v=""/>
    <s v="BORJA CORTIJO LAJARA"/>
    <x v="2"/>
    <d v="2025-01-14T15:07:51"/>
    <d v="2025-01-21T12:50:59"/>
    <s v="Externo"/>
    <n v="3"/>
    <d v="2025-01-13T00:00:00"/>
    <n v="4"/>
    <d v="2025-01-20T00:00:00"/>
    <n v="6.9049569444396184"/>
    <n v="2025"/>
    <n v="2025"/>
    <x v="9"/>
    <x v="0"/>
  </r>
  <r>
    <s v="ESPC360-14464"/>
    <s v="[PRO] [Valores] INC050336446 - no muestra correctamente la rentabilidad"/>
    <s v="Valores"/>
    <d v="2025-01-14T16:04:17"/>
    <d v="2025-01-17T09:16:14"/>
    <s v="OPERACIONAL"/>
    <s v="SOPORTE"/>
    <s v=""/>
    <s v="C360_Team_Mtto"/>
    <s v="Medium"/>
    <s v="CERRADO"/>
    <s v=""/>
    <s v="Automation for Jira"/>
    <x v="2"/>
    <d v="2025-01-14T16:04:17"/>
    <d v="2025-01-17T09:16:14"/>
    <s v="Externo"/>
    <n v="3"/>
    <d v="2025-01-13T00:00:00"/>
    <n v="3"/>
    <d v="2025-01-13T00:00:00"/>
    <n v="2.7166265277774073"/>
    <n v="2025"/>
    <n v="2025"/>
    <x v="9"/>
    <x v="0"/>
  </r>
  <r>
    <s v="ESPC360-14465"/>
    <s v="[PRE] [Cuentas] Error 403 forbidden al consultar cuentas"/>
    <s v=""/>
    <d v="2025-01-14T16:09:24"/>
    <d v="2025-01-14T17:31:54"/>
    <s v="OPERACIONAL"/>
    <s v="SOPORTE"/>
    <s v=""/>
    <s v=""/>
    <s v="Medium"/>
    <s v="CERRADO"/>
    <s v=""/>
    <s v="BORJA CORTIJO LAJARA"/>
    <x v="2"/>
    <d v="2025-01-14T16:09:24"/>
    <d v="2025-01-14T17:31:54"/>
    <s v="Externo"/>
    <n v="3"/>
    <d v="2025-01-13T00:00:00"/>
    <n v="3"/>
    <d v="2025-01-13T00:00:00"/>
    <n v="5.7294803242257331E-2"/>
    <n v="2025"/>
    <n v="2025"/>
    <x v="9"/>
    <x v="0"/>
  </r>
  <r>
    <s v="ESPC360-14466"/>
    <s v="[PRO] [Mov. Cuentas] INC050337181- No aparecen movimientos y consultas de mas de 20s"/>
    <s v="Cuentas;Movimientos Cuentas"/>
    <d v="2025-01-15T08:55:53"/>
    <d v="2025-06-27T10:31:00"/>
    <s v="OPERACIONAL"/>
    <s v="TÉCNICO"/>
    <s v=""/>
    <s v="C360_Team_Mtto"/>
    <s v="Medium"/>
    <s v="CANCELADO"/>
    <s v=""/>
    <s v="BORJA CORTIJO LAJARA"/>
    <x v="0"/>
    <d v="2025-01-15T08:55:53"/>
    <d v="2025-06-27T10:31:00"/>
    <s v="Interno"/>
    <n v="3"/>
    <d v="2025-01-13T00:00:00"/>
    <n v="26"/>
    <d v="2025-06-23T00:00:00"/>
    <n v="163.0660514814881"/>
    <n v="2025"/>
    <n v="2025"/>
    <x v="9"/>
    <x v="1"/>
  </r>
  <r>
    <s v="ESPC360-14467"/>
    <s v="[PRO] [Cuentas] INC050367771 - contrato partenón con numeración distinta"/>
    <s v=""/>
    <d v="2025-01-15T10:10:56"/>
    <d v="2025-01-17T09:20:18"/>
    <s v="OPERACIONAL"/>
    <s v="DESARROLLO"/>
    <s v=""/>
    <s v="C360_Team_Mtto"/>
    <s v="Medium"/>
    <s v="CERRADO"/>
    <s v=""/>
    <s v="Automation for Jira"/>
    <x v="1"/>
    <d v="2025-01-15T10:10:56"/>
    <d v="2025-01-17T09:20:18"/>
    <s v="Interno"/>
    <n v="3"/>
    <d v="2025-01-13T00:00:00"/>
    <n v="3"/>
    <d v="2025-01-13T00:00:00"/>
    <n v="1.9648327430550125"/>
    <n v="2025"/>
    <n v="2025"/>
    <x v="9"/>
    <x v="0"/>
  </r>
  <r>
    <s v="ESPC360-14482"/>
    <s v="[PRO] [Cuentas] INC050340970 - error 500 al llamar al micro de /accouts/compact"/>
    <s v="Cuentas"/>
    <d v="2025-01-15T11:31:38"/>
    <d v="2025-01-17T09:11:31"/>
    <s v="OPERACIONAL"/>
    <s v="SOPORTE"/>
    <s v=""/>
    <s v="C360_Team_Mtto"/>
    <s v="Medium"/>
    <s v="CERRADO"/>
    <s v=""/>
    <s v="Automation for Jira"/>
    <x v="2"/>
    <d v="2025-01-15T11:31:38"/>
    <d v="2025-01-17T09:11:31"/>
    <s v="Externo"/>
    <n v="3"/>
    <d v="2025-01-13T00:00:00"/>
    <n v="3"/>
    <d v="2025-01-13T00:00:00"/>
    <n v="1.902703576386557"/>
    <n v="2025"/>
    <n v="2025"/>
    <x v="9"/>
    <x v="0"/>
  </r>
  <r>
    <s v="ESPC360-14500"/>
    <s v="[PRE] [Confidencialidad] INC050408143 - Error Forbidden al recuperar los detalles de una cuenta"/>
    <s v="Confidencialidad"/>
    <d v="2025-01-16T10:01:19"/>
    <d v="2025-01-17T09:12:27"/>
    <s v="OPERACIONAL"/>
    <s v="SOPORTE"/>
    <s v=""/>
    <s v=""/>
    <s v="Medium"/>
    <s v="CERRADO"/>
    <s v=""/>
    <s v="Automation for Jira"/>
    <x v="2"/>
    <d v="2025-01-16T10:01:19"/>
    <d v="2025-01-17T09:12:27"/>
    <s v="Externo"/>
    <n v="3"/>
    <d v="2025-01-13T00:00:00"/>
    <n v="3"/>
    <d v="2025-01-13T00:00:00"/>
    <n v="0.96606079860794125"/>
    <n v="2025"/>
    <n v="2025"/>
    <x v="9"/>
    <x v="0"/>
  </r>
  <r>
    <s v="ESPC360-14503"/>
    <s v="[PRO] [Tarjetas] nuevo job update-cuentas-asociadas en bb-scla-50061915-cards"/>
    <s v=""/>
    <d v="2025-01-16T10:42:34"/>
    <d v="2025-07-02T10:35:22"/>
    <s v="OPERACIONAL"/>
    <s v="DESARROLLO"/>
    <s v=""/>
    <s v="C360_Team_Mtto"/>
    <s v="Medium"/>
    <s v="CANCELADO"/>
    <s v=""/>
    <s v="Arturo Ruiz Simon"/>
    <x v="1"/>
    <d v="2025-01-16T10:42:34"/>
    <d v="2025-07-02T10:35:22"/>
    <s v="Interno"/>
    <n v="3"/>
    <d v="2025-01-13T00:00:00"/>
    <n v="27"/>
    <d v="2025-06-30T00:00:00"/>
    <n v="166.99500155092392"/>
    <n v="2025"/>
    <n v="2025"/>
    <x v="9"/>
    <x v="1"/>
  </r>
  <r>
    <s v="ESPC360-14766"/>
    <s v="[PRO] [Tarjetas] INC050425769 -  CONTRATO TARJETA FIRMADO no se ve"/>
    <s v="Tarjetas"/>
    <d v="2025-01-17T09:47:12"/>
    <d v="2025-01-23T10:26:04"/>
    <s v="OPERACIONAL"/>
    <s v="SOPORTE"/>
    <s v=""/>
    <s v="C360_Team_Mtto"/>
    <s v="Medium"/>
    <s v="CERRADO"/>
    <s v=""/>
    <s v="Automation for Jira"/>
    <x v="2"/>
    <d v="2025-01-17T09:47:12"/>
    <d v="2025-01-23T10:26:04"/>
    <s v="Externo"/>
    <n v="3"/>
    <d v="2025-01-13T00:00:00"/>
    <n v="4"/>
    <d v="2025-01-20T00:00:00"/>
    <n v="6.026984525458829"/>
    <n v="2025"/>
    <n v="2025"/>
    <x v="9"/>
    <x v="0"/>
  </r>
  <r>
    <s v="ESPC360-14795"/>
    <s v="[PRO] [Seguros] INC050524831 - La póliza sale a cero en ADN"/>
    <s v="Seguros"/>
    <d v="2025-01-20T10:03:59"/>
    <d v="2025-01-21T11:16:08"/>
    <s v="OPERACIONAL"/>
    <s v="SOPORTE"/>
    <s v=""/>
    <s v="C360_Team_Mtto"/>
    <s v="Medium"/>
    <s v="CERRADO"/>
    <s v=""/>
    <s v="BORJA CORTIJO LAJARA"/>
    <x v="2"/>
    <d v="2025-01-20T10:03:59"/>
    <d v="2025-01-21T11:16:08"/>
    <s v="Externo"/>
    <n v="4"/>
    <d v="2025-01-20T00:00:00"/>
    <n v="4"/>
    <d v="2025-01-20T00:00:00"/>
    <n v="1.0501110185141442"/>
    <n v="2025"/>
    <n v="2025"/>
    <x v="9"/>
    <x v="0"/>
  </r>
  <r>
    <s v="ESPC360-14798"/>
    <s v="[PRO] [Valores] el proceso  carga-valores-valor-emision está mal planificado en la migración a Databricks"/>
    <s v=""/>
    <d v="2025-01-20T11:09:12"/>
    <d v="2025-03-05T01:19:56"/>
    <s v="OPERACIONAL"/>
    <s v="TÉCNICO"/>
    <s v=""/>
    <s v="C360_Operacional_Team_1"/>
    <s v="Medium"/>
    <s v="CERRADO"/>
    <s v="C360_Operacional_Sprint 195"/>
    <s v="Automation for Jira"/>
    <x v="0"/>
    <d v="2025-01-20T11:09:12"/>
    <d v="2025-03-05T01:19:56"/>
    <s v="Interno"/>
    <n v="4"/>
    <d v="2025-01-20T00:00:00"/>
    <n v="10"/>
    <d v="2025-03-03T00:00:00"/>
    <n v="43.590795648146013"/>
    <n v="2025"/>
    <n v="2025"/>
    <x v="9"/>
    <x v="2"/>
  </r>
  <r>
    <s v="ESPC360-14816"/>
    <s v="[PRO] [Seguros] INC050567816 - Contrato debería estar dado de baja y aparece activo"/>
    <s v="Seguros"/>
    <d v="2025-01-21T12:47:07"/>
    <d v="2025-01-27T13:22:17"/>
    <s v="OPERACIONAL"/>
    <s v="SOPORTE"/>
    <s v=""/>
    <s v="C360_Team_Mtto"/>
    <s v="Medium"/>
    <s v="CERRADO"/>
    <s v=""/>
    <s v="Automation for Jira"/>
    <x v="2"/>
    <d v="2025-01-21T12:47:07"/>
    <d v="2025-01-27T13:22:17"/>
    <s v="Externo"/>
    <n v="4"/>
    <d v="2025-01-20T00:00:00"/>
    <n v="5"/>
    <d v="2025-01-27T00:00:00"/>
    <n v="6.0244201504610828"/>
    <n v="2025"/>
    <n v="2025"/>
    <x v="9"/>
    <x v="0"/>
  </r>
  <r>
    <s v="ESPC360-14817"/>
    <s v="[PRO][Seguros] INC050568621 - Cliente no ve contrato dado de alta"/>
    <s v="Seguros"/>
    <d v="2025-01-21T13:03:58"/>
    <d v="2025-01-23T10:40:07"/>
    <s v="OPERACIONAL"/>
    <s v="SOPORTE"/>
    <s v=""/>
    <s v="C360_Team_Mtto"/>
    <s v="Medium"/>
    <s v="CERRADO"/>
    <s v=""/>
    <s v="Automation for Jira"/>
    <x v="2"/>
    <d v="2025-01-21T13:03:58"/>
    <d v="2025-01-23T10:40:07"/>
    <s v="Externo"/>
    <n v="4"/>
    <d v="2025-01-20T00:00:00"/>
    <n v="4"/>
    <d v="2025-01-20T00:00:00"/>
    <n v="1.9001030092622386"/>
    <n v="2025"/>
    <n v="2025"/>
    <x v="9"/>
    <x v="0"/>
  </r>
  <r>
    <s v="ESPC360-14864"/>
    <s v="[PRE] [PMP] INC050609464 - No aparece póliza pmp"/>
    <s v="Póliza Multiproducto (PMP)"/>
    <d v="2025-01-22T17:52:08"/>
    <d v="2025-01-27T12:28:27"/>
    <s v="OPERACIONAL"/>
    <s v="SOPORTE"/>
    <s v=""/>
    <s v="C360_Team_Mtto"/>
    <s v="Medium"/>
    <s v="CERRADO"/>
    <s v=""/>
    <s v="BORJA CORTIJO LAJARA"/>
    <x v="2"/>
    <d v="2025-01-22T17:52:08"/>
    <d v="2025-01-27T12:28:27"/>
    <s v="Externo"/>
    <n v="4"/>
    <d v="2025-01-20T00:00:00"/>
    <n v="5"/>
    <d v="2025-01-27T00:00:00"/>
    <n v="4.775229178245354"/>
    <n v="2025"/>
    <n v="2025"/>
    <x v="9"/>
    <x v="0"/>
  </r>
  <r>
    <s v="ESPC360-14873"/>
    <s v="[Databricks] Corregir fallo en los procesos TTL con test-script"/>
    <s v=""/>
    <d v="2025-01-23T08:16:20"/>
    <d v="2025-03-19T14:34:11"/>
    <s v="OPERACIONAL"/>
    <s v="TÉCNICO"/>
    <s v=""/>
    <s v="C360_Operacional_Team_2"/>
    <s v="Medium"/>
    <s v="CERRADO"/>
    <s v="C360_Operacional_Sprint 196"/>
    <s v="Automation for Jira"/>
    <x v="0"/>
    <d v="2025-01-23T08:16:20"/>
    <d v="2025-03-19T14:34:11"/>
    <s v="Interno"/>
    <n v="4"/>
    <d v="2025-01-20T00:00:00"/>
    <n v="12"/>
    <d v="2025-03-17T00:00:00"/>
    <n v="55.262393946759403"/>
    <n v="2025"/>
    <n v="2025"/>
    <x v="9"/>
    <x v="2"/>
  </r>
  <r>
    <s v="ESPC360-14874"/>
    <s v="[PRE] [Carteras Gestionadas] INC050567501 - Error al obtener carteras gestionadas cuando gravity esta activado"/>
    <s v="Carteras Gestionadas"/>
    <d v="2025-01-23T09:37:19"/>
    <d v="2025-02-20T09:41:51"/>
    <s v="OPERACIONAL"/>
    <s v="SOPORTE"/>
    <s v=""/>
    <s v="C360_Team_Mtto"/>
    <s v="Medium"/>
    <s v="CERRADO"/>
    <s v=""/>
    <s v="BORJA CORTIJO LAJARA"/>
    <x v="2"/>
    <d v="2025-01-23T09:37:19"/>
    <d v="2025-02-20T09:41:51"/>
    <s v="Externo"/>
    <n v="4"/>
    <d v="2025-01-20T00:00:00"/>
    <n v="8"/>
    <d v="2025-02-17T00:00:00"/>
    <n v="28.003138530097203"/>
    <n v="2025"/>
    <n v="2025"/>
    <x v="9"/>
    <x v="3"/>
  </r>
  <r>
    <s v="ESPC360-14880"/>
    <s v="[PRO] [Fondos] INC050599939 - El cliente no ve el detalle de fondos en NWE"/>
    <s v="Fondos"/>
    <d v="2025-01-23T10:15:39"/>
    <d v="2025-03-17T11:34:52"/>
    <s v="OPERACIONAL"/>
    <s v="SOPORTE"/>
    <s v=""/>
    <s v="C360_Team_Mtto"/>
    <s v="Medium"/>
    <s v="CERRADO"/>
    <s v=""/>
    <s v="BORJA CORTIJO LAJARA"/>
    <x v="2"/>
    <d v="2025-01-23T10:15:39"/>
    <d v="2025-03-17T11:34:52"/>
    <s v="Externo"/>
    <n v="4"/>
    <d v="2025-01-20T00:00:00"/>
    <n v="12"/>
    <d v="2025-03-17T00:00:00"/>
    <n v="53.055010428237438"/>
    <n v="2025"/>
    <n v="2025"/>
    <x v="9"/>
    <x v="2"/>
  </r>
  <r>
    <s v="ESPC360-14885"/>
    <s v="[PRO]  Se debe modificar la configuración de los logs para poder ver los logs funcionales en kibana"/>
    <s v="Cuentas;Fondos;Tarjetas"/>
    <d v="2025-01-23T12:08:37"/>
    <d v="2025-02-05T08:47:29"/>
    <s v="OPERACIONAL"/>
    <s v="DESARROLLO"/>
    <s v=""/>
    <s v="C360_Team_Mtto"/>
    <s v="Medium"/>
    <s v="CERRADO"/>
    <s v=""/>
    <s v="Automation for Jira"/>
    <x v="1"/>
    <d v="2025-01-23T12:08:37"/>
    <d v="2025-02-05T08:47:29"/>
    <s v="Interno"/>
    <n v="4"/>
    <d v="2025-01-20T00:00:00"/>
    <n v="6"/>
    <d v="2025-02-03T00:00:00"/>
    <n v="12.860332719908911"/>
    <n v="2025"/>
    <n v="2025"/>
    <x v="9"/>
    <x v="3"/>
  </r>
  <r>
    <s v="ESPC360-14886"/>
    <s v="[FRONT] El front al levantar en local falla tirando de los servicios de dev"/>
    <s v="Front ADN360"/>
    <d v="2025-01-23T12:09:43"/>
    <d v="2025-01-24T11:29:33"/>
    <s v="OPERACIONAL"/>
    <s v="DESARROLLO"/>
    <s v=""/>
    <s v="C360_Team_Mtto"/>
    <s v="Medium"/>
    <s v="CERRADO"/>
    <s v=""/>
    <s v="Automation for Jira"/>
    <x v="1"/>
    <d v="2025-01-23T12:09:43"/>
    <d v="2025-01-24T11:29:33"/>
    <s v="Interno"/>
    <n v="4"/>
    <d v="2025-01-20T00:00:00"/>
    <n v="4"/>
    <d v="2025-01-20T00:00:00"/>
    <n v="0.9720973726871307"/>
    <n v="2025"/>
    <n v="2025"/>
    <x v="9"/>
    <x v="0"/>
  </r>
  <r>
    <s v="ESPC360-15019"/>
    <s v="[PRO] [Seguros] INC050749339- No aparece el seguro en la posición global"/>
    <s v="Seguros"/>
    <d v="2025-01-27T12:11:48"/>
    <d v="2025-01-27T13:25:54"/>
    <s v="OPERACIONAL"/>
    <s v="SOPORTE"/>
    <s v=""/>
    <s v="C360_Team_Mtto"/>
    <s v="Medium"/>
    <s v="CERRADO"/>
    <s v=""/>
    <s v="BORJA CORTIJO LAJARA"/>
    <x v="2"/>
    <d v="2025-01-27T12:11:48"/>
    <d v="2025-01-27T13:25:54"/>
    <s v="Externo"/>
    <n v="5"/>
    <d v="2025-01-27T00:00:00"/>
    <n v="5"/>
    <d v="2025-01-27T00:00:00"/>
    <n v="5.1458518522849772E-2"/>
    <n v="2025"/>
    <n v="2025"/>
    <x v="9"/>
    <x v="0"/>
  </r>
  <r>
    <s v="ESPC360-15055"/>
    <s v="[PRO] [Cuentas] INC050762442"/>
    <s v="Cuentas"/>
    <d v="2025-01-28T11:17:24"/>
    <d v="2025-01-29T15:59:34"/>
    <s v="OPERACIONAL"/>
    <s v="SOPORTE"/>
    <s v=""/>
    <s v="C360_Team_Mtto"/>
    <s v="Medium"/>
    <s v="CERRADO"/>
    <s v=""/>
    <s v="BORJA CORTIJO LAJARA"/>
    <x v="2"/>
    <d v="2025-01-28T11:17:24"/>
    <d v="2025-01-29T15:59:34"/>
    <s v="Externo"/>
    <n v="5"/>
    <d v="2025-01-27T00:00:00"/>
    <n v="5"/>
    <d v="2025-01-27T00:00:00"/>
    <n v="1.1959477083291858"/>
    <n v="2025"/>
    <n v="2025"/>
    <x v="9"/>
    <x v="0"/>
  </r>
  <r>
    <s v="ESPC360-15081"/>
    <s v="[PRO] [Seguros] INC050829728 - Cliente no ve sus seguros"/>
    <s v="Seguros"/>
    <d v="2025-01-29T15:54:30"/>
    <d v="2025-02-06T10:13:13"/>
    <s v="OPERACIONAL"/>
    <s v="SOPORTE"/>
    <s v=""/>
    <s v="C360_Team_Mtto"/>
    <s v="Medium"/>
    <s v="CERRADO"/>
    <s v=""/>
    <s v="Automation for Jira"/>
    <x v="2"/>
    <d v="2025-01-29T15:54:30"/>
    <d v="2025-02-06T10:13:13"/>
    <s v="Externo"/>
    <n v="5"/>
    <d v="2025-01-27T00:00:00"/>
    <n v="6"/>
    <d v="2025-02-03T00:00:00"/>
    <n v="7.7629956365781254"/>
    <n v="2025"/>
    <n v="2025"/>
    <x v="9"/>
    <x v="3"/>
  </r>
  <r>
    <s v="ESPC360-15085"/>
    <s v="[PRO] [Fondos] INC050791871 - Aparecen fondos que antes no aparecían en la posición del cliente"/>
    <s v="Fondos"/>
    <d v="2025-01-29T17:28:14"/>
    <d v="2025-02-06T09:48:48"/>
    <s v="OPERACIONAL"/>
    <s v="SOPORTE"/>
    <s v=""/>
    <s v="C360_Team_Mtto"/>
    <s v="Medium"/>
    <s v="CERRADO"/>
    <s v=""/>
    <s v="BORJA CORTIJO LAJARA"/>
    <x v="2"/>
    <d v="2025-01-29T17:28:14"/>
    <d v="2025-02-06T09:48:48"/>
    <s v="Externo"/>
    <n v="5"/>
    <d v="2025-01-27T00:00:00"/>
    <n v="6"/>
    <d v="2025-02-03T00:00:00"/>
    <n v="7.6809568055541604"/>
    <n v="2025"/>
    <n v="2025"/>
    <x v="9"/>
    <x v="3"/>
  </r>
  <r>
    <s v="ESPC360-15087"/>
    <s v="[PRE] Habilitar contador movimientos tarjetas Particulares para prepago"/>
    <s v=""/>
    <d v="2025-01-30T11:37:52"/>
    <d v="2025-03-05T01:19:56"/>
    <s v="OPERACIONAL"/>
    <s v="DESARROLLO"/>
    <s v=""/>
    <s v="C360_Operacional_Team_2"/>
    <s v="Medium"/>
    <s v="CERRADO"/>
    <s v="C360_Operacional_Sprint 195"/>
    <s v="Automation for Jira"/>
    <x v="1"/>
    <d v="2025-01-30T11:37:52"/>
    <d v="2025-03-05T01:19:56"/>
    <s v="Interno"/>
    <n v="5"/>
    <d v="2025-01-27T00:00:00"/>
    <n v="10"/>
    <d v="2025-03-03T00:00:00"/>
    <n v="33.570885682871449"/>
    <n v="2025"/>
    <n v="2025"/>
    <x v="9"/>
    <x v="2"/>
  </r>
  <r>
    <s v="ESPC360-15362"/>
    <s v="[PRO] [Cuentas] INC050873250 - No aparece una de las cuentas junto con el resto."/>
    <s v="Cuentas"/>
    <d v="2025-01-30T16:54:03"/>
    <d v="2025-01-30T17:07:02"/>
    <s v="OPERACIONAL"/>
    <s v="SOPORTE"/>
    <s v=""/>
    <s v="C360_Team_Mtto"/>
    <s v="Medium"/>
    <s v="CERRADO"/>
    <s v=""/>
    <s v="BORJA CORTIJO LAJARA"/>
    <x v="2"/>
    <d v="2025-01-30T16:54:03"/>
    <d v="2025-01-30T17:07:02"/>
    <s v="Externo"/>
    <n v="5"/>
    <d v="2025-01-27T00:00:00"/>
    <n v="5"/>
    <d v="2025-01-27T00:00:00"/>
    <n v="9.0228356493753381E-3"/>
    <n v="2025"/>
    <n v="2025"/>
    <x v="9"/>
    <x v="0"/>
  </r>
  <r>
    <s v="ESPC360-15407"/>
    <s v="[BUZON] [Préstamos] Cancelación Registral: prueba piloto 2 (Cris Villagrasa) - informzación sobre intervininentes dados de baja"/>
    <s v="Préstamos"/>
    <d v="2025-01-31T11:15:23"/>
    <d v="2025-01-31T12:07:04"/>
    <s v="OPERACIONAL"/>
    <s v="SOPORTE"/>
    <s v=""/>
    <s v=""/>
    <s v="Medium"/>
    <s v="CERRADO"/>
    <s v=""/>
    <s v="Automation for Jira"/>
    <x v="2"/>
    <d v="2025-01-31T11:15:23"/>
    <d v="2025-01-31T12:07:04"/>
    <s v="Externo"/>
    <n v="5"/>
    <d v="2025-01-27T00:00:00"/>
    <n v="5"/>
    <d v="2025-01-27T00:00:00"/>
    <n v="3.5891261570213828E-2"/>
    <n v="2025"/>
    <n v="2025"/>
    <x v="9"/>
    <x v="0"/>
  </r>
  <r>
    <s v="ESPC360-15438"/>
    <s v="[PRO] [Seguros] INC050990290 - La póliza aparece a 0 en ADN."/>
    <s v="Seguros"/>
    <d v="2025-02-04T09:13:02"/>
    <d v="2025-02-06T10:24:22"/>
    <s v="OPERACIONAL"/>
    <s v="SOPORTE"/>
    <s v=""/>
    <s v="C360_Team_Mtto"/>
    <s v="Medium"/>
    <s v="CERRADO"/>
    <s v=""/>
    <s v="Automation for Jira"/>
    <x v="2"/>
    <d v="2025-02-04T09:13:02"/>
    <d v="2025-02-06T10:24:22"/>
    <s v="Externo"/>
    <n v="6"/>
    <d v="2025-02-03T00:00:00"/>
    <n v="6"/>
    <d v="2025-02-03T00:00:00"/>
    <n v="2.04953081018175"/>
    <n v="2025"/>
    <n v="2025"/>
    <x v="10"/>
    <x v="3"/>
  </r>
  <r>
    <s v="ESPC360-15440"/>
    <s v="[PRO] [Seguros] INC050896200 - Seguro está en vigor, en ADN en las posiciones de seguros aparece a 0."/>
    <s v="Seguros"/>
    <d v="2025-02-04T09:52:14"/>
    <d v="2025-02-05T09:31:48"/>
    <s v="OPERACIONAL"/>
    <s v="SOPORTE"/>
    <s v=""/>
    <s v="C360_Team_Mtto"/>
    <s v="Medium"/>
    <s v="CERRADO"/>
    <s v=""/>
    <s v="BORJA CORTIJO LAJARA"/>
    <x v="2"/>
    <d v="2025-02-04T09:52:14"/>
    <d v="2025-02-05T09:31:48"/>
    <s v="Externo"/>
    <n v="6"/>
    <d v="2025-02-03T00:00:00"/>
    <n v="6"/>
    <d v="2025-02-03T00:00:00"/>
    <n v="0.98581575231219176"/>
    <n v="2025"/>
    <n v="2025"/>
    <x v="10"/>
    <x v="3"/>
  </r>
  <r>
    <s v="ESPC360-15442"/>
    <s v="[PRO] [Hipotecas] INC051015804 - Al acceder al detalle del préstamo 0049 6574 1030000090, da error"/>
    <s v="Hipotecas"/>
    <d v="2025-02-04T09:53:37"/>
    <d v="2025-02-20T09:12:00"/>
    <s v="OPERACIONAL"/>
    <s v="DESARROLLO"/>
    <s v=""/>
    <s v="C360_Team_Mtto"/>
    <s v="Medium"/>
    <s v="CERRADO"/>
    <s v=""/>
    <s v="Automation for Jira"/>
    <x v="1"/>
    <d v="2025-02-04T09:53:37"/>
    <d v="2025-02-20T09:12:00"/>
    <s v="Interno"/>
    <n v="6"/>
    <d v="2025-02-03T00:00:00"/>
    <n v="8"/>
    <d v="2025-02-17T00:00:00"/>
    <n v="15.971090023143915"/>
    <n v="2025"/>
    <n v="2025"/>
    <x v="10"/>
    <x v="3"/>
  </r>
  <r>
    <s v="ESPC360-15445"/>
    <s v="[PRO] [Cuentas] INC051024909 - No aparece una cuenta en NWE"/>
    <s v="Cuentas"/>
    <d v="2025-02-04T14:39:24"/>
    <d v="2025-02-20T09:38:08"/>
    <s v="OPERACIONAL"/>
    <s v="SOPORTE"/>
    <s v=""/>
    <s v="C360_Team_Mtto"/>
    <s v="Medium"/>
    <s v="CERRADO"/>
    <s v=""/>
    <s v="BORJA CORTIJO LAJARA"/>
    <x v="2"/>
    <d v="2025-02-04T14:39:24"/>
    <d v="2025-02-20T09:38:08"/>
    <s v="Externo"/>
    <n v="6"/>
    <d v="2025-02-03T00:00:00"/>
    <n v="8"/>
    <d v="2025-02-17T00:00:00"/>
    <n v="15.790781979165331"/>
    <n v="2025"/>
    <n v="2025"/>
    <x v="10"/>
    <x v="3"/>
  </r>
  <r>
    <s v="ESPC360-15451"/>
    <s v="[PRO] - Corrección de los identificadores de propuestas asociadas en préstamos"/>
    <s v=""/>
    <d v="2025-02-05T00:13:58"/>
    <d v="2025-03-05T01:19:56"/>
    <s v="OPERACIONAL"/>
    <s v="DESARROLLO"/>
    <s v=""/>
    <s v="C360_Operacional_Team_1"/>
    <s v="Medium"/>
    <s v="CERRADO"/>
    <s v="C360_Operacional_Sprint 196"/>
    <s v="Automation for Jira"/>
    <x v="1"/>
    <d v="2025-02-05T00:13:58"/>
    <d v="2025-03-05T01:19:56"/>
    <s v="Interno"/>
    <n v="6"/>
    <d v="2025-02-03T00:00:00"/>
    <n v="10"/>
    <d v="2025-03-03T00:00:00"/>
    <n v="28.045805208334059"/>
    <n v="2025"/>
    <n v="2025"/>
    <x v="10"/>
    <x v="2"/>
  </r>
  <r>
    <s v="ESPC360-15452"/>
    <s v="Ajustar la devolución de la rentabilidad histórica de valores en el front"/>
    <s v="Valores"/>
    <d v="2025-02-05T00:45:28"/>
    <d v="2025-02-20T09:12:00"/>
    <s v="OPERACIONAL"/>
    <s v="TÉCNICO"/>
    <s v=""/>
    <s v="C360_Team_Mtto"/>
    <s v="Medium"/>
    <s v="CERRADO"/>
    <s v=""/>
    <s v="Automation for Jira"/>
    <x v="0"/>
    <d v="2025-02-05T00:45:28"/>
    <d v="2025-02-20T09:12:00"/>
    <s v="Interno"/>
    <n v="6"/>
    <d v="2025-02-03T00:00:00"/>
    <n v="8"/>
    <d v="2025-02-17T00:00:00"/>
    <n v="15.351755300922378"/>
    <n v="2025"/>
    <n v="2025"/>
    <x v="10"/>
    <x v="3"/>
  </r>
  <r>
    <s v="ESPC360-15453"/>
    <s v="[PRO] Crear workflows para los jobs de contador de movimientos de personas"/>
    <s v=""/>
    <d v="2025-02-05T09:43:41"/>
    <d v="2025-03-19T14:34:10"/>
    <s v="OPERACIONAL"/>
    <s v="DESARROLLO"/>
    <s v=""/>
    <s v="C360_Operacional_Team_2"/>
    <s v="Medium"/>
    <s v="CERRADO"/>
    <s v="C360_Operacional_Sprint 196"/>
    <s v="Automation for Jira"/>
    <x v="1"/>
    <d v="2025-02-05T09:43:41"/>
    <d v="2025-03-19T14:34:10"/>
    <s v="Interno"/>
    <n v="6"/>
    <d v="2025-02-03T00:00:00"/>
    <n v="12"/>
    <d v="2025-03-17T00:00:00"/>
    <n v="42.201724282407667"/>
    <n v="2025"/>
    <n v="2025"/>
    <x v="10"/>
    <x v="2"/>
  </r>
  <r>
    <s v="ESPC360-15455"/>
    <s v="[PRO] [Seguros] INC051057453 - La póliza aparece a 0 en ADN."/>
    <s v="Seguros"/>
    <d v="2025-02-05T10:52:17"/>
    <d v="2025-02-06T10:14:13"/>
    <s v="OPERACIONAL"/>
    <s v="SOPORTE"/>
    <s v=""/>
    <s v="C360_Team_Mtto"/>
    <s v="Medium"/>
    <s v="CERRADO"/>
    <s v=""/>
    <s v="Arturo Ruiz Simon"/>
    <x v="2"/>
    <d v="2025-02-05T10:52:17"/>
    <d v="2025-02-06T10:14:13"/>
    <s v="Externo"/>
    <n v="6"/>
    <d v="2025-02-03T00:00:00"/>
    <n v="6"/>
    <d v="2025-02-03T00:00:00"/>
    <n v="0.9735635995384655"/>
    <n v="2025"/>
    <n v="2025"/>
    <x v="10"/>
    <x v="3"/>
  </r>
  <r>
    <s v="ESPC360-15460"/>
    <s v="[PRO] - Completar configuración del batch de santander-go"/>
    <s v=""/>
    <d v="2025-02-05T12:27:15"/>
    <d v="2025-04-09T12:34:18"/>
    <s v="OPERACIONAL"/>
    <s v="DESARROLLO"/>
    <s v=""/>
    <s v="C360_Operacional_Team_2"/>
    <s v="Medium"/>
    <s v="CERRADO"/>
    <s v="C360_Operacional_Sprint 197"/>
    <s v="Automation for Jira"/>
    <x v="1"/>
    <d v="2025-02-05T12:27:15"/>
    <d v="2025-04-09T12:34:18"/>
    <s v="Interno"/>
    <n v="6"/>
    <d v="2025-02-03T00:00:00"/>
    <n v="15"/>
    <d v="2025-04-07T00:00:00"/>
    <n v="63.004894421290373"/>
    <n v="2025"/>
    <n v="2025"/>
    <x v="10"/>
    <x v="4"/>
  </r>
  <r>
    <s v="ESPC360-15464"/>
    <s v="Corrección de los idPropuesta de propuestas asociadas"/>
    <s v=""/>
    <d v="2025-02-05T12:46:09"/>
    <d v="2025-03-19T14:34:10"/>
    <s v="OPERACIONAL"/>
    <s v="DESARROLLO"/>
    <s v=""/>
    <s v="C360_Operacional_Team_1"/>
    <s v="Medium"/>
    <s v="CERRADO"/>
    <s v="C360_Operacional_Sprint 196"/>
    <s v="Automation for Jira"/>
    <x v="1"/>
    <d v="2025-02-05T12:46:09"/>
    <d v="2025-03-19T14:34:10"/>
    <s v="Interno"/>
    <n v="6"/>
    <d v="2025-02-03T00:00:00"/>
    <n v="12"/>
    <d v="2025-03-17T00:00:00"/>
    <n v="42.075009583335486"/>
    <n v="2025"/>
    <n v="2025"/>
    <x v="10"/>
    <x v="2"/>
  </r>
  <r>
    <s v="ESPC360-15467"/>
    <s v="[PRO] [PFEs] INC051071394 - PFE dado de baja que sigue en ADN360"/>
    <s v="PFEs"/>
    <d v="2025-02-05T15:56:33"/>
    <d v="2025-02-17T10:47:10"/>
    <s v="OPERACIONAL"/>
    <s v="SOPORTE"/>
    <s v=""/>
    <s v="C360_Team_Mtto"/>
    <s v="Medium"/>
    <s v="CERRADO"/>
    <s v=""/>
    <s v="BORJA CORTIJO LAJARA"/>
    <x v="2"/>
    <d v="2025-02-05T15:56:33"/>
    <d v="2025-02-17T10:47:10"/>
    <s v="Externo"/>
    <n v="6"/>
    <d v="2025-02-03T00:00:00"/>
    <n v="8"/>
    <d v="2025-02-17T00:00:00"/>
    <n v="11.785148275463143"/>
    <n v="2025"/>
    <n v="2025"/>
    <x v="10"/>
    <x v="3"/>
  </r>
  <r>
    <s v="ESPC360-15488"/>
    <s v="[PRO] [Mov. Cuentas] INC051075419 - Diferencia entre la fecha operación del movimiento de ADN360 y otros aplicativos"/>
    <s v="Movimientos Cuentas"/>
    <d v="2025-02-06T13:12:29"/>
    <d v="2025-02-06T16:19:13"/>
    <s v="OPERACIONAL"/>
    <s v="SOPORTE"/>
    <s v=""/>
    <s v="C360_Team_Mtto"/>
    <s v="Medium"/>
    <s v="CERRADO"/>
    <s v=""/>
    <s v="BORJA CORTIJO LAJARA"/>
    <x v="2"/>
    <d v="2025-02-06T13:12:29"/>
    <d v="2025-02-06T16:19:13"/>
    <s v="Externo"/>
    <n v="6"/>
    <d v="2025-02-03T00:00:00"/>
    <n v="6"/>
    <d v="2025-02-03T00:00:00"/>
    <n v="0.12967614583612885"/>
    <n v="2025"/>
    <n v="2025"/>
    <x v="10"/>
    <x v="3"/>
  </r>
  <r>
    <s v="ESPC360-15650"/>
    <s v="[PRO] [Customers] - Alerta de cuerpo del mensaje null cuando devolvemos 403"/>
    <s v=""/>
    <d v="2025-02-10T12:30:56"/>
    <d v="2025-03-05T01:19:56"/>
    <s v="OPERACIONAL"/>
    <s v="DESARROLLO"/>
    <s v=""/>
    <s v="ADN_Team_Mtto"/>
    <s v="Medium"/>
    <s v="CERRADO"/>
    <s v=""/>
    <s v="BORJA CORTIJO LAJARA"/>
    <x v="1"/>
    <d v="2025-02-10T12:30:56"/>
    <d v="2025-03-05T01:19:56"/>
    <s v="Interno"/>
    <n v="7"/>
    <d v="2025-02-10T00:00:00"/>
    <n v="10"/>
    <d v="2025-03-03T00:00:00"/>
    <n v="22.534026215274935"/>
    <n v="2025"/>
    <n v="2025"/>
    <x v="10"/>
    <x v="2"/>
  </r>
  <r>
    <s v="ESPC360-15652"/>
    <s v="[PRO] [Tarjetas] Errores alertado debido a un 404"/>
    <s v="Tarjetas"/>
    <d v="2025-02-10T15:41:34"/>
    <d v="2025-03-05T01:19:56"/>
    <s v="OPERACIONAL"/>
    <s v="DESARROLLO"/>
    <s v=""/>
    <s v="C360_Team_Mtto"/>
    <s v="Medium"/>
    <s v="CERRADO"/>
    <s v=""/>
    <s v="Automation for Jira"/>
    <x v="1"/>
    <d v="2025-02-10T15:41:34"/>
    <d v="2025-03-05T01:19:56"/>
    <s v="Interno"/>
    <n v="7"/>
    <d v="2025-02-10T00:00:00"/>
    <n v="10"/>
    <d v="2025-03-03T00:00:00"/>
    <n v="22.401646666665329"/>
    <n v="2025"/>
    <n v="2025"/>
    <x v="10"/>
    <x v="2"/>
  </r>
  <r>
    <s v="ESPC360-15666"/>
    <s v="[PRO] [Mov. Cuentas]  Mejora en la query a mongo en caso de buscar por rango con el mismo dato"/>
    <s v=""/>
    <d v="2025-02-11T09:35:05"/>
    <d v="2025-03-05T01:20:21"/>
    <s v="OPERACIONAL"/>
    <s v="TÉCNICO"/>
    <s v=""/>
    <s v="C360_Team_Mtto"/>
    <s v="Medium"/>
    <s v="CERRADO"/>
    <s v=""/>
    <s v="Automation for Jira"/>
    <x v="0"/>
    <d v="2025-02-11T09:35:05"/>
    <d v="2025-03-05T01:20:21"/>
    <s v="Interno"/>
    <n v="7"/>
    <d v="2025-02-10T00:00:00"/>
    <n v="10"/>
    <d v="2025-03-03T00:00:00"/>
    <n v="21.656437951394764"/>
    <n v="2025"/>
    <n v="2025"/>
    <x v="10"/>
    <x v="2"/>
  </r>
  <r>
    <s v="ESPC360-15679"/>
    <s v="[PRO][Seguros] INC051249883 - Cliente no ve contrato dado de alta"/>
    <s v="Seguros"/>
    <d v="2025-02-11T10:27:16"/>
    <d v="2025-02-13T10:12:52"/>
    <s v="OPERACIONAL"/>
    <s v="SOPORTE"/>
    <s v=""/>
    <s v="C360_Team_Mtto"/>
    <s v="Medium"/>
    <s v="CERRADO"/>
    <s v=""/>
    <s v="Arturo Ruiz Simon"/>
    <x v="2"/>
    <d v="2025-02-11T10:27:16"/>
    <d v="2025-02-13T10:12:52"/>
    <s v="Externo"/>
    <n v="7"/>
    <d v="2025-02-10T00:00:00"/>
    <n v="7"/>
    <d v="2025-02-10T00:00:00"/>
    <n v="1.9899978819448734"/>
    <n v="2025"/>
    <n v="2025"/>
    <x v="10"/>
    <x v="3"/>
  </r>
  <r>
    <s v="ESPC360-15691"/>
    <s v="[PRO] [Fondos] INC051285409 - Contrato deberia estar cancelado lo mostramos como activo"/>
    <s v="Fondos"/>
    <d v="2025-02-11T15:45:13"/>
    <d v="2025-02-17T10:44:48"/>
    <s v="OPERACIONAL"/>
    <s v="SOPORTE"/>
    <s v=""/>
    <s v="C360_Team_Mtto"/>
    <s v="Medium"/>
    <s v="CERRADO"/>
    <s v=""/>
    <s v="Automation for Jira"/>
    <x v="2"/>
    <d v="2025-02-11T15:45:13"/>
    <d v="2025-02-17T10:44:48"/>
    <s v="Externo"/>
    <n v="7"/>
    <d v="2025-02-10T00:00:00"/>
    <n v="8"/>
    <d v="2025-02-17T00:00:00"/>
    <n v="5.791371793980943"/>
    <n v="2025"/>
    <n v="2025"/>
    <x v="10"/>
    <x v="3"/>
  </r>
  <r>
    <s v="ESPC360-15692"/>
    <s v="[PRO] [Mov. Cuentas] INC051277655 - Informan de conceptos incorrectamente categorizados"/>
    <s v="Movimientos Cuentas"/>
    <d v="2025-02-11T15:50:39"/>
    <d v="2025-02-20T09:34:13"/>
    <s v="OPERACIONAL"/>
    <s v="TÉCNICO"/>
    <s v=""/>
    <s v="C360_Team_Mtto"/>
    <s v="Medium"/>
    <s v="CERRADO"/>
    <s v=""/>
    <s v="BORJA CORTIJO LAJARA"/>
    <x v="0"/>
    <d v="2025-02-11T15:50:39"/>
    <d v="2025-02-20T09:34:13"/>
    <s v="Interno"/>
    <n v="7"/>
    <d v="2025-02-10T00:00:00"/>
    <n v="8"/>
    <d v="2025-02-17T00:00:00"/>
    <n v="8.7385851736107725"/>
    <n v="2025"/>
    <n v="2025"/>
    <x v="10"/>
    <x v="3"/>
  </r>
  <r>
    <s v="ESPC360-15698"/>
    <s v="[PRO] [Valores] INC051289141 - Error en rentabilidad"/>
    <s v="Fondos;Valores"/>
    <d v="2025-02-11T17:42:21"/>
    <d v="2025-02-17T10:43:37"/>
    <s v="OPERACIONAL"/>
    <s v="SOPORTE"/>
    <s v=""/>
    <s v="C360_Team_Mtto"/>
    <s v="Medium"/>
    <s v="CERRADO"/>
    <s v=""/>
    <s v="Automation for Jira"/>
    <x v="2"/>
    <d v="2025-02-11T17:42:21"/>
    <d v="2025-02-17T10:43:37"/>
    <s v="Externo"/>
    <n v="7"/>
    <d v="2025-02-10T00:00:00"/>
    <n v="8"/>
    <d v="2025-02-17T00:00:00"/>
    <n v="5.7092133101832587"/>
    <n v="2025"/>
    <n v="2025"/>
    <x v="10"/>
    <x v="3"/>
  </r>
  <r>
    <s v="ESPC360-15702"/>
    <s v="[PRO] [Planeta Seguros] INC051319567 - Contrato Cancelado sigue vigente en adn360"/>
    <s v="Planeta Seguros"/>
    <d v="2025-02-12T10:01:27"/>
    <d v="2025-02-18T08:59:43"/>
    <s v="OPERACIONAL"/>
    <s v="SOPORTE"/>
    <s v=""/>
    <s v="C360_Team_Mtto"/>
    <s v="Medium"/>
    <s v="CERRADO"/>
    <s v=""/>
    <s v="Automation for Jira"/>
    <x v="2"/>
    <d v="2025-02-12T10:01:27"/>
    <d v="2025-02-18T08:59:43"/>
    <s v="Externo"/>
    <n v="7"/>
    <d v="2025-02-10T00:00:00"/>
    <n v="8"/>
    <d v="2025-02-17T00:00:00"/>
    <n v="5.9571307407386485"/>
    <n v="2025"/>
    <n v="2025"/>
    <x v="10"/>
    <x v="3"/>
  </r>
  <r>
    <s v="ESPC360-15704"/>
    <s v="[PRO] [FRONT] En el detalle de un producto se debe mostrar error si no existe el contrato"/>
    <s v=""/>
    <d v="2025-02-12T10:51:50"/>
    <d v="2025-07-02T08:48:40"/>
    <s v="OPERACIONAL"/>
    <s v="TÉCNICO"/>
    <s v=""/>
    <s v="C360_Operacional_Team_1"/>
    <s v="Medium"/>
    <s v="CANCELADO"/>
    <s v=""/>
    <s v="Automation for Jira"/>
    <x v="0"/>
    <d v="2025-02-12T10:51:50"/>
    <d v="2025-07-02T08:48:40"/>
    <s v="Interno"/>
    <n v="7"/>
    <d v="2025-02-10T00:00:00"/>
    <n v="27"/>
    <d v="2025-06-30T00:00:00"/>
    <n v="139.91446945602365"/>
    <n v="2025"/>
    <n v="2025"/>
    <x v="10"/>
    <x v="1"/>
  </r>
  <r>
    <s v="ESPC360-15705"/>
    <s v="[PRO] [global-search] Se necesita modificar la clave de cache actual"/>
    <s v=""/>
    <d v="2025-02-12T11:16:38"/>
    <d v="2025-04-09T12:34:18"/>
    <s v="OPERACIONAL"/>
    <s v="TÉCNICO"/>
    <s v=""/>
    <s v="C360_Operacional_Team_2"/>
    <s v="Medium"/>
    <s v="CERRADO"/>
    <s v="C360_Operacional_Sprint 197"/>
    <s v="Automation for Jira"/>
    <x v="0"/>
    <d v="2025-02-12T11:16:38"/>
    <d v="2025-04-09T12:34:18"/>
    <s v="Interno"/>
    <n v="7"/>
    <d v="2025-02-10T00:00:00"/>
    <n v="15"/>
    <d v="2025-04-07T00:00:00"/>
    <n v="56.053934502313496"/>
    <n v="2025"/>
    <n v="2025"/>
    <x v="10"/>
    <x v="4"/>
  </r>
  <r>
    <s v="ESPC360-15706"/>
    <s v="[PRO] [Mov. Cuentas] INC051319057 - Indican que faltan movimientos desde CERTO"/>
    <s v="Movimientos Cuentas"/>
    <d v="2025-02-12T11:24:28"/>
    <d v="2025-03-05T01:20:21"/>
    <s v="OPERACIONAL"/>
    <s v="DESARROLLO"/>
    <s v=""/>
    <s v="C360_Team_Mtto"/>
    <s v="Medium"/>
    <s v="CERRADO"/>
    <s v=""/>
    <s v="BORJA CORTIJO LAJARA"/>
    <x v="1"/>
    <d v="2025-02-12T11:24:28"/>
    <d v="2025-03-05T01:20:21"/>
    <s v="Interno"/>
    <n v="7"/>
    <d v="2025-02-10T00:00:00"/>
    <n v="10"/>
    <d v="2025-03-03T00:00:00"/>
    <n v="20.580481365745072"/>
    <n v="2025"/>
    <n v="2025"/>
    <x v="10"/>
    <x v="2"/>
  </r>
  <r>
    <s v="ESPC360-15708"/>
    <s v="[PRO] [Seguros] INC051326299 - Provisión de seguros se ve 0"/>
    <s v="Seguros"/>
    <d v="2025-02-12T13:10:28"/>
    <d v="2025-02-14T08:27:30"/>
    <s v="OPERACIONAL"/>
    <s v="SOPORTE"/>
    <s v=""/>
    <s v="C360_Team_Mtto"/>
    <s v="Medium"/>
    <s v="CERRADO"/>
    <s v=""/>
    <s v="Automation for Jira"/>
    <x v="2"/>
    <d v="2025-02-12T13:10:28"/>
    <d v="2025-02-14T08:27:30"/>
    <s v="Externo"/>
    <n v="7"/>
    <d v="2025-02-10T00:00:00"/>
    <n v="7"/>
    <d v="2025-02-10T00:00:00"/>
    <n v="1.8034951504596393"/>
    <n v="2025"/>
    <n v="2025"/>
    <x v="10"/>
    <x v="3"/>
  </r>
  <r>
    <s v="ESPC360-15931"/>
    <s v="[PRO] [Tarjetas]  Error en nombre beneficiario tarjeta"/>
    <s v="Tarjetas"/>
    <d v="2025-02-14T08:27:36"/>
    <d v="2025-02-17T10:41:30"/>
    <s v="OPERACIONAL"/>
    <s v="TÉCNICO"/>
    <s v=""/>
    <s v="C360_Team_Mtto"/>
    <s v="Medium"/>
    <s v="CERRADO"/>
    <s v=""/>
    <s v="Arturo Ruiz Simon"/>
    <x v="0"/>
    <d v="2025-02-14T08:27:36"/>
    <d v="2025-02-17T10:41:30"/>
    <s v="Interno"/>
    <n v="7"/>
    <d v="2025-02-10T00:00:00"/>
    <n v="8"/>
    <d v="2025-02-17T00:00:00"/>
    <n v="3.0929882870332222"/>
    <n v="2025"/>
    <n v="2025"/>
    <x v="10"/>
    <x v="3"/>
  </r>
  <r>
    <s v="ESPC360-15978"/>
    <s v="[PRO] [Seguros] INC051523797 - Póliza no aparece en ADN360"/>
    <s v=""/>
    <d v="2025-02-18T11:20:45"/>
    <d v="2025-02-18T11:53:27"/>
    <s v="OPERACIONAL"/>
    <s v="SOPORTE"/>
    <s v=""/>
    <s v=""/>
    <s v="Medium"/>
    <s v="CERRADO"/>
    <s v=""/>
    <s v="BORJA CORTIJO LAJARA"/>
    <x v="2"/>
    <d v="2025-02-18T11:20:45"/>
    <d v="2025-02-18T11:53:27"/>
    <s v="Externo"/>
    <n v="8"/>
    <d v="2025-02-17T00:00:00"/>
    <n v="8"/>
    <d v="2025-02-17T00:00:00"/>
    <n v="2.2713750004186295E-2"/>
    <n v="2025"/>
    <n v="2025"/>
    <x v="10"/>
    <x v="3"/>
  </r>
  <r>
    <s v="ESPC360-16008"/>
    <s v="[PRO] [Seguros] INC051535834 - Póliza Planeta Seguros dada de baja que sigue apareciendo"/>
    <s v="Planeta Seguros"/>
    <d v="2025-02-18T15:29:38"/>
    <d v="2025-02-20T09:35:31"/>
    <s v="OPERACIONAL"/>
    <s v="SOPORTE"/>
    <s v=""/>
    <s v="C360_Team_Mtto"/>
    <s v="Medium"/>
    <s v="CERRADO"/>
    <s v=""/>
    <s v="BORJA CORTIJO LAJARA"/>
    <x v="2"/>
    <d v="2025-02-18T15:29:38"/>
    <d v="2025-02-20T09:35:31"/>
    <s v="Externo"/>
    <n v="8"/>
    <d v="2025-02-17T00:00:00"/>
    <n v="8"/>
    <d v="2025-02-17T00:00:00"/>
    <n v="1.7540846412084647"/>
    <n v="2025"/>
    <n v="2025"/>
    <x v="10"/>
    <x v="3"/>
  </r>
  <r>
    <s v="ESPC360-16018"/>
    <s v="[PRO] [Fondos] INC051523575 - No ve fondo desde empresas"/>
    <s v="Fondos"/>
    <d v="2025-02-19T08:35:38"/>
    <d v="2025-03-04T09:41:24"/>
    <s v="OPERACIONAL"/>
    <s v="SOPORTE"/>
    <s v=""/>
    <s v="C360_Team_Mtto"/>
    <s v="Medium"/>
    <s v="CERRADO"/>
    <s v=""/>
    <s v="Automation for Jira"/>
    <x v="2"/>
    <d v="2025-02-19T08:35:38"/>
    <d v="2025-03-04T09:41:24"/>
    <s v="Externo"/>
    <n v="8"/>
    <d v="2025-02-17T00:00:00"/>
    <n v="10"/>
    <d v="2025-03-03T00:00:00"/>
    <n v="13.045663113429327"/>
    <n v="2025"/>
    <n v="2025"/>
    <x v="10"/>
    <x v="2"/>
  </r>
  <r>
    <s v="ESPC360-16020"/>
    <s v="[PRO] [Customers] INC051500484 - Error en nombre empresa al solicitar certificado de titularidad"/>
    <s v=""/>
    <d v="2025-02-19T08:50:33"/>
    <d v="2025-02-26T10:27:41"/>
    <s v="OPERACIONAL"/>
    <s v="SOPORTE"/>
    <s v=""/>
    <s v="C360_Team_Mtto"/>
    <s v="Medium"/>
    <s v="CERRADO"/>
    <s v=""/>
    <s v="Automation for Jira"/>
    <x v="2"/>
    <d v="2025-02-19T08:50:33"/>
    <d v="2025-02-26T10:27:41"/>
    <s v="Externo"/>
    <n v="8"/>
    <d v="2025-02-17T00:00:00"/>
    <n v="9"/>
    <d v="2025-02-24T00:00:00"/>
    <n v="7.0674461689777672"/>
    <n v="2025"/>
    <n v="2025"/>
    <x v="10"/>
    <x v="3"/>
  </r>
  <r>
    <s v="ESPC360-16021"/>
    <s v="[PRO] [Tarjetas] INC051573279 - No aparece tarjeta prepago mini"/>
    <s v="Tarjetas"/>
    <d v="2025-02-19T11:23:16"/>
    <d v="2025-02-24T16:15:21"/>
    <s v="OPERACIONAL"/>
    <s v="SOPORTE"/>
    <s v=""/>
    <s v="C360_Team_Mtto"/>
    <s v="Medium"/>
    <s v="CERRADO"/>
    <s v=""/>
    <s v="Automation for Jira"/>
    <x v="2"/>
    <d v="2025-02-19T11:23:16"/>
    <d v="2025-02-24T16:15:21"/>
    <s v="Externo"/>
    <n v="8"/>
    <d v="2025-02-17T00:00:00"/>
    <n v="9"/>
    <d v="2025-02-24T00:00:00"/>
    <n v="5.2028386226884322"/>
    <n v="2025"/>
    <n v="2025"/>
    <x v="10"/>
    <x v="3"/>
  </r>
  <r>
    <s v="ESPC360-16024"/>
    <s v="[PRO] [Planes Empleo] INC051614426 - No se muestra plan de pensiones de empleado"/>
    <s v=""/>
    <d v="2025-02-20T12:55:37"/>
    <d v="2025-02-24T16:16:22"/>
    <s v="OPERACIONAL"/>
    <s v="SOPORTE"/>
    <s v=""/>
    <s v="C360_Team_Mtto"/>
    <s v="Medium"/>
    <s v="CERRADO"/>
    <s v=""/>
    <s v="Automation for Jira"/>
    <x v="2"/>
    <d v="2025-02-20T12:55:37"/>
    <d v="2025-02-24T16:16:22"/>
    <s v="Externo"/>
    <n v="8"/>
    <d v="2025-02-17T00:00:00"/>
    <n v="9"/>
    <d v="2025-02-24T00:00:00"/>
    <n v="4.1394069444431807"/>
    <n v="2025"/>
    <n v="2025"/>
    <x v="10"/>
    <x v="3"/>
  </r>
  <r>
    <s v="ESPC360-16121"/>
    <s v="[PRO] [Valores] INC051619640 - Rentabilidad con error v2"/>
    <s v="Valores"/>
    <d v="2025-02-20T16:16:15"/>
    <d v="2025-02-26T10:29:32"/>
    <s v="OPERACIONAL"/>
    <s v="SOPORTE"/>
    <s v=""/>
    <s v="C360_Team_Mtto"/>
    <s v="Medium"/>
    <s v="CERRADO"/>
    <s v=""/>
    <s v="Automation for Jira"/>
    <x v="2"/>
    <d v="2025-02-20T16:16:15"/>
    <d v="2025-02-26T10:29:32"/>
    <s v="Externo"/>
    <n v="8"/>
    <d v="2025-02-17T00:00:00"/>
    <n v="9"/>
    <d v="2025-02-24T00:00:00"/>
    <n v="5.7592179861094337"/>
    <n v="2025"/>
    <n v="2025"/>
    <x v="10"/>
    <x v="3"/>
  </r>
  <r>
    <s v="ESPC360-16149"/>
    <s v="[PRO] [Planes Empleo] INC051287970 - No se muestra plan de pensiones de empleado"/>
    <s v=""/>
    <d v="2025-02-21T09:34:02"/>
    <d v="2025-02-21T09:36:56"/>
    <s v="OPERACIONAL"/>
    <s v="SOPORTE"/>
    <s v=""/>
    <s v="C360_Team_Mtto"/>
    <s v="Medium"/>
    <s v="CERRADO"/>
    <s v=""/>
    <s v="Arturo Ruiz Simon"/>
    <x v="2"/>
    <d v="2025-02-21T09:34:02"/>
    <d v="2025-02-21T09:36:56"/>
    <s v="Externo"/>
    <n v="8"/>
    <d v="2025-02-17T00:00:00"/>
    <n v="8"/>
    <d v="2025-02-17T00:00:00"/>
    <n v="2.0205439795972779E-3"/>
    <n v="2025"/>
    <n v="2025"/>
    <x v="10"/>
    <x v="3"/>
  </r>
  <r>
    <s v="ESPC360-16150"/>
    <s v="[PRO] [Préstamos] INC051615141 -Deuda en TPX en AREs no reflejada"/>
    <s v="Préstamos"/>
    <d v="2025-02-21T09:55:16"/>
    <d v="2025-02-25T16:47:27"/>
    <s v="OPERACIONAL"/>
    <s v="TÉCNICO"/>
    <s v=""/>
    <s v="C360_Team_Mtto"/>
    <s v="Medium"/>
    <s v="CERRADO"/>
    <s v=""/>
    <s v="Automation for Jira"/>
    <x v="0"/>
    <d v="2025-02-21T09:55:16"/>
    <d v="2025-02-25T16:47:27"/>
    <s v="Interno"/>
    <n v="8"/>
    <d v="2025-02-17T00:00:00"/>
    <n v="9"/>
    <d v="2025-02-24T00:00:00"/>
    <n v="4.2862385300977621"/>
    <n v="2025"/>
    <n v="2025"/>
    <x v="10"/>
    <x v="3"/>
  </r>
  <r>
    <s v="ESPC360-16196"/>
    <s v="[PRO] [Valores] INC051764804 - No se muestra contrato"/>
    <s v="Valores"/>
    <d v="2025-02-24T16:26:59"/>
    <d v="2025-02-26T10:32:16"/>
    <s v="OPERACIONAL"/>
    <s v="SOPORTE"/>
    <s v=""/>
    <s v="C360_Team_Mtto"/>
    <s v="Medium"/>
    <s v="CERRADO"/>
    <s v=""/>
    <s v="Automation for Jira"/>
    <x v="2"/>
    <d v="2025-02-24T16:26:59"/>
    <d v="2025-02-26T10:32:16"/>
    <s v="Externo"/>
    <n v="9"/>
    <d v="2025-02-24T00:00:00"/>
    <n v="9"/>
    <d v="2025-02-24T00:00:00"/>
    <n v="1.7536714930611197"/>
    <n v="2025"/>
    <n v="2025"/>
    <x v="10"/>
    <x v="3"/>
  </r>
  <r>
    <s v="ESPC360-16206"/>
    <s v="[PRO] [Tarjetas] problema con usuario con demasiados contratos de tarjetas"/>
    <s v="Tarjetas"/>
    <d v="2025-02-25T09:14:19"/>
    <d v="2025-03-19T13:36:12"/>
    <s v="OPERACIONAL"/>
    <s v="TÉCNICO"/>
    <s v=""/>
    <s v="C360_Team_Mtto"/>
    <s v="Medium"/>
    <s v="CERRADO"/>
    <s v=""/>
    <s v="Automation for Jira"/>
    <x v="0"/>
    <d v="2025-02-25T09:14:19"/>
    <d v="2025-03-19T13:36:12"/>
    <s v="Interno"/>
    <n v="9"/>
    <d v="2025-02-24T00:00:00"/>
    <n v="12"/>
    <d v="2025-03-17T00:00:00"/>
    <n v="22.181865740742069"/>
    <n v="2025"/>
    <n v="2025"/>
    <x v="10"/>
    <x v="2"/>
  </r>
  <r>
    <s v="ESPC360-16218"/>
    <s v="[PRO] [Fondos] INC051805761 - Fondo de inversión que aparece en ADN como en proceso de cálculo"/>
    <s v="Fondos"/>
    <d v="2025-02-25T16:22:04"/>
    <d v="2025-03-03T11:13:25"/>
    <s v="OPERACIONAL"/>
    <s v="SOPORTE"/>
    <s v=""/>
    <s v="C360_Team_Mtto"/>
    <s v="Medium"/>
    <s v="CERRADO"/>
    <s v=""/>
    <s v="BORJA CORTIJO LAJARA"/>
    <x v="2"/>
    <d v="2025-02-25T16:22:04"/>
    <d v="2025-03-03T11:13:25"/>
    <s v="Externo"/>
    <n v="9"/>
    <d v="2025-02-24T00:00:00"/>
    <n v="10"/>
    <d v="2025-03-03T00:00:00"/>
    <n v="5.7856651620386401"/>
    <n v="2025"/>
    <n v="2025"/>
    <x v="10"/>
    <x v="2"/>
  </r>
  <r>
    <s v="ESPC360-16232"/>
    <s v="[PRO] [Seguros] INC051846252 - No se ve poliza dado de alta"/>
    <s v="Seguros"/>
    <d v="2025-02-26T10:16:58"/>
    <d v="2025-02-26T16:23:42"/>
    <s v="OPERACIONAL"/>
    <s v="SOPORTE"/>
    <s v=""/>
    <s v="C360_Team_Mtto"/>
    <s v="Medium"/>
    <s v="CERRADO"/>
    <s v=""/>
    <s v="Automation for Jira"/>
    <x v="2"/>
    <d v="2025-02-26T10:16:58"/>
    <d v="2025-02-26T16:23:42"/>
    <s v="Externo"/>
    <n v="9"/>
    <d v="2025-02-24T00:00:00"/>
    <n v="9"/>
    <d v="2025-02-24T00:00:00"/>
    <n v="0.25467462962842546"/>
    <n v="2025"/>
    <n v="2025"/>
    <x v="10"/>
    <x v="3"/>
  </r>
  <r>
    <s v="ESPC360-16233"/>
    <s v="[PRE] [Cuentas] INC051845983 - Error en la actualización de las cuentas del servicio adn360-api.pru.bsch/v1/accounts"/>
    <s v="Cuentas"/>
    <d v="2025-02-26T10:21:12"/>
    <d v="2025-02-27T17:47:34"/>
    <s v="OPERACIONAL"/>
    <s v="SOPORTE"/>
    <s v=""/>
    <s v="C360_Team_Mtto"/>
    <s v="Medium"/>
    <s v="CERRADO"/>
    <s v=""/>
    <s v="Automation for Jira"/>
    <x v="2"/>
    <d v="2025-02-26T10:21:12"/>
    <d v="2025-02-27T17:47:34"/>
    <s v="Externo"/>
    <n v="9"/>
    <d v="2025-02-24T00:00:00"/>
    <n v="9"/>
    <d v="2025-02-24T00:00:00"/>
    <n v="1.3099860300935688"/>
    <n v="2025"/>
    <n v="2025"/>
    <x v="10"/>
    <x v="3"/>
  </r>
  <r>
    <s v="ESPC360-16468"/>
    <s v="[PRO] [Cuentas] INC051929527 - no visualiza la cuenta asociada"/>
    <s v="Cuentas"/>
    <d v="2025-02-28T14:40:01"/>
    <d v="2025-03-06T14:19:26"/>
    <s v="OPERACIONAL"/>
    <s v="TÉCNICO"/>
    <s v=""/>
    <s v="C360_Team_Mtto"/>
    <s v="Medium"/>
    <s v="CERRADO"/>
    <s v=""/>
    <s v="Arturo Ruiz Simon"/>
    <x v="0"/>
    <d v="2025-02-28T14:40:01"/>
    <d v="2025-03-06T14:19:26"/>
    <s v="Interno"/>
    <n v="9"/>
    <d v="2025-02-24T00:00:00"/>
    <n v="10"/>
    <d v="2025-03-03T00:00:00"/>
    <n v="5.9857054050880834"/>
    <n v="2025"/>
    <n v="2025"/>
    <x v="10"/>
    <x v="2"/>
  </r>
  <r>
    <s v="ESPC360-16479"/>
    <s v="[PRO] [Confidencialidad] INC051932003 - Cliente sin confidencialidad no pueden darle la clave de acceso"/>
    <s v="Confidencialidad"/>
    <d v="2025-03-03T11:18:25"/>
    <d v="2025-03-04T10:16:10"/>
    <s v="OPERACIONAL"/>
    <s v="SOPORTE"/>
    <s v=""/>
    <s v="C360_Team_Mtto"/>
    <s v="Medium"/>
    <s v="CERRADO"/>
    <s v=""/>
    <s v="BORJA CORTIJO LAJARA"/>
    <x v="2"/>
    <d v="2025-03-03T11:18:25"/>
    <d v="2025-03-04T10:16:10"/>
    <s v="Externo"/>
    <n v="10"/>
    <d v="2025-03-03T00:00:00"/>
    <n v="10"/>
    <d v="2025-03-03T00:00:00"/>
    <n v="0.95677131944103166"/>
    <n v="2025"/>
    <n v="2025"/>
    <x v="11"/>
    <x v="2"/>
  </r>
  <r>
    <s v="ESPC360-16505"/>
    <s v="[PRO] [Cuentas] INC052035804 - No ve cuenta"/>
    <s v="Bolaseg;Cuentas"/>
    <d v="2025-03-04T10:01:07"/>
    <d v="2025-03-07T13:07:35"/>
    <s v="OPERACIONAL"/>
    <s v="SOPORTE"/>
    <s v=""/>
    <s v="C360_Team_Mtto"/>
    <s v="Medium"/>
    <s v="CERRADO"/>
    <s v=""/>
    <s v="Automation for Jira"/>
    <x v="2"/>
    <d v="2025-03-04T10:01:07"/>
    <d v="2025-03-07T13:07:35"/>
    <s v="Externo"/>
    <n v="10"/>
    <d v="2025-03-03T00:00:00"/>
    <n v="10"/>
    <d v="2025-03-03T00:00:00"/>
    <n v="3.1294849537080154"/>
    <n v="2025"/>
    <n v="2025"/>
    <x v="11"/>
    <x v="2"/>
  </r>
  <r>
    <s v="ESPC360-16524"/>
    <s v="[PRO] INC052043294 - Alertado en bills - Llamada a movimientos"/>
    <s v="Movimientos Cuentas"/>
    <d v="2025-03-04T17:58:40"/>
    <d v="2025-03-05T12:32:51"/>
    <s v="OPERACIONAL"/>
    <s v="SOPORTE"/>
    <s v=""/>
    <s v="C360_Team_Mtto"/>
    <s v="Medium"/>
    <s v="CERRADO"/>
    <s v=""/>
    <s v="BORJA CORTIJO LAJARA"/>
    <x v="2"/>
    <d v="2025-03-04T17:58:40"/>
    <d v="2025-03-05T12:32:51"/>
    <s v="Externo"/>
    <n v="10"/>
    <d v="2025-03-03T00:00:00"/>
    <n v="10"/>
    <d v="2025-03-03T00:00:00"/>
    <n v="0.77373037036886672"/>
    <n v="2025"/>
    <n v="2025"/>
    <x v="11"/>
    <x v="2"/>
  </r>
  <r>
    <s v="ESPC360-16541"/>
    <s v="Corrección JAVA_OPTS en custmovssearchms"/>
    <s v=""/>
    <d v="2025-03-05T16:58:35"/>
    <d v="2025-04-09T12:34:18"/>
    <s v="OPERACIONAL"/>
    <s v="DESARROLLO"/>
    <s v=""/>
    <s v="C360_Operacional_Team_2"/>
    <s v="Medium"/>
    <s v="CERRADO"/>
    <s v="C360_Operacional_Sprint 197"/>
    <s v="Automation for Jira"/>
    <x v="1"/>
    <d v="2025-03-05T16:58:35"/>
    <d v="2025-04-09T12:34:18"/>
    <s v="Interno"/>
    <n v="10"/>
    <d v="2025-03-03T00:00:00"/>
    <n v="15"/>
    <d v="2025-04-07T00:00:00"/>
    <n v="34.816473067126935"/>
    <n v="2025"/>
    <n v="2025"/>
    <x v="11"/>
    <x v="4"/>
  </r>
  <r>
    <s v="ESPC360-16545"/>
    <s v="[PRO] Actualizar versión de avro-models en dp-pmp-avro"/>
    <s v=""/>
    <d v="2025-03-05T17:43:14"/>
    <d v="2025-04-09T12:34:18"/>
    <s v="OPERACIONAL"/>
    <s v="TÉCNICO"/>
    <s v=""/>
    <s v="C360_Operacional_Team_2"/>
    <s v="Medium"/>
    <s v="CERRADO"/>
    <s v="C360_Operacional_Sprint 197"/>
    <s v="Automation for Jira"/>
    <x v="0"/>
    <d v="2025-03-05T17:43:14"/>
    <d v="2025-04-09T12:34:18"/>
    <s v="Interno"/>
    <n v="10"/>
    <d v="2025-03-03T00:00:00"/>
    <n v="15"/>
    <d v="2025-04-07T00:00:00"/>
    <n v="34.785461527775624"/>
    <n v="2025"/>
    <n v="2025"/>
    <x v="11"/>
    <x v="4"/>
  </r>
  <r>
    <s v="ESPC360-16549"/>
    <s v="[PRO] [FRONT] - No se muestran alertas en prestamos/hipotecas en Santander GO."/>
    <s v=""/>
    <d v="2025-03-06T08:36:05"/>
    <d v="2025-03-12T00:34:18"/>
    <s v="OPERACIONAL"/>
    <s v="DESARROLLO"/>
    <s v=""/>
    <s v=""/>
    <s v="Medium"/>
    <s v="CERRADO"/>
    <s v=""/>
    <s v="BORJA CORTIJO LAJARA"/>
    <x v="1"/>
    <d v="2025-03-06T08:36:05"/>
    <d v="2025-03-12T00:34:18"/>
    <s v="Interno"/>
    <n v="10"/>
    <d v="2025-03-03T00:00:00"/>
    <n v="11"/>
    <d v="2025-03-10T00:00:00"/>
    <n v="5.6654360185129917"/>
    <n v="2025"/>
    <n v="2025"/>
    <x v="11"/>
    <x v="2"/>
  </r>
  <r>
    <s v="ESPC360-16550"/>
    <s v="[PRO][Seguros] INC052091864 - La póliza no se visualiza en ADN"/>
    <s v="Seguros"/>
    <d v="2025-03-06T08:40:37"/>
    <d v="2025-03-07T13:08:48"/>
    <s v="OPERACIONAL"/>
    <s v="SOPORTE"/>
    <s v=""/>
    <s v="C360_Team_Mtto"/>
    <s v="Medium"/>
    <s v="CERRADO"/>
    <s v=""/>
    <s v="Arturo Ruiz Simon"/>
    <x v="2"/>
    <d v="2025-03-06T08:40:37"/>
    <d v="2025-03-07T13:08:48"/>
    <s v="Externo"/>
    <n v="10"/>
    <d v="2025-03-03T00:00:00"/>
    <n v="10"/>
    <d v="2025-03-03T00:00:00"/>
    <n v="1.1862352083335281"/>
    <n v="2025"/>
    <n v="2025"/>
    <x v="11"/>
    <x v="2"/>
  </r>
  <r>
    <s v="ESPC360-16595"/>
    <s v="[PRO] [Seguros] INC052136894 - Provision a 0"/>
    <s v="Seguros"/>
    <d v="2025-03-06T14:00:01"/>
    <d v="2025-03-07T13:06:06"/>
    <s v="OPERACIONAL"/>
    <s v="SOPORTE"/>
    <s v=""/>
    <s v="C360_Team_Mtto"/>
    <s v="Medium"/>
    <s v="CERRADO"/>
    <s v=""/>
    <s v="Automation for Jira"/>
    <x v="2"/>
    <d v="2025-03-06T14:00:01"/>
    <d v="2025-03-07T13:06:06"/>
    <s v="Externo"/>
    <n v="10"/>
    <d v="2025-03-03T00:00:00"/>
    <n v="10"/>
    <d v="2025-03-03T00:00:00"/>
    <n v="0.96255560185090872"/>
    <n v="2025"/>
    <n v="2025"/>
    <x v="11"/>
    <x v="2"/>
  </r>
  <r>
    <s v="ESPC360-16697"/>
    <s v="[PRE] [Confirming] INC052138222 - No se está mostrando el campo contract holder en oficina pero si en NWE"/>
    <s v="Factoring &amp; Confirming"/>
    <d v="2025-03-07T12:46:39"/>
    <d v="2025-03-07T13:04:17"/>
    <s v="OPERACIONAL"/>
    <s v="SOPORTE"/>
    <s v=""/>
    <s v="C360_Team_Mtto"/>
    <s v="Medium"/>
    <s v="CERRADO"/>
    <s v=""/>
    <s v="Automation for Jira"/>
    <x v="2"/>
    <d v="2025-03-07T12:46:39"/>
    <d v="2025-03-07T13:04:17"/>
    <s v="Externo"/>
    <n v="10"/>
    <d v="2025-03-03T00:00:00"/>
    <n v="10"/>
    <d v="2025-03-03T00:00:00"/>
    <n v="1.2253449080162682E-2"/>
    <n v="2025"/>
    <n v="2025"/>
    <x v="11"/>
    <x v="2"/>
  </r>
  <r>
    <s v="ESPC360-16726"/>
    <s v="[PRO] [Valores] INC052250965 - No se muestra un contrato por canal INT application PGP"/>
    <s v="Valores"/>
    <d v="2025-03-10T16:09:28"/>
    <d v="2025-03-14T13:35:18"/>
    <s v="OPERACIONAL"/>
    <s v="SOPORTE"/>
    <s v=""/>
    <s v="C360_Team_Mtto"/>
    <s v="Medium"/>
    <s v="CERRADO"/>
    <s v=""/>
    <s v="Automation for Jira"/>
    <x v="2"/>
    <d v="2025-03-10T16:09:28"/>
    <d v="2025-03-14T13:35:18"/>
    <s v="Externo"/>
    <n v="11"/>
    <d v="2025-03-10T00:00:00"/>
    <n v="11"/>
    <d v="2025-03-10T00:00:00"/>
    <n v="3.8929310069433996"/>
    <n v="2025"/>
    <n v="2025"/>
    <x v="11"/>
    <x v="2"/>
  </r>
  <r>
    <s v="ESPC360-16727"/>
    <s v="[PRO] [Seguros] INC052263273  - No se muestra seguro de tipo 311 en ADN360 pero si en ADN Seguros"/>
    <s v="Seguros"/>
    <d v="2025-03-10T16:23:22"/>
    <d v="2025-03-10T17:18:43"/>
    <s v="OPERACIONAL"/>
    <s v="SOPORTE"/>
    <s v=""/>
    <s v="C360_Team_Mtto"/>
    <s v="Medium"/>
    <s v="CERRADO"/>
    <s v=""/>
    <s v="BORJA CORTIJO LAJARA"/>
    <x v="2"/>
    <d v="2025-03-10T16:23:22"/>
    <d v="2025-03-10T17:18:43"/>
    <s v="Externo"/>
    <n v="11"/>
    <d v="2025-03-10T00:00:00"/>
    <n v="11"/>
    <d v="2025-03-10T00:00:00"/>
    <n v="3.8444351848738734E-2"/>
    <n v="2025"/>
    <n v="2025"/>
    <x v="11"/>
    <x v="2"/>
  </r>
  <r>
    <s v="ESPC360-16729"/>
    <s v="[PRO] [Derivados Financieros] INC052294757 - En la posición de Derivados de ADN 360 están apareciendo dos contratos que ya están vencidos"/>
    <s v="Derivados"/>
    <d v="2025-03-11T09:06:08"/>
    <d v="2025-03-14T13:34:35"/>
    <s v="OPERACIONAL"/>
    <s v="SOPORTE"/>
    <s v=""/>
    <s v="C360_Team_Mtto"/>
    <s v="Medium"/>
    <s v="CERRADO"/>
    <s v=""/>
    <s v="Automation for Jira"/>
    <x v="2"/>
    <d v="2025-03-11T09:06:08"/>
    <d v="2025-03-14T13:34:35"/>
    <s v="Externo"/>
    <n v="11"/>
    <d v="2025-03-10T00:00:00"/>
    <n v="11"/>
    <d v="2025-03-10T00:00:00"/>
    <n v="3.1864177661991562"/>
    <n v="2025"/>
    <n v="2025"/>
    <x v="11"/>
    <x v="2"/>
  </r>
  <r>
    <s v="ESPC360-16745"/>
    <s v="[PRO] [Valores] INC052141165 - Rentabilidades devuelve error true"/>
    <s v="Valores"/>
    <d v="2025-03-11T12:01:48"/>
    <d v="2025-03-11T16:28:28"/>
    <s v="OPERACIONAL"/>
    <s v="TÉCNICO"/>
    <s v=""/>
    <s v="C360_Team_Mtto"/>
    <s v="Medium"/>
    <s v="CERRADO"/>
    <s v=""/>
    <s v="Automation for Jira"/>
    <x v="0"/>
    <d v="2025-03-11T12:01:48"/>
    <d v="2025-03-11T16:28:28"/>
    <s v="Interno"/>
    <n v="11"/>
    <d v="2025-03-10T00:00:00"/>
    <n v="11"/>
    <d v="2025-03-10T00:00:00"/>
    <n v="0.18518638888781425"/>
    <n v="2025"/>
    <n v="2025"/>
    <x v="11"/>
    <x v="2"/>
  </r>
  <r>
    <s v="ESPC360-16746"/>
    <s v="[PRO] [Seguros] INC052309896 - No se muestra la prima del seguro en ADN"/>
    <s v="Seguros"/>
    <d v="2025-03-11T15:26:19"/>
    <d v="2025-03-26T17:10:36"/>
    <s v="OPERACIONAL"/>
    <s v="SOPORTE"/>
    <s v=""/>
    <s v="C360_Team_Mtto"/>
    <s v="Medium"/>
    <s v="CERRADO"/>
    <s v=""/>
    <s v="BORJA CORTIJO LAJARA"/>
    <x v="2"/>
    <d v="2025-03-11T15:26:19"/>
    <d v="2025-03-26T17:10:36"/>
    <s v="Externo"/>
    <n v="11"/>
    <d v="2025-03-10T00:00:00"/>
    <n v="13"/>
    <d v="2025-03-24T00:00:00"/>
    <n v="15.07242179397872"/>
    <n v="2025"/>
    <n v="2025"/>
    <x v="11"/>
    <x v="2"/>
  </r>
  <r>
    <s v="ESPC360-16749"/>
    <s v="[PRO] [Planes Pensiones] INC052313320 - No se muestra contrato de planes de pensiones"/>
    <s v="Planes de Pensiones"/>
    <d v="2025-03-11T16:18:25"/>
    <d v="2025-03-14T11:45:15"/>
    <s v="OPERACIONAL"/>
    <s v="SOPORTE"/>
    <s v=""/>
    <s v="C360_Team_Mtto"/>
    <s v="Medium"/>
    <s v="CERRADO"/>
    <s v=""/>
    <s v="Automation for Jira"/>
    <x v="2"/>
    <d v="2025-03-11T16:18:25"/>
    <d v="2025-03-14T11:45:15"/>
    <s v="Externo"/>
    <n v="11"/>
    <d v="2025-03-10T00:00:00"/>
    <n v="11"/>
    <d v="2025-03-10T00:00:00"/>
    <n v="2.8103019328700611"/>
    <n v="2025"/>
    <n v="2025"/>
    <x v="11"/>
    <x v="2"/>
  </r>
  <r>
    <s v="ESPC360-16762"/>
    <s v="[PRE] [Carteras] INC052361039 - Servicio externo de carteras con tiempos altos"/>
    <s v="Carteras Gestionadas"/>
    <d v="2025-03-12T17:41:25"/>
    <d v="2025-03-17T11:33:02"/>
    <s v="OPERACIONAL"/>
    <s v="SOPORTE"/>
    <s v=""/>
    <s v="C360_Team_Mtto"/>
    <s v="Medium"/>
    <s v="CERRADO"/>
    <s v=""/>
    <s v="BORJA CORTIJO LAJARA"/>
    <x v="2"/>
    <d v="2025-03-12T17:41:25"/>
    <d v="2025-03-17T11:33:02"/>
    <s v="Externo"/>
    <n v="11"/>
    <d v="2025-03-10T00:00:00"/>
    <n v="12"/>
    <d v="2025-03-17T00:00:00"/>
    <n v="4.7441781828674721"/>
    <n v="2025"/>
    <n v="2025"/>
    <x v="11"/>
    <x v="2"/>
  </r>
  <r>
    <s v="ESPC360-16869"/>
    <s v="[PRO] [Préstamos] INC052313320 - en el api de refinanciacion hay diferencia con respecto a la cuota impagada año anterior"/>
    <s v="Préstamos"/>
    <d v="2025-03-14T13:31:53"/>
    <d v="2025-03-27T10:11:00"/>
    <s v="OPERACIONAL"/>
    <s v="TÉCNICO"/>
    <s v=""/>
    <s v="C360_Team_Mtto"/>
    <s v="Medium"/>
    <s v="CERRADO"/>
    <s v=""/>
    <s v="Automation for Jira"/>
    <x v="0"/>
    <d v="2025-03-14T13:31:53"/>
    <d v="2025-03-27T10:11:00"/>
    <s v="Interno"/>
    <n v="11"/>
    <d v="2025-03-10T00:00:00"/>
    <n v="13"/>
    <d v="2025-03-24T00:00:00"/>
    <n v="12.860503483796492"/>
    <n v="2025"/>
    <n v="2025"/>
    <x v="11"/>
    <x v="2"/>
  </r>
  <r>
    <s v="ESPC360-16871"/>
    <s v="[PRO] [Préstamos] INC052391091 - Indican que en ADN360 la cuenta asociada es erronea."/>
    <s v="Préstamos"/>
    <d v="2025-03-14T14:31:18"/>
    <d v="2025-03-17T10:59:17"/>
    <s v="OPERACIONAL"/>
    <s v="TÉCNICO"/>
    <s v=""/>
    <s v="C360_Team_Mtto"/>
    <s v="Medium"/>
    <s v="CERRADO"/>
    <s v=""/>
    <s v="BORJA CORTIJO LAJARA"/>
    <x v="0"/>
    <d v="2025-03-14T14:31:18"/>
    <d v="2025-03-17T10:59:17"/>
    <s v="Interno"/>
    <n v="11"/>
    <d v="2025-03-10T00:00:00"/>
    <n v="12"/>
    <d v="2025-03-17T00:00:00"/>
    <n v="2.8527753356538597"/>
    <n v="2025"/>
    <n v="2025"/>
    <x v="11"/>
    <x v="2"/>
  </r>
  <r>
    <s v="ESPC360-16959"/>
    <s v="[PRO] [Depósitos Estructurados] - INC052570220 - Solicitan cancelación de PFEs erróneos."/>
    <s v="Depósitos;PFEs"/>
    <d v="2025-03-19T08:36:55"/>
    <d v="2025-03-20T10:17:06"/>
    <s v="OPERACIONAL"/>
    <s v="SOPORTE"/>
    <s v=""/>
    <s v="C360_Team_Mtto"/>
    <s v="Medium"/>
    <s v="CERRADO"/>
    <s v=""/>
    <s v="BORJA CORTIJO LAJARA"/>
    <x v="2"/>
    <d v="2025-03-19T08:36:55"/>
    <d v="2025-03-20T10:17:06"/>
    <s v="Externo"/>
    <n v="12"/>
    <d v="2025-03-17T00:00:00"/>
    <n v="12"/>
    <d v="2025-03-17T00:00:00"/>
    <n v="1.0695798726883368"/>
    <n v="2025"/>
    <n v="2025"/>
    <x v="11"/>
    <x v="2"/>
  </r>
  <r>
    <s v="ESPC360-16962"/>
    <s v="Migración de marca PMP batch al nuevo modelo de propuestas (Comex)"/>
    <s v=""/>
    <d v="2025-03-19T09:31:10"/>
    <d v="2025-03-31T10:21:21"/>
    <s v="OPERACIONAL"/>
    <s v="TÉCNICO"/>
    <s v=""/>
    <s v="C360_Operacional_Team_1"/>
    <s v="Medium"/>
    <s v="CANCELADO"/>
    <s v=""/>
    <s v="Automation for Jira"/>
    <x v="0"/>
    <d v="2025-03-19T09:31:10"/>
    <d v="2025-03-31T10:21:21"/>
    <s v="Interno"/>
    <n v="12"/>
    <d v="2025-03-17T00:00:00"/>
    <n v="14"/>
    <d v="2025-03-31T00:00:00"/>
    <n v="12.034842638888222"/>
    <n v="2025"/>
    <n v="2025"/>
    <x v="11"/>
    <x v="2"/>
  </r>
  <r>
    <s v="ESPC360-16970"/>
    <s v="[PRO] [Valores] INC052606330 - No aparece la revalorizacion del contrato"/>
    <s v="Valores"/>
    <d v="2025-03-19T13:07:20"/>
    <d v="2025-03-19T13:24:00"/>
    <s v="OPERACIONAL"/>
    <s v="SOPORTE"/>
    <s v=""/>
    <s v="C360_Team_Mtto"/>
    <s v="Medium"/>
    <s v="CERRADO"/>
    <s v=""/>
    <s v="Automation for Jira"/>
    <x v="2"/>
    <d v="2025-03-19T13:07:20"/>
    <d v="2025-03-19T13:24:00"/>
    <s v="Externo"/>
    <n v="12"/>
    <d v="2025-03-17T00:00:00"/>
    <n v="12"/>
    <d v="2025-03-17T00:00:00"/>
    <n v="1.1568182875635102E-2"/>
    <n v="2025"/>
    <n v="2025"/>
    <x v="11"/>
    <x v="2"/>
  </r>
  <r>
    <s v="ESPC360-16971"/>
    <s v="[PRO] Corregir filtro del update del pdf de movimientos"/>
    <s v=""/>
    <d v="2025-03-19T13:28:22"/>
    <d v="2025-03-27T10:43:07"/>
    <s v="OPERACIONAL"/>
    <s v="DESARROLLO"/>
    <s v=""/>
    <s v="C360_Operacional_Team_2"/>
    <s v="Medium"/>
    <s v="CERRADO"/>
    <s v="C360_Operacional_Sprint 198"/>
    <s v="Automation for Jira"/>
    <x v="1"/>
    <d v="2025-03-19T13:28:22"/>
    <d v="2025-03-27T10:43:07"/>
    <s v="Interno"/>
    <n v="12"/>
    <d v="2025-03-17T00:00:00"/>
    <n v="13"/>
    <d v="2025-03-24T00:00:00"/>
    <n v="7.8852509953721892"/>
    <n v="2025"/>
    <n v="2025"/>
    <x v="11"/>
    <x v="2"/>
  </r>
  <r>
    <s v="ESPC360-16972"/>
    <s v="[PRO] [Confidencialidad] INC052605945 - Aviso de confidencialidad y no pueden ver los contratos."/>
    <s v="Confidencialidad"/>
    <d v="2025-03-19T15:27:58"/>
    <d v="2025-04-07T10:55:09"/>
    <s v="OPERACIONAL"/>
    <s v="SOPORTE"/>
    <s v=""/>
    <s v="C360_Team_Mtto"/>
    <s v="Medium"/>
    <s v="CERRADO"/>
    <s v=""/>
    <s v="BORJA CORTIJO LAJARA"/>
    <x v="2"/>
    <d v="2025-03-19T15:27:58"/>
    <d v="2025-04-07T10:55:09"/>
    <s v="Externo"/>
    <n v="12"/>
    <d v="2025-03-17T00:00:00"/>
    <n v="15"/>
    <d v="2025-04-07T00:00:00"/>
    <n v="18.810543298612174"/>
    <n v="2025"/>
    <n v="2025"/>
    <x v="11"/>
    <x v="4"/>
  </r>
  <r>
    <s v="ESPC360-16976"/>
    <s v="[PRO] [Tarjetas] INC052600241 - No se muestra el saldo dispuesto para 2 tarjetas  Corporate"/>
    <s v="Tarjetas"/>
    <d v="2025-03-19T16:36:28"/>
    <d v="2025-04-08T10:29:41"/>
    <s v="OPERACIONAL"/>
    <s v="DESARROLLO"/>
    <s v=""/>
    <s v="C360_Team_Mtto"/>
    <s v="Medium"/>
    <s v="CERRADO"/>
    <s v=""/>
    <s v="Automation for Jira"/>
    <x v="1"/>
    <d v="2025-03-19T16:36:28"/>
    <d v="2025-04-08T10:29:41"/>
    <s v="Interno"/>
    <n v="12"/>
    <d v="2025-03-17T00:00:00"/>
    <n v="15"/>
    <d v="2025-04-07T00:00:00"/>
    <n v="19.745286342593317"/>
    <n v="2025"/>
    <n v="2025"/>
    <x v="11"/>
    <x v="4"/>
  </r>
  <r>
    <s v="ESPC360-16978"/>
    <s v="[PRO] [Tarjetas] se debe de borrar el cálculo de tarjetasLimite si tiene estdo RM"/>
    <s v="Tarjetas"/>
    <d v="2025-03-19T17:07:39"/>
    <d v="2025-08-26T13:33:37"/>
    <s v="OPERACIONAL"/>
    <s v="DESARROLLO"/>
    <s v=""/>
    <s v="C360_Team_Mtto"/>
    <s v="Medium"/>
    <s v="CERRADO"/>
    <s v=""/>
    <s v="JESUS VICENTE SALAMANCA"/>
    <x v="1"/>
    <d v="2025-03-19T17:07:39"/>
    <d v="2025-08-26T13:33:37"/>
    <s v="Interno"/>
    <n v="12"/>
    <d v="2025-03-17T00:00:00"/>
    <n v="35"/>
    <d v="2025-08-25T00:00:00"/>
    <n v="159.8513606365741"/>
    <n v="2025"/>
    <n v="2025"/>
    <x v="11"/>
    <x v="5"/>
  </r>
  <r>
    <s v="ESPC360-17090"/>
    <s v="[PRO] [Fondos] INC052386456 - Incidencia al contratar fondo de inversión"/>
    <s v="Cuentas;Fondos"/>
    <d v="2025-03-24T09:30:35"/>
    <d v="2025-04-07T10:57:00"/>
    <s v="OPERACIONAL"/>
    <s v="SOPORTE"/>
    <s v=""/>
    <s v="C360_Team_Mtto"/>
    <s v="Medium"/>
    <s v="CERRADO"/>
    <s v=""/>
    <s v="BORJA CORTIJO LAJARA"/>
    <x v="2"/>
    <d v="2025-03-24T09:30:35"/>
    <d v="2025-04-07T10:57:00"/>
    <s v="Externo"/>
    <n v="13"/>
    <d v="2025-03-24T00:00:00"/>
    <n v="15"/>
    <d v="2025-04-07T00:00:00"/>
    <n v="14.060001979167282"/>
    <n v="2025"/>
    <n v="2025"/>
    <x v="11"/>
    <x v="4"/>
  </r>
  <r>
    <s v="ESPC360-17091"/>
    <s v="Migración libreria front a a la última versión disponible de angular"/>
    <s v="Front ADN360"/>
    <d v="2025-03-24T09:34:15"/>
    <d v="2025-06-30T11:25:59"/>
    <s v="OPERACIONAL"/>
    <s v="TÉCNICO"/>
    <s v=""/>
    <s v="C360_Team_Mtto"/>
    <s v="Medium"/>
    <s v="CANCELADO"/>
    <s v=""/>
    <s v="Automation for Jira"/>
    <x v="0"/>
    <d v="2025-03-24T09:34:15"/>
    <d v="2025-06-30T11:25:59"/>
    <s v="Interno"/>
    <n v="13"/>
    <d v="2025-03-24T00:00:00"/>
    <n v="27"/>
    <d v="2025-06-30T00:00:00"/>
    <n v="98.077590231485374"/>
    <n v="2025"/>
    <n v="2025"/>
    <x v="11"/>
    <x v="1"/>
  </r>
  <r>
    <s v="ESPC360-17092"/>
    <s v="Migración proyecto de front a a la última versión disponible de angular"/>
    <s v=""/>
    <d v="2025-03-24T09:35:14"/>
    <d v="2025-06-30T16:59:17"/>
    <s v="OPERACIONAL"/>
    <s v="TÉCNICO"/>
    <s v=""/>
    <s v=""/>
    <s v="Medium"/>
    <s v="CANCELADO"/>
    <s v=""/>
    <s v="Automation for Jira"/>
    <x v="0"/>
    <d v="2025-03-24T09:35:14"/>
    <d v="2025-06-30T16:59:17"/>
    <s v="Interno"/>
    <n v="13"/>
    <d v="2025-03-24T00:00:00"/>
    <n v="27"/>
    <d v="2025-06-30T00:00:00"/>
    <n v="98.308374525462568"/>
    <n v="2025"/>
    <n v="2025"/>
    <x v="11"/>
    <x v="1"/>
  </r>
  <r>
    <s v="ESPC360-17093"/>
    <s v="[PRO] Corregir filtro del update del pdf de movimientos (Atlas)"/>
    <s v=""/>
    <d v="2025-03-24T10:41:02"/>
    <d v="2025-05-07T02:40:39"/>
    <s v="OPERACIONAL"/>
    <s v="DESARROLLO"/>
    <s v=""/>
    <s v="C360_Operacional_Team_2"/>
    <s v="Medium"/>
    <s v="CERRADO"/>
    <s v="C360_Operacional_Sprint 199"/>
    <s v="Automation for Jira"/>
    <x v="1"/>
    <d v="2025-03-24T10:41:02"/>
    <d v="2025-05-07T02:40:39"/>
    <s v="Interno"/>
    <n v="13"/>
    <d v="2025-03-24T00:00:00"/>
    <n v="19"/>
    <d v="2025-05-05T00:00:00"/>
    <n v="43.666401747686905"/>
    <n v="2025"/>
    <n v="2025"/>
    <x v="11"/>
    <x v="6"/>
  </r>
  <r>
    <s v="ESPC360-17137"/>
    <s v="[PRO] [Seguros] INC052819986 - No se muestra póliza de accidentes en ADN360"/>
    <s v="Seguros"/>
    <d v="2025-03-25T15:17:54"/>
    <d v="2025-03-26T13:47:59"/>
    <s v="OPERACIONAL"/>
    <s v="SOPORTE"/>
    <s v=""/>
    <s v="C360_Team_Mtto"/>
    <s v="Medium"/>
    <s v="CERRADO"/>
    <s v=""/>
    <s v="BORJA CORTIJO LAJARA"/>
    <x v="2"/>
    <d v="2025-03-25T15:17:54"/>
    <d v="2025-03-26T13:47:59"/>
    <s v="Externo"/>
    <n v="13"/>
    <d v="2025-03-24T00:00:00"/>
    <n v="13"/>
    <d v="2025-03-24T00:00:00"/>
    <n v="0.93756347222370096"/>
    <n v="2025"/>
    <n v="2025"/>
    <x v="11"/>
    <x v="2"/>
  </r>
  <r>
    <s v="ESPC360-17160"/>
    <s v="[PRO] [PFES] INC052862823 - Saldo incorrecto en adn"/>
    <s v="PFEs"/>
    <d v="2025-03-26T13:09:10"/>
    <d v="2025-04-21T10:19:44"/>
    <s v="OPERACIONAL"/>
    <s v="SOPORTE"/>
    <s v=""/>
    <s v="C360_Team_Mtto"/>
    <s v="Medium"/>
    <s v="CERRADO"/>
    <s v=""/>
    <s v="Automation for Jira"/>
    <x v="2"/>
    <d v="2025-03-26T13:09:10"/>
    <d v="2025-04-21T10:19:44"/>
    <s v="Externo"/>
    <n v="13"/>
    <d v="2025-03-24T00:00:00"/>
    <n v="17"/>
    <d v="2025-04-21T00:00:00"/>
    <n v="25.882340034724621"/>
    <n v="2025"/>
    <n v="2025"/>
    <x v="11"/>
    <x v="4"/>
  </r>
  <r>
    <s v="ESPC360-17169"/>
    <s v="[PRO] Cambiar a ataque bulk el update-contratos-carteras"/>
    <s v=""/>
    <d v="2025-03-26T15:43:03"/>
    <d v="2025-06-19T09:19:38"/>
    <s v="OPERACIONAL"/>
    <s v="DESARROLLO"/>
    <s v=""/>
    <s v="C360_Team_Mtto"/>
    <s v="Medium"/>
    <s v="CERRADO"/>
    <s v=""/>
    <s v="Automation for Jira"/>
    <x v="1"/>
    <d v="2025-03-26T15:43:03"/>
    <d v="2025-06-19T09:19:38"/>
    <s v="Interno"/>
    <n v="13"/>
    <d v="2025-03-24T00:00:00"/>
    <n v="25"/>
    <d v="2025-06-16T00:00:00"/>
    <n v="84.733737951384683"/>
    <n v="2025"/>
    <n v="2025"/>
    <x v="11"/>
    <x v="1"/>
  </r>
  <r>
    <s v="ESPC360-17170"/>
    <s v="[PRO] [Fondos] INC052867604 - Error rentabilidad en proceso de calculo"/>
    <s v="Fondos"/>
    <d v="2025-03-26T16:05:13"/>
    <d v="2025-04-02T12:54:41"/>
    <s v="OPERACIONAL"/>
    <s v="SOPORTE"/>
    <s v=""/>
    <s v="C360_Team_Mtto"/>
    <s v="Medium"/>
    <s v="CERRADO"/>
    <s v=""/>
    <s v="Automation for Jira"/>
    <x v="2"/>
    <d v="2025-03-26T16:05:13"/>
    <d v="2025-04-02T12:54:41"/>
    <s v="Externo"/>
    <n v="13"/>
    <d v="2025-03-24T00:00:00"/>
    <n v="14"/>
    <d v="2025-03-31T00:00:00"/>
    <n v="6.8676816898150719"/>
    <n v="2025"/>
    <n v="2025"/>
    <x v="11"/>
    <x v="2"/>
  </r>
  <r>
    <s v="ESPC360-17286"/>
    <s v="Migración de marca PMP batch al nuevo modelo de propuestas (Credits)"/>
    <s v=""/>
    <d v="2025-03-28T11:20:25"/>
    <d v="2025-03-31T10:21:25"/>
    <s v="OPERACIONAL"/>
    <s v="TÉCNICO"/>
    <s v=""/>
    <s v=""/>
    <s v="Medium"/>
    <s v="CANCELADO"/>
    <s v=""/>
    <s v="Automation for Jira"/>
    <x v="0"/>
    <d v="2025-03-28T11:20:25"/>
    <d v="2025-03-31T10:21:25"/>
    <s v="Interno"/>
    <n v="13"/>
    <d v="2025-03-24T00:00:00"/>
    <n v="14"/>
    <d v="2025-03-31T00:00:00"/>
    <n v="2.9590256365772802"/>
    <n v="2025"/>
    <n v="2025"/>
    <x v="11"/>
    <x v="2"/>
  </r>
  <r>
    <s v="ESPC360-17287"/>
    <s v="Migración de marca PMP batch al nuevo modelo de propuestas (Discounts)"/>
    <s v=""/>
    <d v="2025-03-28T11:22:28"/>
    <d v="2025-03-31T10:21:28"/>
    <s v="OPERACIONAL"/>
    <s v="TÉCNICO"/>
    <s v=""/>
    <s v=""/>
    <s v="Medium"/>
    <s v="CANCELADO"/>
    <s v=""/>
    <s v="Automation for Jira"/>
    <x v="0"/>
    <d v="2025-03-28T11:22:28"/>
    <d v="2025-03-31T10:21:28"/>
    <s v="Interno"/>
    <n v="13"/>
    <d v="2025-03-24T00:00:00"/>
    <n v="14"/>
    <d v="2025-03-31T00:00:00"/>
    <n v="2.9576318634281051"/>
    <n v="2025"/>
    <n v="2025"/>
    <x v="11"/>
    <x v="2"/>
  </r>
  <r>
    <s v="ESPC360-17288"/>
    <s v="Migración de marca PMP batch al nuevo modelo de propuestas (Exchange Insurances)"/>
    <s v=""/>
    <d v="2025-03-28T11:23:07"/>
    <d v="2025-03-31T10:21:31"/>
    <s v="OPERACIONAL"/>
    <s v="TÉCNICO"/>
    <s v=""/>
    <s v=""/>
    <s v="Medium"/>
    <s v="CANCELADO"/>
    <s v=""/>
    <s v="Automation for Jira"/>
    <x v="0"/>
    <d v="2025-03-28T11:23:07"/>
    <d v="2025-03-31T10:21:31"/>
    <s v="Interno"/>
    <n v="13"/>
    <d v="2025-03-24T00:00:00"/>
    <n v="14"/>
    <d v="2025-03-31T00:00:00"/>
    <n v="2.9572286226903088"/>
    <n v="2025"/>
    <n v="2025"/>
    <x v="11"/>
    <x v="2"/>
  </r>
  <r>
    <s v="ESPC360-17289"/>
    <s v="Migración de marca PMP batch al nuevo modelo de propuestas (Factoring-Confirming)"/>
    <s v=""/>
    <d v="2025-03-28T11:24:08"/>
    <d v="2025-03-31T10:21:35"/>
    <s v="OPERACIONAL"/>
    <s v="TÉCNICO"/>
    <s v=""/>
    <s v=""/>
    <s v="Medium"/>
    <s v="CANCELADO"/>
    <s v=""/>
    <s v="Automation for Jira"/>
    <x v="0"/>
    <d v="2025-03-28T11:24:08"/>
    <d v="2025-03-31T10:21:35"/>
    <s v="Interno"/>
    <n v="13"/>
    <d v="2025-03-24T00:00:00"/>
    <n v="14"/>
    <d v="2025-03-31T00:00:00"/>
    <n v="2.9565624537062831"/>
    <n v="2025"/>
    <n v="2025"/>
    <x v="11"/>
    <x v="2"/>
  </r>
  <r>
    <s v="ESPC360-17290"/>
    <s v="Migración de marca PMP batch al nuevo modelo de propuestas (Financial Derivates)"/>
    <s v=""/>
    <d v="2025-03-28T11:24:37"/>
    <d v="2025-03-31T10:21:39"/>
    <s v="OPERACIONAL"/>
    <s v="TÉCNICO"/>
    <s v=""/>
    <s v=""/>
    <s v="Medium"/>
    <s v="CANCELADO"/>
    <s v=""/>
    <s v="Automation for Jira"/>
    <x v="0"/>
    <d v="2025-03-28T11:24:37"/>
    <d v="2025-03-31T10:21:39"/>
    <s v="Interno"/>
    <n v="13"/>
    <d v="2025-03-24T00:00:00"/>
    <n v="14"/>
    <d v="2025-03-31T00:00:00"/>
    <n v="2.9562763888898189"/>
    <n v="2025"/>
    <n v="2025"/>
    <x v="11"/>
    <x v="2"/>
  </r>
  <r>
    <s v="ESPC360-17291"/>
    <s v="Migración de marca PMP batch al nuevo modelo de propuestas (Guarantees)"/>
    <s v=""/>
    <d v="2025-03-28T11:25:10"/>
    <d v="2025-03-31T10:21:43"/>
    <s v="OPERACIONAL"/>
    <s v="TÉCNICO"/>
    <s v=""/>
    <s v=""/>
    <s v="Medium"/>
    <s v="CANCELADO"/>
    <s v=""/>
    <s v="Automation for Jira"/>
    <x v="0"/>
    <d v="2025-03-28T11:25:10"/>
    <d v="2025-03-31T10:21:43"/>
    <s v="Interno"/>
    <n v="13"/>
    <d v="2025-03-24T00:00:00"/>
    <n v="14"/>
    <d v="2025-03-31T00:00:00"/>
    <n v="2.9559380787031841"/>
    <n v="2025"/>
    <n v="2025"/>
    <x v="11"/>
    <x v="2"/>
  </r>
  <r>
    <s v="ESPC360-17302"/>
    <s v="[PRO] [PFEs] INC052934819 - Datos descuadrados entre ADN360 y la aplicación particulares"/>
    <s v="PFEs"/>
    <d v="2025-03-31T09:43:48"/>
    <d v="2025-04-09T09:23:58"/>
    <s v="OPERACIONAL"/>
    <s v="SOPORTE"/>
    <s v=""/>
    <s v="C360_Team_Mtto"/>
    <s v="Medium"/>
    <s v="CERRADO"/>
    <s v=""/>
    <s v="BORJA CORTIJO LAJARA"/>
    <x v="2"/>
    <d v="2025-03-31T09:43:48"/>
    <d v="2025-04-09T09:23:58"/>
    <s v="Externo"/>
    <n v="14"/>
    <d v="2025-03-31T00:00:00"/>
    <n v="15"/>
    <d v="2025-04-07T00:00:00"/>
    <n v="8.9862350578696351"/>
    <n v="2025"/>
    <n v="2025"/>
    <x v="11"/>
    <x v="4"/>
  </r>
  <r>
    <s v="ESPC360-17338"/>
    <s v="[PRO] [Seguros] INC052906685 - Ramo de póliza incorrecto en ADN360"/>
    <s v="Seguros"/>
    <d v="2025-03-31T16:35:34"/>
    <d v="2025-04-04T10:25:07"/>
    <s v="OPERACIONAL"/>
    <s v="SOPORTE"/>
    <s v=""/>
    <s v="C360_Team_Mtto"/>
    <s v="Medium"/>
    <s v="CERRADO"/>
    <s v=""/>
    <s v="BORJA CORTIJO LAJARA"/>
    <x v="2"/>
    <d v="2025-03-31T16:35:34"/>
    <d v="2025-04-04T10:25:07"/>
    <s v="Externo"/>
    <n v="14"/>
    <d v="2025-03-31T00:00:00"/>
    <n v="14"/>
    <d v="2025-03-31T00:00:00"/>
    <n v="3.7427500578705803"/>
    <n v="2025"/>
    <n v="2025"/>
    <x v="11"/>
    <x v="2"/>
  </r>
  <r>
    <s v="ESPC360-17349"/>
    <s v="[PRO] [Seguros] INC053063539 - Póliza con salgo 0 en ADN360"/>
    <s v="Seguros"/>
    <d v="2025-04-01T11:58:43"/>
    <d v="2025-04-03T08:56:23"/>
    <s v="OPERACIONAL"/>
    <s v="SOPORTE"/>
    <s v=""/>
    <s v="C360_Team_Mtto"/>
    <s v="Medium"/>
    <s v="CERRADO"/>
    <s v=""/>
    <s v="BORJA CORTIJO LAJARA"/>
    <x v="2"/>
    <d v="2025-04-01T11:58:43"/>
    <d v="2025-04-03T08:56:23"/>
    <s v="Externo"/>
    <n v="14"/>
    <d v="2025-03-31T00:00:00"/>
    <n v="14"/>
    <d v="2025-03-31T00:00:00"/>
    <n v="1.873378032403707"/>
    <n v="2025"/>
    <n v="2025"/>
    <x v="11"/>
    <x v="2"/>
  </r>
  <r>
    <s v="ESPC360-17358"/>
    <s v="Corrección de Control-Hismo en OnPremise"/>
    <s v=""/>
    <d v="2025-04-02T08:29:47"/>
    <d v="2025-06-27T14:18:49"/>
    <s v="OPERACIONAL"/>
    <s v="DEFINICIÓN"/>
    <s v=""/>
    <s v="C360_Operacional_Team_2"/>
    <s v="Medium"/>
    <s v="CERRADO"/>
    <s v="C360_Operacional_Sprint 199"/>
    <s v="Automation for Jira"/>
    <x v="3"/>
    <d v="2025-04-02T08:29:47"/>
    <d v="2025-06-27T14:18:49"/>
    <s v="Externo"/>
    <n v="14"/>
    <d v="2025-03-31T00:00:00"/>
    <n v="26"/>
    <d v="2025-06-23T00:00:00"/>
    <n v="86.2423781018515"/>
    <n v="2025"/>
    <n v="2025"/>
    <x v="11"/>
    <x v="1"/>
  </r>
  <r>
    <s v="ESPC360-17364"/>
    <s v="[PRO] [Préstamos] La refinanciacion del contrato 004950311030609075 tiene descuadre y no deberia"/>
    <s v="Préstamos"/>
    <d v="2025-04-02T12:49:09"/>
    <d v="2025-04-08T10:13:50"/>
    <s v="OPERACIONAL"/>
    <s v="DESARROLLO"/>
    <s v=""/>
    <s v="C360_Team_Mtto"/>
    <s v="Medium"/>
    <s v="CERRADO"/>
    <s v=""/>
    <s v="Automation for Jira"/>
    <x v="1"/>
    <d v="2025-04-02T12:49:09"/>
    <d v="2025-04-08T10:13:50"/>
    <s v="Interno"/>
    <n v="14"/>
    <d v="2025-03-31T00:00:00"/>
    <n v="15"/>
    <d v="2025-04-07T00:00:00"/>
    <n v="5.892135381945991"/>
    <n v="2025"/>
    <n v="2025"/>
    <x v="11"/>
    <x v="4"/>
  </r>
  <r>
    <s v="ESPC360-17376"/>
    <s v="[PRO] Los servicios digitales de Santander Go no siempre se están traduciendo"/>
    <s v=""/>
    <d v="2025-04-03T09:34:46"/>
    <d v="2025-05-07T02:40:22"/>
    <s v="OPERACIONAL"/>
    <s v="DESARROLLO"/>
    <s v=""/>
    <s v=""/>
    <s v="Medium"/>
    <s v="CERRADO"/>
    <s v=""/>
    <s v="Automation for Jira"/>
    <x v="1"/>
    <d v="2025-04-03T09:34:46"/>
    <d v="2025-05-07T02:40:22"/>
    <s v="Interno"/>
    <n v="14"/>
    <d v="2025-03-31T00:00:00"/>
    <n v="19"/>
    <d v="2025-05-05T00:00:00"/>
    <n v="33.712222997688514"/>
    <n v="2025"/>
    <n v="2025"/>
    <x v="11"/>
    <x v="6"/>
  </r>
  <r>
    <s v="ESPC360-17377"/>
    <s v="[PRE] [BGM] INC053124945 - Modificación en API  Buscador Global - Movimientos Tarjeta"/>
    <s v="Movimientos Tarjetas"/>
    <d v="2025-04-03T10:08:00"/>
    <d v="2025-05-07T02:40:52"/>
    <s v="OPERACIONAL"/>
    <s v="DESARROLLO"/>
    <s v=""/>
    <s v="C360_Team_Mtto"/>
    <s v="Medium"/>
    <s v="CERRADO"/>
    <s v=""/>
    <s v="BORJA CORTIJO LAJARA"/>
    <x v="1"/>
    <d v="2025-04-03T10:08:00"/>
    <d v="2025-05-07T02:40:52"/>
    <s v="Interno"/>
    <n v="14"/>
    <d v="2025-03-31T00:00:00"/>
    <n v="19"/>
    <d v="2025-05-05T00:00:00"/>
    <n v="33.689486030089029"/>
    <n v="2025"/>
    <n v="2025"/>
    <x v="11"/>
    <x v="6"/>
  </r>
  <r>
    <s v="ESPC360-17513"/>
    <s v="[Cuentas] Solución  de relación contrato cuentas con contrato rel_contratos"/>
    <s v="Cuentas"/>
    <d v="2025-04-08T09:32:56"/>
    <d v="2025-07-23T11:43:03"/>
    <s v="OPERACIONAL"/>
    <s v="FUNCIONAL"/>
    <s v=""/>
    <s v="C360_Team_Mtto"/>
    <s v="Medium"/>
    <s v="CERRADO"/>
    <s v=""/>
    <s v="Automation for Jira"/>
    <x v="4"/>
    <d v="2025-04-08T09:32:56"/>
    <d v="2025-07-23T11:43:03"/>
    <s v="Interno"/>
    <n v="15"/>
    <d v="2025-04-07T00:00:00"/>
    <n v="30"/>
    <d v="2025-07-21T00:00:00"/>
    <n v="106.09035962962662"/>
    <n v="2025"/>
    <n v="2025"/>
    <x v="12"/>
    <x v="7"/>
  </r>
  <r>
    <s v="ESPC360-17522"/>
    <s v="[PRE] [Aggregations] INC054876772 - Field total cuando deberia ser Número total de contratos"/>
    <s v=""/>
    <d v="2025-04-08T10:10:31"/>
    <d v="2025-06-27T14:18:14"/>
    <s v="OPERACIONAL"/>
    <s v="DESARROLLO"/>
    <s v=""/>
    <s v="C360_Operacional_Team_1"/>
    <s v="Medium"/>
    <s v="CERRADO"/>
    <s v="C360_Operacional_Sprint 201"/>
    <s v="Automation for Jira"/>
    <x v="1"/>
    <d v="2025-04-08T10:10:31"/>
    <d v="2025-06-27T14:18:14"/>
    <s v="Interno"/>
    <n v="15"/>
    <d v="2025-04-07T00:00:00"/>
    <n v="26"/>
    <d v="2025-06-23T00:00:00"/>
    <n v="80.172031712958415"/>
    <n v="2025"/>
    <n v="2025"/>
    <x v="12"/>
    <x v="1"/>
  </r>
  <r>
    <s v="ESPC360-17590"/>
    <s v="[PRO] [FRONT] INC053368186 - Error Bizum en ADN360"/>
    <s v="Front ADN360"/>
    <d v="2025-04-09T16:25:49"/>
    <d v="2025-05-08T15:58:54"/>
    <s v="OPERACIONAL"/>
    <s v="DESARROLLO"/>
    <s v=""/>
    <s v="C360_Team_Mtto"/>
    <s v="Medium"/>
    <s v="CERRADO"/>
    <s v=""/>
    <s v="BORJA CORTIJO LAJARA"/>
    <x v="1"/>
    <d v="2025-04-09T16:25:49"/>
    <d v="2025-05-08T15:58:54"/>
    <s v="Interno"/>
    <n v="15"/>
    <d v="2025-04-07T00:00:00"/>
    <n v="19"/>
    <d v="2025-05-05T00:00:00"/>
    <n v="28.981308449074277"/>
    <n v="2025"/>
    <n v="2025"/>
    <x v="12"/>
    <x v="6"/>
  </r>
  <r>
    <s v="ESPC360-17597"/>
    <s v="[PRO] INC053378862 - Error en la descripción de un movimiento"/>
    <s v="Movimientos Cuentas"/>
    <d v="2025-04-10T09:52:21"/>
    <d v="2025-04-10T10:12:10"/>
    <s v="OPERACIONAL"/>
    <s v="SOPORTE"/>
    <s v=""/>
    <s v="C360_Team_Mtto"/>
    <s v="Medium"/>
    <s v="CERRADO"/>
    <s v=""/>
    <s v="BORJA CORTIJO LAJARA"/>
    <x v="2"/>
    <d v="2025-04-10T09:52:21"/>
    <d v="2025-04-10T10:12:10"/>
    <s v="Externo"/>
    <n v="15"/>
    <d v="2025-04-07T00:00:00"/>
    <n v="15"/>
    <d v="2025-04-07T00:00:00"/>
    <n v="1.3757384258497041E-2"/>
    <n v="2025"/>
    <n v="2025"/>
    <x v="12"/>
    <x v="4"/>
  </r>
  <r>
    <s v="ESPC360-17600"/>
    <s v="[PRO] [Valores] INC052939932 - No se muestra un contrato de valores"/>
    <s v="Carteras Gestionadas;Valores"/>
    <d v="2025-04-10T12:34:52"/>
    <d v="2025-05-08T09:24:09"/>
    <s v="OPERACIONAL"/>
    <s v="SOPORTE"/>
    <s v=""/>
    <s v="C360_Team_Mtto"/>
    <s v="Medium"/>
    <s v="CERRADO"/>
    <s v=""/>
    <s v="BORJA CORTIJO LAJARA"/>
    <x v="2"/>
    <d v="2025-04-10T12:34:52"/>
    <d v="2025-05-08T09:24:09"/>
    <s v="Externo"/>
    <n v="15"/>
    <d v="2025-04-07T00:00:00"/>
    <n v="19"/>
    <d v="2025-05-05T00:00:00"/>
    <n v="27.867557800927898"/>
    <n v="2025"/>
    <n v="2025"/>
    <x v="12"/>
    <x v="6"/>
  </r>
  <r>
    <s v="ESPC360-17601"/>
    <s v="[PRO] [Valores] INC053380917 - Error visualización rentabilidad valores"/>
    <s v="Valores"/>
    <d v="2025-04-10T15:47:55"/>
    <d v="2025-04-14T11:55:37"/>
    <s v="OPERACIONAL"/>
    <s v="SOPORTE"/>
    <s v=""/>
    <s v="C360_Team_Mtto"/>
    <s v="Medium"/>
    <s v="CERRADO"/>
    <s v=""/>
    <s v="BORJA CORTIJO LAJARA"/>
    <x v="2"/>
    <d v="2025-04-10T15:47:55"/>
    <d v="2025-04-14T11:55:37"/>
    <s v="Externo"/>
    <n v="15"/>
    <d v="2025-04-07T00:00:00"/>
    <n v="16"/>
    <d v="2025-04-14T00:00:00"/>
    <n v="3.8386829513910925"/>
    <n v="2025"/>
    <n v="2025"/>
    <x v="12"/>
    <x v="4"/>
  </r>
  <r>
    <s v="ESPC360-17658"/>
    <s v="[PRO] [Préstamos] INC053452332 - Descuadre de la deuda entre ADN360 y teleproceso. Adjuntamos imágenes con ejemplo"/>
    <s v="Préstamos"/>
    <d v="2025-04-11T09:54:21"/>
    <d v="2025-04-11T13:01:46"/>
    <s v="OPERACIONAL"/>
    <s v="DESARROLLO"/>
    <s v=""/>
    <s v="C360_Team_Mtto"/>
    <s v="Medium"/>
    <s v="CERRADO"/>
    <s v=""/>
    <s v="Automation for Jira"/>
    <x v="1"/>
    <d v="2025-04-11T09:54:21"/>
    <d v="2025-04-11T13:01:46"/>
    <s v="Interno"/>
    <n v="15"/>
    <d v="2025-04-07T00:00:00"/>
    <n v="15"/>
    <d v="2025-04-07T00:00:00"/>
    <n v="0.13015734953660285"/>
    <n v="2025"/>
    <n v="2025"/>
    <x v="12"/>
    <x v="4"/>
  </r>
  <r>
    <s v="ESPC360-17666"/>
    <s v="[PRO] [Cuentas-Créditos] INC053537096 - Fecha vencimiento del crédito errónea en ADN360"/>
    <s v="Cuentas"/>
    <d v="2025-04-14T11:29:48"/>
    <d v="2025-04-21T10:15:35"/>
    <s v="OPERACIONAL"/>
    <s v="SOPORTE"/>
    <s v=""/>
    <s v="C360_Team_Mtto"/>
    <s v="Medium"/>
    <s v="CERRADO"/>
    <s v=""/>
    <s v="BORJA CORTIJO LAJARA"/>
    <x v="2"/>
    <d v="2025-04-14T11:29:48"/>
    <d v="2025-04-21T10:15:35"/>
    <s v="Externo"/>
    <n v="16"/>
    <d v="2025-04-14T00:00:00"/>
    <n v="17"/>
    <d v="2025-04-21T00:00:00"/>
    <n v="6.9484664351839456"/>
    <n v="2025"/>
    <n v="2025"/>
    <x v="12"/>
    <x v="4"/>
  </r>
  <r>
    <s v="ESPC360-17667"/>
    <s v="[PRO] [Seguros] INC053542406 - No aparece la póliza en la posición del cliente"/>
    <s v="Seguros"/>
    <d v="2025-04-14T13:10:53"/>
    <d v="2025-04-23T14:32:24"/>
    <s v="OPERACIONAL"/>
    <s v="SOPORTE"/>
    <s v=""/>
    <s v="C360_Team_Mtto"/>
    <s v="Medium"/>
    <s v="CERRADO"/>
    <s v=""/>
    <s v="BORJA CORTIJO LAJARA"/>
    <x v="2"/>
    <d v="2025-04-14T13:10:53"/>
    <d v="2025-04-23T14:32:24"/>
    <s v="Externo"/>
    <n v="16"/>
    <d v="2025-04-14T00:00:00"/>
    <n v="17"/>
    <d v="2025-04-21T00:00:00"/>
    <n v="9.0566127430574852"/>
    <n v="2025"/>
    <n v="2025"/>
    <x v="12"/>
    <x v="4"/>
  </r>
  <r>
    <s v="ESPC360-17671"/>
    <s v="[PRO] [Depósitos] INC053551773 - Le aparecen en ADN dos nuevos PFE sin importe"/>
    <s v="PFEs"/>
    <d v="2025-04-14T18:07:53"/>
    <d v="2025-04-30T15:04:38"/>
    <s v="OPERACIONAL"/>
    <s v="SOPORTE"/>
    <s v=""/>
    <s v="C360_Team_Mtto"/>
    <s v="Medium"/>
    <s v="CERRADO"/>
    <s v=""/>
    <s v="BORJA CORTIJO LAJARA"/>
    <x v="2"/>
    <d v="2025-04-14T18:07:53"/>
    <d v="2025-04-30T15:04:38"/>
    <s v="Externo"/>
    <n v="16"/>
    <d v="2025-04-14T00:00:00"/>
    <n v="18"/>
    <d v="2025-04-28T00:00:00"/>
    <n v="15.872749143520196"/>
    <n v="2025"/>
    <n v="2025"/>
    <x v="12"/>
    <x v="4"/>
  </r>
  <r>
    <s v="ESPC360-17674"/>
    <s v="[PRO] [Seguros] INC053551404 - No aparece nueva póliza en ADN360"/>
    <s v="Seguros"/>
    <d v="2025-04-15T07:58:15"/>
    <d v="2025-04-23T14:34:15"/>
    <s v="OPERACIONAL"/>
    <s v="SOPORTE"/>
    <s v=""/>
    <s v="C360_Team_Mtto"/>
    <s v="Medium"/>
    <s v="CERRADO"/>
    <s v=""/>
    <s v="BORJA CORTIJO LAJARA"/>
    <x v="2"/>
    <d v="2025-04-15T07:58:15"/>
    <d v="2025-04-23T14:34:15"/>
    <s v="Externo"/>
    <n v="16"/>
    <d v="2025-04-14T00:00:00"/>
    <n v="17"/>
    <d v="2025-04-21T00:00:00"/>
    <n v="8.2749974537073285"/>
    <n v="2025"/>
    <n v="2025"/>
    <x v="12"/>
    <x v="4"/>
  </r>
  <r>
    <s v="ESPC360-17682"/>
    <s v="[Observabilidad] - No se visualizan eventos OK"/>
    <s v=""/>
    <d v="2025-04-16T10:46:02"/>
    <d v="2025-05-22T13:16:06"/>
    <s v="OPERACIONAL"/>
    <s v="DESARROLLO"/>
    <s v=""/>
    <s v="C360_Operacional_Team_2"/>
    <s v="Medium"/>
    <s v="CERRADO"/>
    <s v="C360_Operacional_Sprint 199"/>
    <s v="CARLOS Camacho Menchero"/>
    <x v="1"/>
    <d v="2025-04-16T10:46:02"/>
    <d v="2025-05-22T13:16:06"/>
    <s v="Interno"/>
    <n v="16"/>
    <d v="2025-04-14T00:00:00"/>
    <n v="21"/>
    <d v="2025-05-19T00:00:00"/>
    <n v="36.104214513892657"/>
    <n v="2025"/>
    <n v="2025"/>
    <x v="12"/>
    <x v="6"/>
  </r>
  <r>
    <s v="ESPC360-17684"/>
    <s v="[Observabilidad] - No se está obteniendo el customerId en la API al no ingestarse normalizado"/>
    <s v=""/>
    <d v="2025-04-16T10:47:21"/>
    <d v="2025-05-22T13:16:09"/>
    <s v="OPERACIONAL"/>
    <s v="DESARROLLO"/>
    <s v=""/>
    <s v="C360_Operacional_Team_2"/>
    <s v="Medium"/>
    <s v="CERRADO"/>
    <s v="C360_Operacional_Sprint 199"/>
    <s v="CARLOS Camacho Menchero"/>
    <x v="1"/>
    <d v="2025-04-16T10:47:21"/>
    <d v="2025-05-22T13:16:09"/>
    <s v="Interno"/>
    <n v="16"/>
    <d v="2025-04-14T00:00:00"/>
    <n v="21"/>
    <d v="2025-05-19T00:00:00"/>
    <n v="36.103329618061252"/>
    <n v="2025"/>
    <n v="2025"/>
    <x v="12"/>
    <x v="6"/>
  </r>
  <r>
    <s v="ESPC360-17699"/>
    <s v="[Dispositivo Seguro] [RT] - No se están eliminando los dispositivos en los eventos DLET"/>
    <s v=""/>
    <d v="2025-04-20T23:46:14"/>
    <d v="2025-05-07T02:40:39"/>
    <s v="OPERACIONAL"/>
    <s v="DESARROLLO"/>
    <s v=""/>
    <s v="C360_Operacional_Team_1"/>
    <s v="Medium"/>
    <s v="CERRADO"/>
    <s v="C360_Operacional_Sprint 200"/>
    <s v="Automation for Jira"/>
    <x v="1"/>
    <d v="2025-04-20T23:46:14"/>
    <d v="2025-05-07T02:40:39"/>
    <s v="Interno"/>
    <n v="17"/>
    <d v="2025-04-21T00:00:00"/>
    <n v="19"/>
    <d v="2025-05-05T00:00:00"/>
    <n v="16.121121030089853"/>
    <n v="2025"/>
    <n v="2025"/>
    <x v="12"/>
    <x v="6"/>
  </r>
  <r>
    <s v="ESPC360-17708"/>
    <s v="[PRO] [Cuentas]  INC053419855 - Error al llamar al detalle por cuenta local"/>
    <s v="Confidencialidad;Cuentas"/>
    <d v="2025-04-21T11:46:39"/>
    <d v="2025-05-05T09:01:11"/>
    <s v="OPERACIONAL"/>
    <s v="SOPORTE"/>
    <s v=""/>
    <s v="C360_Team_Mtto"/>
    <s v="Medium"/>
    <s v="CERRADO"/>
    <s v=""/>
    <s v="Automation for Jira"/>
    <x v="2"/>
    <d v="2025-04-21T11:46:39"/>
    <d v="2025-05-05T09:01:11"/>
    <s v="Externo"/>
    <n v="17"/>
    <d v="2025-04-21T00:00:00"/>
    <n v="19"/>
    <d v="2025-05-05T00:00:00"/>
    <n v="13.885097013888299"/>
    <n v="2025"/>
    <n v="2025"/>
    <x v="12"/>
    <x v="6"/>
  </r>
  <r>
    <s v="ESPC360-17712"/>
    <s v="[PRO] Fix para leer la última partición de la tabla de dispositivos seguros"/>
    <s v=""/>
    <d v="2025-04-21T13:59:24"/>
    <d v="2025-06-26T15:47:07"/>
    <s v="OPERACIONAL"/>
    <s v="TÉCNICO"/>
    <s v=""/>
    <s v="C360_Operacional_Team_2"/>
    <s v="Medium"/>
    <s v="CERRADO"/>
    <s v="C360_Operacional_Sprint 202"/>
    <s v="Automation for Jira"/>
    <x v="0"/>
    <d v="2025-04-21T13:59:24"/>
    <d v="2025-06-26T15:47:07"/>
    <s v="Interno"/>
    <n v="17"/>
    <d v="2025-04-21T00:00:00"/>
    <n v="26"/>
    <d v="2025-06-23T00:00:00"/>
    <n v="66.074800023146963"/>
    <n v="2025"/>
    <n v="2025"/>
    <x v="12"/>
    <x v="1"/>
  </r>
  <r>
    <s v="ESPC360-17721"/>
    <s v="[PRO] [PFEs] INC053778847 - No aparecen PFEs en posición del cliente"/>
    <s v="PFEs"/>
    <d v="2025-04-21T17:19:54"/>
    <d v="2025-04-23T14:35:37"/>
    <s v="OPERACIONAL"/>
    <s v="SOPORTE"/>
    <s v=""/>
    <s v="C360_Team_Mtto"/>
    <s v="Medium"/>
    <s v="CERRADO"/>
    <s v=""/>
    <s v="BORJA CORTIJO LAJARA"/>
    <x v="2"/>
    <d v="2025-04-21T17:19:54"/>
    <d v="2025-04-23T14:35:37"/>
    <s v="Externo"/>
    <n v="17"/>
    <d v="2025-04-21T00:00:00"/>
    <n v="17"/>
    <d v="2025-04-21T00:00:00"/>
    <n v="1.8859240277815843"/>
    <n v="2025"/>
    <n v="2025"/>
    <x v="12"/>
    <x v="4"/>
  </r>
  <r>
    <s v="ESPC360-17816"/>
    <s v="[PRO] [PMP] INC053847245 - Error en vencimiento en adn de la póliza de crédito"/>
    <s v="Póliza Multiproducto (PMP)"/>
    <d v="2025-04-23T16:47:30"/>
    <d v="2025-04-30T15:06:52"/>
    <s v="OPERACIONAL"/>
    <s v="SOPORTE"/>
    <s v=""/>
    <s v="C360_Team_Mtto"/>
    <s v="Medium"/>
    <s v="CERRADO"/>
    <s v=""/>
    <s v="BORJA CORTIJO LAJARA"/>
    <x v="2"/>
    <d v="2025-04-23T16:47:30"/>
    <d v="2025-04-30T15:06:52"/>
    <s v="Externo"/>
    <n v="17"/>
    <d v="2025-04-21T00:00:00"/>
    <n v="18"/>
    <d v="2025-04-28T00:00:00"/>
    <n v="6.9301104166661389"/>
    <n v="2025"/>
    <n v="2025"/>
    <x v="12"/>
    <x v="4"/>
  </r>
  <r>
    <s v="ESPC360-17821"/>
    <s v="[PRO] [Cuentas] INC053857963 - No se visualiza nueva cuenta del cliente"/>
    <s v="Cuentas"/>
    <d v="2025-04-24T08:57:34"/>
    <d v="2025-04-24T16:18:52"/>
    <s v="OPERACIONAL"/>
    <s v="TÉCNICO"/>
    <s v=""/>
    <s v="C360_Team_Mtto"/>
    <s v="Medium"/>
    <s v="CERRADO"/>
    <s v=""/>
    <s v="BORJA CORTIJO LAJARA"/>
    <x v="0"/>
    <d v="2025-04-24T08:57:34"/>
    <d v="2025-04-24T16:18:52"/>
    <s v="Interno"/>
    <n v="17"/>
    <d v="2025-04-21T00:00:00"/>
    <n v="17"/>
    <d v="2025-04-21T00:00:00"/>
    <n v="0.30646269676071825"/>
    <n v="2025"/>
    <n v="2025"/>
    <x v="12"/>
    <x v="4"/>
  </r>
  <r>
    <s v="ESPC360-17822"/>
    <s v="[PRO]  [Fondos]  INC053854041 - Api devuelve titulos disponibles a 0"/>
    <s v="Fondos"/>
    <d v="2025-04-24T09:15:39"/>
    <d v="2025-04-25T10:18:24"/>
    <s v="OPERACIONAL"/>
    <s v="SOPORTE"/>
    <s v=""/>
    <s v="C360_Team_Mtto"/>
    <s v="Medium"/>
    <s v="CERRADO"/>
    <s v=""/>
    <s v="Automation for Jira"/>
    <x v="2"/>
    <d v="2025-04-24T09:15:39"/>
    <d v="2025-04-25T10:18:24"/>
    <s v="Externo"/>
    <n v="17"/>
    <d v="2025-04-21T00:00:00"/>
    <n v="17"/>
    <d v="2025-04-21T00:00:00"/>
    <n v="1.0435754513891879"/>
    <n v="2025"/>
    <n v="2025"/>
    <x v="12"/>
    <x v="4"/>
  </r>
  <r>
    <s v="ESPC360-17833"/>
    <s v="[PRO] [Valores] INC053838458 - rentabilidad no cuiadradad"/>
    <s v="Valores"/>
    <d v="2025-04-24T12:59:49"/>
    <d v="2025-04-25T10:15:08"/>
    <s v="OPERACIONAL"/>
    <s v="SOPORTE"/>
    <s v=""/>
    <s v="C360_Team_Mtto"/>
    <s v="Medium"/>
    <s v="CERRADO"/>
    <s v=""/>
    <s v="Automation for Jira"/>
    <x v="2"/>
    <d v="2025-04-24T12:59:49"/>
    <d v="2025-04-25T10:15:08"/>
    <s v="Externo"/>
    <n v="17"/>
    <d v="2025-04-21T00:00:00"/>
    <n v="17"/>
    <d v="2025-04-21T00:00:00"/>
    <n v="0.88564653935463866"/>
    <n v="2025"/>
    <n v="2025"/>
    <x v="12"/>
    <x v="4"/>
  </r>
  <r>
    <s v="ESPC360-18006"/>
    <s v="[PRE] [Movimientos Tarjetas] No se muestra financiables movimientos que cumplen condiciones"/>
    <s v="Movimientos Tarjetas"/>
    <d v="2025-04-25T10:46:37"/>
    <d v="2025-05-28T14:52:09"/>
    <s v="OPERACIONAL"/>
    <s v="DESARROLLO"/>
    <s v=""/>
    <s v="C360_Team_Mtto"/>
    <s v="Medium"/>
    <s v="CERRADO"/>
    <s v=""/>
    <s v="BORJA CORTIJO LAJARA"/>
    <x v="1"/>
    <d v="2025-04-25T10:46:37"/>
    <d v="2025-05-28T14:52:09"/>
    <s v="Interno"/>
    <n v="17"/>
    <d v="2025-04-21T00:00:00"/>
    <n v="22"/>
    <d v="2025-05-26T00:00:00"/>
    <n v="33.170506215275964"/>
    <n v="2025"/>
    <n v="2025"/>
    <x v="12"/>
    <x v="6"/>
  </r>
  <r>
    <s v="ESPC360-18008"/>
    <s v="[PRE] [Valores] INC053459805 - Error en el front al desplegar contratos hijos no se ve el menú del contrato"/>
    <s v="Front ADN360;Valores"/>
    <d v="2025-04-28T10:38:42"/>
    <d v="2025-05-28T16:27:12"/>
    <s v="OPERACIONAL"/>
    <s v="DESARROLLO"/>
    <s v=""/>
    <s v="C360_Operacional_Team_2"/>
    <s v="Medium"/>
    <s v="CERRADO"/>
    <s v="C360_Operacional_Sprint 201"/>
    <s v="Automation for Jira"/>
    <x v="1"/>
    <d v="2025-04-28T10:38:42"/>
    <d v="2025-05-28T16:27:12"/>
    <s v="Interno"/>
    <n v="18"/>
    <d v="2025-04-28T00:00:00"/>
    <n v="22"/>
    <d v="2025-05-26T00:00:00"/>
    <n v="30.242008333334525"/>
    <n v="2025"/>
    <n v="2025"/>
    <x v="12"/>
    <x v="6"/>
  </r>
  <r>
    <s v="ESPC360-18009"/>
    <s v="[PRO] [Planeta Seguros] INC054015357 - Seguro cancelado aparece activo en adn360"/>
    <s v="Planeta Seguros"/>
    <d v="2025-04-28T11:44:04"/>
    <d v="2025-05-05T09:03:26"/>
    <s v="OPERACIONAL"/>
    <s v="SOPORTE"/>
    <s v=""/>
    <s v="C360_Team_Mtto"/>
    <s v="Medium"/>
    <s v="CERRADO"/>
    <s v=""/>
    <s v="Automation for Jira"/>
    <x v="2"/>
    <d v="2025-04-28T11:44:04"/>
    <d v="2025-05-05T09:03:26"/>
    <s v="Externo"/>
    <n v="18"/>
    <d v="2025-04-28T00:00:00"/>
    <n v="19"/>
    <d v="2025-05-05T00:00:00"/>
    <n v="6.8884425347205251"/>
    <n v="2025"/>
    <n v="2025"/>
    <x v="12"/>
    <x v="6"/>
  </r>
  <r>
    <s v="ESPC360-18144"/>
    <s v="[PRO] [Tarjetas] INC054166559 - Tarjeta bloqueada aparece en vigor en adn360"/>
    <s v="Tarjetas"/>
    <d v="2025-05-05T12:52:58"/>
    <d v="2025-05-08T15:58:46"/>
    <s v="OPERACIONAL"/>
    <s v="DESARROLLO"/>
    <s v=""/>
    <s v="C360_Team_Mtto"/>
    <s v="Medium"/>
    <s v="CERRADO"/>
    <s v=""/>
    <s v="Automation for Jira"/>
    <x v="1"/>
    <d v="2025-05-05T12:52:58"/>
    <d v="2025-05-08T15:58:46"/>
    <s v="Interno"/>
    <n v="19"/>
    <d v="2025-05-05T00:00:00"/>
    <n v="19"/>
    <d v="2025-05-05T00:00:00"/>
    <n v="3.1290257060245494"/>
    <n v="2025"/>
    <n v="2025"/>
    <x v="13"/>
    <x v="6"/>
  </r>
  <r>
    <s v="ESPC360-18150"/>
    <s v="[PRO] [Cuentas] INC054107597 - No se muestra la posición global al acceder con uno de los usuarios"/>
    <s v="Cuentas"/>
    <d v="2025-05-05T18:10:39"/>
    <d v="2025-05-08T08:53:35"/>
    <s v="OPERACIONAL"/>
    <s v="DESARROLLO"/>
    <s v=""/>
    <s v="C360_Team_Mtto"/>
    <s v="Medium"/>
    <s v="CERRADO"/>
    <s v=""/>
    <s v="BORJA CORTIJO LAJARA"/>
    <x v="1"/>
    <d v="2025-05-05T18:10:39"/>
    <d v="2025-05-08T08:53:35"/>
    <s v="Interno"/>
    <n v="19"/>
    <d v="2025-05-05T00:00:00"/>
    <n v="19"/>
    <d v="2025-05-05T00:00:00"/>
    <n v="2.6131508217586088"/>
    <n v="2025"/>
    <n v="2025"/>
    <x v="13"/>
    <x v="6"/>
  </r>
  <r>
    <s v="ESPC360-18167"/>
    <s v="[PRO] INC054272268  - Tarjeta contratada el 30.04.2025 que no figura en ADN cliente"/>
    <s v="Tarjetas"/>
    <d v="2025-05-06T18:47:42"/>
    <d v="2025-05-08T09:20:12"/>
    <s v="OPERACIONAL"/>
    <s v="DESARROLLO"/>
    <s v=""/>
    <s v="C360_Team_Mtto"/>
    <s v="Medium"/>
    <s v="CERRADO"/>
    <s v=""/>
    <s v="BORJA CORTIJO LAJARA"/>
    <x v="1"/>
    <d v="2025-05-06T18:47:42"/>
    <d v="2025-05-08T09:20:12"/>
    <s v="Interno"/>
    <n v="19"/>
    <d v="2025-05-05T00:00:00"/>
    <n v="19"/>
    <d v="2025-05-05T00:00:00"/>
    <n v="1.6059009606469772"/>
    <n v="2025"/>
    <n v="2025"/>
    <x v="13"/>
    <x v="6"/>
  </r>
  <r>
    <s v="ESPC360-18331"/>
    <s v="[PRO] [Seguros] INC054368331 - ADN360 no está recogiendo el importe correctamente"/>
    <s v="Seguros"/>
    <d v="2025-05-08T15:56:44"/>
    <d v="2025-05-12T09:02:22"/>
    <s v="OPERACIONAL"/>
    <s v="SOPORTE"/>
    <s v=""/>
    <s v="C360_Team_Mtto"/>
    <s v="Medium"/>
    <s v="CERRADO"/>
    <s v=""/>
    <s v="Automation for Jira"/>
    <x v="2"/>
    <d v="2025-05-08T15:56:44"/>
    <d v="2025-05-12T09:02:22"/>
    <s v="Externo"/>
    <n v="19"/>
    <d v="2025-05-05T00:00:00"/>
    <n v="20"/>
    <d v="2025-05-12T00:00:00"/>
    <n v="3.7122404629626544"/>
    <n v="2025"/>
    <n v="2025"/>
    <x v="13"/>
    <x v="6"/>
  </r>
  <r>
    <s v="ESPC360-18343"/>
    <s v="[PRO] [Valores] INC054282349 - No se muestran las rentabilidades por la app"/>
    <s v="Valores"/>
    <d v="2025-05-08T17:13:06"/>
    <d v="2025-05-12T09:03:08"/>
    <s v="OPERACIONAL"/>
    <s v="SOPORTE"/>
    <s v=""/>
    <s v="C360_Team_Mtto"/>
    <s v="Medium"/>
    <s v="CERRADO"/>
    <s v=""/>
    <s v="BORJA CORTIJO LAJARA"/>
    <x v="2"/>
    <d v="2025-05-08T17:13:06"/>
    <d v="2025-05-12T09:03:08"/>
    <s v="Externo"/>
    <n v="19"/>
    <d v="2025-05-05T00:00:00"/>
    <n v="20"/>
    <d v="2025-05-12T00:00:00"/>
    <n v="3.6597401041653939"/>
    <n v="2025"/>
    <n v="2025"/>
    <x v="13"/>
    <x v="6"/>
  </r>
  <r>
    <s v="ESPC360-18362"/>
    <s v="[PRO] [Valores] INC054404336 - No se muestra contrao por PGP"/>
    <s v="Valores"/>
    <d v="2025-05-12T08:47:44"/>
    <d v="2025-05-16T12:33:51"/>
    <s v="OPERACIONAL"/>
    <s v="SOPORTE"/>
    <s v=""/>
    <s v="C360_Team_Mtto"/>
    <s v="Medium"/>
    <s v="CERRADO"/>
    <s v=""/>
    <s v="Automation for Jira"/>
    <x v="2"/>
    <d v="2025-05-12T08:47:44"/>
    <d v="2025-05-16T12:33:51"/>
    <s v="Externo"/>
    <n v="20"/>
    <d v="2025-05-12T00:00:00"/>
    <n v="20"/>
    <d v="2025-05-12T00:00:00"/>
    <n v="4.1570263310204609"/>
    <n v="2025"/>
    <n v="2025"/>
    <x v="13"/>
    <x v="6"/>
  </r>
  <r>
    <s v="ESPC360-18420"/>
    <s v="[PRO] [Seguros] INC054601440 - no se ven dos contratos"/>
    <s v=""/>
    <d v="2025-05-16T09:21:37"/>
    <d v="2025-05-21T10:44:20"/>
    <s v="OPERACIONAL"/>
    <s v="SOPORTE"/>
    <s v=""/>
    <s v="C360_Team_Mtto"/>
    <s v="Medium"/>
    <s v="CERRADO"/>
    <s v=""/>
    <s v="Automation for Jira"/>
    <x v="2"/>
    <d v="2025-05-16T09:21:37"/>
    <d v="2025-05-21T10:44:20"/>
    <s v="Externo"/>
    <n v="20"/>
    <d v="2025-05-12T00:00:00"/>
    <n v="21"/>
    <d v="2025-05-19T00:00:00"/>
    <n v="5.0574424652804737"/>
    <n v="2025"/>
    <n v="2025"/>
    <x v="13"/>
    <x v="6"/>
  </r>
  <r>
    <s v="ESPC360-18422"/>
    <s v="[PRO]] [PFE] INC054605254 - imposición dada de baja se muestra en adn360 como alta"/>
    <s v="PFEs"/>
    <d v="2025-05-16T10:13:25"/>
    <d v="2025-05-19T16:38:55"/>
    <s v="OPERACIONAL"/>
    <s v="SOPORTE"/>
    <s v=""/>
    <s v="C360_Team_Mtto"/>
    <s v="Medium"/>
    <s v="CERRADO"/>
    <s v=""/>
    <s v="Automation for Jira"/>
    <x v="2"/>
    <d v="2025-05-16T10:13:25"/>
    <d v="2025-05-19T16:38:55"/>
    <s v="Externo"/>
    <n v="20"/>
    <d v="2025-05-12T00:00:00"/>
    <n v="21"/>
    <d v="2025-05-19T00:00:00"/>
    <n v="3.2677145486159134"/>
    <n v="2025"/>
    <n v="2025"/>
    <x v="13"/>
    <x v="6"/>
  </r>
  <r>
    <s v="ESPC360-18425"/>
    <s v="[PRO] [FRONT] INC053536658 - no pinta valores la impresion del PDF para el usuario F9326478"/>
    <s v="Front ADN360"/>
    <d v="2025-05-16T12:32:15"/>
    <d v="2025-05-28T11:53:19"/>
    <s v="OPERACIONAL"/>
    <s v="DESARROLLO"/>
    <s v=""/>
    <s v="C360_Team_Mtto"/>
    <s v="Medium"/>
    <s v="CERRADO"/>
    <s v=""/>
    <s v="Automation for Jira"/>
    <x v="1"/>
    <d v="2025-05-16T12:32:15"/>
    <d v="2025-05-28T11:53:19"/>
    <s v="Interno"/>
    <n v="20"/>
    <d v="2025-05-12T00:00:00"/>
    <n v="22"/>
    <d v="2025-05-26T00:00:00"/>
    <n v="11.972961770836264"/>
    <n v="2025"/>
    <n v="2025"/>
    <x v="13"/>
    <x v="6"/>
  </r>
  <r>
    <s v="ESPC360-18523"/>
    <s v="[PRO] [Mov. Cuentas] INC054721549 - cliente no ve movimeiento del dia 16/05"/>
    <s v="Movimientos Cuentas"/>
    <d v="2025-05-19T12:04:37"/>
    <d v="2025-05-21T10:41:45"/>
    <s v="OPERACIONAL"/>
    <s v="TÉCNICO"/>
    <s v=""/>
    <s v="C360_Team_Mtto"/>
    <s v="Medium"/>
    <s v="CERRADO"/>
    <s v=""/>
    <s v="Automation for Jira"/>
    <x v="0"/>
    <d v="2025-05-19T12:04:37"/>
    <d v="2025-05-21T10:41:45"/>
    <s v="Interno"/>
    <n v="21"/>
    <d v="2025-05-19T00:00:00"/>
    <n v="21"/>
    <d v="2025-05-19T00:00:00"/>
    <n v="1.9424481134265079"/>
    <n v="2025"/>
    <n v="2025"/>
    <x v="13"/>
    <x v="6"/>
  </r>
  <r>
    <s v="ESPC360-18524"/>
    <s v="[PRO] [Tarjetas] INC054722673 - No aparece el nombre del beneficiario de la tarjeta"/>
    <s v="Tarjetas"/>
    <d v="2025-05-19T12:55:50"/>
    <d v="2025-05-19T16:33:39"/>
    <s v="OPERACIONAL"/>
    <s v="SOPORTE"/>
    <s v=""/>
    <s v="C360_Team_Mtto"/>
    <s v="Medium"/>
    <s v="CERRADO"/>
    <s v=""/>
    <s v="BORJA CORTIJO LAJARA"/>
    <x v="2"/>
    <d v="2025-05-19T12:55:50"/>
    <d v="2025-05-19T16:33:39"/>
    <s v="Externo"/>
    <n v="21"/>
    <d v="2025-05-19T00:00:00"/>
    <n v="21"/>
    <d v="2025-05-19T00:00:00"/>
    <n v="0.15126025462814141"/>
    <n v="2025"/>
    <n v="2025"/>
    <x v="13"/>
    <x v="6"/>
  </r>
  <r>
    <s v="ESPC360-18525"/>
    <s v="[PRO] [Seguros] INC054727364 - Seguros de mediación con la prima a 0"/>
    <s v="Seguros"/>
    <d v="2025-05-19T14:16:09"/>
    <d v="2025-05-28T11:53:00"/>
    <s v="OPERACIONAL"/>
    <s v="SOPORTE"/>
    <s v=""/>
    <s v="C360_Team_Mtto"/>
    <s v="Medium"/>
    <s v="CERRADO"/>
    <s v=""/>
    <s v="Automation for Jira"/>
    <x v="2"/>
    <d v="2025-05-19T14:16:09"/>
    <d v="2025-05-28T11:53:00"/>
    <s v="Externo"/>
    <n v="21"/>
    <d v="2025-05-19T00:00:00"/>
    <n v="22"/>
    <d v="2025-05-26T00:00:00"/>
    <n v="8.900593831021979"/>
    <n v="2025"/>
    <n v="2025"/>
    <x v="13"/>
    <x v="6"/>
  </r>
  <r>
    <s v="ESPC360-18526"/>
    <s v="[PRO] [Seguros] INC054727595 - seguro no aparece en adn360"/>
    <s v="Seguros"/>
    <d v="2025-05-19T14:35:05"/>
    <d v="2025-05-21T10:39:07"/>
    <s v="OPERACIONAL"/>
    <s v="SOPORTE"/>
    <s v=""/>
    <s v="C360_Team_Mtto"/>
    <s v="Medium"/>
    <s v="CERRADO"/>
    <s v=""/>
    <s v="Automation for Jira"/>
    <x v="2"/>
    <d v="2025-05-19T14:35:05"/>
    <d v="2025-05-21T10:39:07"/>
    <s v="Externo"/>
    <n v="21"/>
    <d v="2025-05-19T00:00:00"/>
    <n v="21"/>
    <d v="2025-05-19T00:00:00"/>
    <n v="1.8361347222235054"/>
    <n v="2025"/>
    <n v="2025"/>
    <x v="13"/>
    <x v="6"/>
  </r>
  <r>
    <s v="ESPC360-18557"/>
    <s v="[Libreria Commons] Serialización objetos de cache"/>
    <s v=""/>
    <d v="2025-05-20T10:41:41"/>
    <d v="9999-12-31T10:41:41"/>
    <s v="OPERACIONAL"/>
    <s v="DESARROLLO"/>
    <s v=""/>
    <s v="C360_Operacional_Team_1"/>
    <s v="Medium"/>
    <s v="Ready to Develop"/>
    <s v=""/>
    <s v="Automation for Jira"/>
    <x v="1"/>
    <d v="2025-05-20T10:41:41"/>
    <d v="9999-12-31T10:41:41"/>
    <s v="Interno"/>
    <n v="21"/>
    <d v="2025-05-19T00:00:00"/>
    <n v="53"/>
    <n v="2958468"/>
    <n v="2912668"/>
    <n v="2025"/>
    <n v="9999"/>
    <x v="13"/>
    <x v="8"/>
  </r>
  <r>
    <s v="ESPC360-18559"/>
    <s v="[PRO] [Cuentas] INC054644103 -  Usuario no ve cesta de cuentas ni cuenta asociada"/>
    <s v="Cuentas"/>
    <d v="2025-05-20T10:46:40"/>
    <d v="2025-05-21T10:43:20"/>
    <s v="OPERACIONAL"/>
    <s v="DESARROLLO"/>
    <s v=""/>
    <s v="C360_Team_Mtto"/>
    <s v="Medium"/>
    <s v="CERRADO"/>
    <s v=""/>
    <s v="Automation for Jira"/>
    <x v="1"/>
    <d v="2025-05-20T10:46:40"/>
    <d v="2025-05-21T10:43:20"/>
    <s v="Interno"/>
    <n v="21"/>
    <d v="2025-05-19T00:00:00"/>
    <n v="21"/>
    <d v="2025-05-19T00:00:00"/>
    <n v="0.99767932870599907"/>
    <n v="2025"/>
    <n v="2025"/>
    <x v="13"/>
    <x v="6"/>
  </r>
  <r>
    <s v="ESPC360-18567"/>
    <s v="[PRO] [Avales] No le aparece contrasto  al cliente en sus posiciones de ADN"/>
    <s v="Avales"/>
    <d v="2025-05-20T13:42:38"/>
    <d v="2025-05-23T10:27:52"/>
    <s v="OPERACIONAL"/>
    <s v="SOPORTE"/>
    <s v=""/>
    <s v="C360_Team_Mtto"/>
    <s v="Medium"/>
    <s v="CERRADO"/>
    <s v=""/>
    <s v="Automation for Jira"/>
    <x v="2"/>
    <d v="2025-05-20T13:42:38"/>
    <d v="2025-05-23T10:27:52"/>
    <s v="Externo"/>
    <n v="21"/>
    <d v="2025-05-19T00:00:00"/>
    <n v="21"/>
    <d v="2025-05-19T00:00:00"/>
    <n v="2.8647356250003213"/>
    <n v="2025"/>
    <n v="2025"/>
    <x v="13"/>
    <x v="6"/>
  </r>
  <r>
    <s v="ESPC360-18589"/>
    <s v="Restaurar el parámetro odate en batches de CDP360"/>
    <s v=""/>
    <d v="2025-05-21T09:00:31"/>
    <d v="2025-09-16T16:56:23"/>
    <s v="OPERACIONAL"/>
    <s v="TÉCNICO"/>
    <s v=""/>
    <s v="C360_Team_Mtto"/>
    <s v="Medium"/>
    <s v="CERRADO"/>
    <s v=""/>
    <s v="Automation for Jira"/>
    <x v="0"/>
    <d v="2025-05-21T09:00:31"/>
    <d v="2025-09-16T16:56:23"/>
    <s v="Interno"/>
    <n v="21"/>
    <d v="2025-05-19T00:00:00"/>
    <n v="38"/>
    <d v="2025-09-15T00:00:00"/>
    <n v="118.33046369213116"/>
    <n v="2025"/>
    <n v="2025"/>
    <x v="13"/>
    <x v="9"/>
  </r>
  <r>
    <s v="ESPC360-18621"/>
    <s v="[KSTREAM] Incluir campos de movimientos en la primera escritura de OB_MOVTOS"/>
    <s v=""/>
    <d v="2025-05-21T16:01:00"/>
    <d v="2025-06-25T17:49:10"/>
    <s v="OPERACIONAL"/>
    <s v="DESARROLLO"/>
    <s v=""/>
    <s v="C360_Operacional_Team_1"/>
    <s v="Medium"/>
    <s v="CERRADO"/>
    <s v="C360_Operacional_Sprint 203"/>
    <s v="GONZALO GARCIA MORENO"/>
    <x v="1"/>
    <d v="2025-05-21T16:01:00"/>
    <d v="2025-06-25T17:49:10"/>
    <s v="Interno"/>
    <n v="21"/>
    <d v="2025-05-19T00:00:00"/>
    <n v="26"/>
    <d v="2025-06-23T00:00:00"/>
    <n v="35.075114062499779"/>
    <n v="2025"/>
    <n v="2025"/>
    <x v="13"/>
    <x v="1"/>
  </r>
  <r>
    <s v="ESPC360-18622"/>
    <s v="[PRO] [NO-CUSTOMER360] -  INC054813446 ADN-CLIENTE"/>
    <s v=""/>
    <d v="2025-05-21T16:27:58"/>
    <d v="2025-05-23T10:20:11"/>
    <s v="OPERACIONAL"/>
    <s v="SOPORTE"/>
    <s v="NO-CUSTOMER360"/>
    <s v="C360_Team_Mtto"/>
    <s v="Medium"/>
    <s v="CERRADO"/>
    <s v=""/>
    <s v="Automation for Jira"/>
    <x v="2"/>
    <d v="2025-05-21T16:27:58"/>
    <d v="2025-05-23T10:20:11"/>
    <s v="Externo"/>
    <n v="21"/>
    <d v="2025-05-19T00:00:00"/>
    <n v="21"/>
    <d v="2025-05-19T00:00:00"/>
    <n v="1.7445910648166318"/>
    <n v="2025"/>
    <n v="2025"/>
    <x v="13"/>
    <x v="6"/>
  </r>
  <r>
    <s v="ESPC360-18644"/>
    <s v="[PRO] [Creditos] INC054840112 - El GSI se debe actualizar para no tener el icono"/>
    <s v="Créditos"/>
    <d v="2025-05-22T11:53:44"/>
    <d v="2025-05-27T12:47:38"/>
    <s v="OPERACIONAL"/>
    <s v="SOPORTE"/>
    <s v=""/>
    <s v="C360_Team_Mtto"/>
    <s v="Medium"/>
    <s v="CERRADO"/>
    <s v=""/>
    <s v="Automation for Jira"/>
    <x v="2"/>
    <d v="2025-05-22T11:53:44"/>
    <d v="2025-05-27T12:47:38"/>
    <s v="Externo"/>
    <n v="21"/>
    <d v="2025-05-19T00:00:00"/>
    <n v="22"/>
    <d v="2025-05-26T00:00:00"/>
    <n v="5.0374357754626544"/>
    <n v="2025"/>
    <n v="2025"/>
    <x v="13"/>
    <x v="6"/>
  </r>
  <r>
    <s v="ESPC360-18767"/>
    <s v="[PRO] [Valores] INC049602001 - No aparece la rentabilidad en valores."/>
    <s v="Valores"/>
    <d v="2025-05-26T12:34:02"/>
    <d v="2025-05-26T12:56:44"/>
    <s v="OPERACIONAL"/>
    <s v="SOPORTE"/>
    <s v=""/>
    <s v="C360_Team_Mtto"/>
    <s v="Medium"/>
    <s v="CERRADO"/>
    <s v=""/>
    <s v="BORJA CORTIJO LAJARA"/>
    <x v="2"/>
    <d v="2025-05-26T12:34:02"/>
    <d v="2025-05-26T12:56:44"/>
    <s v="Externo"/>
    <n v="22"/>
    <d v="2025-05-26T00:00:00"/>
    <n v="22"/>
    <d v="2025-05-26T00:00:00"/>
    <n v="1.5762615737912711E-2"/>
    <n v="2025"/>
    <n v="2025"/>
    <x v="13"/>
    <x v="6"/>
  </r>
  <r>
    <s v="ESPC360-18768"/>
    <s v="[PRO] [Mov. Cuentas] INC054947727 - No se actualizan los movimientos en la web"/>
    <s v=""/>
    <d v="2025-05-26T12:49:39"/>
    <d v="2025-06-10T11:08:23"/>
    <s v="OPERACIONAL"/>
    <s v="SOPORTE"/>
    <s v=""/>
    <s v="C360_Team_Mtto"/>
    <s v="Medium"/>
    <s v="CERRADO"/>
    <s v=""/>
    <s v="Automation for Jira"/>
    <x v="2"/>
    <d v="2025-05-26T12:49:39"/>
    <d v="2025-06-10T11:08:23"/>
    <s v="Externo"/>
    <n v="22"/>
    <d v="2025-05-26T00:00:00"/>
    <n v="24"/>
    <d v="2025-06-09T00:00:00"/>
    <n v="14.929673101847584"/>
    <n v="2025"/>
    <n v="2025"/>
    <x v="13"/>
    <x v="1"/>
  </r>
  <r>
    <s v="ESPC360-18774"/>
    <s v="Corrección coste fondeo y subvención en Préstamos ICO"/>
    <s v=""/>
    <d v="2025-05-26T15:59:04"/>
    <d v="2025-07-23T10:11:17"/>
    <s v="OPERACIONAL"/>
    <s v="DEFINICIÓN"/>
    <s v=""/>
    <s v="C360_Operacional_Team_2"/>
    <s v="Medium"/>
    <s v="CERRADO"/>
    <s v="C360_Operacional_Sprint 203"/>
    <s v="Automation for Jira"/>
    <x v="3"/>
    <d v="2025-05-26T15:59:04"/>
    <d v="2025-07-23T10:11:17"/>
    <s v="Externo"/>
    <n v="22"/>
    <d v="2025-05-26T00:00:00"/>
    <n v="30"/>
    <d v="2025-07-21T00:00:00"/>
    <n v="57.758483784724376"/>
    <n v="2025"/>
    <n v="2025"/>
    <x v="13"/>
    <x v="7"/>
  </r>
  <r>
    <s v="ESPC360-18782"/>
    <s v="Configurar la opción auto.register.schemas en los Serde"/>
    <s v=""/>
    <d v="2025-05-27T23:15:48"/>
    <d v="2025-06-27T10:43:31"/>
    <s v="OPERACIONAL"/>
    <s v="TÉCNICO"/>
    <s v=""/>
    <s v="C360_Operacional_Team_2"/>
    <s v="Medium"/>
    <s v="CERRADO"/>
    <s v="C360_Operacional_Sprint 203"/>
    <s v="GONZALO GARCIA MORENO"/>
    <x v="0"/>
    <d v="2025-05-27T23:15:48"/>
    <d v="2025-06-27T10:43:31"/>
    <s v="Interno"/>
    <n v="22"/>
    <d v="2025-05-26T00:00:00"/>
    <n v="26"/>
    <d v="2025-06-23T00:00:00"/>
    <n v="30.47757079861185"/>
    <n v="2025"/>
    <n v="2025"/>
    <x v="13"/>
    <x v="1"/>
  </r>
  <r>
    <s v="ESPC360-18790"/>
    <s v="[PRO] [NO-CUSTOMER360] INC055020087 - no me funciona la base del ordenador , es urgente"/>
    <s v=""/>
    <d v="2025-05-28T10:37:03"/>
    <d v="2025-05-28T11:47:49"/>
    <s v="OPERACIONAL"/>
    <s v="SOPORTE"/>
    <s v=" NO-CUSTOMER360"/>
    <s v="C360_Team_Mtto"/>
    <s v="Medium"/>
    <s v="CERRADO"/>
    <s v=""/>
    <s v="Automation for Jira"/>
    <x v="2"/>
    <d v="2025-05-28T10:37:03"/>
    <d v="2025-05-28T11:47:49"/>
    <s v="Externo"/>
    <n v="22"/>
    <d v="2025-05-26T00:00:00"/>
    <n v="22"/>
    <d v="2025-05-26T00:00:00"/>
    <n v="4.9145185184897855E-2"/>
    <n v="2025"/>
    <n v="2025"/>
    <x v="13"/>
    <x v="6"/>
  </r>
  <r>
    <s v="ESPC360-18791"/>
    <s v="[PRO] [Procesos] INC054994421 - Fallos al obtener la  configuración"/>
    <s v="Movimientos Cuentas"/>
    <d v="2025-05-28T10:48:41"/>
    <d v="2025-05-28T10:55:05"/>
    <s v="OPERACIONAL"/>
    <s v="TÉCNICO"/>
    <s v="PROCESOS"/>
    <s v="C360_Team_Mtto"/>
    <s v="Medium"/>
    <s v="CERRADO"/>
    <s v=""/>
    <s v="Automation for Jira"/>
    <x v="0"/>
    <d v="2025-05-28T10:48:41"/>
    <d v="2025-05-28T10:55:05"/>
    <s v="Interno"/>
    <n v="22"/>
    <d v="2025-05-26T00:00:00"/>
    <n v="22"/>
    <d v="2025-05-26T00:00:00"/>
    <n v="4.4396527810022235E-3"/>
    <n v="2025"/>
    <n v="2025"/>
    <x v="13"/>
    <x v="6"/>
  </r>
  <r>
    <s v="ESPC360-18792"/>
    <s v="[PRO] [Valores] INC054812048 - No ve rentabilidad de acciones"/>
    <s v="Valores"/>
    <d v="2025-05-28T10:49:33"/>
    <d v="2025-05-28T11:51:24"/>
    <s v="OPERACIONAL"/>
    <s v="SOPORTE"/>
    <s v=""/>
    <s v="C360_Team_Mtto"/>
    <s v="Medium"/>
    <s v="CERRADO"/>
    <s v=""/>
    <s v="Automation for Jira"/>
    <x v="2"/>
    <d v="2025-05-28T10:49:33"/>
    <d v="2025-05-28T11:51:24"/>
    <s v="Externo"/>
    <n v="22"/>
    <d v="2025-05-26T00:00:00"/>
    <n v="22"/>
    <d v="2025-05-26T00:00:00"/>
    <n v="4.2954571756126825E-2"/>
    <n v="2025"/>
    <n v="2025"/>
    <x v="13"/>
    <x v="6"/>
  </r>
  <r>
    <s v="ESPC360-18793"/>
    <s v="[PRO][Avales] INC054768507 - No le aparece al cliente en sus posiciones de ADN"/>
    <s v="Avales"/>
    <d v="2025-05-28T10:50:20"/>
    <d v="2025-05-28T11:42:37"/>
    <s v="OPERACIONAL"/>
    <s v="SOPORTE"/>
    <s v="CONSULTA_OPERATIVA"/>
    <s v="C360_Team_Mtto"/>
    <s v="Medium"/>
    <s v="CERRADO"/>
    <s v=""/>
    <s v="Automation for Jira"/>
    <x v="2"/>
    <d v="2025-05-28T10:50:20"/>
    <d v="2025-05-28T11:42:37"/>
    <s v="Externo"/>
    <n v="22"/>
    <d v="2025-05-26T00:00:00"/>
    <n v="22"/>
    <d v="2025-05-26T00:00:00"/>
    <n v="3.6304178240243345E-2"/>
    <n v="2025"/>
    <n v="2025"/>
    <x v="13"/>
    <x v="6"/>
  </r>
  <r>
    <s v="ESPC360-18796"/>
    <s v="[PRO] [FRONT]  no pinta ultima cesta la impresion del PDF para el usuario F9326478"/>
    <s v="Front ADN360"/>
    <d v="2025-05-28T11:53:59"/>
    <d v="9999-12-31T10:41:41"/>
    <s v="OPERACIONAL"/>
    <s v="DESARROLLO"/>
    <s v=""/>
    <s v="C360_Team_Mtto"/>
    <s v="Medium"/>
    <s v="BACKLOG"/>
    <s v=""/>
    <s v="JESUS VICENTE SALAMANCA"/>
    <x v="1"/>
    <d v="2025-05-28T11:53:59"/>
    <d v="9999-12-31T10:41:41"/>
    <s v="Interno"/>
    <n v="22"/>
    <d v="2025-05-26T00:00:00"/>
    <n v="53"/>
    <n v="2958468"/>
    <n v="2912659.9497926855"/>
    <n v="2025"/>
    <n v="9999"/>
    <x v="13"/>
    <x v="8"/>
  </r>
  <r>
    <s v="ESPC360-18797"/>
    <s v="PEX_0036786737 F9326478"/>
    <s v=""/>
    <d v="2025-05-28T12:52:19"/>
    <d v="2025-05-28T15:43:05"/>
    <s v="OPERACIONAL"/>
    <s v="DESARROLLO"/>
    <s v=""/>
    <s v=""/>
    <s v="Medium"/>
    <s v="CANCELADO"/>
    <s v=""/>
    <s v="BORJA CORTIJO LAJARA"/>
    <x v="1"/>
    <d v="2025-05-28T12:52:19"/>
    <d v="2025-05-28T15:43:05"/>
    <s v="Interno"/>
    <n v="22"/>
    <d v="2025-05-26T00:00:00"/>
    <n v="22"/>
    <d v="2025-05-26T00:00:00"/>
    <n v="0.11858664351893822"/>
    <n v="2025"/>
    <n v="2025"/>
    <x v="13"/>
    <x v="6"/>
  </r>
  <r>
    <s v="ESPC360-18800"/>
    <s v="[PRO] [Planes Pensiones] INC055018165 - No se muestra el contrato"/>
    <s v="Planes de Pensiones"/>
    <d v="2025-05-28T13:51:00"/>
    <d v="2025-05-30T10:46:59"/>
    <s v="OPERACIONAL"/>
    <s v="SOPORTE"/>
    <s v=""/>
    <s v="C360_Team_Mtto"/>
    <s v="Medium"/>
    <s v="CERRADO"/>
    <s v=""/>
    <s v="Automation for Jira"/>
    <x v="2"/>
    <d v="2025-05-28T13:51:00"/>
    <d v="2025-05-30T10:46:59"/>
    <s v="Externo"/>
    <n v="22"/>
    <d v="2025-05-26T00:00:00"/>
    <n v="22"/>
    <d v="2025-05-26T00:00:00"/>
    <n v="1.8722081249943585"/>
    <n v="2025"/>
    <n v="2025"/>
    <x v="13"/>
    <x v="6"/>
  </r>
  <r>
    <s v="ESPC360-18803"/>
    <s v="[PRO] [Movimientos] INC054994767 - Discrepancias entre certificados de saldo"/>
    <s v="Buscador Global de Movimientos"/>
    <d v="2025-05-28T15:41:58"/>
    <d v="2025-05-29T15:59:00"/>
    <s v="OPERACIONAL"/>
    <s v="SOPORTE"/>
    <s v="NO-CUSTOMER360"/>
    <s v="C360_Team_Mtto"/>
    <s v="Medium"/>
    <s v="CERRADO"/>
    <s v=""/>
    <s v="BORJA CORTIJO LAJARA"/>
    <x v="2"/>
    <d v="2025-05-28T15:41:58"/>
    <d v="2025-05-29T15:59:00"/>
    <s v="Externo"/>
    <n v="22"/>
    <d v="2025-05-26T00:00:00"/>
    <n v="22"/>
    <d v="2025-05-26T00:00:00"/>
    <n v="1.0118222569435602"/>
    <n v="2025"/>
    <n v="2025"/>
    <x v="13"/>
    <x v="6"/>
  </r>
  <r>
    <s v="ESPC360-18804"/>
    <s v="[PRE] [Seguros] INC055027113 - ERROR APIS POSICIÓN GLOBAL"/>
    <s v="Seguros"/>
    <d v="2025-05-28T15:45:23"/>
    <d v="2025-05-28T16:07:49"/>
    <s v="OPERACIONAL"/>
    <s v="SOPORTE"/>
    <s v=""/>
    <s v="C360_Team_Mtto"/>
    <s v="Medium"/>
    <s v="CERRADO"/>
    <s v=""/>
    <s v="BORJA CORTIJO LAJARA"/>
    <x v="2"/>
    <d v="2025-05-28T15:45:23"/>
    <d v="2025-05-28T16:07:49"/>
    <s v="Externo"/>
    <n v="22"/>
    <d v="2025-05-26T00:00:00"/>
    <n v="22"/>
    <d v="2025-05-26T00:00:00"/>
    <n v="1.558255786949303E-2"/>
    <n v="2025"/>
    <n v="2025"/>
    <x v="13"/>
    <x v="6"/>
  </r>
  <r>
    <s v="ESPC360-18817"/>
    <s v="[PRO] INC055063514 - Problemas de acceso ADN"/>
    <s v=""/>
    <d v="2025-05-29T13:35:54"/>
    <d v="2025-05-29T15:56:52"/>
    <s v="OPERACIONAL"/>
    <s v="SOPORTE"/>
    <s v="NO-CUSTOMER"/>
    <s v="C360_Team_Mtto"/>
    <s v="Medium"/>
    <s v="CERRADO"/>
    <s v=""/>
    <s v="BORJA CORTIJO LAJARA"/>
    <x v="2"/>
    <d v="2025-05-29T13:35:54"/>
    <d v="2025-05-29T15:56:52"/>
    <s v="Externo"/>
    <n v="22"/>
    <d v="2025-05-26T00:00:00"/>
    <n v="22"/>
    <d v="2025-05-26T00:00:00"/>
    <n v="9.7883043978072237E-2"/>
    <n v="2025"/>
    <n v="2025"/>
    <x v="13"/>
    <x v="6"/>
  </r>
  <r>
    <s v="ESPC360-18906"/>
    <s v="Corrección coste fondeo y subvención en Préstamos ICO [Real Time]"/>
    <s v=""/>
    <d v="2025-05-29T17:14:30"/>
    <d v="2025-07-23T10:11:17"/>
    <s v="OPERACIONAL"/>
    <s v="DEFINICIÓN"/>
    <s v=""/>
    <s v="C360_Operacional_Team_2"/>
    <s v="Medium"/>
    <s v="CERRADO"/>
    <s v="C360_Operacional_Sprint 203"/>
    <s v="Automation for Jira"/>
    <x v="3"/>
    <d v="2025-05-29T17:14:30"/>
    <d v="2025-07-23T10:11:17"/>
    <s v="Externo"/>
    <n v="22"/>
    <d v="2025-05-26T00:00:00"/>
    <n v="30"/>
    <d v="2025-07-21T00:00:00"/>
    <n v="54.706100636569317"/>
    <n v="2025"/>
    <n v="2025"/>
    <x v="13"/>
    <x v="7"/>
  </r>
  <r>
    <s v="ESPC360-18927"/>
    <s v="[PRE] [Descuentos] INC055094820 - Servicio de descuentos da error"/>
    <s v="Descuento Comercial"/>
    <d v="2025-05-30T10:16:44"/>
    <d v="2025-05-30T10:23:25"/>
    <s v="OPERACIONAL"/>
    <s v="TÉCNICO"/>
    <s v=""/>
    <s v="C360_Team_Mtto"/>
    <s v="Medium"/>
    <s v="CERRADO"/>
    <s v=""/>
    <s v="Automation for Jira"/>
    <x v="0"/>
    <d v="2025-05-30T10:16:44"/>
    <d v="2025-05-30T10:23:25"/>
    <s v="Interno"/>
    <n v="22"/>
    <d v="2025-05-26T00:00:00"/>
    <n v="22"/>
    <d v="2025-05-26T00:00:00"/>
    <n v="4.6482407415169291E-3"/>
    <n v="2025"/>
    <n v="2025"/>
    <x v="13"/>
    <x v="6"/>
  </r>
  <r>
    <s v="ESPC360-18959"/>
    <s v="[PRO] [Préstamos] El préstamo 004949081030607791 tiene descuadre y está desactualizado"/>
    <s v="Préstamos"/>
    <d v="2025-06-02T11:58:55"/>
    <d v="2025-06-03T12:41:20"/>
    <s v="OPERACIONAL"/>
    <s v="SOPORTE"/>
    <s v=""/>
    <s v="C360_Team_Mtto"/>
    <s v="Medium"/>
    <s v="CERRADO"/>
    <s v=""/>
    <s v="Automation for Jira"/>
    <x v="2"/>
    <d v="2025-06-02T11:58:55"/>
    <d v="2025-06-03T12:41:20"/>
    <s v="Externo"/>
    <n v="23"/>
    <d v="2025-06-02T00:00:00"/>
    <n v="23"/>
    <d v="2025-06-02T00:00:00"/>
    <n v="1.0294503240729682"/>
    <n v="2025"/>
    <n v="2025"/>
    <x v="14"/>
    <x v="1"/>
  </r>
  <r>
    <s v="ESPC360-18961"/>
    <s v="[PRO] [Cuentas] INC055100406 - han desaparecido las cuentas"/>
    <s v="Cuentas"/>
    <d v="2025-06-02T12:14:24"/>
    <d v="2025-06-03T10:52:53"/>
    <s v="OPERACIONAL"/>
    <s v="SOPORTE"/>
    <s v="NO-CUSTOMER360"/>
    <s v="C360_Team_Mtto"/>
    <s v="Medium"/>
    <s v="CERRADO"/>
    <s v=""/>
    <s v="BORJA CORTIJO LAJARA"/>
    <x v="2"/>
    <d v="2025-06-02T12:14:24"/>
    <d v="2025-06-03T10:52:53"/>
    <s v="Externo"/>
    <n v="23"/>
    <d v="2025-06-02T00:00:00"/>
    <n v="23"/>
    <d v="2025-06-02T00:00:00"/>
    <n v="0.94339837963343598"/>
    <n v="2025"/>
    <n v="2025"/>
    <x v="14"/>
    <x v="1"/>
  </r>
  <r>
    <s v="ESPC360-18982"/>
    <s v="[PRO] INC055192942 - FTP_PHDPSCRM0254D / B-SANES-P-HDP.INGESTA-800030677 error odate 06/02"/>
    <s v=""/>
    <d v="2025-06-03T10:05:23"/>
    <d v="2025-06-06T09:49:09"/>
    <s v="OPERACIONAL"/>
    <s v="SOPORTE"/>
    <s v="NO-CUSTOMER360"/>
    <s v="C360_Team_Mtto"/>
    <s v="Medium"/>
    <s v="CERRADO"/>
    <s v=""/>
    <s v="BORJA CORTIJO LAJARA"/>
    <x v="2"/>
    <d v="2025-06-03T10:05:23"/>
    <d v="2025-06-06T09:49:09"/>
    <s v="Externo"/>
    <n v="23"/>
    <d v="2025-06-02T00:00:00"/>
    <n v="23"/>
    <d v="2025-06-02T00:00:00"/>
    <n v="2.9887231365719344"/>
    <n v="2025"/>
    <n v="2025"/>
    <x v="14"/>
    <x v="1"/>
  </r>
  <r>
    <s v="ESPC360-18983"/>
    <s v="[PRO] INC055192986 - FTP_PHDPSPASV1119D / B-SANES-P-HDP.INGESTA-800030677 error odate 06/02"/>
    <s v=""/>
    <d v="2025-06-03T10:05:53"/>
    <d v="2025-06-06T09:52:04"/>
    <s v="OPERACIONAL"/>
    <s v="SOPORTE"/>
    <s v="NO-CUSTOMER360"/>
    <s v="C360_Team_Mtto"/>
    <s v="Medium"/>
    <s v="CERRADO"/>
    <s v=""/>
    <s v="BORJA CORTIJO LAJARA"/>
    <x v="2"/>
    <d v="2025-06-03T10:05:53"/>
    <d v="2025-06-06T09:52:04"/>
    <s v="Externo"/>
    <n v="23"/>
    <d v="2025-06-02T00:00:00"/>
    <n v="23"/>
    <d v="2025-06-02T00:00:00"/>
    <n v="2.9904061458291835"/>
    <n v="2025"/>
    <n v="2025"/>
    <x v="14"/>
    <x v="1"/>
  </r>
  <r>
    <s v="ESPC360-18987"/>
    <s v="[PRO] [Cuentas] INC055210765 - No se muestra la cuenta"/>
    <s v="Cuentas"/>
    <d v="2025-06-03T12:40:05"/>
    <d v="2025-06-04T16:06:39"/>
    <s v="OPERACIONAL"/>
    <s v="DESARROLLO"/>
    <s v=""/>
    <s v="C360_Team_Mtto"/>
    <s v="Medium"/>
    <s v="CERRADO"/>
    <s v=""/>
    <s v="Automation for Jira"/>
    <x v="1"/>
    <d v="2025-06-03T12:40:05"/>
    <d v="2025-06-04T16:06:39"/>
    <s v="Interno"/>
    <n v="23"/>
    <d v="2025-06-02T00:00:00"/>
    <n v="23"/>
    <d v="2025-06-02T00:00:00"/>
    <n v="1.14345090277493"/>
    <n v="2025"/>
    <n v="2025"/>
    <x v="14"/>
    <x v="1"/>
  </r>
  <r>
    <s v="ESPC360-18990"/>
    <s v="[PRO] INC055216859 - Portal Cliente - Error Acceso ADN360"/>
    <s v=""/>
    <d v="2025-06-03T13:47:03"/>
    <d v="2025-06-04T15:30:00"/>
    <s v="OPERACIONAL"/>
    <s v="SOPORTE"/>
    <s v="NO-CUSTOMER360"/>
    <s v="C360_Team_Mtto"/>
    <s v="Medium"/>
    <s v="CERRADO"/>
    <s v=""/>
    <s v="BORJA CORTIJO LAJARA"/>
    <x v="2"/>
    <d v="2025-06-03T13:47:03"/>
    <d v="2025-06-04T15:30:00"/>
    <s v="Externo"/>
    <n v="23"/>
    <d v="2025-06-02T00:00:00"/>
    <n v="23"/>
    <d v="2025-06-02T00:00:00"/>
    <n v="1.0714931249967776"/>
    <n v="2025"/>
    <n v="2025"/>
    <x v="14"/>
    <x v="1"/>
  </r>
  <r>
    <s v="ESPC360-18994"/>
    <s v="[PRO] [Planeta Seguros] INC055223338 - Contrato dado de baja sale activo en adn360"/>
    <s v="Planeta Seguros"/>
    <d v="2025-06-03T16:44:56"/>
    <d v="2025-06-05T09:37:23"/>
    <s v="OPERACIONAL"/>
    <s v="SOPORTE"/>
    <s v=""/>
    <s v="C360_Team_Mtto"/>
    <s v="Medium"/>
    <s v="CERRADO"/>
    <s v=""/>
    <s v="Automation for Jira"/>
    <x v="2"/>
    <d v="2025-06-03T16:44:56"/>
    <d v="2025-06-05T09:37:23"/>
    <s v="Externo"/>
    <n v="23"/>
    <d v="2025-06-02T00:00:00"/>
    <n v="23"/>
    <d v="2025-06-02T00:00:00"/>
    <n v="1.7031016550972709"/>
    <n v="2025"/>
    <n v="2025"/>
    <x v="14"/>
    <x v="1"/>
  </r>
  <r>
    <s v="ESPC360-19002"/>
    <s v="[PRO] [PFEs] Modificar lógica depósitos estructurados."/>
    <s v="PFEs"/>
    <d v="2025-06-04T13:24:19"/>
    <d v="2025-07-23T10:11:17"/>
    <s v="OPERACIONAL"/>
    <s v="DESARROLLO"/>
    <s v=""/>
    <s v="C360_Team_Mtto"/>
    <s v="Medium"/>
    <s v="CERRADO"/>
    <s v=""/>
    <s v="BORJA CORTIJO LAJARA"/>
    <x v="1"/>
    <d v="2025-06-04T13:24:19"/>
    <d v="2025-07-23T10:11:17"/>
    <s v="Interno"/>
    <n v="23"/>
    <d v="2025-06-02T00:00:00"/>
    <n v="30"/>
    <d v="2025-07-21T00:00:00"/>
    <n v="48.86594313657406"/>
    <n v="2025"/>
    <n v="2025"/>
    <x v="14"/>
    <x v="7"/>
  </r>
  <r>
    <s v="ESPC360-19005"/>
    <s v="[PRO] [Mov. Cuentas] INC055210375 - La descripción de los movimientos se muestra mal."/>
    <s v="Movimientos Cuentas"/>
    <d v="2025-06-04T16:08:52"/>
    <d v="2025-06-04T16:12:32"/>
    <s v="OPERACIONAL"/>
    <s v="DESARROLLO"/>
    <s v=""/>
    <s v="C360_Team_Mtto"/>
    <s v="Medium"/>
    <s v="CERRADO"/>
    <s v=""/>
    <s v="Automation for Jira"/>
    <x v="1"/>
    <d v="2025-06-04T16:08:52"/>
    <d v="2025-06-04T16:12:32"/>
    <s v="Interno"/>
    <n v="23"/>
    <d v="2025-06-02T00:00:00"/>
    <n v="23"/>
    <d v="2025-06-02T00:00:00"/>
    <n v="2.5417013894184493E-3"/>
    <n v="2025"/>
    <n v="2025"/>
    <x v="14"/>
    <x v="1"/>
  </r>
  <r>
    <s v="ESPC360-19017"/>
    <s v="[PRO] [Cuentas] INC055169114 - Error al ver el detalle de una cuenta"/>
    <s v="Confidencialidad;Cuentas"/>
    <d v="2025-06-05T09:36:12"/>
    <d v="2025-06-10T11:09:20"/>
    <s v="OPERACIONAL"/>
    <s v="SOPORTE"/>
    <s v=""/>
    <s v="C360_Team_Mtto"/>
    <s v="Medium"/>
    <s v="CERRADO"/>
    <s v=""/>
    <s v="Automation for Jira"/>
    <x v="2"/>
    <d v="2025-06-05T09:36:12"/>
    <d v="2025-06-10T11:09:20"/>
    <s v="Externo"/>
    <n v="23"/>
    <d v="2025-06-02T00:00:00"/>
    <n v="24"/>
    <d v="2025-06-09T00:00:00"/>
    <n v="5.0646765624987893"/>
    <n v="2025"/>
    <n v="2025"/>
    <x v="14"/>
    <x v="1"/>
  </r>
  <r>
    <s v="ESPC360-19035"/>
    <s v="[PRO] [ADN Cliente] INC055299640 - No se muestra seguro"/>
    <s v="Seguros"/>
    <d v="2025-06-05T12:15:18"/>
    <d v="2025-06-19T08:29:52"/>
    <s v="OPERACIONAL"/>
    <s v="SOPORTE"/>
    <s v="NO-CUSTOMER360"/>
    <s v="C360_Team_Mtto"/>
    <s v="Medium"/>
    <s v="CERRADO"/>
    <s v=""/>
    <s v="Automation for Jira"/>
    <x v="2"/>
    <d v="2025-06-05T12:15:18"/>
    <d v="2025-06-19T08:29:52"/>
    <s v="Externo"/>
    <n v="23"/>
    <d v="2025-06-02T00:00:00"/>
    <n v="25"/>
    <d v="2025-06-16T00:00:00"/>
    <n v="13.843446736114856"/>
    <n v="2025"/>
    <n v="2025"/>
    <x v="14"/>
    <x v="1"/>
  </r>
  <r>
    <s v="ESPC360-19110"/>
    <s v="[PRO] [Planeta Seguros] INC055340185 - contrato cancelado aparece activo"/>
    <s v="Planeta Seguros"/>
    <d v="2025-06-06T09:15:12"/>
    <d v="2025-06-10T11:29:27"/>
    <s v="OPERACIONAL"/>
    <s v="SOPORTE"/>
    <s v=""/>
    <s v="ADN_Team_Mtto"/>
    <s v="Medium"/>
    <s v="CERRADO"/>
    <s v=""/>
    <s v="Automation for Jira"/>
    <x v="2"/>
    <d v="2025-06-06T09:15:12"/>
    <d v="2025-06-10T11:29:27"/>
    <s v="Externo"/>
    <n v="23"/>
    <d v="2025-06-02T00:00:00"/>
    <n v="24"/>
    <d v="2025-06-09T00:00:00"/>
    <n v="4.0932244791692938"/>
    <n v="2025"/>
    <n v="2025"/>
    <x v="14"/>
    <x v="1"/>
  </r>
  <r>
    <s v="ESPC360-19117"/>
    <s v="[Securities-Market] En su agregado muestra información incorrecta"/>
    <s v=""/>
    <d v="2025-06-06T13:28:58"/>
    <d v="2025-06-26T15:49:18"/>
    <s v="OPERACIONAL"/>
    <s v="TÉCNICO"/>
    <s v=""/>
    <s v="C360_Operacional_Team_1"/>
    <s v="Medium"/>
    <s v="CERRADO"/>
    <s v="C360_Operacional_Sprint 203"/>
    <s v="CARLOS CORTES LEON"/>
    <x v="0"/>
    <d v="2025-06-06T13:28:58"/>
    <d v="2025-06-26T15:49:18"/>
    <s v="Interno"/>
    <n v="23"/>
    <d v="2025-06-02T00:00:00"/>
    <n v="26"/>
    <d v="2025-06-23T00:00:00"/>
    <n v="20.097456759256602"/>
    <n v="2025"/>
    <n v="2025"/>
    <x v="14"/>
    <x v="1"/>
  </r>
  <r>
    <s v="ESPC360-19122"/>
    <s v="[PRO] [Préstamos] INC055099259 - Contratación prestamo online: modificación de condiciones"/>
    <s v="Detalle Prestamos"/>
    <d v="2025-06-06T15:14:01"/>
    <d v="2025-06-06T15:30:54"/>
    <s v="OPERACIONAL"/>
    <s v="TÉCNICO"/>
    <s v=""/>
    <s v="C360_Team_Mtto"/>
    <s v="Medium"/>
    <s v="CANCELADO"/>
    <s v=""/>
    <s v="BORJA CORTIJO LAJARA"/>
    <x v="0"/>
    <d v="2025-06-06T15:14:01"/>
    <d v="2025-06-06T15:30:54"/>
    <s v="Interno"/>
    <n v="23"/>
    <d v="2025-06-02T00:00:00"/>
    <n v="23"/>
    <d v="2025-06-02T00:00:00"/>
    <n v="1.172149305784842E-2"/>
    <n v="2025"/>
    <n v="2025"/>
    <x v="14"/>
    <x v="1"/>
  </r>
  <r>
    <s v="ESPC360-19135"/>
    <s v="[PRO] [Créditos] INC055442299 - Se muestra limite incorrecto"/>
    <s v="Cuentas"/>
    <d v="2025-06-10T08:13:48"/>
    <d v="2025-06-10T08:18:30"/>
    <s v="OPERACIONAL"/>
    <s v="SOPORTE"/>
    <s v=""/>
    <s v="C360_Team_Mtto"/>
    <s v="Medium"/>
    <s v="CERRADO"/>
    <s v=""/>
    <s v="Automation for Jira"/>
    <x v="2"/>
    <d v="2025-06-10T08:13:48"/>
    <d v="2025-06-10T08:18:30"/>
    <s v="Externo"/>
    <n v="24"/>
    <d v="2025-06-09T00:00:00"/>
    <n v="24"/>
    <d v="2025-06-09T00:00:00"/>
    <n v="3.2585416629444808E-3"/>
    <n v="2025"/>
    <n v="2025"/>
    <x v="14"/>
    <x v="1"/>
  </r>
  <r>
    <s v="ESPC360-19138"/>
    <s v="[PRO] [PFES] INC055449201 - IPF cancelada sale activa"/>
    <s v="PFEs"/>
    <d v="2025-06-10T11:31:36"/>
    <d v="2025-06-12T13:40:50"/>
    <s v="OPERACIONAL"/>
    <s v="SOPORTE"/>
    <s v=""/>
    <s v="C360_Team_Mtto"/>
    <s v="Medium"/>
    <s v="CERRADO"/>
    <s v=""/>
    <s v="Automation for Jira"/>
    <x v="2"/>
    <d v="2025-06-10T11:31:36"/>
    <d v="2025-06-12T13:40:50"/>
    <s v="Externo"/>
    <n v="24"/>
    <d v="2025-06-09T00:00:00"/>
    <n v="24"/>
    <d v="2025-06-09T00:00:00"/>
    <n v="2.0897496180550661"/>
    <n v="2025"/>
    <n v="2025"/>
    <x v="14"/>
    <x v="1"/>
  </r>
  <r>
    <s v="ESPC360-19141"/>
    <s v="[PRO] [SP2TXT] INC055465824 - PADN164D/B-SANES-P-HDP.ADN360-800012122 - Odate: 2025/06/09"/>
    <s v=""/>
    <d v="2025-06-10T13:41:16"/>
    <d v="2025-06-10T13:51:33"/>
    <s v="OPERACIONAL"/>
    <s v="TÉCNICO"/>
    <s v=""/>
    <s v="C360_Team_Mtto"/>
    <s v="Medium"/>
    <s v="CERRADO"/>
    <s v=""/>
    <s v="BORJA CORTIJO LAJARA"/>
    <x v="0"/>
    <d v="2025-06-10T13:41:16"/>
    <d v="2025-06-10T13:51:33"/>
    <s v="Interno"/>
    <n v="24"/>
    <d v="2025-06-09T00:00:00"/>
    <n v="24"/>
    <d v="2025-06-09T00:00:00"/>
    <n v="7.1357754641212523E-3"/>
    <n v="2025"/>
    <n v="2025"/>
    <x v="14"/>
    <x v="1"/>
  </r>
  <r>
    <s v="ESPC360-19153"/>
    <s v="[PRO] [Valores] INC055490999 - Rentabilidad incorrecta"/>
    <s v="Valores"/>
    <d v="2025-06-11T12:24:11"/>
    <d v="2025-06-12T13:39:58"/>
    <s v="OPERACIONAL"/>
    <s v="SOPORTE"/>
    <s v=""/>
    <s v="C360_Team_Mtto"/>
    <s v="Medium"/>
    <s v="CERRADO"/>
    <s v=""/>
    <s v="Automation for Jira"/>
    <x v="2"/>
    <d v="2025-06-11T12:24:11"/>
    <d v="2025-06-12T13:39:58"/>
    <s v="Externo"/>
    <n v="24"/>
    <d v="2025-06-09T00:00:00"/>
    <n v="24"/>
    <d v="2025-06-09T00:00:00"/>
    <n v="1.0526281249985914"/>
    <n v="2025"/>
    <n v="2025"/>
    <x v="14"/>
    <x v="1"/>
  </r>
  <r>
    <s v="ESPC360-19159"/>
    <s v="[Customer-Position] En accounts y creditAccounts en lugar de availableAuthorized hay que mapear authorizedDiscoveredBalance"/>
    <s v="Cuentas"/>
    <d v="2025-06-11T18:39:07"/>
    <d v="2025-06-26T15:50:15"/>
    <s v="OPERACIONAL"/>
    <s v="DESARROLLO"/>
    <s v=""/>
    <s v="C360_Operacional_Team_1"/>
    <s v="Medium"/>
    <s v="CERRADO"/>
    <s v="C360_Operacional_Sprint 204"/>
    <s v="MIGUEL ANGEL BARRAGAN CARBONELL"/>
    <x v="1"/>
    <d v="2025-06-11T18:39:07"/>
    <d v="2025-06-26T15:50:15"/>
    <s v="Interno"/>
    <n v="24"/>
    <d v="2025-06-09T00:00:00"/>
    <n v="26"/>
    <d v="2025-06-23T00:00:00"/>
    <n v="14.88274015046045"/>
    <n v="2025"/>
    <n v="2025"/>
    <x v="14"/>
    <x v="1"/>
  </r>
  <r>
    <s v="ESPC360-19169"/>
    <s v="[PRO] [ADN Cliente] INC055564492 - No aparece cuenta en adn cliente"/>
    <s v="Cuentas"/>
    <d v="2025-06-12T13:28:17"/>
    <d v="2025-06-16T12:26:30"/>
    <s v="OPERACIONAL"/>
    <s v="SOPORTE"/>
    <s v="NO-CUSTOMER360"/>
    <s v="C360_Team_Mtto"/>
    <s v="Medium"/>
    <s v="CERRADO"/>
    <s v=""/>
    <s v="Automation for Jira"/>
    <x v="2"/>
    <d v="2025-06-12T13:28:17"/>
    <d v="2025-06-16T12:26:30"/>
    <s v="Externo"/>
    <n v="24"/>
    <d v="2025-06-09T00:00:00"/>
    <n v="25"/>
    <d v="2025-06-16T00:00:00"/>
    <n v="3.9571008333296049"/>
    <n v="2025"/>
    <n v="2025"/>
    <x v="14"/>
    <x v="1"/>
  </r>
  <r>
    <s v="ESPC360-19170"/>
    <s v="[PRO] [ADN Cliente] INC055565288- No aparece cartera en adn cliente"/>
    <s v=""/>
    <d v="2025-06-12T13:35:13"/>
    <d v="2025-06-16T12:27:14"/>
    <s v="OPERACIONAL"/>
    <s v="SOPORTE"/>
    <s v="NO-CUSTOMER360"/>
    <s v="C360_Team_Mtto"/>
    <s v="Medium"/>
    <s v="CERRADO"/>
    <s v=""/>
    <s v="Automation for Jira"/>
    <x v="2"/>
    <d v="2025-06-12T13:35:13"/>
    <d v="2025-06-16T12:27:14"/>
    <s v="Externo"/>
    <n v="24"/>
    <d v="2025-06-09T00:00:00"/>
    <n v="25"/>
    <d v="2025-06-16T00:00:00"/>
    <n v="3.952790023147827"/>
    <n v="2025"/>
    <n v="2025"/>
    <x v="14"/>
    <x v="1"/>
  </r>
  <r>
    <s v="ESPC360-19171"/>
    <s v="[PRO] [Fondos] INC055479264 - Se muestran 2 fondos que no deberian en web particulares"/>
    <s v="Fondos"/>
    <d v="2025-06-12T16:07:38"/>
    <d v="2025-07-23T11:38:53"/>
    <s v="OPERACIONAL"/>
    <s v="DESARROLLO"/>
    <s v=""/>
    <s v="C360_Team_Mtto"/>
    <s v="Medium"/>
    <s v="CERRADO"/>
    <s v="C360_Operacional_Sprint 206"/>
    <s v="Automation for Jira"/>
    <x v="1"/>
    <d v="2025-06-12T16:07:38"/>
    <d v="2025-07-23T11:38:53"/>
    <s v="Interno"/>
    <n v="24"/>
    <d v="2025-06-09T00:00:00"/>
    <n v="30"/>
    <d v="2025-07-21T00:00:00"/>
    <n v="40.813374328703503"/>
    <n v="2025"/>
    <n v="2025"/>
    <x v="14"/>
    <x v="7"/>
  </r>
  <r>
    <s v="ESPC360-19249"/>
    <s v="[PRO] [Cuentas] INC055600469 - No se ve cuenta"/>
    <s v="Cuentas"/>
    <d v="2025-06-13T12:16:05"/>
    <d v="2025-06-23T10:17:31"/>
    <s v="OPERACIONAL"/>
    <s v="DESARROLLO"/>
    <s v=""/>
    <s v="C360_Team_Mtto"/>
    <s v="Medium"/>
    <s v="CERRADO"/>
    <s v=""/>
    <s v="Automation for Jira"/>
    <x v="1"/>
    <d v="2025-06-13T12:16:05"/>
    <d v="2025-06-23T10:17:31"/>
    <s v="Interno"/>
    <n v="24"/>
    <d v="2025-06-09T00:00:00"/>
    <n v="26"/>
    <d v="2025-06-23T00:00:00"/>
    <n v="9.91766917824134"/>
    <n v="2025"/>
    <n v="2025"/>
    <x v="14"/>
    <x v="1"/>
  </r>
  <r>
    <s v="ESPC360-19254"/>
    <s v="[PRO] Resolución errónea de descripciones de movimientos de cuentas"/>
    <s v=""/>
    <d v="2025-06-15T15:59:07"/>
    <d v="9999-12-31T10:41:41"/>
    <s v="OPERACIONAL"/>
    <s v="TÉCNICO"/>
    <s v=""/>
    <s v="C360_Team_Mtto"/>
    <s v="Medium"/>
    <s v="BACKLOG"/>
    <s v=""/>
    <s v="Automation for Jira"/>
    <x v="0"/>
    <d v="2025-06-15T15:59:07"/>
    <d v="9999-12-31T10:41:41"/>
    <s v="Interno"/>
    <n v="25"/>
    <d v="2025-06-16T00:00:00"/>
    <n v="53"/>
    <n v="2958468"/>
    <n v="2912641.7795600467"/>
    <n v="2025"/>
    <n v="9999"/>
    <x v="14"/>
    <x v="8"/>
  </r>
  <r>
    <s v="ESPC360-19264"/>
    <s v="[PRO] no funciona el emulador 3270,  solicitar instalación de PRO-GRAVITY"/>
    <s v=""/>
    <d v="2025-06-16T12:24:27"/>
    <d v="2025-06-16T13:54:59"/>
    <s v="OPERACIONAL"/>
    <s v="SOPORTE"/>
    <s v="NO-CUSTOMER360"/>
    <s v="C360_Team_Mtto"/>
    <s v="Medium"/>
    <s v="CERRADO"/>
    <s v=""/>
    <s v="BORJA CORTIJO LAJARA"/>
    <x v="2"/>
    <d v="2025-06-16T12:24:27"/>
    <d v="2025-06-16T13:54:59"/>
    <s v="Externo"/>
    <n v="25"/>
    <d v="2025-06-16T00:00:00"/>
    <n v="25"/>
    <d v="2025-06-16T00:00:00"/>
    <n v="6.2861365746357478E-2"/>
    <n v="2025"/>
    <n v="2025"/>
    <x v="14"/>
    <x v="1"/>
  </r>
  <r>
    <s v="ESPC360-19265"/>
    <s v="[PRO] [Créditos] INC055688802 - No se muestra el limite de crédito renovado"/>
    <s v="Créditos"/>
    <d v="2025-06-16T12:28:53"/>
    <d v="2025-06-19T08:20:08"/>
    <s v="OPERACIONAL"/>
    <s v="SOPORTE"/>
    <s v=""/>
    <s v="C360_Team_Mtto"/>
    <s v="Medium"/>
    <s v="CERRADO"/>
    <s v=""/>
    <s v="Automation for Jira"/>
    <x v="2"/>
    <d v="2025-06-16T12:28:53"/>
    <d v="2025-06-19T08:20:08"/>
    <s v="Externo"/>
    <n v="25"/>
    <d v="2025-06-16T00:00:00"/>
    <n v="25"/>
    <d v="2025-06-16T00:00:00"/>
    <n v="2.8272603356454056"/>
    <n v="2025"/>
    <n v="2025"/>
    <x v="14"/>
    <x v="1"/>
  </r>
  <r>
    <s v="ESPC360-19267"/>
    <s v="[PRO] [Movimientos] INC055686174 - Nexus- Santander España BSP - IATA - Timeout en peticiones a api ESPAÑA"/>
    <s v="Movimientos Cuentas"/>
    <d v="2025-06-16T13:47:30"/>
    <d v="2025-06-16T14:12:54"/>
    <s v="OPERACIONAL"/>
    <s v="SOPORTE"/>
    <s v=""/>
    <s v="C360_Team_Mtto"/>
    <s v="Medium"/>
    <s v="CERRADO"/>
    <s v=""/>
    <s v="BORJA CORTIJO LAJARA"/>
    <x v="2"/>
    <d v="2025-06-16T13:47:30"/>
    <d v="2025-06-16T14:12:54"/>
    <s v="Externo"/>
    <n v="25"/>
    <d v="2025-06-16T00:00:00"/>
    <n v="25"/>
    <d v="2025-06-16T00:00:00"/>
    <n v="1.7634224539506249E-2"/>
    <n v="2025"/>
    <n v="2025"/>
    <x v="14"/>
    <x v="1"/>
  </r>
  <r>
    <s v="ESPC360-19268"/>
    <s v="[PRO] [Créditos] INC055690473 - Se muestra limite incorrecto"/>
    <s v="Créditos"/>
    <d v="2025-06-16T13:59:29"/>
    <d v="2025-06-19T08:21:02"/>
    <s v="OPERACIONAL"/>
    <s v="SOPORTE"/>
    <s v=""/>
    <s v="C360_Team_Mtto"/>
    <s v="Medium"/>
    <s v="CERRADO"/>
    <s v=""/>
    <s v="Automation for Jira"/>
    <x v="2"/>
    <d v="2025-06-16T13:59:29"/>
    <d v="2025-06-19T08:21:02"/>
    <s v="Externo"/>
    <n v="25"/>
    <d v="2025-06-16T00:00:00"/>
    <n v="25"/>
    <d v="2025-06-16T00:00:00"/>
    <n v="2.7649566203690483"/>
    <n v="2025"/>
    <n v="2025"/>
    <x v="14"/>
    <x v="1"/>
  </r>
  <r>
    <s v="ESPC360-19273"/>
    <s v="[PRO] [Seguros] INC055691537 - PEX_0038371095 - 40308049C Número de póliza: 250420334082"/>
    <s v="Seguros"/>
    <d v="2025-06-16T14:40:18"/>
    <d v="2025-06-25T09:34:32"/>
    <s v="OPERACIONAL"/>
    <s v="SOPORTE"/>
    <s v="GRAVITY"/>
    <s v="C360_Team_Mtto"/>
    <s v="Medium"/>
    <s v="CERRADO"/>
    <s v=""/>
    <s v="Automation for Jira"/>
    <x v="2"/>
    <d v="2025-06-16T14:40:18"/>
    <d v="2025-06-25T09:34:32"/>
    <s v="Externo"/>
    <n v="25"/>
    <d v="2025-06-16T00:00:00"/>
    <n v="26"/>
    <d v="2025-06-23T00:00:00"/>
    <n v="8.7876637615772779"/>
    <n v="2025"/>
    <n v="2025"/>
    <x v="14"/>
    <x v="1"/>
  </r>
  <r>
    <s v="ESPC360-19276"/>
    <s v="[PRO] [Cuentas] INC055692286 -  ERROR VENCIMIENTO ADN 0049 3166 0922 1470 1538"/>
    <s v=""/>
    <d v="2025-06-16T16:22:45"/>
    <d v="2025-06-17T19:20:21"/>
    <s v="OPERACIONAL"/>
    <s v="SOPORTE"/>
    <s v=""/>
    <s v="C360_Team_Mtto"/>
    <s v="Medium"/>
    <s v="CERRADO"/>
    <s v=""/>
    <s v="Automation for Jira"/>
    <x v="2"/>
    <d v="2025-06-16T16:22:45"/>
    <d v="2025-06-17T19:20:21"/>
    <s v="Externo"/>
    <n v="25"/>
    <d v="2025-06-16T00:00:00"/>
    <n v="25"/>
    <d v="2025-06-16T00:00:00"/>
    <n v="1.1233343055573641"/>
    <n v="2025"/>
    <n v="2025"/>
    <x v="14"/>
    <x v="1"/>
  </r>
  <r>
    <s v="ESPC360-19277"/>
    <s v="[PRO] [Préstamos] -  INC055689732 APERTURA INCIDENCIA VISUALIZACION DE POSICIONES"/>
    <s v="Préstamos"/>
    <d v="2025-06-17T08:41:57"/>
    <d v="2025-06-26T10:53:06"/>
    <s v="OPERACIONAL"/>
    <s v="SOPORTE"/>
    <s v="GRAVITY"/>
    <s v="C360_Team_Mtto"/>
    <s v="Medium"/>
    <s v="CERRADO"/>
    <s v=""/>
    <s v="BORJA CORTIJO LAJARA"/>
    <x v="2"/>
    <d v="2025-06-17T08:41:57"/>
    <d v="2025-06-26T10:53:06"/>
    <s v="Externo"/>
    <n v="25"/>
    <d v="2025-06-16T00:00:00"/>
    <n v="26"/>
    <d v="2025-06-23T00:00:00"/>
    <n v="9.0910808912012726"/>
    <n v="2025"/>
    <n v="2025"/>
    <x v="14"/>
    <x v="1"/>
  </r>
  <r>
    <s v="ESPC360-19279"/>
    <s v="[PRO] [PMP] INC055693024 - no se muestra saldo de confirming para el cliente J255431"/>
    <s v="Póliza Multiproducto (PMP)"/>
    <d v="2025-06-17T10:21:20"/>
    <d v="2025-06-26T10:53:37"/>
    <s v="OPERACIONAL"/>
    <s v="SOPORTE"/>
    <s v="NO-CUSTOMER360"/>
    <s v="C360_Team_Mtto"/>
    <s v="Medium"/>
    <s v="CERRADO"/>
    <s v=""/>
    <s v="Arturo Ruiz Simon"/>
    <x v="2"/>
    <d v="2025-06-17T10:21:20"/>
    <d v="2025-06-26T10:53:37"/>
    <s v="Externo"/>
    <n v="25"/>
    <d v="2025-06-16T00:00:00"/>
    <n v="26"/>
    <d v="2025-06-23T00:00:00"/>
    <n v="9.022424687500461"/>
    <n v="2025"/>
    <n v="2025"/>
    <x v="14"/>
    <x v="1"/>
  </r>
  <r>
    <s v="ESPC360-19280"/>
    <s v="[PRO] [Mov. cuentas] INC055721407 - No se ven movimientos del fin de semana"/>
    <s v="Movimientos Cuentas"/>
    <d v="2025-06-17T10:22:41"/>
    <d v="2025-06-18T11:06:48"/>
    <s v="OPERACIONAL"/>
    <s v="SOPORTE"/>
    <s v="GRAVITY"/>
    <s v="C360_Team_Mtto"/>
    <s v="Medium"/>
    <s v="CERRADO"/>
    <s v=""/>
    <s v="Automation for Jira"/>
    <x v="2"/>
    <d v="2025-06-17T10:22:41"/>
    <d v="2025-06-18T11:06:48"/>
    <s v="Externo"/>
    <n v="25"/>
    <d v="2025-06-16T00:00:00"/>
    <n v="25"/>
    <d v="2025-06-16T00:00:00"/>
    <n v="1.0306354282438406"/>
    <n v="2025"/>
    <n v="2025"/>
    <x v="14"/>
    <x v="1"/>
  </r>
  <r>
    <s v="ESPC360-19282"/>
    <s v="[PRO] INC055061896 - PEX_0037927410 le sale como pdtes mvtos"/>
    <s v=""/>
    <d v="2025-06-17T12:19:53"/>
    <d v="2025-07-18T11:49:44"/>
    <s v="OPERACIONAL"/>
    <s v="SOPORTE"/>
    <s v="NO-CUSTOMER360"/>
    <s v="C360_Team_Mtto"/>
    <s v="Medium"/>
    <s v="CERRADO"/>
    <s v=""/>
    <s v="BORJA CORTIJO LAJARA"/>
    <x v="2"/>
    <d v="2025-06-17T12:19:53"/>
    <d v="2025-07-18T11:49:44"/>
    <s v="Externo"/>
    <n v="25"/>
    <d v="2025-06-16T00:00:00"/>
    <n v="29"/>
    <d v="2025-07-14T00:00:00"/>
    <n v="30.979061238431314"/>
    <n v="2025"/>
    <n v="2025"/>
    <x v="14"/>
    <x v="7"/>
  </r>
  <r>
    <s v="ESPC360-19285"/>
    <s v="[PRO] [Depósitos] INC055728440 - Error en los precios de las IPFs contratadas"/>
    <s v="Depósitos"/>
    <d v="2025-06-17T15:29:11"/>
    <d v="2025-06-26T10:54:13"/>
    <s v="OPERACIONAL"/>
    <s v="SOPORTE"/>
    <s v="GRAVITY"/>
    <s v="C360_Team_Mtto"/>
    <s v="Medium"/>
    <s v="CERRADO"/>
    <s v=""/>
    <s v="Automation for Jira"/>
    <x v="2"/>
    <d v="2025-06-17T15:29:11"/>
    <d v="2025-06-26T10:54:13"/>
    <s v="Externo"/>
    <n v="25"/>
    <d v="2025-06-16T00:00:00"/>
    <n v="26"/>
    <d v="2025-06-23T00:00:00"/>
    <n v="8.8090576967588277"/>
    <n v="2025"/>
    <n v="2025"/>
    <x v="14"/>
    <x v="1"/>
  </r>
  <r>
    <s v="ESPC360-19286"/>
    <s v="[PRO] [Seguros] INC055732618 - PEX_0038384197 - B82268327 - poliza 0782555022268 no aparece en posiciones"/>
    <s v="Seguros"/>
    <d v="2025-06-17T17:05:27"/>
    <d v="2025-06-19T09:09:58"/>
    <s v="OPERACIONAL"/>
    <s v="SOPORTE"/>
    <s v="NO-CUSTOMER360"/>
    <s v="C360_Team_Mtto"/>
    <s v="Medium"/>
    <s v="CERRADO"/>
    <s v=""/>
    <s v="Automation for Jira"/>
    <x v="2"/>
    <d v="2025-06-17T17:05:27"/>
    <d v="2025-06-19T09:09:58"/>
    <s v="Externo"/>
    <n v="25"/>
    <d v="2025-06-16T00:00:00"/>
    <n v="25"/>
    <d v="2025-06-16T00:00:00"/>
    <n v="1.6698047106474405"/>
    <n v="2025"/>
    <n v="2025"/>
    <x v="14"/>
    <x v="1"/>
  </r>
  <r>
    <s v="ESPC360-19287"/>
    <s v="[PRO] [Seguros] INC055727943 - Número de póliza: 051492935888"/>
    <s v="Seguros"/>
    <d v="2025-06-17T17:49:49"/>
    <d v="2025-06-19T09:10:44"/>
    <s v="OPERACIONAL"/>
    <s v="SOPORTE"/>
    <s v=""/>
    <s v="C360_Team_Mtto"/>
    <s v="Medium"/>
    <s v="CERRADO"/>
    <s v=""/>
    <s v="Arturo Ruiz Simon"/>
    <x v="2"/>
    <d v="2025-06-17T17:49:49"/>
    <d v="2025-06-19T09:10:44"/>
    <s v="Externo"/>
    <n v="25"/>
    <d v="2025-06-16T00:00:00"/>
    <n v="25"/>
    <d v="2025-06-16T00:00:00"/>
    <n v="1.6395268634223612"/>
    <n v="2025"/>
    <n v="2025"/>
    <x v="14"/>
    <x v="1"/>
  </r>
  <r>
    <s v="ESPC360-19288"/>
    <s v="[PRO] [Seguros] INC055737426 - contratacion seguro de vida"/>
    <s v="Seguros"/>
    <d v="2025-06-17T17:53:32"/>
    <d v="2025-06-19T09:11:15"/>
    <s v="OPERACIONAL"/>
    <s v="SOPORTE"/>
    <s v="NO-CUSTOMER360"/>
    <s v="C360_Team_Mtto"/>
    <s v="Medium"/>
    <s v="CERRADO"/>
    <s v=""/>
    <s v="Automation for Jira"/>
    <x v="2"/>
    <d v="2025-06-17T17:53:32"/>
    <d v="2025-06-19T09:11:15"/>
    <s v="Externo"/>
    <n v="25"/>
    <d v="2025-06-16T00:00:00"/>
    <n v="25"/>
    <d v="2025-06-16T00:00:00"/>
    <n v="1.6373114699090365"/>
    <n v="2025"/>
    <n v="2025"/>
    <x v="14"/>
    <x v="1"/>
  </r>
  <r>
    <s v="ESPC360-19292"/>
    <s v="[PRO] [NO-CUSTOMER360] INC055746517 - El usuario no tiene acceso completo a ADN MERCADOS"/>
    <s v=""/>
    <d v="2025-06-17T19:06:54"/>
    <d v="2025-06-19T08:31:34"/>
    <s v="OPERACIONAL"/>
    <s v="SOPORTE"/>
    <s v="NO-CUSTOMER360"/>
    <s v="C360_Team_Mtto"/>
    <s v="Medium"/>
    <s v="CERRADO"/>
    <s v=""/>
    <s v="BORJA CORTIJO LAJARA"/>
    <x v="2"/>
    <d v="2025-06-17T19:06:54"/>
    <d v="2025-06-19T08:31:34"/>
    <s v="Externo"/>
    <n v="25"/>
    <d v="2025-06-16T00:00:00"/>
    <n v="25"/>
    <d v="2025-06-16T00:00:00"/>
    <n v="1.5587980671261903"/>
    <n v="2025"/>
    <n v="2025"/>
    <x v="14"/>
    <x v="1"/>
  </r>
  <r>
    <s v="ESPC360-19295"/>
    <s v="[PRO] [Cuentas] INC055765346 - Fecha de vencimiento incorrecto"/>
    <s v="Cuentas"/>
    <d v="2025-06-18T08:49:10"/>
    <d v="2025-06-26T10:55:11"/>
    <s v="OPERACIONAL"/>
    <s v="SOPORTE"/>
    <s v=""/>
    <s v="C360_Team_Mtto"/>
    <s v="Medium"/>
    <s v="CERRADO"/>
    <s v=""/>
    <s v="Automation for Jira"/>
    <x v="2"/>
    <d v="2025-06-18T08:49:10"/>
    <d v="2025-06-26T10:55:11"/>
    <s v="Externo"/>
    <n v="25"/>
    <d v="2025-06-16T00:00:00"/>
    <n v="26"/>
    <d v="2025-06-23T00:00:00"/>
    <n v="8.0875125694437884"/>
    <n v="2025"/>
    <n v="2025"/>
    <x v="14"/>
    <x v="1"/>
  </r>
  <r>
    <s v="ESPC360-19296"/>
    <s v="[PRO] [NO-CUSTOMER360] INC055729803 - INCIDENCIA GRAVITY CONSULTA RESOLUCION PROPUESTAS"/>
    <s v=""/>
    <d v="2025-06-18T09:38:34"/>
    <d v="2025-06-19T08:29:42"/>
    <s v="OPERACIONAL"/>
    <s v="SOPORTE"/>
    <s v="NO-CUSTOMER360"/>
    <s v=""/>
    <s v="Medium"/>
    <s v="CERRADO"/>
    <s v=""/>
    <s v="Automation for Jira"/>
    <x v="2"/>
    <d v="2025-06-18T09:38:34"/>
    <d v="2025-06-19T08:29:42"/>
    <s v="Externo"/>
    <n v="25"/>
    <d v="2025-06-16T00:00:00"/>
    <n v="25"/>
    <d v="2025-06-16T00:00:00"/>
    <n v="0.95216744213394122"/>
    <n v="2025"/>
    <n v="2025"/>
    <x v="14"/>
    <x v="1"/>
  </r>
  <r>
    <s v="ESPC360-19297"/>
    <s v="[PRO] [Créditos] INC055769025 - El crédito sale en adn con límite 0 y en tp límite de 297.000"/>
    <s v="Créditos"/>
    <d v="2025-06-18T10:06:30"/>
    <d v="2025-06-23T10:16:46"/>
    <s v="OPERACIONAL"/>
    <s v="DESARROLLO"/>
    <s v=""/>
    <s v="C360_Team_Mtto"/>
    <s v="Medium"/>
    <s v="CERRADO"/>
    <s v=""/>
    <s v="Automation for Jira"/>
    <x v="1"/>
    <d v="2025-06-18T10:06:30"/>
    <d v="2025-06-23T10:16:46"/>
    <s v="Interno"/>
    <n v="25"/>
    <d v="2025-06-16T00:00:00"/>
    <n v="26"/>
    <d v="2025-06-23T00:00:00"/>
    <n v="5.0071359606517944"/>
    <n v="2025"/>
    <n v="2025"/>
    <x v="14"/>
    <x v="1"/>
  </r>
  <r>
    <s v="ESPC360-19299"/>
    <s v="[PRO] [Seguros] INC055769329 - No aparece seguro"/>
    <s v="Seguros"/>
    <d v="2025-06-18T10:20:02"/>
    <d v="2025-06-19T09:12:15"/>
    <s v="OPERACIONAL"/>
    <s v="SOPORTE"/>
    <s v=""/>
    <s v="C360_Team_Mtto"/>
    <s v="Medium"/>
    <s v="CERRADO"/>
    <s v=""/>
    <s v="Automation for Jira"/>
    <x v="2"/>
    <d v="2025-06-18T10:20:02"/>
    <d v="2025-06-19T09:12:15"/>
    <s v="Externo"/>
    <n v="25"/>
    <d v="2025-06-16T00:00:00"/>
    <n v="25"/>
    <d v="2025-06-16T00:00:00"/>
    <n v="0.95292997685464798"/>
    <n v="2025"/>
    <n v="2025"/>
    <x v="14"/>
    <x v="1"/>
  </r>
  <r>
    <s v="ESPC360-19300"/>
    <s v="[PRO] [Movimientos] INC055771390 - No se ven movimientos de transferencias/bizums"/>
    <s v="Movimientos Cuentas"/>
    <d v="2025-06-18T11:45:40"/>
    <d v="2025-06-25T14:44:19"/>
    <s v="OPERACIONAL"/>
    <s v="SOPORTE"/>
    <s v="GRAVITY"/>
    <s v="C360_Team_Mtto"/>
    <s v="Medium"/>
    <s v="CERRADO"/>
    <s v=""/>
    <s v="BORJA CORTIJO LAJARA"/>
    <x v="2"/>
    <d v="2025-06-18T11:45:40"/>
    <d v="2025-06-25T14:44:19"/>
    <s v="Externo"/>
    <n v="25"/>
    <d v="2025-06-16T00:00:00"/>
    <n v="26"/>
    <d v="2025-06-23T00:00:00"/>
    <n v="7.1240573379618581"/>
    <n v="2025"/>
    <n v="2025"/>
    <x v="14"/>
    <x v="1"/>
  </r>
  <r>
    <s v="ESPC360-19309"/>
    <s v="[PRO] [Descuentos] INC055807178 - Fecha de vencimiento incorrecta"/>
    <s v="Descuento Comercial"/>
    <d v="2025-06-19T08:33:08"/>
    <d v="2025-06-26T10:55:45"/>
    <s v="OPERACIONAL"/>
    <s v="SOPORTE"/>
    <s v="GRAVITY"/>
    <s v="C360_Team_Mtto"/>
    <s v="Medium"/>
    <s v="CERRADO"/>
    <s v=""/>
    <s v="Automation for Jira"/>
    <x v="2"/>
    <d v="2025-06-19T08:33:08"/>
    <d v="2025-06-26T10:55:45"/>
    <s v="Externo"/>
    <n v="25"/>
    <d v="2025-06-16T00:00:00"/>
    <n v="26"/>
    <d v="2025-06-23T00:00:00"/>
    <n v="7.0990372453743475"/>
    <n v="2025"/>
    <n v="2025"/>
    <x v="14"/>
    <x v="1"/>
  </r>
  <r>
    <s v="ESPC360-19326"/>
    <s v="[PRE] [Descuentos] INC055811773 -  Error llamada ADN discounts"/>
    <s v="Descuento Comercial"/>
    <d v="2025-06-19T12:12:32"/>
    <d v="2025-06-19T12:26:20"/>
    <s v="OPERACIONAL"/>
    <s v="TÉCNICO"/>
    <s v=""/>
    <s v="C360_Team_Mtto"/>
    <s v="Medium"/>
    <s v="CERRADO"/>
    <s v=""/>
    <s v="BORJA CORTIJO LAJARA"/>
    <x v="0"/>
    <d v="2025-06-19T12:12:32"/>
    <d v="2025-06-19T12:26:20"/>
    <s v="Interno"/>
    <n v="25"/>
    <d v="2025-06-16T00:00:00"/>
    <n v="25"/>
    <d v="2025-06-16T00:00:00"/>
    <n v="9.5805092641967349E-3"/>
    <n v="2025"/>
    <n v="2025"/>
    <x v="14"/>
    <x v="1"/>
  </r>
  <r>
    <s v="ESPC360-19370"/>
    <s v="[PRO] [ADN Cliente] INC055839625 - No se muiestra una cuenta en adn cliente"/>
    <s v="Cuentas"/>
    <d v="2025-06-23T08:33:23"/>
    <d v="2025-06-24T13:13:38"/>
    <s v="OPERACIONAL"/>
    <s v="SOPORTE"/>
    <s v="NO-CUSTOMER360"/>
    <s v="C360_Team_Mtto"/>
    <s v="Medium"/>
    <s v="CERRADO"/>
    <s v=""/>
    <s v="Automation for Jira"/>
    <x v="2"/>
    <d v="2025-06-23T08:33:23"/>
    <d v="2025-06-24T13:13:38"/>
    <s v="Externo"/>
    <n v="26"/>
    <d v="2025-06-23T00:00:00"/>
    <n v="26"/>
    <d v="2025-06-23T00:00:00"/>
    <n v="1.1946158912032843"/>
    <n v="2025"/>
    <n v="2025"/>
    <x v="14"/>
    <x v="1"/>
  </r>
  <r>
    <s v="ESPC360-19378"/>
    <s v="Corrección marca PMP en el front"/>
    <s v=""/>
    <d v="2025-06-23T17:52:57"/>
    <d v="2025-07-23T11:41:26"/>
    <s v="OPERACIONAL"/>
    <s v="DESARROLLO"/>
    <s v=""/>
    <s v="C360_Operacional_Team_1"/>
    <s v="Medium"/>
    <s v="CERRADO"/>
    <s v="C360_Operacional_Sprint 205"/>
    <s v="Automation for Jira"/>
    <x v="1"/>
    <d v="2025-06-23T17:52:57"/>
    <d v="2025-07-23T11:41:26"/>
    <s v="Interno"/>
    <n v="26"/>
    <d v="2025-06-23T00:00:00"/>
    <n v="30"/>
    <d v="2025-07-21T00:00:00"/>
    <n v="29.742002141203557"/>
    <n v="2025"/>
    <n v="2025"/>
    <x v="14"/>
    <x v="7"/>
  </r>
  <r>
    <s v="ESPC360-19379"/>
    <s v="[PRO] No se devuelven seguros con estado PS en global-position/customer-position"/>
    <s v=""/>
    <d v="2025-06-23T17:54:47"/>
    <d v="2025-07-23T11:41:46"/>
    <s v="OPERACIONAL"/>
    <s v="DEFINICIÓN"/>
    <s v=""/>
    <s v="C360_Operacional_Team_1"/>
    <s v="Medium"/>
    <s v="CERRADO"/>
    <s v="C360_Operacional_Sprint 205"/>
    <s v="Automation for Jira"/>
    <x v="3"/>
    <d v="2025-06-23T17:54:47"/>
    <d v="2025-07-23T11:41:46"/>
    <s v="Externo"/>
    <n v="26"/>
    <d v="2025-06-23T00:00:00"/>
    <n v="30"/>
    <d v="2025-07-21T00:00:00"/>
    <n v="29.740957719906874"/>
    <n v="2025"/>
    <n v="2025"/>
    <x v="14"/>
    <x v="7"/>
  </r>
  <r>
    <s v="ESPC360-19381"/>
    <s v="[PRO] [Cuentas] INC055924752 - Error en llamada a detalle de cuenta"/>
    <s v="Cuentas"/>
    <d v="2025-06-24T10:14:41"/>
    <d v="2025-06-26T10:59:30"/>
    <s v="OPERACIONAL"/>
    <s v="SOPORTE"/>
    <s v="NO-CUSTOMER360"/>
    <s v="C360_Team_Mtto"/>
    <s v="Medium"/>
    <s v="CERRADO"/>
    <s v=""/>
    <s v="Automation for Jira"/>
    <x v="2"/>
    <d v="2025-06-24T10:14:41"/>
    <d v="2025-06-26T10:59:30"/>
    <s v="Externo"/>
    <n v="26"/>
    <d v="2025-06-23T00:00:00"/>
    <n v="26"/>
    <d v="2025-06-23T00:00:00"/>
    <n v="2.0311220833318657"/>
    <n v="2025"/>
    <n v="2025"/>
    <x v="14"/>
    <x v="1"/>
  </r>
  <r>
    <s v="ESPC360-19386"/>
    <s v="[PRO] [SMART-PRICING] INC055820369 -  Necesitamos actualizar los datos productivos relativos a la API de Smartpricing expuesta en la aplicación de ADN360. Se trata de un proceso crítico que afecta a"/>
    <s v="smart-pricing"/>
    <d v="2025-06-24T16:32:54"/>
    <d v="2025-06-24T16:42:02"/>
    <s v="OPERACIONAL"/>
    <s v="TÉCNICO"/>
    <s v=""/>
    <s v="C360_Team_Mtto"/>
    <s v="Medium"/>
    <s v="CERRADO"/>
    <s v=""/>
    <s v="BORJA CORTIJO LAJARA"/>
    <x v="0"/>
    <d v="2025-06-24T16:32:54"/>
    <d v="2025-06-24T16:42:02"/>
    <s v="Interno"/>
    <n v="26"/>
    <d v="2025-06-23T00:00:00"/>
    <n v="26"/>
    <d v="2025-06-23T00:00:00"/>
    <n v="6.3373726807185449E-3"/>
    <n v="2025"/>
    <n v="2025"/>
    <x v="14"/>
    <x v="1"/>
  </r>
  <r>
    <s v="ESPC360-19388"/>
    <s v="[PRO] [ADN OPERATIVO] INC055995702 - Actualización libreta"/>
    <s v=""/>
    <d v="2025-06-25T09:29:06"/>
    <d v="2025-06-25T09:34:49"/>
    <s v="OPERACIONAL"/>
    <s v="SOPORTE"/>
    <s v="NO-CUSTOMER360"/>
    <s v="C360_Team_Mtto"/>
    <s v="Medium"/>
    <s v="CERRADO"/>
    <s v=""/>
    <s v="Automation for Jira"/>
    <x v="2"/>
    <d v="2025-06-25T09:29:06"/>
    <d v="2025-06-25T09:34:49"/>
    <s v="Externo"/>
    <n v="26"/>
    <d v="2025-06-23T00:00:00"/>
    <n v="26"/>
    <d v="2025-06-23T00:00:00"/>
    <n v="3.9630324099562131E-3"/>
    <n v="2025"/>
    <n v="2025"/>
    <x v="14"/>
    <x v="1"/>
  </r>
  <r>
    <s v="ESPC360-19391"/>
    <s v="[PRO] [Tarjetas] INC055913133 - Ve tarjeta de persona física no asociada"/>
    <s v="Tarjetas"/>
    <d v="2025-06-25T10:38:40"/>
    <d v="2025-06-26T10:56:59"/>
    <s v="OPERACIONAL"/>
    <s v="SOPORTE"/>
    <s v="NO-CUSTOMER360"/>
    <s v="C360_Team_Mtto"/>
    <s v="Medium"/>
    <s v="CERRADO"/>
    <s v=""/>
    <s v="Automation for Jira"/>
    <x v="2"/>
    <d v="2025-06-25T10:38:40"/>
    <d v="2025-06-26T10:56:59"/>
    <s v="Externo"/>
    <n v="26"/>
    <d v="2025-06-23T00:00:00"/>
    <n v="26"/>
    <d v="2025-06-23T00:00:00"/>
    <n v="1.0127227314806078"/>
    <n v="2025"/>
    <n v="2025"/>
    <x v="14"/>
    <x v="1"/>
  </r>
  <r>
    <s v="ESPC360-19398"/>
    <s v="Corrección de ks-globalktables para poder desplegar en PRO"/>
    <s v=""/>
    <d v="2025-06-25T13:52:40"/>
    <d v="2025-10-29T14:44:44"/>
    <s v="OPERACIONAL"/>
    <s v="TÉCNICO"/>
    <s v=""/>
    <s v="C360_Operacional_Team_1"/>
    <s v="Medium"/>
    <s v="CERRADO"/>
    <s v="C360_Operacional_Sprint 205"/>
    <s v="GONZALO GARCIA MORENO"/>
    <x v="0"/>
    <d v="2025-06-25T13:52:40"/>
    <d v="2025-10-29T14:44:44"/>
    <s v="Interno"/>
    <n v="26"/>
    <d v="2025-06-23T00:00:00"/>
    <n v="44"/>
    <d v="2025-10-27T00:00:00"/>
    <n v="126.03614947916503"/>
    <n v="2025"/>
    <n v="2025"/>
    <x v="14"/>
    <x v="10"/>
  </r>
  <r>
    <s v="ESPC360-19402"/>
    <s v="[PRO] [ADN CLIENTE] INC056005482 - Dar de baja Alarmas de cliente 40401615E"/>
    <s v=""/>
    <d v="2025-06-25T14:37:03"/>
    <d v="2025-06-25T14:39:15"/>
    <s v="OPERACIONAL"/>
    <s v="SOPORTE"/>
    <s v="NO-CUSTOMER360"/>
    <s v="C360_Team_Mtto"/>
    <s v="Medium"/>
    <s v="CERRADO"/>
    <s v=""/>
    <s v="Automation for Jira"/>
    <x v="2"/>
    <d v="2025-06-25T14:37:03"/>
    <d v="2025-06-25T14:39:15"/>
    <s v="Externo"/>
    <n v="26"/>
    <d v="2025-06-23T00:00:00"/>
    <n v="26"/>
    <d v="2025-06-23T00:00:00"/>
    <n v="1.5270254589268006E-3"/>
    <n v="2025"/>
    <n v="2025"/>
    <x v="14"/>
    <x v="1"/>
  </r>
  <r>
    <s v="ESPC360-19405"/>
    <s v="[PRO] [ADN-CLIENTE] INC056032954 - Error 500 cuando accedo a ver estado de campaña de cliente"/>
    <s v=""/>
    <d v="2025-06-26T10:09:44"/>
    <d v="2025-06-26T10:13:22"/>
    <s v="OPERACIONAL"/>
    <s v="SOPORTE"/>
    <s v="NO-CUSTOMER360"/>
    <s v="C360_Team_Mtto"/>
    <s v="Medium"/>
    <s v="CERRADO"/>
    <s v=""/>
    <s v="Automation for Jira"/>
    <x v="2"/>
    <d v="2025-06-26T10:09:44"/>
    <d v="2025-06-26T10:13:22"/>
    <s v="Externo"/>
    <n v="26"/>
    <d v="2025-06-23T00:00:00"/>
    <n v="26"/>
    <d v="2025-06-23T00:00:00"/>
    <n v="2.5329745330964215E-3"/>
    <n v="2025"/>
    <n v="2025"/>
    <x v="14"/>
    <x v="1"/>
  </r>
  <r>
    <s v="ESPC360-19406"/>
    <s v="[PRO] [Cuentas] INC056012492 - Incidencia actualización de saldos"/>
    <s v="Cuentas"/>
    <d v="2025-06-26T10:46:19"/>
    <d v="2025-06-26T10:52:21"/>
    <s v="OPERACIONAL"/>
    <s v="SOPORTE"/>
    <s v=""/>
    <s v="C360_Team_Mtto"/>
    <s v="Medium"/>
    <s v="CERRADO"/>
    <s v=""/>
    <s v="Automation for Jira"/>
    <x v="2"/>
    <d v="2025-06-26T10:46:19"/>
    <d v="2025-06-26T10:52:21"/>
    <s v="Externo"/>
    <n v="26"/>
    <d v="2025-06-23T00:00:00"/>
    <n v="26"/>
    <d v="2025-06-23T00:00:00"/>
    <n v="4.1822685234365053E-3"/>
    <n v="2025"/>
    <n v="2025"/>
    <x v="14"/>
    <x v="1"/>
  </r>
  <r>
    <s v="ESPC360-19491"/>
    <s v="[PRO] Recargar Movimientos de Cuentas en Atlas para el odate 20250616"/>
    <s v=""/>
    <d v="2025-06-27T08:55:26"/>
    <d v="2025-06-30T10:11:08"/>
    <s v="OPERACIONAL"/>
    <s v="TÉCNICO"/>
    <s v=""/>
    <s v=""/>
    <s v="Medium"/>
    <s v="CANCELADO"/>
    <s v=""/>
    <s v="Automation for Jira"/>
    <x v="0"/>
    <d v="2025-06-27T08:55:26"/>
    <d v="2025-06-30T10:11:08"/>
    <s v="Interno"/>
    <n v="26"/>
    <d v="2025-06-23T00:00:00"/>
    <n v="27"/>
    <d v="2025-06-30T00:00:00"/>
    <n v="3.0525653009244706"/>
    <n v="2025"/>
    <n v="2025"/>
    <x v="14"/>
    <x v="1"/>
  </r>
  <r>
    <s v="ESPC360-19499"/>
    <s v="[PRO] [Seguros] INC056140943 - La póliza 250420245432 está anulada pero aun aparece en ADN 360"/>
    <s v="Seguros"/>
    <d v="2025-06-30T09:16:02"/>
    <d v="2025-07-01T10:38:33"/>
    <s v="OPERACIONAL"/>
    <s v="SOPORTE"/>
    <s v="NO_CUSTOMER360"/>
    <s v="C360_Team_Mtto"/>
    <s v="Medium"/>
    <s v="CERRADO"/>
    <s v=""/>
    <s v="Automation for Jira"/>
    <x v="2"/>
    <d v="2025-06-30T09:16:02"/>
    <d v="2025-07-01T10:38:33"/>
    <s v="Externo"/>
    <n v="27"/>
    <d v="2025-06-30T00:00:00"/>
    <n v="27"/>
    <d v="2025-06-30T00:00:00"/>
    <n v="1.0572994097237824"/>
    <n v="2025"/>
    <n v="2025"/>
    <x v="14"/>
    <x v="1"/>
  </r>
  <r>
    <s v="ESPC360-19521"/>
    <s v="[PRO] [Créditos] INC056144723 - Fecha de vencimeneto incorrecto"/>
    <s v="Créditos"/>
    <d v="2025-06-30T12:19:37"/>
    <d v="2025-07-01T13:45:04"/>
    <s v="OPERACIONAL"/>
    <s v="SOPORTE"/>
    <s v=""/>
    <s v="C360_Team_Mtto"/>
    <s v="Medium"/>
    <s v="CERRADO"/>
    <s v=""/>
    <s v="Automation for Jira"/>
    <x v="2"/>
    <d v="2025-06-30T12:19:37"/>
    <d v="2025-07-01T13:45:04"/>
    <s v="Externo"/>
    <n v="27"/>
    <d v="2025-06-30T00:00:00"/>
    <n v="27"/>
    <d v="2025-06-30T00:00:00"/>
    <n v="1.0593406944462913"/>
    <n v="2025"/>
    <n v="2025"/>
    <x v="14"/>
    <x v="1"/>
  </r>
  <r>
    <s v="ESPC360-19524"/>
    <s v="[PRO] [Cuentas] INC056037354 PEX_0038636335 no ve una cuenta"/>
    <s v="Cuentas"/>
    <d v="2025-06-30T14:45:02"/>
    <d v="2025-06-30T15:25:30"/>
    <s v="OPERACIONAL"/>
    <s v="SOPORTE"/>
    <s v="GRAVITY"/>
    <s v="C360_Team_Mtto"/>
    <s v="Medium"/>
    <s v="CERRADO"/>
    <s v=""/>
    <s v="BORJA CORTIJO LAJARA"/>
    <x v="2"/>
    <d v="2025-06-30T14:45:02"/>
    <d v="2025-06-30T15:25:30"/>
    <s v="Externo"/>
    <n v="27"/>
    <d v="2025-06-30T00:00:00"/>
    <n v="27"/>
    <d v="2025-06-30T00:00:00"/>
    <n v="2.8097303242248017E-2"/>
    <n v="2025"/>
    <n v="2025"/>
    <x v="14"/>
    <x v="1"/>
  </r>
  <r>
    <s v="ESPC360-19528"/>
    <s v="[PRO] INCIDENCIA ACCESO APP"/>
    <s v=""/>
    <d v="2025-06-30T15:26:15"/>
    <d v="2025-07-07T09:35:19"/>
    <s v="OPERACIONAL"/>
    <s v="SOPORTE"/>
    <s v="NO-CUSTOMER360"/>
    <s v="C360_Team_Mtto"/>
    <s v="Medium"/>
    <s v="CERRADO"/>
    <s v=""/>
    <s v="BORJA CORTIJO LAJARA"/>
    <x v="2"/>
    <d v="2025-06-30T15:26:15"/>
    <d v="2025-07-07T09:35:19"/>
    <s v="Externo"/>
    <n v="27"/>
    <d v="2025-06-30T00:00:00"/>
    <n v="28"/>
    <d v="2025-07-07T00:00:00"/>
    <n v="6.75629546296841"/>
    <n v="2025"/>
    <n v="2025"/>
    <x v="14"/>
    <x v="7"/>
  </r>
  <r>
    <s v="ESPC360-19529"/>
    <s v="[PRO] [SMART-PRICING]  INC055921174 Necesitamos actualizar los precios personalizados que se cargan a nivel cliente en ADN 360. Se trata de un proceso crítico."/>
    <s v="smart-pricing"/>
    <d v="2025-06-30T15:29:42"/>
    <d v="2025-06-30T15:32:42"/>
    <s v="OPERACIONAL"/>
    <s v="TÉCNICO"/>
    <s v=""/>
    <s v="C360_Team_Mtto"/>
    <s v="Medium"/>
    <s v="CERRADO"/>
    <s v=""/>
    <s v="BORJA CORTIJO LAJARA"/>
    <x v="0"/>
    <d v="2025-06-30T15:29:42"/>
    <d v="2025-06-30T15:32:42"/>
    <s v="Interno"/>
    <n v="27"/>
    <d v="2025-06-30T00:00:00"/>
    <n v="27"/>
    <d v="2025-06-30T00:00:00"/>
    <n v="2.0849537031608634E-3"/>
    <n v="2025"/>
    <n v="2025"/>
    <x v="14"/>
    <x v="1"/>
  </r>
  <r>
    <s v="ESPC360-19530"/>
    <s v="[PRO] INC056141216 Contrato digitalizado"/>
    <s v=""/>
    <d v="2025-06-30T15:33:35"/>
    <d v="2025-07-07T09:36:20"/>
    <s v="OPERACIONAL"/>
    <s v="SOPORTE"/>
    <s v="NO-CUSTOMER360"/>
    <s v="C360_Team_Mtto"/>
    <s v="Medium"/>
    <s v="CERRADO"/>
    <s v=""/>
    <s v="BORJA CORTIJO LAJARA"/>
    <x v="2"/>
    <d v="2025-06-30T15:33:35"/>
    <d v="2025-07-07T09:36:20"/>
    <s v="Externo"/>
    <n v="27"/>
    <d v="2025-06-30T00:00:00"/>
    <n v="28"/>
    <d v="2025-07-07T00:00:00"/>
    <n v="6.7519175462948624"/>
    <n v="2025"/>
    <n v="2025"/>
    <x v="14"/>
    <x v="7"/>
  </r>
  <r>
    <s v="ESPC360-19532"/>
    <s v="[PRO] [ADN-Cliente] INC056052288 - Aparece relación en fondo dado de baja"/>
    <s v="Fondos"/>
    <d v="2025-06-30T16:54:51"/>
    <d v="2025-07-01T10:34:53"/>
    <s v="OPERACIONAL"/>
    <s v="SOPORTE"/>
    <s v="NO-CUSTOMER360"/>
    <s v="C360_Team_Mtto"/>
    <s v="Medium"/>
    <s v="CERRADO"/>
    <s v=""/>
    <s v="Automation for Jira"/>
    <x v="2"/>
    <d v="2025-06-30T16:54:51"/>
    <d v="2025-07-01T10:34:53"/>
    <s v="Externo"/>
    <n v="27"/>
    <d v="2025-06-30T00:00:00"/>
    <n v="27"/>
    <d v="2025-06-30T00:00:00"/>
    <n v="0.73614334490412148"/>
    <n v="2025"/>
    <n v="2025"/>
    <x v="14"/>
    <x v="1"/>
  </r>
  <r>
    <s v="ESPC360-19542"/>
    <s v="[PRO] [Seguros] INC056187888 - No se muestra Póliza: 710510023397"/>
    <s v="Seguros"/>
    <d v="2025-07-01T13:56:22"/>
    <d v="2025-07-07T09:31:49"/>
    <s v="OPERACIONAL"/>
    <s v="SOPORTE"/>
    <s v="NO-CUSTOMER360"/>
    <s v="C360_Team_Mtto"/>
    <s v="Medium"/>
    <s v="CERRADO"/>
    <s v=""/>
    <s v="Automation for Jira"/>
    <x v="2"/>
    <d v="2025-07-01T13:56:22"/>
    <d v="2025-07-07T09:31:49"/>
    <s v="Externo"/>
    <n v="27"/>
    <d v="2025-06-30T00:00:00"/>
    <n v="28"/>
    <d v="2025-07-07T00:00:00"/>
    <n v="5.8162854050897295"/>
    <n v="2025"/>
    <n v="2025"/>
    <x v="14"/>
    <x v="7"/>
  </r>
  <r>
    <s v="ESPC360-19546"/>
    <s v="[PRO] [Mov. Cuentas] INC056200081 - No se visualizan ingreso"/>
    <s v="Movimientos Cuentas"/>
    <d v="2025-07-02T08:31:04"/>
    <d v="2025-07-02T11:31:56"/>
    <s v="OPERACIONAL"/>
    <s v="SOPORTE"/>
    <s v=""/>
    <s v="C360_Team_Mtto"/>
    <s v="Medium"/>
    <s v="CERRADO"/>
    <s v=""/>
    <s v="Automation for Jira"/>
    <x v="2"/>
    <d v="2025-07-02T08:31:04"/>
    <d v="2025-07-02T11:31:56"/>
    <s v="Externo"/>
    <n v="27"/>
    <d v="2025-06-30T00:00:00"/>
    <n v="27"/>
    <d v="2025-06-30T00:00:00"/>
    <n v="0.12559813657571794"/>
    <n v="2025"/>
    <n v="2025"/>
    <x v="14"/>
    <x v="1"/>
  </r>
  <r>
    <s v="ESPC360-19547"/>
    <s v="[PRO] [Préstamos] La tabla de opening tiene una estructura diferente a la que indicaron"/>
    <s v=""/>
    <d v="2025-07-02T08:54:13"/>
    <d v="2025-08-06T12:08:55"/>
    <s v="OPERACIONAL"/>
    <s v="DEFINICIÓN"/>
    <s v=""/>
    <s v="C360_Team_Mtto"/>
    <s v="Medium"/>
    <s v="CERRADO"/>
    <s v=""/>
    <s v="Automation for Jira"/>
    <x v="3"/>
    <d v="2025-07-02T08:54:13"/>
    <d v="2025-08-06T12:08:55"/>
    <s v="Externo"/>
    <n v="27"/>
    <d v="2025-06-30T00:00:00"/>
    <n v="32"/>
    <d v="2025-08-04T00:00:00"/>
    <n v="35.135206168983132"/>
    <n v="2025"/>
    <n v="2025"/>
    <x v="14"/>
    <x v="5"/>
  </r>
  <r>
    <s v="ESPC360-19549"/>
    <s v="[PRO] [Fondos] INC056222137 - NO APARECE EL FONDO EUROCRÉDITO 0049 4684    0010431 823"/>
    <s v="Fondos"/>
    <d v="2025-07-02T11:58:04"/>
    <d v="2025-07-02T12:10:04"/>
    <s v="OPERACIONAL"/>
    <s v="TÉCNICO"/>
    <s v=""/>
    <s v="C360_Team_Mtto"/>
    <s v="Medium"/>
    <s v="CERRADO"/>
    <s v=""/>
    <s v="Automation for Jira"/>
    <x v="0"/>
    <d v="2025-07-02T11:58:04"/>
    <d v="2025-07-02T12:10:04"/>
    <s v="Interno"/>
    <n v="27"/>
    <d v="2025-06-30T00:00:00"/>
    <n v="27"/>
    <d v="2025-06-30T00:00:00"/>
    <n v="8.3262037005624734E-3"/>
    <n v="2025"/>
    <n v="2025"/>
    <x v="14"/>
    <x v="1"/>
  </r>
  <r>
    <s v="ESPC360-19552"/>
    <s v="[PRO] [Depósitos] INC056192814 - Saldo duplicado en ADN"/>
    <s v="Depósitos"/>
    <d v="2025-07-02T13:45:48"/>
    <d v="2025-07-07T09:37:21"/>
    <s v="OPERACIONAL"/>
    <s v="TÉCNICO"/>
    <s v=""/>
    <s v="C360_Team_Mtto"/>
    <s v="Medium"/>
    <s v="CERRADO"/>
    <s v=""/>
    <s v="Automation for Jira"/>
    <x v="0"/>
    <d v="2025-07-02T13:45:48"/>
    <d v="2025-07-07T09:37:21"/>
    <s v="Interno"/>
    <n v="27"/>
    <d v="2025-06-30T00:00:00"/>
    <n v="28"/>
    <d v="2025-07-07T00:00:00"/>
    <n v="4.8274628819417558"/>
    <n v="2025"/>
    <n v="2025"/>
    <x v="14"/>
    <x v="7"/>
  </r>
  <r>
    <s v="ESPC360-19565"/>
    <s v="[PRO] [Mov. Cuentas] INC056274778 - Descripción errónea"/>
    <s v="Movimientos Cuentas"/>
    <d v="2025-07-03T12:30:31"/>
    <d v="2025-07-07T09:38:12"/>
    <s v="OPERACIONAL"/>
    <s v="TÉCNICO"/>
    <s v=""/>
    <s v="C360_Team_Mtto"/>
    <s v="Medium"/>
    <s v="CERRADO"/>
    <s v=""/>
    <s v="Automation for Jira"/>
    <x v="0"/>
    <d v="2025-07-03T12:30:31"/>
    <d v="2025-07-07T09:38:12"/>
    <s v="Interno"/>
    <n v="27"/>
    <d v="2025-06-30T00:00:00"/>
    <n v="28"/>
    <d v="2025-07-07T00:00:00"/>
    <n v="3.8803311458323151"/>
    <n v="2025"/>
    <n v="2025"/>
    <x v="14"/>
    <x v="7"/>
  </r>
  <r>
    <s v="ESPC360-19566"/>
    <s v="[PRO] [Fondos] INC056275762 - Cliente visualiza más fondos de los que ha suscrito"/>
    <s v=""/>
    <d v="2025-07-03T13:44:44"/>
    <d v="2025-07-10T10:03:53"/>
    <s v="OPERACIONAL"/>
    <s v="SOPORTE"/>
    <s v=""/>
    <s v=""/>
    <s v="Medium"/>
    <s v="CERRADO"/>
    <s v=""/>
    <s v="Automation for Jira"/>
    <x v="2"/>
    <d v="2025-07-03T13:44:44"/>
    <d v="2025-07-10T10:03:53"/>
    <s v="Externo"/>
    <n v="27"/>
    <d v="2025-06-30T00:00:00"/>
    <n v="28"/>
    <d v="2025-07-07T00:00:00"/>
    <n v="6.8466356828721473"/>
    <n v="2025"/>
    <n v="2025"/>
    <x v="14"/>
    <x v="7"/>
  </r>
  <r>
    <s v="ESPC360-19604"/>
    <s v="[PRO] [Fondos] INC056277755 - Contratos con estado Pg en lugar de AC"/>
    <s v="Fondos"/>
    <d v="2025-07-04T09:49:39"/>
    <d v="2025-07-07T09:39:24"/>
    <s v="OPERACIONAL"/>
    <s v="TÉCNICO"/>
    <s v="GRAVITY"/>
    <s v="C360_Team_Mtto"/>
    <s v="Medium"/>
    <s v="CERRADO"/>
    <s v=""/>
    <s v="Automation for Jira"/>
    <x v="0"/>
    <d v="2025-07-04T09:49:39"/>
    <d v="2025-07-07T09:39:24"/>
    <s v="Interno"/>
    <n v="27"/>
    <d v="2025-06-30T00:00:00"/>
    <n v="28"/>
    <d v="2025-07-07T00:00:00"/>
    <n v="2.9928766435186844"/>
    <n v="2025"/>
    <n v="2025"/>
    <x v="14"/>
    <x v="7"/>
  </r>
  <r>
    <s v="ESPC360-19606"/>
    <s v="[PRO] [Valores] Error en llamadas a la TRX V6C2'-'L'- de securities-market en la version 1"/>
    <s v="Valores"/>
    <d v="2025-07-04T10:02:36"/>
    <d v="2025-07-23T11:47:24"/>
    <s v="OPERACIONAL"/>
    <s v="DESARROLLO"/>
    <s v=""/>
    <s v="C360_Operacional_Team_1"/>
    <s v="Medium"/>
    <s v="CERRADO"/>
    <s v="C360_Operacional_Sprint 205"/>
    <s v="Automation for Jira"/>
    <x v="1"/>
    <d v="2025-07-04T10:02:36"/>
    <d v="2025-07-23T11:47:24"/>
    <s v="Interno"/>
    <n v="27"/>
    <d v="2025-06-30T00:00:00"/>
    <n v="30"/>
    <d v="2025-07-21T00:00:00"/>
    <n v="19.072779340276611"/>
    <n v="2025"/>
    <n v="2025"/>
    <x v="14"/>
    <x v="7"/>
  </r>
  <r>
    <s v="ESPC360-19629"/>
    <s v="[PRO] [ADN-CLIENTE] INC056371875 - Contrato no se muestra"/>
    <s v="Planes de Pensiones"/>
    <d v="2025-07-07T09:25:13"/>
    <d v="2025-07-09T15:03:45"/>
    <s v="OPERACIONAL"/>
    <s v="SOPORTE"/>
    <s v="NO-CUSTOMER360"/>
    <s v="C360_Team_Mtto"/>
    <s v="Medium"/>
    <s v="CERRADO"/>
    <s v=""/>
    <s v="Automation for Jira"/>
    <x v="2"/>
    <d v="2025-07-07T09:25:13"/>
    <d v="2025-07-09T15:03:45"/>
    <s v="Externo"/>
    <n v="28"/>
    <d v="2025-07-07T00:00:00"/>
    <n v="28"/>
    <d v="2025-07-07T00:00:00"/>
    <n v="2.235091539354471"/>
    <n v="2025"/>
    <n v="2025"/>
    <x v="15"/>
    <x v="7"/>
  </r>
  <r>
    <s v="ESPC360-19639"/>
    <s v="[PRO] [Mov. Cuentas] INC056375109 - Errores 500 esporádicos tras llamada a API de movimientos de ADN360 en PRO"/>
    <s v="Movimientos Cuentas"/>
    <d v="2025-07-07T13:13:33"/>
    <d v="2025-07-07T13:18:13"/>
    <s v="OPERACIONAL"/>
    <s v="SOPORTE"/>
    <s v=""/>
    <s v="C360_Team_Mtto"/>
    <s v="Medium"/>
    <s v="CERRADO"/>
    <s v=""/>
    <s v="Automation for Jira"/>
    <x v="2"/>
    <d v="2025-07-07T13:13:33"/>
    <d v="2025-07-07T13:18:13"/>
    <s v="Externo"/>
    <n v="28"/>
    <d v="2025-07-07T00:00:00"/>
    <n v="28"/>
    <d v="2025-07-07T00:00:00"/>
    <n v="3.2449999998789281E-3"/>
    <n v="2025"/>
    <n v="2025"/>
    <x v="15"/>
    <x v="7"/>
  </r>
  <r>
    <s v="ESPC360-19648"/>
    <s v="[PRO] [Seguros] INC056407190 -  No aparece contrato de rentas"/>
    <s v="Seguros"/>
    <d v="2025-07-08T09:59:50"/>
    <d v="2025-07-17T09:41:26"/>
    <s v="OPERACIONAL"/>
    <s v="SOPORTE"/>
    <s v="NO_CUSTOMER360"/>
    <s v="C360_Team_Mtto"/>
    <s v="Medium"/>
    <s v="CERRADO"/>
    <s v=""/>
    <s v="Automation for Jira"/>
    <x v="2"/>
    <d v="2025-07-08T09:59:50"/>
    <d v="2025-07-17T09:41:26"/>
    <s v="Externo"/>
    <n v="28"/>
    <d v="2025-07-07T00:00:00"/>
    <n v="29"/>
    <d v="2025-07-14T00:00:00"/>
    <n v="8.9872192476832424"/>
    <n v="2025"/>
    <n v="2025"/>
    <x v="15"/>
    <x v="7"/>
  </r>
  <r>
    <s v="ESPC360-19661"/>
    <s v="[PRO] [DERIVADOS] - INC056306826 INCIDENCIA POSICION DERIVADOS EN ADN - FRUTAS IBEROS S.L. (J-004244079)"/>
    <s v="Derivados"/>
    <d v="2025-07-09T10:53:43"/>
    <d v="2025-07-15T12:13:52"/>
    <s v="OPERACIONAL"/>
    <s v="SOPORTE"/>
    <s v="NO_CUSTOMER360"/>
    <s v="C360_Team_Mtto"/>
    <s v="Medium"/>
    <s v="CERRADO"/>
    <s v=""/>
    <s v="Arturo Ruiz Simon"/>
    <x v="2"/>
    <d v="2025-07-09T10:53:43"/>
    <d v="2025-07-15T12:13:52"/>
    <s v="Externo"/>
    <n v="28"/>
    <d v="2025-07-07T00:00:00"/>
    <n v="29"/>
    <d v="2025-07-14T00:00:00"/>
    <n v="6.0556563888894743"/>
    <n v="2025"/>
    <n v="2025"/>
    <x v="15"/>
    <x v="7"/>
  </r>
  <r>
    <s v="ESPC360-19662"/>
    <s v="[PRO] [Cuentas] El KStream de relcontratos está apuntando a la colección cuentas_creditos_contratos_v199_0"/>
    <s v=""/>
    <d v="2025-07-09T11:02:12"/>
    <d v="2025-07-23T11:47:29"/>
    <s v="OPERACIONAL"/>
    <s v="DESARROLLO"/>
    <s v=""/>
    <s v="C360_Operacional_Team_1"/>
    <s v="Medium"/>
    <s v="CERRADO"/>
    <s v="C360_Operacional_Sprint 206"/>
    <s v="Automation for Jira"/>
    <x v="1"/>
    <d v="2025-07-09T11:02:12"/>
    <d v="2025-07-23T11:47:29"/>
    <s v="Interno"/>
    <n v="28"/>
    <d v="2025-07-07T00:00:00"/>
    <n v="30"/>
    <d v="2025-07-21T00:00:00"/>
    <n v="14.031448576388357"/>
    <n v="2025"/>
    <n v="2025"/>
    <x v="15"/>
    <x v="7"/>
  </r>
  <r>
    <s v="ESPC360-19663"/>
    <s v="[PRO][RENTING] INC056235393 - PEX_0038766593 F-26155742 le sale una exclamación"/>
    <s v="Renting"/>
    <d v="2025-07-09T11:05:48"/>
    <d v="2025-07-09T11:08:46"/>
    <s v="OPERACIONAL"/>
    <s v="SOPORTE"/>
    <s v="NO_CUSTOMER360"/>
    <s v="C360_Team_Mtto"/>
    <s v="Medium"/>
    <s v="CERRADO"/>
    <s v=""/>
    <s v="Arturo Ruiz Simon"/>
    <x v="2"/>
    <d v="2025-07-09T11:05:48"/>
    <d v="2025-07-09T11:08:46"/>
    <s v="Externo"/>
    <n v="28"/>
    <d v="2025-07-07T00:00:00"/>
    <n v="28"/>
    <d v="2025-07-07T00:00:00"/>
    <n v="2.0554398142849095E-3"/>
    <n v="2025"/>
    <n v="2025"/>
    <x v="15"/>
    <x v="7"/>
  </r>
  <r>
    <s v="ESPC360-19686"/>
    <s v="[PRO] [ADN-CLIENTE] INC056478477 - Error de Confidencialidad"/>
    <s v="Confidencialidad"/>
    <d v="2025-07-10T11:55:31"/>
    <d v="2025-07-11T14:13:49"/>
    <s v="OPERACIONAL"/>
    <s v="SOPORTE"/>
    <s v="NO-CUSTOMER360"/>
    <s v="C360_Team_Mtto"/>
    <s v="Medium"/>
    <s v="CERRADO"/>
    <s v=""/>
    <s v="Automation for Jira"/>
    <x v="2"/>
    <d v="2025-07-10T11:55:31"/>
    <d v="2025-07-11T14:13:49"/>
    <s v="Externo"/>
    <n v="28"/>
    <d v="2025-07-07T00:00:00"/>
    <n v="28"/>
    <d v="2025-07-07T00:00:00"/>
    <n v="1.0960479282439337"/>
    <n v="2025"/>
    <n v="2025"/>
    <x v="15"/>
    <x v="7"/>
  </r>
  <r>
    <s v="ESPC360-19771"/>
    <s v="[PRO] [Comex] INC056509952 - Aparecen créditos documentarios que están pagados"/>
    <s v="Comex"/>
    <d v="2025-07-14T09:12:57"/>
    <d v="2025-07-29T12:17:51"/>
    <s v="OPERACIONAL"/>
    <s v="SOPORTE"/>
    <s v=""/>
    <s v="C360_Team_Mtto"/>
    <s v="Medium"/>
    <s v="CERRADO"/>
    <s v=""/>
    <s v="Automation for Jira"/>
    <x v="2"/>
    <d v="2025-07-14T09:12:57"/>
    <d v="2025-07-29T12:17:51"/>
    <s v="Externo"/>
    <n v="29"/>
    <d v="2025-07-14T00:00:00"/>
    <n v="31"/>
    <d v="2025-07-28T00:00:00"/>
    <n v="15.128399513887416"/>
    <n v="2025"/>
    <n v="2025"/>
    <x v="15"/>
    <x v="7"/>
  </r>
  <r>
    <s v="ESPC360-19772"/>
    <s v="[PRE] [PMP] [Consultas] Consulta a la hora de llamar a la cesta de aval comercial de una PMP"/>
    <s v="Póliza Multiproducto (PMP)"/>
    <d v="2025-07-14T10:47:15"/>
    <d v="2025-08-06T12:08:55"/>
    <s v="OPERACIONAL"/>
    <s v="DESARROLLO"/>
    <s v=""/>
    <s v="C360_Team_Mtto"/>
    <s v="Medium"/>
    <s v="CERRADO"/>
    <s v=""/>
    <s v="Automation for Jira"/>
    <x v="1"/>
    <d v="2025-07-14T10:47:15"/>
    <d v="2025-08-06T12:08:55"/>
    <s v="Interno"/>
    <n v="29"/>
    <d v="2025-07-14T00:00:00"/>
    <n v="32"/>
    <d v="2025-08-04T00:00:00"/>
    <n v="23.056710162032687"/>
    <n v="2025"/>
    <n v="2025"/>
    <x v="15"/>
    <x v="5"/>
  </r>
  <r>
    <s v="ESPC360-19773"/>
    <s v="[PRO] [Seguros] INC056579901 - póliza anulada esta renovada"/>
    <s v="Seguros"/>
    <d v="2025-07-14T11:28:21"/>
    <d v="2025-07-29T12:18:35"/>
    <s v="OPERACIONAL"/>
    <s v="SOPORTE"/>
    <s v=""/>
    <s v="C360_Team_Mtto"/>
    <s v="Medium"/>
    <s v="CERRADO"/>
    <s v=""/>
    <s v="Automation for Jira"/>
    <x v="2"/>
    <d v="2025-07-14T11:28:21"/>
    <d v="2025-07-29T12:18:35"/>
    <s v="Externo"/>
    <n v="29"/>
    <d v="2025-07-14T00:00:00"/>
    <n v="31"/>
    <d v="2025-07-28T00:00:00"/>
    <n v="15.034890486109362"/>
    <n v="2025"/>
    <n v="2025"/>
    <x v="15"/>
    <x v="7"/>
  </r>
  <r>
    <s v="ESPC360-19775"/>
    <s v="0265cle0000001  han desaparecido las cuentas"/>
    <s v=""/>
    <d v="2025-07-14T14:50:00"/>
    <d v="2025-07-15T14:42:17"/>
    <s v="OPERACIONAL"/>
    <s v="SOPORTE"/>
    <s v=""/>
    <s v=""/>
    <s v="Medium"/>
    <s v="CANCELADO"/>
    <s v=""/>
    <s v="BORJA CORTIJO LAJARA"/>
    <x v="2"/>
    <d v="2025-07-14T14:50:00"/>
    <d v="2025-07-15T14:42:17"/>
    <s v="Externo"/>
    <n v="29"/>
    <d v="2025-07-14T00:00:00"/>
    <n v="29"/>
    <d v="2025-07-14T00:00:00"/>
    <n v="0.99463606481003808"/>
    <n v="2025"/>
    <n v="2025"/>
    <x v="15"/>
    <x v="7"/>
  </r>
  <r>
    <s v="ESPC360-19776"/>
    <s v="[Consulta] Comparativa de incidencias entre primer semestre de 2024 y 2025"/>
    <s v=""/>
    <d v="2025-07-15T07:52:42"/>
    <d v="2025-07-24T08:31:12"/>
    <s v="OPERACIONAL"/>
    <s v="SOPORTE"/>
    <s v=""/>
    <s v="C360_Team_Mtto"/>
    <s v="Medium"/>
    <s v="CERRADO"/>
    <s v=""/>
    <s v="Automation for Jira"/>
    <x v="2"/>
    <d v="2025-07-15T07:52:42"/>
    <d v="2025-07-24T08:31:12"/>
    <s v="Externo"/>
    <n v="29"/>
    <d v="2025-07-14T00:00:00"/>
    <n v="30"/>
    <d v="2025-07-21T00:00:00"/>
    <n v="9.0267397800926119"/>
    <n v="2025"/>
    <n v="2025"/>
    <x v="15"/>
    <x v="7"/>
  </r>
  <r>
    <s v="ESPC360-19780"/>
    <s v="[PRO] [NWE] INC056277343 - ¿PODÉIS REVISAR LA INCIDENCIA DEL MAIL ADJUNTO?"/>
    <s v=""/>
    <d v="2025-07-15T10:30:02"/>
    <d v="2025-07-21T08:36:34"/>
    <s v="OPERACIONAL"/>
    <s v="SOPORTE"/>
    <s v="NO-CUSTOMER360"/>
    <s v="C360_Team_Mtto"/>
    <s v="Medium"/>
    <s v="CERRADO"/>
    <s v=""/>
    <s v="Automation for Jira"/>
    <x v="2"/>
    <d v="2025-07-15T10:30:02"/>
    <d v="2025-07-21T08:36:34"/>
    <s v="Externo"/>
    <n v="29"/>
    <d v="2025-07-14T00:00:00"/>
    <n v="30"/>
    <d v="2025-07-21T00:00:00"/>
    <n v="5.9212104861144326"/>
    <n v="2025"/>
    <n v="2025"/>
    <x v="15"/>
    <x v="7"/>
  </r>
  <r>
    <s v="ESPC360-19788"/>
    <s v="[PRO] [Depósitos] INC056615851 - Saldo incorrecto"/>
    <s v="Depósitos"/>
    <d v="2025-07-15T11:45:43"/>
    <d v="2025-07-18T13:44:52"/>
    <s v="OPERACIONAL"/>
    <s v="DESARROLLO"/>
    <s v=""/>
    <s v="C360_Team_Mtto"/>
    <s v="Medium"/>
    <s v="CERRADO"/>
    <s v=""/>
    <s v="Automation for Jira"/>
    <x v="1"/>
    <d v="2025-07-15T11:45:43"/>
    <d v="2025-07-18T13:44:52"/>
    <s v="Interno"/>
    <n v="29"/>
    <d v="2025-07-14T00:00:00"/>
    <n v="29"/>
    <d v="2025-07-14T00:00:00"/>
    <n v="3.082734479168721"/>
    <n v="2025"/>
    <n v="2025"/>
    <x v="15"/>
    <x v="7"/>
  </r>
  <r>
    <s v="ESPC360-19802"/>
    <s v="0265cle0000001  han desaparecido las cuentas"/>
    <s v=""/>
    <d v="2025-07-15T14:32:53"/>
    <d v="2025-07-15T14:40:48"/>
    <s v="OPERACIONAL"/>
    <s v="SOPORTE"/>
    <s v=""/>
    <s v=""/>
    <s v="Medium"/>
    <s v="CANCELADO"/>
    <s v=""/>
    <s v="BORJA CORTIJO LAJARA"/>
    <x v="2"/>
    <d v="2025-07-15T14:32:53"/>
    <d v="2025-07-15T14:40:48"/>
    <s v="Externo"/>
    <n v="29"/>
    <d v="2025-07-14T00:00:00"/>
    <n v="29"/>
    <d v="2025-07-14T00:00:00"/>
    <n v="5.490208335686475E-3"/>
    <n v="2025"/>
    <n v="2025"/>
    <x v="15"/>
    <x v="7"/>
  </r>
  <r>
    <s v="ESPC360-19817"/>
    <s v="[PRO] [Cuentas] INC056611570 - Error al traspasar el bizum"/>
    <s v=""/>
    <d v="2025-07-16T08:47:37"/>
    <d v="2025-07-16T11:28:30"/>
    <s v="OPERACIONAL"/>
    <s v="SOPORTE"/>
    <s v=""/>
    <s v=""/>
    <s v="Medium"/>
    <s v="CANCELADO"/>
    <s v=""/>
    <s v="Automation for Jira"/>
    <x v="2"/>
    <d v="2025-07-16T08:47:37"/>
    <d v="2025-07-16T11:28:30"/>
    <s v="Externo"/>
    <n v="29"/>
    <d v="2025-07-14T00:00:00"/>
    <n v="29"/>
    <d v="2025-07-14T00:00:00"/>
    <n v="0.11171667824237375"/>
    <n v="2025"/>
    <n v="2025"/>
    <x v="15"/>
    <x v="7"/>
  </r>
  <r>
    <s v="ESPC360-19822"/>
    <s v="[PRO] [Cuentas] INC056611570 - APP/ Error &quot;Lo sentimos no se puede completar la operación&quot; al intentar modificar la cuenta vinculada a Bizum"/>
    <s v="Cuentas"/>
    <d v="2025-07-16T09:57:35"/>
    <d v="2025-07-21T13:03:37"/>
    <s v="OPERACIONAL"/>
    <s v="SOPORTE"/>
    <s v=""/>
    <s v="C360_Team_Mtto"/>
    <s v="Medium"/>
    <s v="CERRADO"/>
    <s v=""/>
    <s v="BORJA CORTIJO LAJARA"/>
    <x v="2"/>
    <d v="2025-07-16T09:57:35"/>
    <d v="2025-07-21T13:03:37"/>
    <s v="Externo"/>
    <n v="29"/>
    <d v="2025-07-14T00:00:00"/>
    <n v="30"/>
    <d v="2025-07-21T00:00:00"/>
    <n v="5.1291918055503629"/>
    <n v="2025"/>
    <n v="2025"/>
    <x v="15"/>
    <x v="7"/>
  </r>
  <r>
    <s v="ESPC360-19833"/>
    <s v="[PRO] [Tarjetas] INC056658335 - El saldo dispuesto en adn no es es 0 y no es correcto ."/>
    <s v="Tarjetas"/>
    <d v="2025-07-17T09:45:26"/>
    <d v="2025-07-29T12:19:45"/>
    <s v="OPERACIONAL"/>
    <s v="SOPORTE"/>
    <s v=""/>
    <s v="C360_Team_Mtto"/>
    <s v="Medium"/>
    <s v="CERRADO"/>
    <s v=""/>
    <s v="Automation for Jira"/>
    <x v="2"/>
    <d v="2025-07-17T09:45:26"/>
    <d v="2025-07-29T12:19:45"/>
    <s v="Externo"/>
    <n v="29"/>
    <d v="2025-07-14T00:00:00"/>
    <n v="31"/>
    <d v="2025-07-28T00:00:00"/>
    <n v="12.107173715281533"/>
    <n v="2025"/>
    <n v="2025"/>
    <x v="15"/>
    <x v="7"/>
  </r>
  <r>
    <s v="ESPC360-19834"/>
    <s v="[PRO] [Cuentas] INC056626210 - No aparece cuenta para contratar fondo"/>
    <s v="Cuentas"/>
    <d v="2025-07-17T10:34:45"/>
    <d v="2025-07-22T12:04:17"/>
    <s v="OPERACIONAL"/>
    <s v="SOPORTE"/>
    <s v=""/>
    <s v="C360_Team_Mtto"/>
    <s v="Medium"/>
    <s v="CERRADO"/>
    <s v=""/>
    <s v="Automation for Jira"/>
    <x v="2"/>
    <d v="2025-07-17T10:34:45"/>
    <d v="2025-07-22T12:04:17"/>
    <s v="Externo"/>
    <n v="29"/>
    <d v="2025-07-14T00:00:00"/>
    <n v="30"/>
    <d v="2025-07-21T00:00:00"/>
    <n v="5.0621804166657967"/>
    <n v="2025"/>
    <n v="2025"/>
    <x v="15"/>
    <x v="7"/>
  </r>
  <r>
    <s v="ESPC360-19835"/>
    <s v="[PRO] [Procesos] INC056674780 - Ha fallado el proceso PADN164D"/>
    <s v=""/>
    <d v="2025-07-17T11:26:54"/>
    <d v="2025-07-18T10:22:34"/>
    <s v="OPERACIONAL"/>
    <s v="SOPORTE"/>
    <s v="PROCESOS"/>
    <s v="C360_Team_Mtto"/>
    <s v="Medium"/>
    <s v="CERRADO"/>
    <s v=""/>
    <s v="Automation for Jira"/>
    <x v="2"/>
    <d v="2025-07-17T11:26:54"/>
    <d v="2025-07-18T10:22:34"/>
    <s v="Externo"/>
    <n v="29"/>
    <d v="2025-07-14T00:00:00"/>
    <n v="29"/>
    <d v="2025-07-14T00:00:00"/>
    <n v="0.95532101851858897"/>
    <n v="2025"/>
    <n v="2025"/>
    <x v="15"/>
    <x v="7"/>
  </r>
  <r>
    <s v="ESPC360-19887"/>
    <s v="[Customer Position] - Corrección typeCode en tarjetas de débito"/>
    <s v=""/>
    <d v="2025-07-17T14:36:07"/>
    <d v="2025-07-31T12:02:47"/>
    <s v="OPERACIONAL"/>
    <s v="DESARROLLO"/>
    <s v=""/>
    <s v="C360_Operacional_Team_1"/>
    <s v="Medium"/>
    <s v="CERRADO"/>
    <s v="C360_Operacional_Sprint 207"/>
    <s v="GONZALO GARCIA MORENO"/>
    <x v="1"/>
    <d v="2025-07-17T14:36:07"/>
    <d v="2025-07-31T12:02:47"/>
    <s v="Interno"/>
    <n v="29"/>
    <d v="2025-07-14T00:00:00"/>
    <n v="31"/>
    <d v="2025-07-28T00:00:00"/>
    <n v="13.893521168982261"/>
    <n v="2025"/>
    <n v="2025"/>
    <x v="15"/>
    <x v="7"/>
  </r>
  <r>
    <s v="ESPC360-19911"/>
    <s v="[PRO] [ADN-Cliente]  INC056729068 - Baja adn redes"/>
    <s v=""/>
    <d v="2025-07-18T11:45:04"/>
    <d v="2025-07-18T11:53:40"/>
    <s v="OPERACIONAL"/>
    <s v="SOPORTE"/>
    <s v="NO-CUSTOMER360"/>
    <s v="C360_Team_Mtto"/>
    <s v="Medium"/>
    <s v="CERRADO"/>
    <s v=""/>
    <s v="Automation for Jira"/>
    <x v="2"/>
    <d v="2025-07-18T11:45:04"/>
    <d v="2025-07-18T11:53:40"/>
    <s v="Externo"/>
    <n v="29"/>
    <d v="2025-07-14T00:00:00"/>
    <n v="29"/>
    <d v="2025-07-14T00:00:00"/>
    <n v="5.9707523178076372E-3"/>
    <n v="2025"/>
    <n v="2025"/>
    <x v="15"/>
    <x v="7"/>
  </r>
  <r>
    <s v="ESPC360-19913"/>
    <s v="[PRO] [Préstamos] INC056730117 - Fecha de vencimiento errónea"/>
    <s v="Préstamos"/>
    <d v="2025-07-18T13:26:57"/>
    <d v="2025-07-29T12:20:18"/>
    <s v="OPERACIONAL"/>
    <s v="SOPORTE"/>
    <s v=""/>
    <s v="C360_Team_Mtto"/>
    <s v="Medium"/>
    <s v="CERRADO"/>
    <s v=""/>
    <s v="Automation for Jira"/>
    <x v="2"/>
    <d v="2025-07-18T13:26:57"/>
    <d v="2025-07-29T12:20:18"/>
    <s v="Externo"/>
    <n v="29"/>
    <d v="2025-07-14T00:00:00"/>
    <n v="31"/>
    <d v="2025-07-28T00:00:00"/>
    <n v="10.953720659716055"/>
    <n v="2025"/>
    <n v="2025"/>
    <x v="15"/>
    <x v="7"/>
  </r>
  <r>
    <s v="ESPC360-19914"/>
    <s v="[PRO][Cuentas] INC056733427 - Cuentas Con saldo 0"/>
    <s v="Cuentas"/>
    <d v="2025-07-21T08:34:58"/>
    <d v="2025-07-22T12:02:12"/>
    <s v="OPERACIONAL"/>
    <s v="SOPORTE"/>
    <s v=""/>
    <s v="C360_Team_Mtto"/>
    <s v="Medium"/>
    <s v="CERRADO"/>
    <s v=""/>
    <s v="Automation for Jira"/>
    <x v="2"/>
    <d v="2025-07-21T08:34:58"/>
    <d v="2025-07-22T12:02:12"/>
    <s v="Externo"/>
    <n v="30"/>
    <d v="2025-07-21T00:00:00"/>
    <n v="30"/>
    <d v="2025-07-21T00:00:00"/>
    <n v="1.1439116319452296"/>
    <n v="2025"/>
    <n v="2025"/>
    <x v="15"/>
    <x v="7"/>
  </r>
  <r>
    <s v="ESPC360-19919"/>
    <s v="PRO [Seguros] INC056813177 - Póliza no activa en ADN360"/>
    <s v="Seguros"/>
    <d v="2025-07-21T11:50:31"/>
    <d v="2025-07-22T11:59:48"/>
    <s v="OPERACIONAL"/>
    <s v="SOPORTE"/>
    <s v="NO-CUSTOMER360"/>
    <s v="C360_Team_Mtto"/>
    <s v="Medium"/>
    <s v="CERRADO"/>
    <s v=""/>
    <s v="BORJA CORTIJO LAJARA"/>
    <x v="2"/>
    <d v="2025-07-21T11:50:31"/>
    <d v="2025-07-22T11:59:48"/>
    <s v="Externo"/>
    <n v="30"/>
    <d v="2025-07-21T00:00:00"/>
    <n v="30"/>
    <d v="2025-07-21T00:00:00"/>
    <n v="1.0064358564777649"/>
    <n v="2025"/>
    <n v="2025"/>
    <x v="15"/>
    <x v="7"/>
  </r>
  <r>
    <s v="ESPC360-19921"/>
    <s v="Titulo de prueba para BUG desde API 2"/>
    <s v=""/>
    <d v="2025-07-21T14:44:40"/>
    <d v="2025-07-21T14:57:20"/>
    <s v="OPERACIONAL"/>
    <s v="SOPORTE"/>
    <s v=""/>
    <s v=""/>
    <s v="Medium"/>
    <s v="CANCELADO"/>
    <s v=""/>
    <s v="Arturo Ruiz Simon"/>
    <x v="2"/>
    <d v="2025-07-21T14:44:40"/>
    <d v="2025-07-21T14:57:20"/>
    <s v="Externo"/>
    <n v="30"/>
    <d v="2025-07-21T00:00:00"/>
    <n v="30"/>
    <d v="2025-07-21T00:00:00"/>
    <n v="8.7979050949797966E-3"/>
    <n v="2025"/>
    <n v="2025"/>
    <x v="15"/>
    <x v="7"/>
  </r>
  <r>
    <s v="ESPC360-19922"/>
    <s v="[PRO][SEGUROS] [INC056817268] - PEX_0039131146  kibot nif 01176646N"/>
    <s v="Seguros"/>
    <d v="2025-07-21T14:48:21"/>
    <d v="2025-07-23T10:03:26"/>
    <s v="OPERACIONAL"/>
    <s v="SOPORTE"/>
    <s v=""/>
    <s v="C360_Team_Mtto"/>
    <s v="Medium"/>
    <s v="CERRADO"/>
    <s v=""/>
    <s v="Arturo Ruiz Simon"/>
    <x v="2"/>
    <d v="2025-07-21T14:48:21"/>
    <d v="2025-07-23T10:03:26"/>
    <s v="Externo"/>
    <n v="30"/>
    <d v="2025-07-21T00:00:00"/>
    <n v="30"/>
    <d v="2025-07-21T00:00:00"/>
    <n v="1.8021411805530079"/>
    <n v="2025"/>
    <n v="2025"/>
    <x v="15"/>
    <x v="7"/>
  </r>
  <r>
    <s v="ESPC360-19928"/>
    <s v="[Customer Position] - Corrección saldo tarjetas prepago"/>
    <s v=""/>
    <d v="2025-07-22T14:36:55"/>
    <d v="2025-08-06T12:11:02"/>
    <s v="OPERACIONAL"/>
    <s v="DESARROLLO"/>
    <s v=""/>
    <s v="C360_Operacional_Team_1"/>
    <s v="Medium"/>
    <s v="CERRADO"/>
    <s v="C360_Operacional_Sprint 207"/>
    <s v="GONZALO GARCIA MORENO"/>
    <x v="1"/>
    <d v="2025-07-22T14:36:55"/>
    <d v="2025-08-06T12:11:02"/>
    <s v="Interno"/>
    <n v="30"/>
    <d v="2025-07-21T00:00:00"/>
    <n v="32"/>
    <d v="2025-08-04T00:00:00"/>
    <n v="14.898695555551967"/>
    <n v="2025"/>
    <n v="2025"/>
    <x v="15"/>
    <x v="5"/>
  </r>
  <r>
    <s v="ESPC360-19938"/>
    <s v="[PRO] [Cuentas] INC056879485 - No se muestra el ccc"/>
    <s v="Cuentas"/>
    <d v="2025-07-23T10:06:03"/>
    <d v="2025-07-24T10:20:48"/>
    <s v="OPERACIONAL"/>
    <s v="SOPORTE"/>
    <s v=""/>
    <s v="C360_Team_Mtto"/>
    <s v="Medium"/>
    <s v="CERRADO"/>
    <s v=""/>
    <s v="Automation for Jira"/>
    <x v="2"/>
    <d v="2025-07-23T10:06:03"/>
    <d v="2025-07-24T10:20:48"/>
    <s v="Externo"/>
    <n v="30"/>
    <d v="2025-07-21T00:00:00"/>
    <n v="30"/>
    <d v="2025-07-21T00:00:00"/>
    <n v="1.0102466666648979"/>
    <n v="2025"/>
    <n v="2025"/>
    <x v="15"/>
    <x v="7"/>
  </r>
  <r>
    <s v="ESPC360-19939"/>
    <s v="PRO [PMP] - INC056884368 - No se traspasa el saldo a ADN360"/>
    <s v="Créditos;Póliza Multiproducto (PMP)"/>
    <d v="2025-07-23T12:27:42"/>
    <d v="2025-07-23T12:40:56"/>
    <s v="OPERACIONAL"/>
    <s v="SOPORTE"/>
    <s v=""/>
    <s v="C360_Team_Mtto"/>
    <s v="Medium"/>
    <s v="CERRADO"/>
    <s v=""/>
    <s v="BORJA CORTIJO LAJARA"/>
    <x v="2"/>
    <d v="2025-07-23T12:27:42"/>
    <d v="2025-07-23T12:40:56"/>
    <s v="Externo"/>
    <n v="30"/>
    <d v="2025-07-21T00:00:00"/>
    <n v="30"/>
    <d v="2025-07-21T00:00:00"/>
    <n v="9.1971527799614705E-3"/>
    <n v="2025"/>
    <n v="2025"/>
    <x v="15"/>
    <x v="7"/>
  </r>
  <r>
    <s v="ESPC360-19942"/>
    <s v="[Customer Position] - Corrección de los saldos de cuentas/créditos"/>
    <s v=""/>
    <d v="2025-07-24T08:32:18"/>
    <d v="2025-07-31T12:02:51"/>
    <s v="OPERACIONAL"/>
    <s v="DEFINICIÓN"/>
    <s v=""/>
    <s v="C360_Operacional_Team_1"/>
    <s v="Medium"/>
    <s v="CERRADO"/>
    <s v="C360_Operacional_Sprint 207"/>
    <s v="GONZALO GARCIA MORENO"/>
    <x v="3"/>
    <d v="2025-07-24T08:32:18"/>
    <d v="2025-07-31T12:02:51"/>
    <s v="Externo"/>
    <n v="30"/>
    <d v="2025-07-21T00:00:00"/>
    <n v="31"/>
    <d v="2025-07-28T00:00:00"/>
    <n v="7.1462159953734954"/>
    <n v="2025"/>
    <n v="2025"/>
    <x v="15"/>
    <x v="7"/>
  </r>
  <r>
    <s v="ESPC360-20030"/>
    <s v="[PRO] [Cuentas] INC056953650 - No aparece cuenta en adn360"/>
    <s v="Cuentas"/>
    <d v="2025-07-28T09:01:44"/>
    <d v="2025-07-28T09:15:18"/>
    <s v="OPERACIONAL"/>
    <s v="SOPORTE"/>
    <s v=""/>
    <s v="C360_Team_Mtto"/>
    <s v="Medium"/>
    <s v="CERRADO"/>
    <s v=""/>
    <s v="Automation for Jira"/>
    <x v="2"/>
    <d v="2025-07-28T09:01:44"/>
    <d v="2025-07-28T09:15:18"/>
    <s v="Externo"/>
    <n v="31"/>
    <d v="2025-07-28T00:00:00"/>
    <n v="31"/>
    <d v="2025-07-28T00:00:00"/>
    <n v="9.4239467580337077E-3"/>
    <n v="2025"/>
    <n v="2025"/>
    <x v="15"/>
    <x v="7"/>
  </r>
  <r>
    <s v="ESPC360-20031"/>
    <s v="[PRO] [Procesos] INC056964003 - Han fallado los procesos de categorización con odate del día 24/07"/>
    <s v=""/>
    <d v="2025-07-28T09:19:32"/>
    <d v="2025-07-30T17:48:44"/>
    <s v="OPERACIONAL"/>
    <s v="REPROCESO"/>
    <s v=""/>
    <s v="C360_Team_Mtto"/>
    <s v="Medium"/>
    <s v="CERRADO"/>
    <s v=""/>
    <s v="Automation for Jira"/>
    <x v="5"/>
    <d v="2025-07-28T09:19:32"/>
    <d v="2025-07-30T17:48:44"/>
    <s v="Interno"/>
    <n v="31"/>
    <d v="2025-07-28T00:00:00"/>
    <n v="31"/>
    <d v="2025-07-28T00:00:00"/>
    <n v="2.3536109606502578"/>
    <n v="2025"/>
    <n v="2025"/>
    <x v="15"/>
    <x v="7"/>
  </r>
  <r>
    <s v="ESPC360-20033"/>
    <s v="[PRO] [ADNCliente] INC056928300  EN ADN Cliente no se muestra rating"/>
    <s v=""/>
    <d v="2025-07-28T09:33:14"/>
    <d v="2025-07-30T13:55:52"/>
    <s v="OPERACIONAL"/>
    <s v="SOPORTE"/>
    <s v="NO-CUSTOMER360"/>
    <s v="C360_Team_Mtto"/>
    <s v="Medium"/>
    <s v="CERRADO"/>
    <s v=""/>
    <s v="BORJA CORTIJO LAJARA"/>
    <x v="2"/>
    <d v="2025-07-28T09:33:14"/>
    <d v="2025-07-30T13:55:52"/>
    <s v="Externo"/>
    <n v="31"/>
    <d v="2025-07-28T00:00:00"/>
    <n v="31"/>
    <d v="2025-07-28T00:00:00"/>
    <n v="2.1823840277720592"/>
    <n v="2025"/>
    <n v="2025"/>
    <x v="15"/>
    <x v="7"/>
  </r>
  <r>
    <s v="ESPC360-20034"/>
    <s v="[PRO] [Seguros] INC056957061 - Póliza anulada se muestra en ADN360"/>
    <s v="Seguros"/>
    <d v="2025-07-28T09:38:22"/>
    <d v="2025-07-30T09:12:40"/>
    <s v="OPERACIONAL"/>
    <s v="SOPORTE"/>
    <s v="NO-CUSTOMER360"/>
    <s v="C360_Team_Mtto"/>
    <s v="Medium"/>
    <s v="CERRADO"/>
    <s v=""/>
    <s v="BORJA CORTIJO LAJARA"/>
    <x v="2"/>
    <d v="2025-07-28T09:38:22"/>
    <d v="2025-07-30T09:12:40"/>
    <s v="Externo"/>
    <n v="31"/>
    <d v="2025-07-28T00:00:00"/>
    <n v="31"/>
    <d v="2025-07-28T00:00:00"/>
    <n v="1.9821482638872112"/>
    <n v="2025"/>
    <n v="2025"/>
    <x v="15"/>
    <x v="7"/>
  </r>
  <r>
    <s v="ESPC360-20035"/>
    <s v="[PRO] [Mov. Cuentas] INC057018845 - No se están mostrando todos los movimientos online"/>
    <s v="Recibos"/>
    <d v="2025-07-28T10:40:13"/>
    <d v="2025-07-29T12:20:35"/>
    <s v="OPERACIONAL"/>
    <s v="SOPORTE"/>
    <s v=""/>
    <s v="C360_Team_Mtto"/>
    <s v="Medium"/>
    <s v="CERRADO"/>
    <s v=""/>
    <s v="Automation for Jira"/>
    <x v="2"/>
    <d v="2025-07-28T10:40:13"/>
    <d v="2025-07-29T12:20:35"/>
    <s v="Externo"/>
    <n v="31"/>
    <d v="2025-07-28T00:00:00"/>
    <n v="31"/>
    <d v="2025-07-28T00:00:00"/>
    <n v="1.0697011689844658"/>
    <n v="2025"/>
    <n v="2025"/>
    <x v="15"/>
    <x v="7"/>
  </r>
  <r>
    <s v="ESPC360-20038"/>
    <s v="[PRO] [Valores] Se sigue dando error en llamadas a la TRX V6C2'-'L'- de securities-market en la version 1"/>
    <s v=""/>
    <d v="2025-07-28T13:40:36"/>
    <d v="9999-12-31T10:41:41"/>
    <s v="OPERACIONAL"/>
    <s v="DESARROLLO"/>
    <s v=""/>
    <s v="C360_Operacional_Team_1"/>
    <s v="Medium"/>
    <s v="Ready to Develop"/>
    <s v=""/>
    <s v="MIGUEL ANGEL BARRAGAN CARBONELL"/>
    <x v="1"/>
    <d v="2025-07-28T13:40:36"/>
    <d v="9999-12-31T10:41:41"/>
    <s v="Interno"/>
    <n v="31"/>
    <d v="2025-07-28T00:00:00"/>
    <n v="53"/>
    <n v="2958468"/>
    <n v="2912598.8757500811"/>
    <n v="2025"/>
    <n v="9999"/>
    <x v="15"/>
    <x v="8"/>
  </r>
  <r>
    <s v="ESPC360-20039"/>
    <s v="[PRO] [Planeta Seguros] INC057022594 Póliza en vigor no aparece en posiciones ADN360"/>
    <s v="Planeta Seguros"/>
    <d v="2025-07-28T14:40:18"/>
    <d v="2025-07-30T15:37:14"/>
    <s v="OPERACIONAL"/>
    <s v="TÉCNICO"/>
    <s v=""/>
    <s v="C360_Team_Mtto"/>
    <s v="Medium"/>
    <s v="CERRADO"/>
    <s v=""/>
    <s v="BORJA CORTIJO LAJARA"/>
    <x v="0"/>
    <d v="2025-07-28T14:40:18"/>
    <d v="2025-07-30T15:37:14"/>
    <s v="Interno"/>
    <n v="31"/>
    <d v="2025-07-28T00:00:00"/>
    <n v="31"/>
    <d v="2025-07-28T00:00:00"/>
    <n v="2.0395396643507411"/>
    <n v="2025"/>
    <n v="2025"/>
    <x v="15"/>
    <x v="7"/>
  </r>
  <r>
    <s v="ESPC360-20054"/>
    <s v="[PRO] [Tarjetas] INC057025566 - No puede sacar dinero con código"/>
    <s v="Tarjetas"/>
    <d v="2025-07-29T12:15:12"/>
    <d v="2025-07-29T14:53:52"/>
    <s v="OPERACIONAL"/>
    <s v="SOPORTE"/>
    <s v=""/>
    <s v="C360_Team_Mtto"/>
    <s v="Medium"/>
    <s v="CERRADO"/>
    <s v=""/>
    <s v="Automation for Jira"/>
    <x v="2"/>
    <d v="2025-07-29T12:15:12"/>
    <d v="2025-07-29T14:53:52"/>
    <s v="Externo"/>
    <n v="31"/>
    <d v="2025-07-28T00:00:00"/>
    <n v="31"/>
    <d v="2025-07-28T00:00:00"/>
    <n v="0.11018319443974178"/>
    <n v="2025"/>
    <n v="2025"/>
    <x v="15"/>
    <x v="7"/>
  </r>
  <r>
    <s v="ESPC360-20056"/>
    <s v="[PRO][Tarjetas] INC057032091 - Incidencia visualización tarjeta."/>
    <s v="Tarjetas"/>
    <d v="2025-07-29T12:37:25"/>
    <d v="2025-07-30T09:10:24"/>
    <s v="OPERACIONAL"/>
    <s v="SOPORTE"/>
    <s v=" NO-CUSTOMER360"/>
    <s v="C360_Team_Mtto"/>
    <s v="Medium"/>
    <s v="CERRADO"/>
    <s v=""/>
    <s v="Arturo Ruiz Simon"/>
    <x v="2"/>
    <d v="2025-07-29T12:37:25"/>
    <d v="2025-07-30T09:10:24"/>
    <s v="Externo"/>
    <n v="31"/>
    <d v="2025-07-28T00:00:00"/>
    <n v="31"/>
    <d v="2025-07-28T00:00:00"/>
    <n v="0.85623315972043201"/>
    <n v="2025"/>
    <n v="2025"/>
    <x v="15"/>
    <x v="7"/>
  </r>
  <r>
    <s v="ESPC360-20071"/>
    <s v="[PRO] [Mov. Cuentas] INC056608575 - Descripciones de movimientos online  distintas a cosnolidados"/>
    <s v="Movimientos Cuentas"/>
    <d v="2025-07-29T14:29:46"/>
    <d v="2025-07-29T14:53:24"/>
    <s v="OPERACIONAL"/>
    <s v="SOPORTE"/>
    <s v=""/>
    <s v="C360_Team_Mtto"/>
    <s v="Medium"/>
    <s v="CERRADO"/>
    <s v=""/>
    <s v="Automation for Jira"/>
    <x v="2"/>
    <d v="2025-07-29T14:29:46"/>
    <d v="2025-07-29T14:53:24"/>
    <s v="Externo"/>
    <n v="31"/>
    <d v="2025-07-28T00:00:00"/>
    <n v="31"/>
    <d v="2025-07-28T00:00:00"/>
    <n v="1.6421157408331055E-2"/>
    <n v="2025"/>
    <n v="2025"/>
    <x v="15"/>
    <x v="7"/>
  </r>
  <r>
    <s v="ESPC360-20083"/>
    <s v="Error java.lang.NumberFormatException fix-hismo-resto ODATE 2023-10-10"/>
    <s v=""/>
    <d v="2025-07-30T13:57:26"/>
    <d v="2025-08-08T10:26:38"/>
    <s v="OPERACIONAL"/>
    <s v="TÉCNICO"/>
    <s v=""/>
    <s v="C360_Team_Mtto"/>
    <s v="Medium"/>
    <s v="CERRADO"/>
    <s v=""/>
    <s v="Arturo Ruiz Simon"/>
    <x v="0"/>
    <d v="2025-07-30T13:57:26"/>
    <d v="2025-08-08T10:26:38"/>
    <s v="Interno"/>
    <n v="31"/>
    <d v="2025-07-28T00:00:00"/>
    <n v="32"/>
    <d v="2025-08-04T00:00:00"/>
    <n v="8.853602662034973"/>
    <n v="2025"/>
    <n v="2025"/>
    <x v="15"/>
    <x v="5"/>
  </r>
  <r>
    <s v="ESPC360-20157"/>
    <s v="[PRO] [Tarjetas] INC057137420 - Error en operativa tarjeta prepago"/>
    <s v="Tarjetas"/>
    <d v="2025-08-01T10:04:53"/>
    <d v="2025-08-05T09:46:47"/>
    <s v="OPERACIONAL"/>
    <s v="SOPORTE"/>
    <s v="NO-CUSTOMER360"/>
    <s v="C360_Team_Mtto"/>
    <s v="Medium"/>
    <s v="CERRADO"/>
    <s v=""/>
    <s v="BORJA CORTIJO LAJARA"/>
    <x v="2"/>
    <d v="2025-08-01T10:04:53"/>
    <d v="2025-08-05T09:46:47"/>
    <s v="Externo"/>
    <n v="31"/>
    <d v="2025-07-28T00:00:00"/>
    <n v="32"/>
    <d v="2025-08-04T00:00:00"/>
    <n v="3.9874240624994854"/>
    <n v="2025"/>
    <n v="2025"/>
    <x v="15"/>
    <x v="5"/>
  </r>
  <r>
    <s v="ESPC360-20162"/>
    <s v="[PRO] [Movimientos Cuentas]  INC057089296 - Problemas al ver los movimientos de cuenta"/>
    <s v="Movimientos Cuentas"/>
    <d v="2025-08-01T10:29:58"/>
    <d v="2025-09-04T08:58:26"/>
    <s v="OPERACIONAL"/>
    <s v="SOPORTE"/>
    <s v=""/>
    <s v="C360_Team_Mtto"/>
    <s v="Medium"/>
    <s v="CERRADO"/>
    <s v=""/>
    <s v="BORJA CORTIJO LAJARA"/>
    <x v="2"/>
    <d v="2025-08-01T10:29:58"/>
    <d v="2025-09-04T08:58:26"/>
    <s v="Externo"/>
    <n v="31"/>
    <d v="2025-07-28T00:00:00"/>
    <n v="36"/>
    <d v="2025-09-01T00:00:00"/>
    <n v="33.936434444440238"/>
    <n v="2025"/>
    <n v="2025"/>
    <x v="15"/>
    <x v="9"/>
  </r>
  <r>
    <s v="ESPC360-20163"/>
    <s v="[PRO] [NO-CUSTOMER360] A4JMCPAT"/>
    <s v=""/>
    <d v="2025-08-01T10:40:24"/>
    <d v="2025-08-04T10:54:31"/>
    <s v="OPERACIONAL"/>
    <s v="SOPORTE"/>
    <s v="NO-CUSTOMER360"/>
    <s v="C360_Team_Mtto"/>
    <s v="Medium"/>
    <s v="CERRADO"/>
    <s v=""/>
    <s v="BORJA CORTIJO LAJARA"/>
    <x v="2"/>
    <d v="2025-08-01T10:40:24"/>
    <d v="2025-08-04T10:54:31"/>
    <s v="Externo"/>
    <n v="31"/>
    <d v="2025-07-28T00:00:00"/>
    <n v="32"/>
    <d v="2025-08-04T00:00:00"/>
    <n v="3.0098013425958925"/>
    <n v="2025"/>
    <n v="2025"/>
    <x v="15"/>
    <x v="5"/>
  </r>
  <r>
    <s v="ESPC360-20166"/>
    <s v="[Customer Position] - Modificar uri en la configuración de structure_deposits"/>
    <s v=""/>
    <d v="2025-08-01T11:51:18"/>
    <d v="2025-09-03T01:13:09"/>
    <s v="OPERACIONAL"/>
    <s v="DEFINICIÓN"/>
    <s v=""/>
    <s v="C360_Operacional_Team_1"/>
    <s v="Medium"/>
    <s v="CERRADO"/>
    <s v="C360_Operacional_Sprint 208"/>
    <s v="Fernando Juan Noblejas Castellanos"/>
    <x v="3"/>
    <d v="2025-08-01T11:51:18"/>
    <d v="2025-09-03T01:13:09"/>
    <s v="Externo"/>
    <n v="31"/>
    <d v="2025-07-28T00:00:00"/>
    <n v="36"/>
    <d v="2025-09-01T00:00:00"/>
    <n v="32.556840682867914"/>
    <n v="2025"/>
    <n v="2025"/>
    <x v="15"/>
    <x v="9"/>
  </r>
  <r>
    <s v="ESPC360-20171"/>
    <s v="[PRO] [PFEs] INC057158562 - Error vision saldos ipfs"/>
    <s v="PFEs"/>
    <d v="2025-08-01T12:38:48"/>
    <d v="2025-08-06T08:32:54"/>
    <s v="OPERACIONAL"/>
    <s v="SOPORTE"/>
    <s v="NO-CUSTOMER360"/>
    <s v="C360_Team_Mtto"/>
    <s v="Medium"/>
    <s v="CERRADO"/>
    <s v=""/>
    <s v="BORJA CORTIJO LAJARA"/>
    <x v="2"/>
    <d v="2025-08-01T12:38:48"/>
    <d v="2025-08-06T08:32:54"/>
    <s v="Externo"/>
    <n v="31"/>
    <d v="2025-07-28T00:00:00"/>
    <n v="32"/>
    <d v="2025-08-04T00:00:00"/>
    <n v="4.8292425925901625"/>
    <n v="2025"/>
    <n v="2025"/>
    <x v="15"/>
    <x v="5"/>
  </r>
  <r>
    <s v="ESPC360-20172"/>
    <s v="[PRO][PRESTAMOS] [INC057158008] - PEX_0039302658 - ADN360 no actualiza la posición del cliente, no aparece préstamo dispuesto el 27/07/2025"/>
    <s v="Préstamos"/>
    <d v="2025-08-01T13:56:24"/>
    <d v="2025-08-06T09:11:00"/>
    <s v="OPERACIONAL"/>
    <s v="TÉCNICO"/>
    <s v="NO-CUSTOMER360"/>
    <s v="C360_Team_Mtto"/>
    <s v="Medium"/>
    <s v="CERRADO"/>
    <s v=""/>
    <s v="Arturo Ruiz Simon"/>
    <x v="0"/>
    <d v="2025-08-01T13:56:24"/>
    <d v="2025-08-06T09:11:00"/>
    <s v="Interno"/>
    <n v="31"/>
    <d v="2025-07-28T00:00:00"/>
    <n v="32"/>
    <d v="2025-08-04T00:00:00"/>
    <n v="4.8018012962929788"/>
    <n v="2025"/>
    <n v="2025"/>
    <x v="15"/>
    <x v="5"/>
  </r>
  <r>
    <s v="ESPC360-20176"/>
    <s v="[PRO] [Jobs] INC057131604 - PADN360125D/B-SANES-P-HDP.ADN360-800012122 - Odate: 2025/07/29"/>
    <s v=""/>
    <d v="2025-08-04T09:29:50"/>
    <d v="2025-08-04T09:45:53"/>
    <s v="OPERACIONAL"/>
    <s v="SOPORTE"/>
    <s v="PROCESOS"/>
    <s v="C360_Team_Mtto"/>
    <s v="Medium"/>
    <s v="CERRADO"/>
    <s v=""/>
    <s v="BORJA CORTIJO LAJARA"/>
    <x v="2"/>
    <d v="2025-08-04T09:29:50"/>
    <d v="2025-08-04T09:45:53"/>
    <s v="Externo"/>
    <n v="32"/>
    <d v="2025-08-04T00:00:00"/>
    <n v="32"/>
    <d v="2025-08-04T00:00:00"/>
    <n v="1.1139444439322688E-2"/>
    <n v="2025"/>
    <n v="2025"/>
    <x v="16"/>
    <x v="5"/>
  </r>
  <r>
    <s v="ESPC360-20186"/>
    <s v="[PRO] [NO-CUSTOMER360] INC057223324 -  En intranet corporativo no me sale la opción de poder acceder al AIS."/>
    <s v=""/>
    <d v="2025-08-04T11:29:35"/>
    <d v="2025-08-05T13:11:46"/>
    <s v="OPERACIONAL"/>
    <s v="SOPORTE"/>
    <s v="NO-CUSTOMER360"/>
    <s v="C360_Team_Mtto"/>
    <s v="Medium"/>
    <s v="CERRADO"/>
    <s v=""/>
    <s v="BORJA CORTIJO LAJARA"/>
    <x v="2"/>
    <d v="2025-08-04T11:29:35"/>
    <d v="2025-08-05T13:11:46"/>
    <s v="Externo"/>
    <n v="32"/>
    <d v="2025-08-04T00:00:00"/>
    <n v="32"/>
    <d v="2025-08-04T00:00:00"/>
    <n v="1.0709692824093509"/>
    <n v="2025"/>
    <n v="2025"/>
    <x v="16"/>
    <x v="5"/>
  </r>
  <r>
    <s v="ESPC360-20189"/>
    <s v="[PRO] [Portal Deudor] No se contabilizan los créditos en aggregations"/>
    <s v=""/>
    <d v="2025-08-04T11:49:56"/>
    <d v="2025-09-16T16:56:33"/>
    <s v="OPERACIONAL"/>
    <s v="TÉCNICO"/>
    <s v=""/>
    <s v="C360_Operacional_Team_1"/>
    <s v="Medium"/>
    <s v="CERRADO"/>
    <s v="C360_Operacional_Sprint 208"/>
    <s v="Automation for Jira"/>
    <x v="0"/>
    <d v="2025-08-04T11:49:56"/>
    <d v="2025-09-16T16:56:33"/>
    <s v="Interno"/>
    <n v="32"/>
    <d v="2025-08-04T00:00:00"/>
    <n v="38"/>
    <d v="2025-09-15T00:00:00"/>
    <n v="43.212924814812141"/>
    <n v="2025"/>
    <n v="2025"/>
    <x v="16"/>
    <x v="9"/>
  </r>
  <r>
    <s v="ESPC360-20193"/>
    <s v="[PRO] [NO-CUSTOMER360] INC057226804 - Usuarios con problemas al realizar operativas desde ADN abierto desde Citrix"/>
    <s v=""/>
    <d v="2025-08-05T08:03:16"/>
    <d v="2025-08-05T13:11:56"/>
    <s v="OPERACIONAL"/>
    <s v="SOPORTE"/>
    <s v="NO-CUSTOMER360"/>
    <s v="C360_Team_Mtto"/>
    <s v="Medium"/>
    <s v="CERRADO"/>
    <s v=""/>
    <s v="BORJA CORTIJO LAJARA"/>
    <x v="2"/>
    <d v="2025-08-05T08:03:16"/>
    <d v="2025-08-05T13:11:56"/>
    <s v="Externo"/>
    <n v="32"/>
    <d v="2025-08-04T00:00:00"/>
    <n v="32"/>
    <d v="2025-08-04T00:00:00"/>
    <n v="0.21436297453328734"/>
    <n v="2025"/>
    <n v="2025"/>
    <x v="16"/>
    <x v="5"/>
  </r>
  <r>
    <s v="ESPC360-20194"/>
    <s v="[PRO] [Movimientos Cuentas] No se muestran los movimientos de Julio ni en ADN nien la banca online del cliente"/>
    <s v="Movimientos Cuentas"/>
    <d v="2025-08-05T08:12:10"/>
    <d v="2025-08-06T15:38:37"/>
    <s v="OPERACIONAL"/>
    <s v="SOPORTE"/>
    <s v=""/>
    <s v="C360_Team_Mtto"/>
    <s v="Medium"/>
    <s v="CERRADO"/>
    <s v=""/>
    <s v="BORJA CORTIJO LAJARA"/>
    <x v="2"/>
    <d v="2025-08-05T08:12:10"/>
    <d v="2025-08-06T15:38:37"/>
    <s v="Externo"/>
    <n v="32"/>
    <d v="2025-08-04T00:00:00"/>
    <n v="32"/>
    <d v="2025-08-04T00:00:00"/>
    <n v="1.3100347569416044"/>
    <n v="2025"/>
    <n v="2025"/>
    <x v="16"/>
    <x v="5"/>
  </r>
  <r>
    <s v="ESPC360-20195"/>
    <s v="[PRE] [NO-CUSTOMER360] INC057255766 - Usuario PRE sin acceso ADN Cliente: X901103"/>
    <s v=""/>
    <d v="2025-08-05T09:04:22"/>
    <d v="2025-08-05T13:12:08"/>
    <s v="OPERACIONAL"/>
    <s v="SOPORTE"/>
    <s v="NO-CUSTOMER360"/>
    <s v="C360_Team_Mtto"/>
    <s v="Medium"/>
    <s v="CERRADO"/>
    <s v=""/>
    <s v="BORJA CORTIJO LAJARA"/>
    <x v="2"/>
    <d v="2025-08-05T09:04:22"/>
    <d v="2025-08-05T13:12:08"/>
    <s v="Externo"/>
    <n v="32"/>
    <d v="2025-08-04T00:00:00"/>
    <n v="32"/>
    <d v="2025-08-04T00:00:00"/>
    <n v="0.17205997685232433"/>
    <n v="2025"/>
    <n v="2025"/>
    <x v="16"/>
    <x v="5"/>
  </r>
  <r>
    <s v="ESPC360-20197"/>
    <s v="[PRO] [Depósitos] INC057096037- HELPY 14800568 error valoración depósito entre web y app"/>
    <s v="PFEs"/>
    <d v="2025-08-05T09:42:50"/>
    <d v="2025-09-03T15:04:29"/>
    <s v="OPERACIONAL"/>
    <s v="SOPORTE"/>
    <s v=""/>
    <s v="C360_Team_Mtto"/>
    <s v="Medium"/>
    <s v="CERRADO"/>
    <s v=""/>
    <s v="BORJA CORTIJO LAJARA"/>
    <x v="2"/>
    <d v="2025-08-05T09:42:50"/>
    <d v="2025-09-03T15:04:29"/>
    <s v="Externo"/>
    <n v="32"/>
    <d v="2025-08-04T00:00:00"/>
    <n v="36"/>
    <d v="2025-09-01T00:00:00"/>
    <n v="29.223376979163731"/>
    <n v="2025"/>
    <n v="2025"/>
    <x v="16"/>
    <x v="9"/>
  </r>
  <r>
    <s v="ESPC360-20198"/>
    <s v="[PRO] [Créditos] El límite del crédito es erróneo en ADN360"/>
    <s v="Créditos"/>
    <d v="2025-08-05T10:37:45"/>
    <d v="2025-08-06T08:37:10"/>
    <s v="OPERACIONAL"/>
    <s v="SOPORTE"/>
    <s v="NO-CUSTOMER360"/>
    <s v="C360_Team_Mtto"/>
    <s v="Medium"/>
    <s v="CERRADO"/>
    <s v=""/>
    <s v="BORJA CORTIJO LAJARA"/>
    <x v="2"/>
    <d v="2025-08-05T10:37:45"/>
    <d v="2025-08-06T08:37:10"/>
    <s v="Externo"/>
    <n v="32"/>
    <d v="2025-08-04T00:00:00"/>
    <n v="32"/>
    <d v="2025-08-04T00:00:00"/>
    <n v="0.91625626157474471"/>
    <n v="2025"/>
    <n v="2025"/>
    <x v="16"/>
    <x v="5"/>
  </r>
  <r>
    <s v="ESPC360-20200"/>
    <s v="[PRO] [Movimientos Cuentas] INC057265237 - No se visualizan los movimientos de los ayuntamientos"/>
    <s v="Movimientos Cuentas"/>
    <d v="2025-08-05T15:12:13"/>
    <d v="2025-08-06T15:38:26"/>
    <s v="OPERACIONAL"/>
    <s v="SOPORTE"/>
    <s v=""/>
    <s v="C360_Team_Mtto"/>
    <s v="Medium"/>
    <s v="CERRADO"/>
    <s v=""/>
    <s v="BORJA CORTIJO LAJARA"/>
    <x v="2"/>
    <d v="2025-08-05T15:12:13"/>
    <d v="2025-08-06T15:38:26"/>
    <s v="Externo"/>
    <n v="32"/>
    <d v="2025-08-04T00:00:00"/>
    <n v="32"/>
    <d v="2025-08-04T00:00:00"/>
    <n v="1.0182054629622144"/>
    <n v="2025"/>
    <n v="2025"/>
    <x v="16"/>
    <x v="5"/>
  </r>
  <r>
    <s v="ESPC360-20201"/>
    <s v="[PRO][SEGUROS] [INC057265077] - PEX_0039409573**KIBOT**46341403Z"/>
    <s v="Seguros"/>
    <d v="2025-08-05T15:47:42"/>
    <d v="2025-08-13T12:47:06"/>
    <s v="OPERACIONAL"/>
    <s v="SOPORTE"/>
    <s v=""/>
    <s v="C360_Team_Mtto"/>
    <s v="Medium"/>
    <s v="CERRADO"/>
    <s v=""/>
    <s v="Arturo Ruiz Simon"/>
    <x v="2"/>
    <d v="2025-08-05T15:47:42"/>
    <d v="2025-08-13T12:47:06"/>
    <s v="Externo"/>
    <n v="32"/>
    <d v="2025-08-04T00:00:00"/>
    <n v="33"/>
    <d v="2025-08-11T00:00:00"/>
    <n v="7.8745839930561488"/>
    <n v="2025"/>
    <n v="2025"/>
    <x v="16"/>
    <x v="5"/>
  </r>
  <r>
    <s v="ESPC360-20202"/>
    <s v="[PRO] [Cuentas] INC057266714 - El usuario no ve una de sus cuentas en ADN360"/>
    <s v="Cuentas"/>
    <d v="2025-08-06T08:21:39"/>
    <d v="2025-08-06T15:20:51"/>
    <s v="OPERACIONAL"/>
    <s v="DESARROLLO"/>
    <s v=""/>
    <s v="C360_Team_Mtto"/>
    <s v="Medium"/>
    <s v="CERRADO"/>
    <s v=""/>
    <s v="BORJA CORTIJO LAJARA"/>
    <x v="1"/>
    <d v="2025-08-06T08:21:39"/>
    <d v="2025-08-06T15:20:51"/>
    <s v="Interno"/>
    <n v="32"/>
    <d v="2025-08-04T00:00:00"/>
    <n v="32"/>
    <d v="2025-08-04T00:00:00"/>
    <n v="0.29111549768276745"/>
    <n v="2025"/>
    <n v="2025"/>
    <x v="16"/>
    <x v="5"/>
  </r>
  <r>
    <s v="ESPC360-20203"/>
    <s v="[PRO] Fallos al desplegar ks-globalktables"/>
    <s v=""/>
    <d v="2025-08-06T09:33:16"/>
    <d v="9999-12-31T10:41:41"/>
    <s v="OPERACIONAL"/>
    <s v="TÉCNICO"/>
    <s v=""/>
    <s v="C360_Operacional_Team_1"/>
    <s v="Medium"/>
    <s v="Upstream Generic State 06"/>
    <s v=""/>
    <s v="Automation for Jira"/>
    <x v="0"/>
    <d v="2025-08-06T09:33:16"/>
    <d v="9999-12-31T10:41:41"/>
    <s v="Interno"/>
    <n v="32"/>
    <d v="2025-08-04T00:00:00"/>
    <n v="53"/>
    <n v="2958468"/>
    <n v="2912590.0475075119"/>
    <n v="2025"/>
    <n v="9999"/>
    <x v="16"/>
    <x v="8"/>
  </r>
  <r>
    <s v="ESPC360-20205"/>
    <s v="[Customer Position] Corrección saldos tarjetas débido"/>
    <s v=""/>
    <d v="2025-08-06T11:08:06"/>
    <d v="2025-09-03T01:13:10"/>
    <s v="OPERACIONAL"/>
    <s v="TÉCNICO"/>
    <s v=""/>
    <s v="C360_Operacional_Team_1"/>
    <s v="Medium"/>
    <s v="CERRADO"/>
    <s v="C360_Operacional_Sprint 208"/>
    <s v="GONZALO GARCIA MORENO"/>
    <x v="0"/>
    <d v="2025-08-06T11:08:06"/>
    <d v="2025-09-03T01:13:10"/>
    <s v="Interno"/>
    <n v="32"/>
    <d v="2025-08-04T00:00:00"/>
    <n v="36"/>
    <d v="2025-09-01T00:00:00"/>
    <n v="27.586842152777535"/>
    <n v="2025"/>
    <n v="2025"/>
    <x v="16"/>
    <x v="9"/>
  </r>
  <r>
    <s v="ESPC360-20211"/>
    <s v="[PRO] [Movimientos Cuentas]  INC057307410 - NO VEN MOVIMIENTOS EN CUENTA RECAUDACION AYTO"/>
    <s v="Movimientos Cuentas"/>
    <d v="2025-08-07T08:17:58"/>
    <d v="2025-08-07T08:36:50"/>
    <s v="OPERACIONAL"/>
    <s v="SOPORTE"/>
    <s v=""/>
    <s v="C360_Team_Mtto"/>
    <s v="Medium"/>
    <s v="CERRADO"/>
    <s v=""/>
    <s v="BORJA CORTIJO LAJARA"/>
    <x v="2"/>
    <d v="2025-08-07T08:17:58"/>
    <d v="2025-08-07T08:36:50"/>
    <s v="Externo"/>
    <n v="32"/>
    <d v="2025-08-04T00:00:00"/>
    <n v="32"/>
    <d v="2025-08-04T00:00:00"/>
    <n v="1.3102592594805174E-2"/>
    <n v="2025"/>
    <n v="2025"/>
    <x v="16"/>
    <x v="5"/>
  </r>
  <r>
    <s v="ESPC360-20212"/>
    <s v="[PRO] [Procesos] PADN164D fallido con Odate: 2025/08/06"/>
    <s v=""/>
    <d v="2025-08-07T08:38:48"/>
    <d v="2025-08-07T11:57:48"/>
    <s v="OPERACIONAL"/>
    <s v="SOPORTE"/>
    <s v="PROCESOS"/>
    <s v="C360_Team_Mtto"/>
    <s v="Medium"/>
    <s v="CERRADO"/>
    <s v=""/>
    <s v="BORJA CORTIJO LAJARA"/>
    <x v="2"/>
    <d v="2025-08-07T08:38:48"/>
    <d v="2025-08-07T11:57:48"/>
    <s v="Externo"/>
    <n v="32"/>
    <d v="2025-08-04T00:00:00"/>
    <n v="32"/>
    <d v="2025-08-04T00:00:00"/>
    <n v="0.13819039351801621"/>
    <n v="2025"/>
    <n v="2025"/>
    <x v="16"/>
    <x v="5"/>
  </r>
  <r>
    <s v="ESPC360-20213"/>
    <s v="[PRO][CUENTAS] [INC057335594] - PEX_0039434124_ vencimiento  0049 1809 26 2110018160"/>
    <s v="Cuentas"/>
    <d v="2025-08-07T09:33:35"/>
    <d v="2025-08-13T12:48:54"/>
    <s v="OPERACIONAL"/>
    <s v="SOPORTE"/>
    <s v=""/>
    <s v="C360_Team_Mtto"/>
    <s v="Medium"/>
    <s v="CERRADO"/>
    <s v=""/>
    <s v="Arturo Ruiz Simon"/>
    <x v="2"/>
    <d v="2025-08-07T09:33:35"/>
    <d v="2025-08-13T12:48:54"/>
    <s v="Externo"/>
    <n v="32"/>
    <d v="2025-08-04T00:00:00"/>
    <n v="33"/>
    <d v="2025-08-11T00:00:00"/>
    <n v="6.1356427314822213"/>
    <n v="2025"/>
    <n v="2025"/>
    <x v="16"/>
    <x v="5"/>
  </r>
  <r>
    <s v="ESPC360-20214"/>
    <s v="[PRO] [NO-CUSTOMER360] INC057336947 - Error en las liquidaciones ADN Operativo"/>
    <s v=""/>
    <d v="2025-08-07T09:43:31"/>
    <d v="2025-08-08T11:26:24"/>
    <s v="OPERACIONAL"/>
    <s v="SOPORTE"/>
    <s v="NO-CUSTOMER360"/>
    <s v="C360_Team_Mtto"/>
    <s v="Medium"/>
    <s v="CERRADO"/>
    <s v=""/>
    <s v="BORJA CORTIJO LAJARA"/>
    <x v="2"/>
    <d v="2025-08-07T09:43:31"/>
    <d v="2025-08-08T11:26:24"/>
    <s v="Externo"/>
    <n v="32"/>
    <d v="2025-08-04T00:00:00"/>
    <n v="32"/>
    <d v="2025-08-04T00:00:00"/>
    <n v="1.0714383101876592"/>
    <n v="2025"/>
    <n v="2025"/>
    <x v="16"/>
    <x v="5"/>
  </r>
  <r>
    <s v="ESPC360-20279"/>
    <s v="[PRO] [Procesos] PADN164D Fallido con Odate: 2025/08/07"/>
    <s v=""/>
    <d v="2025-08-08T09:21:39"/>
    <d v="2025-08-08T11:24:40"/>
    <s v="OPERACIONAL"/>
    <s v="SOPORTE"/>
    <s v="PROCESOS"/>
    <s v="C360_Team_Mtto"/>
    <s v="Medium"/>
    <s v="CERRADO"/>
    <s v=""/>
    <s v="BORJA CORTIJO LAJARA"/>
    <x v="2"/>
    <d v="2025-08-08T09:21:39"/>
    <d v="2025-08-08T11:24:40"/>
    <s v="Externo"/>
    <n v="32"/>
    <d v="2025-08-04T00:00:00"/>
    <n v="32"/>
    <d v="2025-08-04T00:00:00"/>
    <n v="8.5424733799300157E-2"/>
    <n v="2025"/>
    <n v="2025"/>
    <x v="16"/>
    <x v="5"/>
  </r>
  <r>
    <s v="ESPC360-20283"/>
    <s v="[PRO] [Procesos] PADNGPI004D Fallido Odate: 2025/08/02"/>
    <s v=""/>
    <d v="2025-08-08T11:00:26"/>
    <d v="2025-08-08T13:58:40"/>
    <s v="OPERACIONAL"/>
    <s v="SOPORTE"/>
    <s v="PROCESOS"/>
    <s v="C360_Team_Mtto"/>
    <s v="Medium"/>
    <s v="CERRADO"/>
    <s v=""/>
    <s v="BORJA CORTIJO LAJARA"/>
    <x v="2"/>
    <d v="2025-08-08T11:00:26"/>
    <d v="2025-08-08T13:58:40"/>
    <s v="Externo"/>
    <n v="32"/>
    <d v="2025-08-04T00:00:00"/>
    <n v="32"/>
    <d v="2025-08-04T00:00:00"/>
    <n v="0.12377469907369232"/>
    <n v="2025"/>
    <n v="2025"/>
    <x v="16"/>
    <x v="5"/>
  </r>
  <r>
    <s v="ESPC360-20284"/>
    <s v="[PRO] [Préstamos] No actualizar cuentaAsociada si no se encuentra"/>
    <s v=""/>
    <d v="2025-08-08T11:18:10"/>
    <d v="2025-09-29T15:50:11"/>
    <s v="OPERACIONAL"/>
    <s v="TÉCNICO"/>
    <s v=""/>
    <s v="C360_Team_Mtto"/>
    <s v="Medium"/>
    <s v="CERRADO"/>
    <s v=""/>
    <s v="Automation for Jira"/>
    <x v="0"/>
    <d v="2025-08-08T11:18:10"/>
    <d v="2025-09-29T15:50:11"/>
    <s v="Interno"/>
    <n v="32"/>
    <d v="2025-08-04T00:00:00"/>
    <n v="40"/>
    <d v="2025-09-29T00:00:00"/>
    <n v="52.188902314810548"/>
    <n v="2025"/>
    <n v="2025"/>
    <x v="16"/>
    <x v="9"/>
  </r>
  <r>
    <s v="ESPC360-20290"/>
    <s v="[PRO] [PFEs] INC057338033 - WEB/ Cliente visualiza dos depósitos en sus posiciones y nos indica que no llegó a finalizar al contratación"/>
    <s v="PFEs"/>
    <d v="2025-08-11T12:38:01"/>
    <d v="2025-08-21T11:09:46"/>
    <s v="OPERACIONAL"/>
    <s v="SOPORTE"/>
    <s v="NO-CUSTOMER360"/>
    <s v="C360_Team_Mtto"/>
    <s v="Medium"/>
    <s v="CERRADO"/>
    <s v=""/>
    <s v="BORJA CORTIJO LAJARA"/>
    <x v="2"/>
    <d v="2025-08-11T12:38:01"/>
    <d v="2025-08-21T11:09:46"/>
    <s v="Externo"/>
    <n v="33"/>
    <d v="2025-08-11T00:00:00"/>
    <n v="34"/>
    <d v="2025-08-18T00:00:00"/>
    <n v="9.9387159838006482"/>
    <n v="2025"/>
    <n v="2025"/>
    <x v="16"/>
    <x v="5"/>
  </r>
  <r>
    <s v="ESPC360-20296"/>
    <s v="[PRO] [Valores] INC056689439 - Indican que ADN360 no esta devolviendo ciertos campos"/>
    <s v="Valores"/>
    <d v="2025-08-11T14:57:17"/>
    <d v="2025-09-26T11:36:52"/>
    <s v="OPERACIONAL"/>
    <s v="TÉCNICO"/>
    <s v=""/>
    <s v="C360_Team_Mtto"/>
    <s v="Medium"/>
    <s v="CERRADO"/>
    <s v=""/>
    <s v="BORJA CORTIJO LAJARA"/>
    <x v="0"/>
    <d v="2025-08-11T14:57:17"/>
    <d v="2025-09-26T11:36:52"/>
    <s v="Interno"/>
    <n v="33"/>
    <d v="2025-08-11T00:00:00"/>
    <n v="39"/>
    <d v="2025-09-22T00:00:00"/>
    <n v="45.86082399305451"/>
    <n v="2025"/>
    <n v="2025"/>
    <x v="16"/>
    <x v="9"/>
  </r>
  <r>
    <s v="ESPC360-20305"/>
    <s v="[PRO] [Procesos] INC057465637 -  Proceso Fallido PADN360112D Odate: 2025/08/11"/>
    <s v=""/>
    <d v="2025-08-12T11:57:13"/>
    <d v="2025-08-13T13:40:50"/>
    <s v="OPERACIONAL"/>
    <s v="SOPORTE"/>
    <s v="NO-CUSTOMER360"/>
    <s v="C360_Team_Mtto"/>
    <s v="Medium"/>
    <s v="CERRADO"/>
    <s v=""/>
    <s v="BORJA CORTIJO LAJARA"/>
    <x v="2"/>
    <d v="2025-08-12T11:57:13"/>
    <d v="2025-08-13T13:40:50"/>
    <s v="Externo"/>
    <n v="33"/>
    <d v="2025-08-11T00:00:00"/>
    <n v="33"/>
    <d v="2025-08-11T00:00:00"/>
    <n v="1.0719623263867106"/>
    <n v="2025"/>
    <n v="2025"/>
    <x v="16"/>
    <x v="5"/>
  </r>
  <r>
    <s v="ESPC360-20306"/>
    <s v="[PRO] [Procesos]  INC057463531 - Proceso fallido PADN164D  Odate: 2025/08/11"/>
    <s v=""/>
    <d v="2025-08-12T12:02:58"/>
    <d v="2025-08-13T13:41:11"/>
    <s v="OPERACIONAL"/>
    <s v="SOPORTE"/>
    <s v="NO-CUSTOMER360"/>
    <s v="C360_Team_Mtto"/>
    <s v="Medium"/>
    <s v="CERRADO"/>
    <s v=""/>
    <s v="BORJA CORTIJO LAJARA"/>
    <x v="2"/>
    <d v="2025-08-12T12:02:58"/>
    <d v="2025-08-13T13:41:11"/>
    <s v="Externo"/>
    <n v="33"/>
    <d v="2025-08-11T00:00:00"/>
    <n v="33"/>
    <d v="2025-08-11T00:00:00"/>
    <n v="1.0681997916617547"/>
    <n v="2025"/>
    <n v="2025"/>
    <x v="16"/>
    <x v="5"/>
  </r>
  <r>
    <s v="ESPC360-20316"/>
    <s v="[PRO] [Procesos] INC057498220 - Proceso fallido PADN360045D con Odate: 2025/08/12"/>
    <s v=""/>
    <d v="2025-08-13T09:25:20"/>
    <d v="2025-08-13T13:43:56"/>
    <s v="OPERACIONAL"/>
    <s v="SOPORTE"/>
    <s v="PROCESOS"/>
    <s v="C360_Team_Mtto"/>
    <s v="Medium"/>
    <s v="CERRADO"/>
    <s v=""/>
    <s v="BORJA CORTIJO LAJARA"/>
    <x v="2"/>
    <d v="2025-08-13T09:25:20"/>
    <d v="2025-08-13T13:43:56"/>
    <s v="Externo"/>
    <n v="33"/>
    <d v="2025-08-11T00:00:00"/>
    <n v="33"/>
    <d v="2025-08-11T00:00:00"/>
    <n v="0.17958079861273291"/>
    <n v="2025"/>
    <n v="2025"/>
    <x v="16"/>
    <x v="5"/>
  </r>
  <r>
    <s v="ESPC360-20317"/>
    <s v="[PRO] [Procesos] INC057503347 - Proceso PADN166D con Odate: 2025/08/12"/>
    <s v=""/>
    <d v="2025-08-13T09:32:55"/>
    <d v="2025-08-13T13:43:35"/>
    <s v="OPERACIONAL"/>
    <s v="SOPORTE"/>
    <s v="PROCESOS"/>
    <s v="C360_Team_Mtto"/>
    <s v="Medium"/>
    <s v="CERRADO"/>
    <s v=""/>
    <s v="BORJA CORTIJO LAJARA"/>
    <x v="2"/>
    <d v="2025-08-13T09:32:55"/>
    <d v="2025-08-13T13:43:35"/>
    <s v="Externo"/>
    <n v="33"/>
    <d v="2025-08-11T00:00:00"/>
    <n v="33"/>
    <d v="2025-08-11T00:00:00"/>
    <n v="0.17407177083077841"/>
    <n v="2025"/>
    <n v="2025"/>
    <x v="16"/>
    <x v="5"/>
  </r>
  <r>
    <s v="ESPC360-20333"/>
    <s v="[PRO] [Planes Pensiones] Corrección operaciones en vuelo planes"/>
    <s v="Planes de Pensiones"/>
    <d v="2025-08-14T10:05:20"/>
    <d v="2025-09-10T12:41:16"/>
    <s v="OPERACIONAL"/>
    <s v="DESARROLLO"/>
    <s v=""/>
    <s v="C360_Team_Mtto"/>
    <s v="Medium"/>
    <s v="CERRADO"/>
    <s v="C360_Operacional_Sprint 209"/>
    <s v="Automation for Jira"/>
    <x v="1"/>
    <d v="2025-08-14T10:05:20"/>
    <d v="2025-09-10T12:41:16"/>
    <s v="Interno"/>
    <n v="33"/>
    <d v="2025-08-11T00:00:00"/>
    <n v="37"/>
    <d v="2025-09-08T00:00:00"/>
    <n v="27.108285879628966"/>
    <n v="2025"/>
    <n v="2025"/>
    <x v="16"/>
    <x v="9"/>
  </r>
  <r>
    <s v="ESPC360-20397"/>
    <s v="[PRO] [Tarjetas] INC057562295 - No hay cuenta asociada a la tarjeta en adn 360"/>
    <s v="Tarjetas"/>
    <d v="2025-08-14T14:33:22"/>
    <d v="2025-08-18T11:40:55"/>
    <s v="OPERACIONAL"/>
    <s v="TÉCNICO"/>
    <s v=""/>
    <s v="C360_Team_Mtto"/>
    <s v="Medium"/>
    <s v="CERRADO"/>
    <s v=""/>
    <s v="BORJA CORTIJO LAJARA"/>
    <x v="0"/>
    <d v="2025-08-14T14:33:22"/>
    <d v="2025-08-18T11:40:55"/>
    <s v="Interno"/>
    <n v="33"/>
    <d v="2025-08-11T00:00:00"/>
    <n v="34"/>
    <d v="2025-08-18T00:00:00"/>
    <n v="3.8802484490734059"/>
    <n v="2025"/>
    <n v="2025"/>
    <x v="16"/>
    <x v="5"/>
  </r>
  <r>
    <s v="ESPC360-20399"/>
    <s v="[PRO] [NO-CUSTOMER360] INC057657900 -  Contraseña Nimbus"/>
    <s v=""/>
    <d v="2025-08-18T10:35:07"/>
    <d v="2025-08-21T11:11:41"/>
    <s v="OPERACIONAL"/>
    <s v="SOPORTE"/>
    <s v="NO-CUSTOMER360"/>
    <s v="C360_Team_Mtto"/>
    <s v="Medium"/>
    <s v="CERRADO"/>
    <s v=""/>
    <s v="BORJA CORTIJO LAJARA"/>
    <x v="2"/>
    <d v="2025-08-18T10:35:07"/>
    <d v="2025-08-21T11:11:41"/>
    <s v="Externo"/>
    <n v="34"/>
    <d v="2025-08-18T00:00:00"/>
    <n v="34"/>
    <d v="2025-08-18T00:00:00"/>
    <n v="3.0253899768504198"/>
    <n v="2025"/>
    <n v="2025"/>
    <x v="16"/>
    <x v="5"/>
  </r>
  <r>
    <s v="ESPC360-20400"/>
    <s v="[PRO] [Procesos] INC057565909 - Procesos fallidos PADN360128D con Odate: 2025/08/13"/>
    <s v=""/>
    <d v="2025-08-18T10:42:02"/>
    <d v="2025-08-19T11:44:51"/>
    <s v="OPERACIONAL"/>
    <s v="SOPORTE"/>
    <s v="PROCESOS"/>
    <s v="C360_Team_Mtto"/>
    <s v="Medium"/>
    <s v="CERRADO"/>
    <s v=""/>
    <s v="BORJA CORTIJO LAJARA"/>
    <x v="2"/>
    <d v="2025-08-18T10:42:02"/>
    <d v="2025-08-19T11:44:51"/>
    <s v="Externo"/>
    <n v="34"/>
    <d v="2025-08-18T00:00:00"/>
    <n v="34"/>
    <d v="2025-08-18T00:00:00"/>
    <n v="1.0436208449100377"/>
    <n v="2025"/>
    <n v="2025"/>
    <x v="16"/>
    <x v="5"/>
  </r>
  <r>
    <s v="ESPC360-20401"/>
    <s v="[PRO] [Procesos] INC057565912 - Proceso fallido PADN360126D con Odate: 2025/08/12"/>
    <s v=""/>
    <d v="2025-08-18T10:44:56"/>
    <d v="2025-08-19T11:45:06"/>
    <s v="OPERACIONAL"/>
    <s v="SOPORTE"/>
    <s v="PROCESOS"/>
    <s v="C360_Team_Mtto"/>
    <s v="Medium"/>
    <s v="CERRADO"/>
    <s v=""/>
    <s v="BORJA CORTIJO LAJARA"/>
    <x v="2"/>
    <d v="2025-08-18T10:44:56"/>
    <d v="2025-08-19T11:45:06"/>
    <s v="Externo"/>
    <n v="34"/>
    <d v="2025-08-18T00:00:00"/>
    <n v="34"/>
    <d v="2025-08-18T00:00:00"/>
    <n v="1.0417899768581265"/>
    <n v="2025"/>
    <n v="2025"/>
    <x v="16"/>
    <x v="5"/>
  </r>
  <r>
    <s v="ESPC360-20418"/>
    <s v="[PRO] [Fondos] INC057734558 - Saldos títulos disponibles incorretos"/>
    <s v="Fondos"/>
    <d v="2025-08-20T13:58:09"/>
    <d v="2025-08-21T11:17:57"/>
    <s v="OPERACIONAL"/>
    <s v="SOPORTE"/>
    <s v=""/>
    <s v="C360_Team_Mtto"/>
    <s v="Medium"/>
    <s v="CERRADO"/>
    <s v=""/>
    <s v="Automation for Jira"/>
    <x v="2"/>
    <d v="2025-08-20T13:58:09"/>
    <d v="2025-08-21T11:17:57"/>
    <s v="Externo"/>
    <n v="34"/>
    <d v="2025-08-18T00:00:00"/>
    <n v="34"/>
    <d v="2025-08-18T00:00:00"/>
    <n v="0.88874856481561437"/>
    <n v="2025"/>
    <n v="2025"/>
    <x v="16"/>
    <x v="5"/>
  </r>
  <r>
    <s v="ESPC360-20489"/>
    <s v="[PRO] [Mov. cuentas] INC057836292 - No se visualizan movimientos"/>
    <s v="Movimientos Cuentas"/>
    <d v="2025-08-25T11:39:55"/>
    <d v="2025-08-25T11:50:23"/>
    <s v="OPERACIONAL"/>
    <s v="SOPORTE"/>
    <s v=""/>
    <s v="C360_Team_Mtto"/>
    <s v="Medium"/>
    <s v="CERRADO"/>
    <s v=""/>
    <s v="Automation for Jira"/>
    <x v="2"/>
    <d v="2025-08-25T11:39:55"/>
    <d v="2025-08-25T11:50:23"/>
    <s v="Externo"/>
    <n v="35"/>
    <d v="2025-08-25T00:00:00"/>
    <n v="35"/>
    <d v="2025-08-25T00:00:00"/>
    <n v="7.2642129598534666E-3"/>
    <n v="2025"/>
    <n v="2025"/>
    <x v="16"/>
    <x v="5"/>
  </r>
  <r>
    <s v="ESPC360-20490"/>
    <s v="[PRO] [JOB] INC057825080 - Ha fallado el proceso PAND164D con odate del dia 22/08"/>
    <s v=""/>
    <d v="2025-08-25T11:41:55"/>
    <d v="2025-08-25T11:56:44"/>
    <s v="OPERACIONAL"/>
    <s v="SOPORTE"/>
    <s v=""/>
    <s v="C360_Team_Mtto"/>
    <s v="Medium"/>
    <s v="CERRADO"/>
    <s v=""/>
    <s v="Automation for Jira"/>
    <x v="2"/>
    <d v="2025-08-25T11:41:55"/>
    <d v="2025-08-25T11:56:44"/>
    <s v="Externo"/>
    <n v="35"/>
    <d v="2025-08-25T00:00:00"/>
    <n v="35"/>
    <d v="2025-08-25T00:00:00"/>
    <n v="1.0288344907166902E-2"/>
    <n v="2025"/>
    <n v="2025"/>
    <x v="16"/>
    <x v="5"/>
  </r>
  <r>
    <s v="ESPC360-20491"/>
    <s v="[PRO] [ADN] INC057870395 - No puede abrir ADN"/>
    <s v=""/>
    <d v="2025-08-25T11:59:28"/>
    <d v="2025-09-03T09:31:50"/>
    <s v="OPERACIONAL"/>
    <s v="SOPORTE"/>
    <s v="NO-CUSTOMER360"/>
    <s v="C360_Team_Mtto"/>
    <s v="Medium"/>
    <s v="CERRADO"/>
    <s v=""/>
    <s v="Automation for Jira"/>
    <x v="2"/>
    <d v="2025-08-25T11:59:28"/>
    <d v="2025-09-03T09:31:50"/>
    <s v="Externo"/>
    <n v="35"/>
    <d v="2025-08-25T00:00:00"/>
    <n v="36"/>
    <d v="2025-09-01T00:00:00"/>
    <n v="8.897466828704637"/>
    <n v="2025"/>
    <n v="2025"/>
    <x v="16"/>
    <x v="9"/>
  </r>
  <r>
    <s v="ESPC360-20522"/>
    <s v="[PRO] [NO-CUSTOMER360] INC057914017- En la aplicacion TEAMS me ha desaparecido el apartado de CHATS"/>
    <s v=""/>
    <d v="2025-08-27T08:30:37"/>
    <d v="2025-09-03T15:22:34"/>
    <s v="OPERACIONAL"/>
    <s v="SOPORTE"/>
    <s v="NO-CUSTOMER360"/>
    <s v="C360_Team_Mtto"/>
    <s v="Medium"/>
    <s v="CERRADO"/>
    <s v=""/>
    <s v="Automation for Jira"/>
    <x v="2"/>
    <d v="2025-08-27T08:30:37"/>
    <d v="2025-09-03T15:22:34"/>
    <s v="Externo"/>
    <n v="35"/>
    <d v="2025-08-25T00:00:00"/>
    <n v="36"/>
    <d v="2025-09-01T00:00:00"/>
    <n v="7.2860809027770301"/>
    <n v="2025"/>
    <n v="2025"/>
    <x v="16"/>
    <x v="9"/>
  </r>
  <r>
    <s v="ESPC360-20524"/>
    <s v="[PRO] [JOBS] INC057936928 - PADN190D/B-SANES-P-HDP.ADN360-100058456 - Odate: 2025/08/26"/>
    <s v=""/>
    <d v="2025-08-27T09:18:16"/>
    <d v="2025-09-02T09:17:32"/>
    <s v="OPERACIONAL"/>
    <s v="SOPORTE"/>
    <s v="JOBS"/>
    <s v="C360_Team_Mtto"/>
    <s v="Medium"/>
    <s v="CERRADO"/>
    <s v=""/>
    <s v="Automation for Jira"/>
    <x v="2"/>
    <d v="2025-08-27T09:18:16"/>
    <d v="2025-09-02T09:17:32"/>
    <s v="Externo"/>
    <n v="35"/>
    <d v="2025-08-25T00:00:00"/>
    <n v="36"/>
    <d v="2025-09-01T00:00:00"/>
    <n v="5.9994885879568756"/>
    <n v="2025"/>
    <n v="2025"/>
    <x v="16"/>
    <x v="9"/>
  </r>
  <r>
    <s v="ESPC360-20525"/>
    <s v="[PRO] [JOBS] INC057930290 - PADN164D/B-SANES-P-HDP.ADN360-800012122 - Odate: 2025/08/26"/>
    <s v=""/>
    <d v="2025-08-27T09:19:26"/>
    <d v="2025-09-01T14:04:54"/>
    <s v="OPERACIONAL"/>
    <s v="SOPORTE"/>
    <s v="JOBS"/>
    <s v=""/>
    <s v="Medium"/>
    <s v="CERRADO"/>
    <s v=""/>
    <s v="Automation for Jira"/>
    <x v="2"/>
    <d v="2025-08-27T09:19:26"/>
    <d v="2025-09-01T14:04:54"/>
    <s v="Externo"/>
    <n v="35"/>
    <d v="2025-08-25T00:00:00"/>
    <n v="36"/>
    <d v="2025-09-01T00:00:00"/>
    <n v="5.1982395370359882"/>
    <n v="2025"/>
    <n v="2025"/>
    <x v="16"/>
    <x v="9"/>
  </r>
  <r>
    <s v="ESPC360-20527"/>
    <s v="[PRO] [ADN Cliente] INC057871409 - La póliza 305492990793 ya se encuentra anulada"/>
    <s v=""/>
    <d v="2025-08-27T09:52:12"/>
    <d v="2025-09-04T10:11:13"/>
    <s v="OPERACIONAL"/>
    <s v="SOPORTE"/>
    <s v="NO_CUSTOMER360"/>
    <s v="C360_Team_Mtto"/>
    <s v="Medium"/>
    <s v="CERRADO"/>
    <s v=""/>
    <s v="Automation for Jira"/>
    <x v="2"/>
    <d v="2025-08-27T09:52:12"/>
    <d v="2025-09-04T10:11:13"/>
    <s v="Externo"/>
    <n v="35"/>
    <d v="2025-08-25T00:00:00"/>
    <n v="36"/>
    <d v="2025-09-01T00:00:00"/>
    <n v="8.0132045370410196"/>
    <n v="2025"/>
    <n v="2025"/>
    <x v="16"/>
    <x v="9"/>
  </r>
  <r>
    <s v="ESPC360-20534"/>
    <s v="Movimientos - Ajustar idMov de cuentas en movimientos provisionales"/>
    <s v=""/>
    <d v="2025-08-27T13:24:55"/>
    <d v="2025-10-02T10:40:04"/>
    <s v="OPERACIONAL"/>
    <s v="DEFINICIÓN"/>
    <s v=""/>
    <s v="C360_Operacional_Team_1"/>
    <s v="Medium"/>
    <s v="CERRADO"/>
    <s v="C360_Operacional_Sprint 210"/>
    <s v="GONZALO GARCIA MORENO"/>
    <x v="3"/>
    <d v="2025-08-27T13:24:55"/>
    <d v="2025-10-02T10:40:04"/>
    <s v="Externo"/>
    <n v="35"/>
    <d v="2025-08-25T00:00:00"/>
    <n v="40"/>
    <d v="2025-09-29T00:00:00"/>
    <n v="35.88552118055668"/>
    <n v="2025"/>
    <n v="2025"/>
    <x v="16"/>
    <x v="9"/>
  </r>
  <r>
    <s v="ESPC360-20538"/>
    <s v="[Customer Position] - Devolver el siga en las carteras no gestionadas"/>
    <s v=""/>
    <d v="2025-08-28T08:19:53"/>
    <d v="2025-09-24T11:36:31"/>
    <s v="OPERACIONAL"/>
    <s v="DEFINICIÓN"/>
    <s v=""/>
    <s v="C360_Operacional_Team_1"/>
    <s v="Medium"/>
    <s v="CERRADO"/>
    <s v="C360_Operacional_Sprint 209"/>
    <s v="GONZALO GARCIA MORENO"/>
    <x v="3"/>
    <d v="2025-08-28T08:19:53"/>
    <d v="2025-09-24T11:36:31"/>
    <s v="Externo"/>
    <n v="35"/>
    <d v="2025-08-25T00:00:00"/>
    <n v="39"/>
    <d v="2025-09-22T00:00:00"/>
    <n v="27.136549421302334"/>
    <n v="2025"/>
    <n v="2025"/>
    <x v="16"/>
    <x v="9"/>
  </r>
  <r>
    <s v="ESPC360-20620"/>
    <s v="[PRO] [Cuentas] INC057875631 -  intentar operar en cuenta  0049 0011 21 2810851767 "/>
    <s v="Cuentas"/>
    <d v="2025-09-01T14:04:21"/>
    <d v="2025-09-17T16:24:22"/>
    <s v="OPERACIONAL"/>
    <s v="SOPORTE"/>
    <s v=""/>
    <s v="C360_Team_Mtto"/>
    <s v="Medium"/>
    <s v="CERRADO"/>
    <s v=""/>
    <s v="Automation for Jira"/>
    <x v="2"/>
    <d v="2025-09-01T14:04:21"/>
    <d v="2025-09-17T16:24:22"/>
    <s v="Externo"/>
    <n v="36"/>
    <d v="2025-09-01T00:00:00"/>
    <n v="38"/>
    <d v="2025-09-15T00:00:00"/>
    <n v="16.097235439810902"/>
    <n v="2025"/>
    <n v="2025"/>
    <x v="17"/>
    <x v="9"/>
  </r>
  <r>
    <s v="ESPC360-20621"/>
    <s v="[PRO] [Mov. Cuentas] INC058063236 - Petición se ha ido de tiempos"/>
    <s v="Movimientos Cuentas"/>
    <d v="2025-09-01T14:24:42"/>
    <d v="2025-09-03T15:26:13"/>
    <s v="OPERACIONAL"/>
    <s v="SOPORTE"/>
    <s v=""/>
    <s v="C360_Team_Mtto"/>
    <s v="Medium"/>
    <s v="CERRADO"/>
    <s v=""/>
    <s v="Automation for Jira"/>
    <x v="2"/>
    <d v="2025-09-01T14:24:42"/>
    <d v="2025-09-03T15:26:13"/>
    <s v="Externo"/>
    <n v="36"/>
    <d v="2025-09-01T00:00:00"/>
    <n v="36"/>
    <d v="2025-09-01T00:00:00"/>
    <n v="2.0427218402764993"/>
    <n v="2025"/>
    <n v="2025"/>
    <x v="17"/>
    <x v="9"/>
  </r>
  <r>
    <s v="ESPC360-20625"/>
    <s v="[PRO] [Renting] INC058066427 - Por mis funciones necesito poder ver los contratos de Renting de mis clientes"/>
    <s v="Renting"/>
    <d v="2025-09-02T08:32:20"/>
    <d v="2025-09-04T10:12:05"/>
    <s v="OPERACIONAL"/>
    <s v="SOPORTE"/>
    <s v=""/>
    <s v="C360_Team_Mtto"/>
    <s v="Medium"/>
    <s v="CERRADO"/>
    <s v=""/>
    <s v="Automation for Jira"/>
    <x v="2"/>
    <d v="2025-09-02T08:32:20"/>
    <d v="2025-09-04T10:12:05"/>
    <s v="Externo"/>
    <n v="36"/>
    <d v="2025-09-01T00:00:00"/>
    <n v="36"/>
    <d v="2025-09-01T00:00:00"/>
    <n v="2.0692642939757206"/>
    <n v="2025"/>
    <n v="2025"/>
    <x v="17"/>
    <x v="9"/>
  </r>
  <r>
    <s v="ESPC360-20627"/>
    <s v="[PRO] [Valores] INC058074705 - No permite subir contrato de valores para firma web"/>
    <s v="Valores"/>
    <d v="2025-09-02T09:26:51"/>
    <d v="2025-09-08T09:51:19"/>
    <s v="OPERACIONAL"/>
    <s v="SOPORTE"/>
    <s v="NO-CUSTOMER360"/>
    <s v="C360_Team_Mtto"/>
    <s v="Medium"/>
    <s v="CERRADO"/>
    <s v=""/>
    <s v="Automation for Jira"/>
    <x v="2"/>
    <d v="2025-09-02T09:26:51"/>
    <d v="2025-09-08T09:51:19"/>
    <s v="Externo"/>
    <n v="36"/>
    <d v="2025-09-01T00:00:00"/>
    <n v="37"/>
    <d v="2025-09-08T00:00:00"/>
    <n v="6.0169998032361036"/>
    <n v="2025"/>
    <n v="2025"/>
    <x v="17"/>
    <x v="9"/>
  </r>
  <r>
    <s v="ESPC360-20628"/>
    <s v="[PRO] [Tarjetas] INC057945974 - No se esta mostrando el contrato por ADN360"/>
    <s v="Tarjetas"/>
    <d v="2025-09-02T09:55:52"/>
    <d v="2025-09-05T15:31:11"/>
    <s v="OPERACIONAL"/>
    <s v="TÉCNICO"/>
    <s v=""/>
    <s v="C360_Team_Mtto"/>
    <s v="Medium"/>
    <s v="CERRADO"/>
    <s v=""/>
    <s v="BORJA CORTIJO LAJARA"/>
    <x v="0"/>
    <d v="2025-09-02T09:55:52"/>
    <d v="2025-09-05T15:31:11"/>
    <s v="Interno"/>
    <n v="36"/>
    <d v="2025-09-01T00:00:00"/>
    <n v="36"/>
    <d v="2025-09-01T00:00:00"/>
    <n v="3.2328621990745887"/>
    <n v="2025"/>
    <n v="2025"/>
    <x v="17"/>
    <x v="9"/>
  </r>
  <r>
    <s v="ESPC360-20629"/>
    <s v="[PRO] [Timeline] Problemas en las descripciones de movimientos"/>
    <s v=""/>
    <d v="2025-09-02T10:07:23"/>
    <d v="2025-09-10T08:36:42"/>
    <s v="OPERACIONAL"/>
    <s v="TÉCNICO"/>
    <s v=""/>
    <s v="C360_Team_Mtto"/>
    <s v="Medium"/>
    <s v="CERRADO"/>
    <s v=""/>
    <s v="Automation for Jira"/>
    <x v="0"/>
    <d v="2025-09-02T10:07:23"/>
    <d v="2025-09-10T08:36:42"/>
    <s v="Interno"/>
    <n v="36"/>
    <d v="2025-09-01T00:00:00"/>
    <n v="37"/>
    <d v="2025-09-08T00:00:00"/>
    <n v="7.9370326504576951"/>
    <n v="2025"/>
    <n v="2025"/>
    <x v="17"/>
    <x v="9"/>
  </r>
  <r>
    <s v="ESPC360-20630"/>
    <s v="[PRO] [JOBS] INC058094545 - Fallo en proceso PADN091D"/>
    <s v=""/>
    <d v="2025-09-02T10:18:25"/>
    <d v="2025-09-02T11:34:31"/>
    <s v="OPERACIONAL"/>
    <s v="SOPORTE"/>
    <s v="JOBS"/>
    <s v="C360_Team_Mtto"/>
    <s v="Medium"/>
    <s v="CERRADO"/>
    <s v=""/>
    <s v="Automation for Jira"/>
    <x v="2"/>
    <d v="2025-09-02T10:18:25"/>
    <d v="2025-09-02T11:34:31"/>
    <s v="Externo"/>
    <n v="36"/>
    <d v="2025-09-01T00:00:00"/>
    <n v="36"/>
    <d v="2025-09-01T00:00:00"/>
    <n v="5.2848611114313826E-2"/>
    <n v="2025"/>
    <n v="2025"/>
    <x v="17"/>
    <x v="9"/>
  </r>
  <r>
    <s v="ESPC360-20637"/>
    <s v="[PRO] [Cuentas] INC058100154 -  visualiza cuenta que no reconoce como suya"/>
    <s v="Cuentas"/>
    <d v="2025-09-02T14:52:38"/>
    <d v="2025-09-08T08:23:42"/>
    <s v="OPERACIONAL"/>
    <s v="SOPORTE"/>
    <s v="NO-CUSTOMER360"/>
    <s v="C360_Team_Mtto"/>
    <s v="Medium"/>
    <s v="CERRADO"/>
    <s v=""/>
    <s v="BORJA CORTIJO LAJARA"/>
    <x v="2"/>
    <d v="2025-09-02T14:52:38"/>
    <d v="2025-09-08T08:23:42"/>
    <s v="Externo"/>
    <n v="36"/>
    <d v="2025-09-01T00:00:00"/>
    <n v="37"/>
    <d v="2025-09-08T00:00:00"/>
    <n v="5.7299114583365736"/>
    <n v="2025"/>
    <n v="2025"/>
    <x v="17"/>
    <x v="9"/>
  </r>
  <r>
    <s v="ESPC360-20641"/>
    <s v="[PRO] [Seguros] INC058134682 - Solicitan dar de baja un seguro en ADN"/>
    <s v="Seguros"/>
    <d v="2025-09-03T11:05:12"/>
    <d v="2025-09-04T09:03:37"/>
    <s v="OPERACIONAL"/>
    <s v="SOPORTE"/>
    <s v="NO-CUSTOMER360"/>
    <s v="C360_Team_Mtto"/>
    <s v="Medium"/>
    <s v="CERRADO"/>
    <s v=""/>
    <s v="BORJA CORTIJO LAJARA"/>
    <x v="2"/>
    <d v="2025-09-03T11:05:12"/>
    <d v="2025-09-04T09:03:37"/>
    <s v="Externo"/>
    <n v="36"/>
    <d v="2025-09-01T00:00:00"/>
    <n v="36"/>
    <d v="2025-09-01T00:00:00"/>
    <n v="0.91557203703268897"/>
    <n v="2025"/>
    <n v="2025"/>
    <x v="17"/>
    <x v="9"/>
  </r>
  <r>
    <s v="ESPC360-20649"/>
    <s v="[PRO] [Préstamos]  INC058168745 - No coincide saldo de demora en refinanciación "/>
    <s v="Préstamos"/>
    <d v="2025-09-04T08:33:34"/>
    <d v="2025-09-04T11:06:56"/>
    <s v="OPERACIONAL"/>
    <s v="TÉCNICO"/>
    <s v=""/>
    <s v="C360_Team_Mtto"/>
    <s v="Medium"/>
    <s v="CERRADO"/>
    <s v=""/>
    <s v="Automation for Jira"/>
    <x v="0"/>
    <d v="2025-09-04T08:33:34"/>
    <d v="2025-09-04T11:06:56"/>
    <s v="Interno"/>
    <n v="36"/>
    <d v="2025-09-01T00:00:00"/>
    <n v="36"/>
    <d v="2025-09-01T00:00:00"/>
    <n v="0.10650704861473059"/>
    <n v="2025"/>
    <n v="2025"/>
    <x v="17"/>
    <x v="9"/>
  </r>
  <r>
    <s v="ESPC360-20650"/>
    <s v="[PG Inversión] - Ajuste de saldos en depósitos estructurados"/>
    <s v=""/>
    <d v="2025-09-04T08:50:12"/>
    <d v="2025-10-02T12:13:10"/>
    <s v="OPERACIONAL"/>
    <s v="TÉCNICO"/>
    <s v=""/>
    <s v="C360_Operacional_Team_1"/>
    <s v="Medium"/>
    <s v="CERRADO"/>
    <s v="C360_Operacional_Sprint 210"/>
    <s v="GONZALO GARCIA MORENO"/>
    <x v="0"/>
    <d v="2025-09-04T08:50:12"/>
    <d v="2025-10-02T12:13:10"/>
    <s v="Interno"/>
    <n v="36"/>
    <d v="2025-09-01T00:00:00"/>
    <n v="40"/>
    <d v="2025-09-29T00:00:00"/>
    <n v="28.14095317129977"/>
    <n v="2025"/>
    <n v="2025"/>
    <x v="17"/>
    <x v="9"/>
  </r>
  <r>
    <s v="ESPC360-20652"/>
    <s v="[PRO] [ADN-Cliente] INC058169357 - Acceso adn cliente"/>
    <s v=""/>
    <d v="2025-09-04T10:05:27"/>
    <d v="2025-09-11T15:03:03"/>
    <s v="OPERACIONAL"/>
    <s v="SOPORTE"/>
    <s v="NO-CUSTOMER360"/>
    <s v="C360_Team_Mtto"/>
    <s v="Medium"/>
    <s v="CERRADO"/>
    <s v=""/>
    <s v="Automation for Jira"/>
    <x v="2"/>
    <d v="2025-09-04T10:05:27"/>
    <d v="2025-09-11T15:03:03"/>
    <s v="Externo"/>
    <n v="36"/>
    <d v="2025-09-01T00:00:00"/>
    <n v="37"/>
    <d v="2025-09-08T00:00:00"/>
    <n v="7.2066634490765864"/>
    <n v="2025"/>
    <n v="2025"/>
    <x v="17"/>
    <x v="9"/>
  </r>
  <r>
    <s v="ESPC360-20656"/>
    <s v="[PRO] [Tarjetas] INC058172414 - ADN 360 no nos devuelve el campo Contract HolderId"/>
    <s v="Tarjetas"/>
    <d v="2025-09-04T12:12:41"/>
    <d v="2025-09-04T14:06:31"/>
    <s v="OPERACIONAL"/>
    <s v="SOPORTE"/>
    <s v=""/>
    <s v="C360_Team_Mtto"/>
    <s v="Medium"/>
    <s v="CERRADO"/>
    <s v=""/>
    <s v="BORJA CORTIJO LAJARA"/>
    <x v="2"/>
    <d v="2025-09-04T12:12:41"/>
    <d v="2025-09-04T14:06:31"/>
    <s v="Externo"/>
    <n v="36"/>
    <d v="2025-09-01T00:00:00"/>
    <n v="36"/>
    <d v="2025-09-01T00:00:00"/>
    <n v="7.9054988425923511E-2"/>
    <n v="2025"/>
    <n v="2025"/>
    <x v="17"/>
    <x v="9"/>
  </r>
  <r>
    <s v="ESPC360-20748"/>
    <s v="[PRO] [Agregados] INC058176731 - KIBOT Remesa de transferencias internacional en estado Pendiente de aceptación cuando ya está procesada"/>
    <s v=""/>
    <d v="2025-09-04T15:15:54"/>
    <d v="2025-09-08T08:28:22"/>
    <s v="OPERACIONAL"/>
    <s v="SOPORTE"/>
    <s v="NO-CUSTOMER360"/>
    <s v="C360_Team_Mtto"/>
    <s v="Medium"/>
    <s v="CERRADO"/>
    <s v=""/>
    <s v="BORJA CORTIJO LAJARA"/>
    <x v="2"/>
    <d v="2025-09-04T15:15:54"/>
    <d v="2025-09-08T08:28:22"/>
    <s v="Externo"/>
    <n v="36"/>
    <d v="2025-09-01T00:00:00"/>
    <n v="37"/>
    <d v="2025-09-08T00:00:00"/>
    <n v="3.7169969675960601"/>
    <n v="2025"/>
    <n v="2025"/>
    <x v="17"/>
    <x v="9"/>
  </r>
  <r>
    <s v="ESPC360-20758"/>
    <s v="[PRE] [Cuentas] El listado para TODOS de EMPMARZO tarda mucho en responder"/>
    <s v="Cuentas"/>
    <d v="2025-09-08T09:29:08"/>
    <d v="9999-12-31T10:41:41"/>
    <s v="OPERACIONAL"/>
    <s v="TÉCNICO"/>
    <s v=""/>
    <s v="C360_Team_Mtto"/>
    <s v="Medium"/>
    <s v="Tested PRE"/>
    <s v=""/>
    <s v="Automation for Jira"/>
    <x v="0"/>
    <d v="2025-09-08T09:29:08"/>
    <d v="9999-12-31T10:41:41"/>
    <s v="Interno"/>
    <n v="37"/>
    <d v="2025-09-08T00:00:00"/>
    <n v="53"/>
    <n v="2958468"/>
    <n v="2912557.050381829"/>
    <n v="2025"/>
    <n v="9999"/>
    <x v="17"/>
    <x v="8"/>
  </r>
  <r>
    <s v="ESPC360-20759"/>
    <s v="[PRO] [PG Inversión] [Planes Pensiones] Ajustar conteo de operaciones en vuelo"/>
    <s v="Planes de Pensiones"/>
    <d v="2025-09-08T11:10:57"/>
    <d v="2025-09-29T15:50:46"/>
    <s v="OPERACIONAL"/>
    <s v="DESARROLLO"/>
    <s v=""/>
    <s v="C360_Team_Mtto"/>
    <s v="Medium"/>
    <s v="CERRADO"/>
    <s v=""/>
    <s v="GONZALO GARCIA MORENO"/>
    <x v="1"/>
    <d v="2025-09-08T11:10:57"/>
    <d v="2025-09-29T15:50:46"/>
    <s v="Interno"/>
    <n v="37"/>
    <d v="2025-09-08T00:00:00"/>
    <n v="40"/>
    <d v="2025-09-29T00:00:00"/>
    <n v="21.19431112267921"/>
    <n v="2025"/>
    <n v="2025"/>
    <x v="17"/>
    <x v="9"/>
  </r>
  <r>
    <s v="ESPC360-20762"/>
    <s v="[PRO] [Préstamos] INC058286300 - No aparece el contrato de préstamos en la posición del cliente "/>
    <s v="Préstamos"/>
    <d v="2025-09-08T12:47:29"/>
    <d v="2025-09-08T15:23:08"/>
    <s v="OPERACIONAL"/>
    <s v="DESARROLLO"/>
    <s v=""/>
    <s v="C360_Team_Mtto"/>
    <s v="Medium"/>
    <s v="CERRADO"/>
    <s v=""/>
    <s v="BORJA CORTIJO LAJARA"/>
    <x v="1"/>
    <d v="2025-09-08T12:47:29"/>
    <d v="2025-09-08T15:23:08"/>
    <s v="Interno"/>
    <n v="37"/>
    <d v="2025-09-08T00:00:00"/>
    <n v="37"/>
    <d v="2025-09-08T00:00:00"/>
    <n v="0.10808633101987652"/>
    <n v="2025"/>
    <n v="2025"/>
    <x v="17"/>
    <x v="9"/>
  </r>
  <r>
    <s v="ESPC360-20791"/>
    <s v="[PRO] [Préstamos] INC058298119 - No aparece el préstamo en las posiciones de ADN360"/>
    <s v="Préstamos"/>
    <d v="2025-09-09T13:50:07"/>
    <d v="2025-09-09T14:12:23"/>
    <s v="OPERACIONAL"/>
    <s v="SOPORTE"/>
    <s v=""/>
    <s v="C360_Team_Mtto"/>
    <s v="Medium"/>
    <s v="CERRADO"/>
    <s v=""/>
    <s v="BORJA CORTIJO LAJARA"/>
    <x v="2"/>
    <d v="2025-09-09T13:50:07"/>
    <d v="2025-09-09T14:12:23"/>
    <s v="Externo"/>
    <n v="37"/>
    <d v="2025-09-08T00:00:00"/>
    <n v="37"/>
    <d v="2025-09-08T00:00:00"/>
    <n v="1.5463437499420252E-2"/>
    <n v="2025"/>
    <n v="2025"/>
    <x v="17"/>
    <x v="9"/>
  </r>
  <r>
    <s v="ESPC360-20792"/>
    <s v="[PRO] [ADN-Cliente] INC058329936 - ERROR ACCESO APP ADN"/>
    <s v=""/>
    <d v="2025-09-09T15:13:47"/>
    <d v="2025-09-11T15:05:04"/>
    <s v="OPERACIONAL"/>
    <s v="SOPORTE"/>
    <s v="NO-CUSTOMER360"/>
    <s v="C360_Team_Mtto"/>
    <s v="Medium"/>
    <s v="CERRADO"/>
    <s v=""/>
    <s v="BORJA CORTIJO LAJARA"/>
    <x v="2"/>
    <d v="2025-09-09T15:13:47"/>
    <d v="2025-09-11T15:05:04"/>
    <s v="Externo"/>
    <n v="37"/>
    <d v="2025-09-08T00:00:00"/>
    <n v="37"/>
    <d v="2025-09-08T00:00:00"/>
    <n v="1.993943773151841"/>
    <n v="2025"/>
    <n v="2025"/>
    <x v="17"/>
    <x v="9"/>
  </r>
  <r>
    <s v="ESPC360-20796"/>
    <s v="[PRO] [SRE] [TOP DE ALERTAS] INC058353127 - Alertados por consumos de memoria alta ks-java-50061916-pmp-mark"/>
    <s v="Póliza Multiproducto (PMP)"/>
    <d v="2025-09-10T09:57:04"/>
    <d v="9999-12-31T10:41:41"/>
    <s v="OPERACIONAL"/>
    <s v="TÉCNICO"/>
    <s v=""/>
    <s v="C360_Team_Mtto"/>
    <s v="Medium"/>
    <s v="BACKLOG"/>
    <s v=""/>
    <s v="BORJA CORTIJO LAJARA"/>
    <x v="0"/>
    <d v="2025-09-10T09:57:04"/>
    <d v="9999-12-31T10:41:41"/>
    <s v="Interno"/>
    <n v="37"/>
    <d v="2025-09-08T00:00:00"/>
    <n v="53"/>
    <n v="2958468"/>
    <n v="2912555.0309862155"/>
    <n v="2025"/>
    <n v="9999"/>
    <x v="17"/>
    <x v="8"/>
  </r>
  <r>
    <s v="ESPC360-20804"/>
    <s v="[PRO][Préstamos] INC058315958 - Indican que la tasa mostrada en ADN360 es errónea"/>
    <s v="Préstamos"/>
    <d v="2025-09-10T14:02:19"/>
    <d v="2025-10-14T15:57:06"/>
    <s v="OPERACIONAL"/>
    <s v="SOPORTE"/>
    <s v="NO-CUSTOMER360"/>
    <s v="C360_Team_Mtto"/>
    <s v="Medium"/>
    <s v="CERRADO"/>
    <s v=""/>
    <s v="BORJA CORTIJO LAJARA"/>
    <x v="2"/>
    <d v="2025-09-10T14:02:19"/>
    <d v="2025-10-14T15:57:06"/>
    <s v="Externo"/>
    <n v="37"/>
    <d v="2025-09-08T00:00:00"/>
    <n v="42"/>
    <d v="2025-10-13T00:00:00"/>
    <n v="34.079713113431353"/>
    <n v="2025"/>
    <n v="2025"/>
    <x v="17"/>
    <x v="10"/>
  </r>
  <r>
    <s v="ESPC360-20806"/>
    <s v="[PRO][Préstamos] INC058359056 - HELPY 15040466 error al solicitar certificado de cancelación registral"/>
    <s v="Préstamos"/>
    <d v="2025-09-11T08:14:25"/>
    <d v="2025-09-22T10:33:12"/>
    <s v="OPERACIONAL"/>
    <s v="SOPORTE"/>
    <s v="NO-CUSTOMER360"/>
    <s v="C360_Team_Mtto"/>
    <s v="Medium"/>
    <s v="CERRADO"/>
    <s v=""/>
    <s v="BORJA CORTIJO LAJARA"/>
    <x v="2"/>
    <d v="2025-09-11T08:14:25"/>
    <d v="2025-09-22T10:33:12"/>
    <s v="Externo"/>
    <n v="37"/>
    <d v="2025-09-08T00:00:00"/>
    <n v="39"/>
    <d v="2025-09-22T00:00:00"/>
    <n v="11.096382476847793"/>
    <n v="2025"/>
    <n v="2025"/>
    <x v="17"/>
    <x v="9"/>
  </r>
  <r>
    <s v="ESPC360-20808"/>
    <s v="[PRO][Mov. Tarjetas] INC058211676 - No visualiza todas sus financiaciones de tarjeta en la web"/>
    <s v="Movimientos Tarjetas;Tarjetas"/>
    <d v="2025-09-11T09:04:43"/>
    <d v="2025-10-01T09:47:42"/>
    <s v="OPERACIONAL"/>
    <s v="DESARROLLO"/>
    <s v=""/>
    <s v="C360_Team_Mtto"/>
    <s v="Medium"/>
    <s v="CERRADO"/>
    <s v=""/>
    <s v="BORJA CORTIJO LAJARA"/>
    <x v="1"/>
    <d v="2025-09-11T09:04:43"/>
    <d v="2025-10-01T09:47:42"/>
    <s v="Interno"/>
    <n v="37"/>
    <d v="2025-09-08T00:00:00"/>
    <n v="40"/>
    <d v="2025-09-29T00:00:00"/>
    <n v="20.029855925924494"/>
    <n v="2025"/>
    <n v="2025"/>
    <x v="17"/>
    <x v="9"/>
  </r>
  <r>
    <s v="ESPC360-20870"/>
    <s v="[PRO][Seguros] INC058403509 - Solicitan eliminar un seguro de ADN360 que esta de baja."/>
    <s v="Seguros"/>
    <d v="2025-09-11T14:29:16"/>
    <d v="2025-09-15T10:38:05"/>
    <s v="OPERACIONAL"/>
    <s v="SOPORTE"/>
    <s v="NO-CUSTOMER360"/>
    <s v="C360_Team_Mtto"/>
    <s v="Medium"/>
    <s v="CERRADO"/>
    <s v=""/>
    <s v="BORJA CORTIJO LAJARA"/>
    <x v="2"/>
    <d v="2025-09-11T14:29:16"/>
    <d v="2025-09-15T10:38:05"/>
    <s v="Externo"/>
    <n v="37"/>
    <d v="2025-09-08T00:00:00"/>
    <n v="38"/>
    <d v="2025-09-15T00:00:00"/>
    <n v="3.8394629745380371"/>
    <n v="2025"/>
    <n v="2025"/>
    <x v="17"/>
    <x v="9"/>
  </r>
  <r>
    <s v="ESPC360-20874"/>
    <s v="[PRO][ADN-Operativo] INC058432110 - Al acceder a ADN Operativo, hemos dejado de tener acceso en la aplicación de AVALES, TRADENXT, ORBE, HISTORICO DE SWIFT, SEPA"/>
    <s v=""/>
    <d v="2025-09-12T09:07:56"/>
    <d v="2025-09-17T10:22:46"/>
    <s v="OPERACIONAL"/>
    <s v="SOPORTE"/>
    <s v="NO-CUSTOMER360"/>
    <s v="C360_Team_Mtto"/>
    <s v="Medium"/>
    <s v="CERRADO"/>
    <s v=""/>
    <s v="BORJA CORTIJO LAJARA"/>
    <x v="2"/>
    <d v="2025-09-12T09:07:56"/>
    <d v="2025-09-17T10:22:46"/>
    <s v="Externo"/>
    <n v="37"/>
    <d v="2025-09-08T00:00:00"/>
    <n v="38"/>
    <d v="2025-09-15T00:00:00"/>
    <n v="5.0519767245350522"/>
    <n v="2025"/>
    <n v="2025"/>
    <x v="17"/>
    <x v="9"/>
  </r>
  <r>
    <s v="ESPC360-20877"/>
    <s v="[PRO][Cuentas] INC058368384 -   Indican que tienen cuentas en las que no pueden operar"/>
    <s v="Cuentas"/>
    <d v="2025-09-12T10:37:41"/>
    <d v="2025-09-30T10:34:09"/>
    <s v="OPERACIONAL"/>
    <s v="SOPORTE"/>
    <s v=""/>
    <s v="C360_Team_Mtto"/>
    <s v="Medium"/>
    <s v="CERRADO"/>
    <s v=""/>
    <s v="BORJA CORTIJO LAJARA"/>
    <x v="2"/>
    <d v="2025-09-12T10:37:41"/>
    <d v="2025-09-30T10:34:09"/>
    <s v="Externo"/>
    <n v="37"/>
    <d v="2025-09-08T00:00:00"/>
    <n v="40"/>
    <d v="2025-09-29T00:00:00"/>
    <n v="17.997547060185752"/>
    <n v="2025"/>
    <n v="2025"/>
    <x v="17"/>
    <x v="9"/>
  </r>
  <r>
    <s v="ESPC360-20898"/>
    <s v="[PRO] [Fondos] INC058532827 - Rentablidad errónea"/>
    <s v="Fondos"/>
    <d v="2025-09-15T14:06:08"/>
    <d v="2025-09-17T16:23:03"/>
    <s v="OPERACIONAL"/>
    <s v="SOPORTE"/>
    <s v=""/>
    <s v="C360_Team_Mtto"/>
    <s v="Medium"/>
    <s v="CERRADO"/>
    <s v=""/>
    <s v="Automation for Jira"/>
    <x v="2"/>
    <d v="2025-09-15T14:06:08"/>
    <d v="2025-09-17T16:23:03"/>
    <s v="Externo"/>
    <n v="38"/>
    <d v="2025-09-15T00:00:00"/>
    <n v="38"/>
    <d v="2025-09-15T00:00:00"/>
    <n v="2.0950822222221177"/>
    <n v="2025"/>
    <n v="2025"/>
    <x v="17"/>
    <x v="9"/>
  </r>
  <r>
    <s v="ESPC360-20909"/>
    <s v="[PRO][Cuentas] INC058172461 - No le aparece en el canal el descubierto que tiene asignado la cuenta"/>
    <s v="Cuentas"/>
    <d v="2025-09-16T11:09:31"/>
    <d v="2025-10-29T08:55:21"/>
    <s v="OPERACIONAL"/>
    <s v="SOPORTE"/>
    <s v="NO-CUSTOMER360"/>
    <s v="C360_Team_Mtto"/>
    <s v="Medium"/>
    <s v="CERRADO"/>
    <s v=""/>
    <s v="BORJA CORTIJO LAJARA"/>
    <x v="2"/>
    <d v="2025-09-16T11:09:31"/>
    <d v="2025-10-29T08:55:21"/>
    <s v="Externo"/>
    <n v="38"/>
    <d v="2025-09-15T00:00:00"/>
    <n v="44"/>
    <d v="2025-10-27T00:00:00"/>
    <n v="42.906827766200877"/>
    <n v="2025"/>
    <n v="2025"/>
    <x v="17"/>
    <x v="10"/>
  </r>
  <r>
    <s v="ESPC360-20912"/>
    <s v="[PRO] [Fondos] INC058533961 - Rentabilidad en proceso de cálculo"/>
    <s v="Fondos"/>
    <d v="2025-09-16T12:27:11"/>
    <d v="2025-09-17T16:23:35"/>
    <s v="OPERACIONAL"/>
    <s v="SOPORTE"/>
    <s v=""/>
    <s v="C360_Team_Mtto"/>
    <s v="Medium"/>
    <s v="CERRADO"/>
    <s v=""/>
    <s v="Automation for Jira"/>
    <x v="2"/>
    <d v="2025-09-16T12:27:11"/>
    <d v="2025-09-17T16:23:35"/>
    <s v="Externo"/>
    <n v="38"/>
    <d v="2025-09-15T00:00:00"/>
    <n v="38"/>
    <d v="2025-09-15T00:00:00"/>
    <n v="1.1641746643508668"/>
    <n v="2025"/>
    <n v="2025"/>
    <x v="17"/>
    <x v="9"/>
  </r>
  <r>
    <s v="ESPC360-20913"/>
    <s v="[PRO][Mov. Cuentas] INC058438267 - consulta sucursal texto erroneo"/>
    <s v="Movimientos Cuentas"/>
    <d v="2025-09-16T12:33:49"/>
    <d v="2025-09-22T16:31:06"/>
    <s v="OPERACIONAL"/>
    <s v="DESARROLLO"/>
    <s v=""/>
    <s v="C360_Team_Mtto"/>
    <s v="Medium"/>
    <s v="CERRADO"/>
    <s v=""/>
    <s v="BORJA CORTIJO LAJARA"/>
    <x v="1"/>
    <d v="2025-09-16T12:33:49"/>
    <d v="2025-09-22T16:31:06"/>
    <s v="Interno"/>
    <n v="38"/>
    <d v="2025-09-15T00:00:00"/>
    <n v="39"/>
    <d v="2025-09-22T00:00:00"/>
    <n v="6.1647812615774455"/>
    <n v="2025"/>
    <n v="2025"/>
    <x v="17"/>
    <x v="9"/>
  </r>
  <r>
    <s v="ESPC360-20925"/>
    <s v="[PRO][Valores] INC058578561 - No se muestra un contrato de valores en ADN360"/>
    <s v="Valores"/>
    <d v="2025-09-17T11:53:04"/>
    <d v="9999-12-31T10:41:41"/>
    <s v="OPERACIONAL"/>
    <s v="SOPORTE"/>
    <s v="NO-CUSTOMER360"/>
    <s v="C360_Team_Mtto"/>
    <s v="Medium"/>
    <s v="Blocked"/>
    <s v=""/>
    <s v="BORJA CORTIJO LAJARA"/>
    <x v="2"/>
    <d v="2025-09-17T11:53:04"/>
    <d v="9999-12-31T10:41:41"/>
    <s v="Externo"/>
    <n v="38"/>
    <d v="2025-09-15T00:00:00"/>
    <n v="53"/>
    <n v="2958468"/>
    <n v="2912547.95042544"/>
    <n v="2025"/>
    <n v="9999"/>
    <x v="17"/>
    <x v="8"/>
  </r>
  <r>
    <s v="ESPC360-20926"/>
    <s v="[PRO][Alertado-SRE] INC058601589 - [SRE CoE DevSecOps] [TOP DE ALERTAS] [Failure Rate Increase] [sanes-portaladn360-pro] [s-java-50059982-customers y s-java-50059982-accounts]"/>
    <s v=""/>
    <d v="2025-09-17T13:18:09"/>
    <d v="9999-12-31T10:41:41"/>
    <s v="OPERACIONAL"/>
    <s v="SOPORTE"/>
    <s v="ALERTADO"/>
    <s v="C360_Team_Mtto"/>
    <s v="Medium"/>
    <s v="Blocked"/>
    <s v=""/>
    <s v="BORJA CORTIJO LAJARA"/>
    <x v="2"/>
    <d v="2025-09-17T13:18:09"/>
    <d v="9999-12-31T10:41:41"/>
    <s v="Externo"/>
    <n v="38"/>
    <d v="2025-09-15T00:00:00"/>
    <n v="53"/>
    <n v="2958468"/>
    <n v="2912547.8913406022"/>
    <n v="2025"/>
    <n v="9999"/>
    <x v="17"/>
    <x v="8"/>
  </r>
  <r>
    <s v="ESPC360-20928"/>
    <s v="[PRO][Cuentas] INC058560867 - PEX_0040078118 - [NHB] KIBOT No puede contratar fondo de inversión con un titular y un representante legal"/>
    <s v="Cuentas"/>
    <d v="2025-09-17T15:17:26"/>
    <d v="2025-09-30T10:35:47"/>
    <s v="OPERACIONAL"/>
    <s v="SOPORTE"/>
    <s v="NO-CUSTOMER360"/>
    <s v="C360_Team_Mtto"/>
    <s v="Medium"/>
    <s v="CERRADO"/>
    <s v=""/>
    <s v="BORJA CORTIJO LAJARA"/>
    <x v="2"/>
    <d v="2025-09-17T15:17:26"/>
    <d v="2025-09-30T10:35:47"/>
    <s v="Externo"/>
    <n v="38"/>
    <d v="2025-09-15T00:00:00"/>
    <n v="40"/>
    <d v="2025-09-29T00:00:00"/>
    <n v="12.804407233794336"/>
    <n v="2025"/>
    <n v="2025"/>
    <x v="17"/>
    <x v="9"/>
  </r>
  <r>
    <s v="ESPC360-21026"/>
    <s v="[PRO][Cuentas] INC058670428 - No devolvemos una cuenta en ADN360"/>
    <s v="Cuentas"/>
    <d v="2025-09-19T10:04:37"/>
    <d v="2025-09-23T12:33:41"/>
    <s v="OPERACIONAL"/>
    <s v="SOPORTE"/>
    <s v="NO-CUSTOMER360"/>
    <s v="C360_Team_Mtto"/>
    <s v="Medium"/>
    <s v="CERRADO"/>
    <s v=""/>
    <s v="BORJA CORTIJO LAJARA"/>
    <x v="2"/>
    <d v="2025-09-19T10:04:37"/>
    <d v="2025-09-23T12:33:41"/>
    <s v="Externo"/>
    <n v="38"/>
    <d v="2025-09-15T00:00:00"/>
    <n v="39"/>
    <d v="2025-09-22T00:00:00"/>
    <n v="4.103512268520717"/>
    <n v="2025"/>
    <n v="2025"/>
    <x v="17"/>
    <x v="9"/>
  </r>
  <r>
    <s v="ESPC360-21029"/>
    <s v="[PRO] [Valores] INC058678240 - No visualiza el porcentaje de AC.ZOOM VIDEO COM USD"/>
    <s v="Valores"/>
    <d v="2025-09-22T08:45:46"/>
    <d v="2025-09-23T16:27:23"/>
    <s v="OPERACIONAL"/>
    <s v="SOPORTE"/>
    <s v=""/>
    <s v="C360_Team_Mtto"/>
    <s v="Medium"/>
    <s v="CERRADO"/>
    <s v=""/>
    <s v="Automation for Jira"/>
    <x v="2"/>
    <d v="2025-09-22T08:45:46"/>
    <d v="2025-09-23T16:27:23"/>
    <s v="Externo"/>
    <n v="39"/>
    <d v="2025-09-22T00:00:00"/>
    <n v="39"/>
    <d v="2025-09-22T00:00:00"/>
    <n v="1.3205713194474811"/>
    <n v="2025"/>
    <n v="2025"/>
    <x v="17"/>
    <x v="9"/>
  </r>
  <r>
    <s v="ESPC360-21030"/>
    <s v="[PRO] [GPI] INC058727380 - Proceso fallido"/>
    <s v=""/>
    <d v="2025-09-22T09:55:56"/>
    <d v="2025-09-22T09:57:59"/>
    <s v="OPERACIONAL"/>
    <s v="SOPORTE"/>
    <s v=""/>
    <s v="C360_Team_Mtto"/>
    <s v="Medium"/>
    <s v="CERRADO"/>
    <s v=""/>
    <s v="Automation for Jira"/>
    <x v="2"/>
    <d v="2025-09-22T09:55:56"/>
    <d v="2025-09-22T09:57:59"/>
    <s v="Externo"/>
    <n v="39"/>
    <d v="2025-09-22T00:00:00"/>
    <n v="39"/>
    <d v="2025-09-22T00:00:00"/>
    <n v="1.4248032384784892E-3"/>
    <n v="2025"/>
    <n v="2025"/>
    <x v="17"/>
    <x v="9"/>
  </r>
  <r>
    <s v="ESPC360-21044"/>
    <s v="[PRO][Seguros] INC058755795 - CLIENTE B67604751. NO SE VISUALIZAN SEGUROS DE WILLIS EN ADN 360"/>
    <s v="Seguros"/>
    <d v="2025-09-22T16:12:20"/>
    <d v="2025-09-22T17:04:43"/>
    <s v="OPERACIONAL"/>
    <s v="FUNCIONAL"/>
    <s v=""/>
    <s v="C360_Team_Mtto"/>
    <s v="Medium"/>
    <s v="CERRADO"/>
    <s v=""/>
    <s v="BORJA CORTIJO LAJARA"/>
    <x v="4"/>
    <d v="2025-09-22T16:12:20"/>
    <d v="2025-09-22T17:04:43"/>
    <s v="Interno"/>
    <n v="39"/>
    <d v="2025-09-22T00:00:00"/>
    <n v="39"/>
    <d v="2025-09-22T00:00:00"/>
    <n v="3.6373831018863712E-2"/>
    <n v="2025"/>
    <n v="2025"/>
    <x v="17"/>
    <x v="9"/>
  </r>
  <r>
    <s v="ESPC360-21050"/>
    <s v="[PRO][Seguros] INC058789596 - PEX_0040229693 KIBOT  nif 10496516Y"/>
    <s v="Seguros"/>
    <d v="2025-09-23T11:42:43"/>
    <d v="2025-09-24T10:48:01"/>
    <s v="OPERACIONAL"/>
    <s v="SOPORTE"/>
    <s v="NO-CUSTOMER360"/>
    <s v="C360_Team_Mtto"/>
    <s v="Medium"/>
    <s v="CERRADO"/>
    <s v=""/>
    <s v="BORJA CORTIJO LAJARA"/>
    <x v="2"/>
    <d v="2025-09-23T11:42:43"/>
    <d v="2025-09-24T10:48:01"/>
    <s v="Externo"/>
    <n v="39"/>
    <d v="2025-09-22T00:00:00"/>
    <n v="39"/>
    <d v="2025-09-22T00:00:00"/>
    <n v="0.96200630787643604"/>
    <n v="2025"/>
    <n v="2025"/>
    <x v="17"/>
    <x v="9"/>
  </r>
  <r>
    <s v="ESPC360-21056"/>
    <s v="[PRO] [Front] Incluir la marca de PMP en los contratos de línea de avales"/>
    <s v=""/>
    <d v="2025-09-23T15:30:37"/>
    <d v="2025-10-02T12:17:04"/>
    <s v="OPERACIONAL"/>
    <s v="TÉCNICO"/>
    <s v=""/>
    <s v="C360_Team_Mtto"/>
    <s v="Medium"/>
    <s v="CERRADO"/>
    <s v=""/>
    <s v="Automation for Jira"/>
    <x v="0"/>
    <d v="2025-09-23T15:30:37"/>
    <d v="2025-10-02T12:17:04"/>
    <s v="Interno"/>
    <n v="39"/>
    <d v="2025-09-22T00:00:00"/>
    <n v="40"/>
    <d v="2025-09-29T00:00:00"/>
    <n v="8.8655918055519578"/>
    <n v="2025"/>
    <n v="2025"/>
    <x v="17"/>
    <x v="9"/>
  </r>
  <r>
    <s v="ESPC360-21062"/>
    <s v="[PRO] [NO-CUSTOMER360] INC058742371 - Recibe comunicaciones que no corresponde "/>
    <s v=""/>
    <d v="2025-09-24T10:14:03"/>
    <d v="2025-10-01T09:41:29"/>
    <s v="OPERACIONAL"/>
    <s v="SOPORTE"/>
    <s v="NO_CUSTOMER360"/>
    <s v="C360_Team_Mtto"/>
    <s v="Medium"/>
    <s v="CERRADO"/>
    <s v=""/>
    <s v="Automation for Jira"/>
    <x v="2"/>
    <d v="2025-09-24T10:14:03"/>
    <d v="2025-10-01T09:41:29"/>
    <s v="Externo"/>
    <n v="39"/>
    <d v="2025-09-22T00:00:00"/>
    <n v="40"/>
    <d v="2025-09-29T00:00:00"/>
    <n v="6.9773848726908909"/>
    <n v="2025"/>
    <n v="2025"/>
    <x v="17"/>
    <x v="9"/>
  </r>
  <r>
    <s v="ESPC360-21067"/>
    <s v="[PRO][NO-CUSTOMER360] INC058742371 - PEX_0040178289 Recibe comunicaciones que no corresponde"/>
    <s v=""/>
    <d v="2025-09-24T12:19:12"/>
    <d v="9999-12-31T10:41:41"/>
    <s v="OPERACIONAL"/>
    <s v="SOPORTE"/>
    <s v="NO-CUSTOMER360"/>
    <s v="C360_Team_Mtto"/>
    <s v="Medium"/>
    <s v="Blocked"/>
    <s v=""/>
    <s v="BORJA CORTIJO LAJARA"/>
    <x v="2"/>
    <d v="2025-09-24T12:19:12"/>
    <d v="9999-12-31T10:41:41"/>
    <s v="Externo"/>
    <n v="39"/>
    <d v="2025-09-22T00:00:00"/>
    <n v="53"/>
    <n v="2958468"/>
    <n v="2912540.9322854863"/>
    <n v="2025"/>
    <n v="9999"/>
    <x v="17"/>
    <x v="8"/>
  </r>
  <r>
    <s v="ESPC360-21073"/>
    <s v="[PRO][Movimientos] INC058834997 - Faltan movimientos en ADN360"/>
    <s v="Movimientos Cuentas;Movimientos Tarjetas"/>
    <d v="2025-09-24T14:51:07"/>
    <d v="2025-09-25T11:52:27"/>
    <s v="OPERACIONAL"/>
    <s v="SOPORTE"/>
    <s v="NO-CUSTOMER360"/>
    <s v="C360_Team_Mtto"/>
    <s v="Medium"/>
    <s v="CERRADO"/>
    <s v=""/>
    <s v="BORJA CORTIJO LAJARA"/>
    <x v="2"/>
    <d v="2025-09-24T14:51:07"/>
    <d v="2025-09-25T11:52:27"/>
    <s v="Externo"/>
    <n v="39"/>
    <d v="2025-09-22T00:00:00"/>
    <n v="39"/>
    <d v="2025-09-22T00:00:00"/>
    <n v="0.87592724536807509"/>
    <n v="2025"/>
    <n v="2025"/>
    <x v="17"/>
    <x v="9"/>
  </r>
  <r>
    <s v="ESPC360-21074"/>
    <s v="[PRO][Cuentas] INC058835762 - Empresa no ve una cuenta que tiene asociada por la web ni por la app "/>
    <s v="Cuentas"/>
    <d v="2025-09-24T15:06:56"/>
    <d v="2025-09-24T17:17:29"/>
    <s v="OPERACIONAL"/>
    <s v="DESARROLLO"/>
    <s v=""/>
    <s v="C360_Team_Mtto"/>
    <s v="Medium"/>
    <s v="CERRADO"/>
    <s v=""/>
    <s v="BORJA CORTIJO LAJARA"/>
    <x v="1"/>
    <d v="2025-09-24T15:06:56"/>
    <d v="2025-09-24T17:17:29"/>
    <s v="Interno"/>
    <n v="39"/>
    <d v="2025-09-22T00:00:00"/>
    <n v="39"/>
    <d v="2025-09-22T00:00:00"/>
    <n v="9.0662361115391832E-2"/>
    <n v="2025"/>
    <n v="2025"/>
    <x v="17"/>
    <x v="9"/>
  </r>
  <r>
    <s v="ESPC360-21141"/>
    <s v="[PRO][ADN-Cliente] INC058870185 - No ve el Margen bruto del cliente"/>
    <s v=""/>
    <d v="2025-09-25T13:19:22"/>
    <d v="2025-09-26T11:07:54"/>
    <s v="OPERACIONAL"/>
    <s v="SOPORTE"/>
    <s v="NO-CUSTOMER360"/>
    <s v="C360_Team_Mtto"/>
    <s v="Medium"/>
    <s v="CERRADO"/>
    <s v=""/>
    <s v="BORJA CORTIJO LAJARA"/>
    <x v="2"/>
    <d v="2025-09-25T13:19:22"/>
    <d v="2025-09-26T11:07:54"/>
    <s v="Externo"/>
    <n v="39"/>
    <d v="2025-09-22T00:00:00"/>
    <n v="39"/>
    <d v="2025-09-22T00:00:00"/>
    <n v="0.90870299767993856"/>
    <n v="2025"/>
    <n v="2025"/>
    <x v="17"/>
    <x v="9"/>
  </r>
  <r>
    <s v="ESPC360-21142"/>
    <s v="[PRO][ADN-OPERATIVO] INC058874722 - PEX_0040229483"/>
    <s v=""/>
    <d v="2025-09-25T15:14:31"/>
    <d v="2025-09-26T12:57:33"/>
    <s v="OPERACIONAL"/>
    <s v="SOPORTE"/>
    <s v="NO-CUSTOMER360"/>
    <s v="C360_Team_Mtto"/>
    <s v="Medium"/>
    <s v="CERRADO"/>
    <s v=""/>
    <s v="BORJA CORTIJO LAJARA"/>
    <x v="2"/>
    <d v="2025-09-25T15:14:31"/>
    <d v="2025-09-26T12:57:33"/>
    <s v="Externo"/>
    <n v="39"/>
    <d v="2025-09-22T00:00:00"/>
    <n v="39"/>
    <d v="2025-09-22T00:00:00"/>
    <n v="0.9048891898128204"/>
    <n v="2025"/>
    <n v="2025"/>
    <x v="17"/>
    <x v="9"/>
  </r>
  <r>
    <s v="ESPC360-21144"/>
    <s v="[PRO][NO-CUSTOMER360] INC058875674 - NO SE GRABAN NUESTRAS AGENDAS DESDE NIMBUS"/>
    <s v=""/>
    <d v="2025-09-26T09:58:09"/>
    <d v="2025-09-30T10:37:06"/>
    <s v="OPERACIONAL"/>
    <s v="SOPORTE"/>
    <s v=""/>
    <s v="C360_Team_Mtto"/>
    <s v="Medium"/>
    <s v="CERRADO"/>
    <s v=""/>
    <s v="BORJA CORTIJO LAJARA"/>
    <x v="2"/>
    <d v="2025-09-26T09:58:09"/>
    <d v="2025-09-30T10:37:06"/>
    <s v="Externo"/>
    <n v="39"/>
    <d v="2025-09-22T00:00:00"/>
    <n v="40"/>
    <d v="2025-09-29T00:00:00"/>
    <n v="4.0270533101793262"/>
    <n v="2025"/>
    <n v="2025"/>
    <x v="17"/>
    <x v="9"/>
  </r>
  <r>
    <s v="ESPC360-21145"/>
    <s v="[PRO] [ADN-CLIENTE]  INC058873723 - Error a la hora de intentar subir la documentación"/>
    <s v=""/>
    <d v="2025-09-26T10:01:45"/>
    <d v="2025-09-30T10:37:56"/>
    <s v="OPERACIONAL"/>
    <s v="SOPORTE"/>
    <s v="NO_CUSTOMER360"/>
    <s v="C360_Team_Mtto"/>
    <s v="Medium"/>
    <s v="CERRADO"/>
    <s v=""/>
    <s v="Automation for Jira"/>
    <x v="2"/>
    <d v="2025-09-26T10:01:45"/>
    <d v="2025-09-30T10:37:56"/>
    <s v="Externo"/>
    <n v="39"/>
    <d v="2025-09-22T00:00:00"/>
    <n v="40"/>
    <d v="2025-09-29T00:00:00"/>
    <n v="4.0251277430579648"/>
    <n v="2025"/>
    <n v="2025"/>
    <x v="17"/>
    <x v="9"/>
  </r>
  <r>
    <s v="ESPC360-21148"/>
    <s v="[PRO][ADN-CLIENTE] INC058906716 - preconcedidos en ADN"/>
    <s v=""/>
    <d v="2025-09-26T11:09:13"/>
    <d v="2025-09-30T10:38:42"/>
    <s v="OPERACIONAL"/>
    <s v="SOPORTE"/>
    <s v="NO-CUSTOMER360"/>
    <s v="C360_Team_Mtto"/>
    <s v="Medium"/>
    <s v="CERRADO"/>
    <s v=""/>
    <s v="BORJA CORTIJO LAJARA"/>
    <x v="2"/>
    <d v="2025-09-26T11:09:13"/>
    <d v="2025-09-30T10:38:42"/>
    <s v="Externo"/>
    <n v="39"/>
    <d v="2025-09-22T00:00:00"/>
    <n v="40"/>
    <d v="2025-09-29T00:00:00"/>
    <n v="3.9788095023104688"/>
    <n v="2025"/>
    <n v="2025"/>
    <x v="17"/>
    <x v="9"/>
  </r>
  <r>
    <s v="ESPC360-21149"/>
    <s v="[PRO][NO-CUSTOMER360] INC058907539 - Incidencia Alertas precon en ADN"/>
    <s v=""/>
    <d v="2025-09-26T11:26:47"/>
    <d v="2025-10-06T11:43:53"/>
    <s v="OPERACIONAL"/>
    <s v="SOPORTE"/>
    <s v="NO-CUSTOMER360"/>
    <s v="C360_Team_Mtto"/>
    <s v="Medium"/>
    <s v="CERRADO"/>
    <s v=""/>
    <s v="BORJA CORTIJO LAJARA"/>
    <x v="2"/>
    <d v="2025-09-26T11:26:47"/>
    <d v="2025-10-06T11:43:53"/>
    <s v="Externo"/>
    <n v="39"/>
    <d v="2025-09-22T00:00:00"/>
    <n v="41"/>
    <d v="2025-10-06T00:00:00"/>
    <n v="10.011869861111336"/>
    <n v="2025"/>
    <n v="2025"/>
    <x v="17"/>
    <x v="10"/>
  </r>
  <r>
    <s v="ESPC360-21150"/>
    <s v="[PRO][NO-CUSTOMER360] INC058907558 - NO APARECEN LOS RIESGOS PRECONCEDIDOS NI EN ADN NI EN GO "/>
    <s v=""/>
    <d v="2025-09-26T11:29:03"/>
    <d v="2025-09-30T10:40:47"/>
    <s v="OPERACIONAL"/>
    <s v="SOPORTE"/>
    <s v="NO-CUSTOMER360"/>
    <s v="C360_Team_Mtto"/>
    <s v="Medium"/>
    <s v="CERRADO"/>
    <s v=""/>
    <s v="BORJA CORTIJO LAJARA"/>
    <x v="2"/>
    <d v="2025-09-26T11:29:03"/>
    <d v="2025-09-30T10:40:47"/>
    <s v="Externo"/>
    <n v="39"/>
    <d v="2025-09-22T00:00:00"/>
    <n v="40"/>
    <d v="2025-09-29T00:00:00"/>
    <n v="3.9664847337917308"/>
    <n v="2025"/>
    <n v="2025"/>
    <x v="17"/>
    <x v="9"/>
  </r>
  <r>
    <s v="ESPC360-21151"/>
    <s v="[PRO][Seguros] INC058868103 - QUE NO SALE LA PRIMA CORRECTAMENTE EN ADN CLIENTE"/>
    <s v="Seguros"/>
    <d v="2025-09-26T11:31:52"/>
    <d v="2025-10-06T11:45:36"/>
    <s v="OPERACIONAL"/>
    <s v="SOPORTE"/>
    <s v="NO-CUSTOMER360"/>
    <s v="C360_Team_Mtto"/>
    <s v="Medium"/>
    <s v="CERRADO"/>
    <s v=""/>
    <s v="BORJA CORTIJO LAJARA"/>
    <x v="2"/>
    <d v="2025-09-26T11:31:52"/>
    <d v="2025-10-06T11:45:36"/>
    <s v="Externo"/>
    <n v="39"/>
    <d v="2025-09-22T00:00:00"/>
    <n v="41"/>
    <d v="2025-10-06T00:00:00"/>
    <n v="10.009527974536468"/>
    <n v="2025"/>
    <n v="2025"/>
    <x v="17"/>
    <x v="10"/>
  </r>
  <r>
    <s v="ESPC360-21155"/>
    <s v="[PRO] [Tarjetas] INC058912756 - NO informa cuenta en adn 360"/>
    <s v="Tarjetas"/>
    <d v="2025-09-26T14:36:58"/>
    <d v="2025-09-30T10:42:15"/>
    <s v="OPERACIONAL"/>
    <s v="SOPORTE"/>
    <s v=""/>
    <s v="C360_Team_Mtto"/>
    <s v="Medium"/>
    <s v="CERRADO"/>
    <s v=""/>
    <s v="Automation for Jira"/>
    <x v="2"/>
    <d v="2025-09-26T14:36:58"/>
    <d v="2025-09-30T10:42:15"/>
    <s v="Externo"/>
    <n v="39"/>
    <d v="2025-09-22T00:00:00"/>
    <n v="40"/>
    <d v="2025-09-29T00:00:00"/>
    <n v="3.8369992129591992"/>
    <n v="2025"/>
    <n v="2025"/>
    <x v="17"/>
    <x v="9"/>
  </r>
  <r>
    <s v="ESPC360-21167"/>
    <s v="[PRO] [Tarjetas] INC058912756 - Tarjeta no tiene cuenta asociada débito"/>
    <s v="Tarjetas"/>
    <d v="2025-09-29T15:21:50"/>
    <d v="2025-09-29T15:47:14"/>
    <s v="OPERACIONAL"/>
    <s v="DESARROLLO"/>
    <s v=""/>
    <s v="C360_Team_Mtto"/>
    <s v="Medium"/>
    <s v="CERRADO"/>
    <s v=""/>
    <s v="Automation for Jira"/>
    <x v="1"/>
    <d v="2025-09-29T15:21:50"/>
    <d v="2025-09-29T15:47:14"/>
    <s v="Interno"/>
    <n v="40"/>
    <d v="2025-09-29T00:00:00"/>
    <n v="40"/>
    <d v="2025-09-29T00:00:00"/>
    <n v="1.7633854171435814E-2"/>
    <n v="2025"/>
    <n v="2025"/>
    <x v="17"/>
    <x v="9"/>
  </r>
  <r>
    <s v="ESPC360-21170"/>
    <s v="[PRO][Tarjetas] INC058988400 - ADN360 no esta devolviendo el IBAN de la tarjeta"/>
    <s v="Tarjetas"/>
    <d v="2025-09-30T09:07:43"/>
    <d v="2025-09-30T16:13:46"/>
    <s v="OPERACIONAL"/>
    <s v="DESARROLLO"/>
    <s v=""/>
    <s v="C360_Team_Mtto"/>
    <s v="Medium"/>
    <s v="CERRADO"/>
    <s v=""/>
    <s v="BORJA CORTIJO LAJARA"/>
    <x v="1"/>
    <d v="2025-09-30T09:07:43"/>
    <d v="2025-09-30T16:13:46"/>
    <s v="Interno"/>
    <n v="40"/>
    <d v="2025-09-29T00:00:00"/>
    <n v="40"/>
    <d v="2025-09-29T00:00:00"/>
    <n v="0.29586913194361841"/>
    <n v="2025"/>
    <n v="2025"/>
    <x v="17"/>
    <x v="9"/>
  </r>
  <r>
    <s v="ESPC360-21171"/>
    <s v="[PRO] [Customers] INC059021930 - Cliente aparece como banca privada en el api de customers."/>
    <s v=""/>
    <d v="2025-09-30T11:55:44"/>
    <d v="2025-09-30T15:48:23"/>
    <s v="OPERACIONAL"/>
    <s v="DESARROLLO"/>
    <s v=""/>
    <s v="C360_Team_Mtto"/>
    <s v="Medium"/>
    <s v="CERRADO"/>
    <s v=""/>
    <s v="Automation for Jira"/>
    <x v="1"/>
    <d v="2025-09-30T11:55:44"/>
    <d v="2025-09-30T15:48:23"/>
    <s v="Interno"/>
    <n v="40"/>
    <d v="2025-09-29T00:00:00"/>
    <n v="40"/>
    <d v="2025-09-29T00:00:00"/>
    <n v="0.16156394675635966"/>
    <n v="2025"/>
    <n v="2025"/>
    <x v="17"/>
    <x v="9"/>
  </r>
  <r>
    <s v="ESPC360-21175"/>
    <s v="[PRO] [Fondos] INC059001170 -  Fondo carterizado aparece duplicado"/>
    <s v="Fondos"/>
    <d v="2025-09-30T13:38:27"/>
    <d v="2025-10-03T08:54:26"/>
    <s v="OPERACIONAL"/>
    <s v="SOPORTE"/>
    <s v=""/>
    <s v="C360_Team_Mtto"/>
    <s v="Medium"/>
    <s v="CERRADO"/>
    <s v=""/>
    <s v="Automation for Jira"/>
    <x v="2"/>
    <d v="2025-09-30T13:38:27"/>
    <d v="2025-10-03T08:54:26"/>
    <s v="Externo"/>
    <n v="40"/>
    <d v="2025-09-29T00:00:00"/>
    <n v="40"/>
    <d v="2025-09-29T00:00:00"/>
    <n v="2.8027695023120032"/>
    <n v="2025"/>
    <n v="2025"/>
    <x v="17"/>
    <x v="9"/>
  </r>
  <r>
    <s v="ESPC360-21178"/>
    <s v="[PRO][Mov. Cuentas] INC059023774 - Remesa de transferencias: Al consultar los movimientos están intercaladas  / 004918685200000623 / B40162224 / EL PINAR BERRIES SLU "/>
    <s v="Movimientos Cuentas"/>
    <d v="2025-09-30T14:57:11"/>
    <d v="2025-10-06T11:47:43"/>
    <s v="OPERACIONAL"/>
    <s v="SOPORTE"/>
    <s v="NO-CUSTOMER360"/>
    <s v="C360_Team_Mtto"/>
    <s v="Medium"/>
    <s v="CERRADO"/>
    <s v=""/>
    <s v="BORJA CORTIJO LAJARA"/>
    <x v="2"/>
    <d v="2025-09-30T14:57:11"/>
    <d v="2025-10-06T11:47:43"/>
    <s v="Externo"/>
    <n v="40"/>
    <d v="2025-09-29T00:00:00"/>
    <n v="41"/>
    <d v="2025-10-06T00:00:00"/>
    <n v="5.8684321759210434"/>
    <n v="2025"/>
    <n v="2025"/>
    <x v="17"/>
    <x v="10"/>
  </r>
  <r>
    <s v="ESPC360-21180"/>
    <s v="[PRO][Cuentas] INC059032875 - Cuenta con saldo pendiente de consolidar por Web que no es correcto"/>
    <s v="Cuentas"/>
    <d v="2025-10-01T08:52:52"/>
    <d v="2025-10-16T16:51:07"/>
    <s v="OPERACIONAL"/>
    <s v="SOPORTE"/>
    <s v=""/>
    <s v="C360_Team_Mtto"/>
    <s v="Medium"/>
    <s v="CERRADO"/>
    <s v=""/>
    <s v="BORJA CORTIJO LAJARA"/>
    <x v="2"/>
    <d v="2025-10-01T08:52:52"/>
    <d v="2025-10-16T16:51:07"/>
    <s v="Externo"/>
    <n v="40"/>
    <d v="2025-09-29T00:00:00"/>
    <n v="42"/>
    <d v="2025-10-13T00:00:00"/>
    <n v="15.332122650463134"/>
    <n v="2025"/>
    <n v="2025"/>
    <x v="17"/>
    <x v="10"/>
  </r>
  <r>
    <s v="ESPC360-21181"/>
    <s v="[PRO] [Créditos] INC059062808 - Fecha vencimiento errónea"/>
    <s v="Créditos"/>
    <d v="2025-10-01T09:22:15"/>
    <d v="2025-10-03T08:55:00"/>
    <s v="OPERACIONAL"/>
    <s v="SOPORTE"/>
    <s v=""/>
    <s v="C360_Team_Mtto"/>
    <s v="Medium"/>
    <s v="CERRADO"/>
    <s v=""/>
    <s v="Automation for Jira"/>
    <x v="2"/>
    <d v="2025-10-01T09:22:15"/>
    <d v="2025-10-03T08:55:00"/>
    <s v="Externo"/>
    <n v="40"/>
    <d v="2025-09-29T00:00:00"/>
    <n v="40"/>
    <d v="2025-09-29T00:00:00"/>
    <n v="1.9810798379621701"/>
    <n v="2025"/>
    <n v="2025"/>
    <x v="17"/>
    <x v="9"/>
  </r>
  <r>
    <s v="ESPC360-21182"/>
    <s v="[PRO][Cuentas] INC059070581 - PEX_0040411533 No se visualiza cuenta Hucha vigente y con saldo desde ADN y si en los canales"/>
    <s v="Cuentas"/>
    <d v="2025-10-01T12:42:01"/>
    <d v="2025-10-06T11:50:10"/>
    <s v="OPERACIONAL"/>
    <s v="SOPORTE"/>
    <s v="NO-CUSTOMER360"/>
    <s v="C360_Team_Mtto"/>
    <s v="Medium"/>
    <s v="CERRADO"/>
    <s v=""/>
    <s v="BORJA CORTIJO LAJARA"/>
    <x v="2"/>
    <d v="2025-10-01T12:42:01"/>
    <d v="2025-10-06T11:50:10"/>
    <s v="Externo"/>
    <n v="40"/>
    <d v="2025-09-29T00:00:00"/>
    <n v="41"/>
    <d v="2025-10-06T00:00:00"/>
    <n v="4.9639991782387369"/>
    <n v="2025"/>
    <n v="2025"/>
    <x v="17"/>
    <x v="10"/>
  </r>
  <r>
    <s v="ESPC360-21188"/>
    <s v="[PRO] [Leasing] INC059074445 - Contrato marcado como dudoso"/>
    <s v="Leasing"/>
    <d v="2025-10-01T17:48:03"/>
    <d v="2025-10-06T15:42:36"/>
    <s v="OPERACIONAL"/>
    <s v="SOPORTE"/>
    <s v="NO-CUSTOMER360"/>
    <s v="C360_Team_Mtto"/>
    <s v="Medium"/>
    <s v="CERRADO"/>
    <s v=""/>
    <s v="Automation for Jira"/>
    <x v="2"/>
    <d v="2025-10-01T17:48:03"/>
    <d v="2025-10-06T15:42:36"/>
    <s v="Externo"/>
    <n v="40"/>
    <d v="2025-09-29T00:00:00"/>
    <n v="41"/>
    <d v="2025-10-06T00:00:00"/>
    <n v="4.9128820717596682"/>
    <n v="2025"/>
    <n v="2025"/>
    <x v="17"/>
    <x v="10"/>
  </r>
  <r>
    <s v="ESPC360-21193"/>
    <s v="[PRO] [Comex] INC059070592 - Alertado errores 400"/>
    <s v="Comex"/>
    <d v="2025-10-02T10:08:40"/>
    <d v="2025-10-16T16:53:29"/>
    <s v="OPERACIONAL"/>
    <s v="SOPORTE"/>
    <s v="NO-CUSTOMER360"/>
    <s v="C360_Team_Mtto"/>
    <s v="Medium"/>
    <s v="CERRADO"/>
    <s v=""/>
    <s v="Automation for Jira"/>
    <x v="2"/>
    <d v="2025-10-02T10:08:40"/>
    <d v="2025-10-16T16:53:29"/>
    <s v="Externo"/>
    <n v="40"/>
    <d v="2025-09-29T00:00:00"/>
    <n v="42"/>
    <d v="2025-10-13T00:00:00"/>
    <n v="14.281121782412811"/>
    <n v="2025"/>
    <n v="2025"/>
    <x v="17"/>
    <x v="10"/>
  </r>
  <r>
    <s v="ESPC360-21194"/>
    <s v="[PRO] [Agenda Financiera] INC059103026 - Alertado errores 400"/>
    <s v="agenda financiera"/>
    <d v="2025-10-02T10:09:54"/>
    <d v="2025-10-16T16:54:41"/>
    <s v="OPERACIONAL"/>
    <s v="SOPORTE"/>
    <s v="NO-CUSTOMER360"/>
    <s v="C360_Team_Mtto"/>
    <s v="Medium"/>
    <s v="CERRADO"/>
    <s v=""/>
    <s v="Automation for Jira"/>
    <x v="2"/>
    <d v="2025-10-02T10:09:54"/>
    <d v="2025-10-16T16:54:41"/>
    <s v="Externo"/>
    <n v="40"/>
    <d v="2025-09-29T00:00:00"/>
    <n v="42"/>
    <d v="2025-10-13T00:00:00"/>
    <n v="14.281104178240639"/>
    <n v="2025"/>
    <n v="2025"/>
    <x v="17"/>
    <x v="10"/>
  </r>
  <r>
    <s v="ESPC360-21195"/>
    <s v="[PRO] [Cuentas] INC059079019 - Alertados errores 400"/>
    <s v="Cuentas"/>
    <d v="2025-10-02T10:17:38"/>
    <d v="2025-10-20T10:19:43"/>
    <s v="OPERACIONAL"/>
    <s v="SOPORTE"/>
    <s v="ALERTADO"/>
    <s v="C360_Team_Mtto"/>
    <s v="Medium"/>
    <s v="CERRADO"/>
    <s v=""/>
    <s v="Automation for Jira"/>
    <x v="2"/>
    <d v="2025-10-02T10:17:38"/>
    <d v="2025-10-20T10:19:43"/>
    <s v="Externo"/>
    <n v="40"/>
    <d v="2025-09-29T00:00:00"/>
    <n v="43"/>
    <d v="2025-10-20T00:00:00"/>
    <n v="18.001452754630009"/>
    <n v="2025"/>
    <n v="2025"/>
    <x v="17"/>
    <x v="10"/>
  </r>
  <r>
    <s v="ESPC360-21203"/>
    <s v="[PRO] [FRONT] Error puntual en el front de adn360"/>
    <s v="Front ADN360"/>
    <d v="2025-10-02T12:20:15"/>
    <d v="2025-10-15T12:19:40"/>
    <s v="OPERACIONAL"/>
    <s v="SOPORTE"/>
    <s v=""/>
    <s v="C360_Team_Mtto"/>
    <s v="Medium"/>
    <s v="CERRADO"/>
    <s v=""/>
    <s v="Automation for Jira"/>
    <x v="2"/>
    <d v="2025-10-02T12:20:15"/>
    <d v="2025-10-15T12:19:40"/>
    <s v="Externo"/>
    <n v="40"/>
    <d v="2025-09-29T00:00:00"/>
    <n v="42"/>
    <d v="2025-10-13T00:00:00"/>
    <n v="12.999591979161778"/>
    <n v="2025"/>
    <n v="2025"/>
    <x v="17"/>
    <x v="10"/>
  </r>
  <r>
    <s v="ESPC360-21205"/>
    <s v="[PRO] [Tarjetas] INC059104726 - No se muestra la cuenta cargo"/>
    <s v="Tarjetas"/>
    <d v="2025-10-02T13:21:05"/>
    <d v="2025-10-02T15:50:26"/>
    <s v="OPERACIONAL"/>
    <s v="DESARROLLO"/>
    <s v=""/>
    <s v="C360_Team_Mtto"/>
    <s v="Medium"/>
    <s v="CERRADO"/>
    <s v=""/>
    <s v="Automation for Jira"/>
    <x v="1"/>
    <d v="2025-10-02T13:21:05"/>
    <d v="2025-10-02T15:50:26"/>
    <s v="Interno"/>
    <n v="40"/>
    <d v="2025-09-29T00:00:00"/>
    <n v="40"/>
    <d v="2025-09-29T00:00:00"/>
    <n v="0.10372077546344372"/>
    <n v="2025"/>
    <n v="2025"/>
    <x v="17"/>
    <x v="9"/>
  </r>
  <r>
    <s v="ESPC360-21277"/>
    <s v="[PRO] [Fondos] INC059111714 - No se muestra fondo"/>
    <s v="Fondos"/>
    <d v="2025-10-02T15:55:16"/>
    <d v="2025-10-08T09:35:03"/>
    <s v="OPERACIONAL"/>
    <s v="SOPORTE"/>
    <s v="NO-CUSTOMER360"/>
    <s v="C360_Team_Mtto"/>
    <s v="Medium"/>
    <s v="CERRADO"/>
    <s v=""/>
    <s v="Automation for Jira"/>
    <x v="2"/>
    <d v="2025-10-02T15:55:16"/>
    <d v="2025-10-08T09:35:03"/>
    <s v="Externo"/>
    <n v="40"/>
    <d v="2025-09-29T00:00:00"/>
    <n v="41"/>
    <d v="2025-10-06T00:00:00"/>
    <n v="5.7359610069470364"/>
    <n v="2025"/>
    <n v="2025"/>
    <x v="17"/>
    <x v="10"/>
  </r>
  <r>
    <s v="ESPC360-21278"/>
    <s v="[PRO][ADN-OPERATIVO] INC058654472 - INCIDENCIA EN ADN OPERATIVO"/>
    <s v=""/>
    <d v="2025-10-02T15:58:51"/>
    <d v="2025-10-20T12:28:58"/>
    <s v="OPERACIONAL"/>
    <s v="SOPORTE"/>
    <s v="NO-CUSTOMER360"/>
    <s v="C360_Team_Mtto"/>
    <s v="Medium"/>
    <s v="CERRADO"/>
    <s v=""/>
    <s v="BORJA CORTIJO LAJARA"/>
    <x v="2"/>
    <d v="2025-10-02T15:58:51"/>
    <d v="2025-10-20T12:28:58"/>
    <s v="Externo"/>
    <n v="40"/>
    <d v="2025-09-29T00:00:00"/>
    <n v="43"/>
    <d v="2025-10-20T00:00:00"/>
    <n v="17.854251736112928"/>
    <n v="2025"/>
    <n v="2025"/>
    <x v="17"/>
    <x v="10"/>
  </r>
  <r>
    <s v="ESPC360-21280"/>
    <s v="[PRO] [Cuentas] INC059118322 - Cuenta Local no es correcta"/>
    <s v="Cuentas"/>
    <d v="2025-10-03T08:40:40"/>
    <d v="2025-10-03T14:38:41"/>
    <s v="OPERACIONAL"/>
    <s v="DESARROLLO"/>
    <s v=""/>
    <s v="C360_Team_Mtto"/>
    <s v="Medium"/>
    <s v="CERRADO"/>
    <s v=""/>
    <s v="Automation for Jira"/>
    <x v="1"/>
    <d v="2025-10-03T08:40:40"/>
    <d v="2025-10-03T14:38:41"/>
    <s v="Interno"/>
    <n v="40"/>
    <d v="2025-09-29T00:00:00"/>
    <n v="40"/>
    <d v="2025-09-29T00:00:00"/>
    <n v="0.24861629629594972"/>
    <n v="2025"/>
    <n v="2025"/>
    <x v="17"/>
    <x v="9"/>
  </r>
  <r>
    <s v="ESPC360-21294"/>
    <s v="[PRO] [Cuentas] INC059176977 - Alertados errores 400"/>
    <s v="Cuentas"/>
    <d v="2025-10-06T09:32:01"/>
    <d v="2025-10-15T12:20:10"/>
    <s v="OPERACIONAL"/>
    <s v="SOPORTE"/>
    <s v="ALERTADO"/>
    <s v="C360_Team_Mtto"/>
    <s v="Medium"/>
    <s v="CERRADO"/>
    <s v=""/>
    <s v="Automation for Jira"/>
    <x v="2"/>
    <d v="2025-10-06T09:32:01"/>
    <d v="2025-10-15T12:20:10"/>
    <s v="Externo"/>
    <n v="41"/>
    <d v="2025-10-06T00:00:00"/>
    <n v="42"/>
    <d v="2025-10-13T00:00:00"/>
    <n v="9.1167660416685976"/>
    <n v="2025"/>
    <n v="2025"/>
    <x v="18"/>
    <x v="10"/>
  </r>
  <r>
    <s v="ESPC360-21295"/>
    <s v="[PRO][Cuentas] INC059146688 - Alertado errores 400"/>
    <s v="Cuentas"/>
    <d v="2025-10-06T10:11:43"/>
    <d v="2025-10-21T15:47:23"/>
    <s v="OPERACIONAL"/>
    <s v="SOPORTE"/>
    <s v="NO-CUSTOMER360"/>
    <s v="C360_Team_Mtto"/>
    <s v="Medium"/>
    <s v="CANCELADO"/>
    <s v=""/>
    <s v="BORJA CORTIJO LAJARA"/>
    <x v="2"/>
    <d v="2025-10-06T10:11:43"/>
    <d v="2025-10-21T15:47:23"/>
    <s v="Externo"/>
    <n v="41"/>
    <d v="2025-10-06T00:00:00"/>
    <n v="43"/>
    <d v="2025-10-20T00:00:00"/>
    <n v="15.233097627315146"/>
    <n v="2025"/>
    <n v="2025"/>
    <x v="18"/>
    <x v="10"/>
  </r>
  <r>
    <s v="ESPC360-21305"/>
    <s v="[PRO] [Mov. Cuentas] INC059226600 - Alertado errores 400"/>
    <s v="Movimientos Cuentas"/>
    <d v="2025-10-07T08:40:52"/>
    <d v="2025-10-16T16:57:40"/>
    <s v="OPERACIONAL"/>
    <s v="SOPORTE"/>
    <s v="NO-CUSTOMER360"/>
    <s v="C360_Team_Mtto"/>
    <s v="Medium"/>
    <s v="CERRADO"/>
    <s v=""/>
    <s v="BORJA CORTIJO LAJARA"/>
    <x v="2"/>
    <d v="2025-10-07T08:40:52"/>
    <d v="2025-10-16T16:57:40"/>
    <s v="Externo"/>
    <n v="41"/>
    <d v="2025-10-06T00:00:00"/>
    <n v="42"/>
    <d v="2025-10-13T00:00:00"/>
    <n v="9.3450019328738563"/>
    <n v="2025"/>
    <n v="2025"/>
    <x v="18"/>
    <x v="10"/>
  </r>
  <r>
    <s v="ESPC360-21306"/>
    <s v="[PRO] [Recibos] INC059239561 - Alertado errores 400"/>
    <s v="Recibos"/>
    <d v="2025-10-07T09:34:23"/>
    <d v="2025-10-16T16:59:28"/>
    <s v="OPERACIONAL"/>
    <s v="SOPORTE"/>
    <s v="NO-CUSTOMER360"/>
    <s v="C360_Team_Mtto"/>
    <s v="Medium"/>
    <s v="CERRADO"/>
    <s v=""/>
    <s v="BORJA CORTIJO LAJARA"/>
    <x v="2"/>
    <d v="2025-10-07T09:34:23"/>
    <d v="2025-10-16T16:59:28"/>
    <s v="Externo"/>
    <n v="41"/>
    <d v="2025-10-06T00:00:00"/>
    <n v="42"/>
    <d v="2025-10-13T00:00:00"/>
    <n v="9.3090866666607326"/>
    <n v="2025"/>
    <n v="2025"/>
    <x v="18"/>
    <x v="10"/>
  </r>
  <r>
    <s v="ESPC360-21308"/>
    <s v="[PRO] [Comex] INC059234916 - Alertado errores 400"/>
    <s v="Comex"/>
    <d v="2025-10-07T09:39:04"/>
    <d v="2025-10-16T17:00:45"/>
    <s v="OPERACIONAL"/>
    <s v="SOPORTE"/>
    <s v="NO-CUSTOMER360"/>
    <s v="C360_Team_Mtto"/>
    <s v="Medium"/>
    <s v="CERRADO"/>
    <s v=""/>
    <s v="BORJA CORTIJO LAJARA"/>
    <x v="2"/>
    <d v="2025-10-07T09:39:04"/>
    <d v="2025-10-16T17:00:45"/>
    <s v="Externo"/>
    <n v="41"/>
    <d v="2025-10-06T00:00:00"/>
    <n v="42"/>
    <d v="2025-10-13T00:00:00"/>
    <n v="9.3067198495409684"/>
    <n v="2025"/>
    <n v="2025"/>
    <x v="18"/>
    <x v="10"/>
  </r>
  <r>
    <s v="ESPC360-21311"/>
    <s v="[PRO][Tarjetas] INC059248583 - KIBOTPEX0040496713 Error información ADN 360"/>
    <s v="Tarjetas"/>
    <d v="2025-10-07T09:56:12"/>
    <d v="2025-10-09T15:22:28"/>
    <s v="OPERACIONAL"/>
    <s v="SOPORTE"/>
    <s v="NO-CUSTOMER360"/>
    <s v="C360_Team_Mtto"/>
    <s v="Medium"/>
    <s v="CERRADO"/>
    <s v=""/>
    <s v="BORJA CORTIJO LAJARA"/>
    <x v="2"/>
    <d v="2025-10-07T09:56:12"/>
    <d v="2025-10-09T15:22:28"/>
    <s v="Externo"/>
    <n v="41"/>
    <d v="2025-10-06T00:00:00"/>
    <n v="41"/>
    <d v="2025-10-06T00:00:00"/>
    <n v="2.2265803819464054"/>
    <n v="2025"/>
    <n v="2025"/>
    <x v="18"/>
    <x v="10"/>
  </r>
  <r>
    <s v="ESPC360-21312"/>
    <s v="[PRO] [Tarjetas] INC059214438 - No se muestra iban"/>
    <s v="Tarjetas"/>
    <d v="2025-10-07T10:03:39"/>
    <d v="9999-12-31T10:41:41"/>
    <s v="OPERACIONAL"/>
    <s v="SOPORTE"/>
    <s v=""/>
    <s v="C360_Team_Mtto"/>
    <s v="Medium"/>
    <s v="Blocked"/>
    <s v=""/>
    <s v="Automation for Jira"/>
    <x v="2"/>
    <d v="2025-10-07T10:03:39"/>
    <d v="9999-12-31T10:41:41"/>
    <s v="Externo"/>
    <n v="41"/>
    <d v="2025-10-06T00:00:00"/>
    <n v="53"/>
    <n v="2958468"/>
    <n v="2912528.0264079981"/>
    <n v="2025"/>
    <n v="9999"/>
    <x v="18"/>
    <x v="8"/>
  </r>
  <r>
    <s v="ESPC360-21319"/>
    <s v="[PRO][Comex] INC056509952 - PEX_0038946340 kibot aparecen creditos documentarios que estan pagados"/>
    <s v="Comex"/>
    <d v="2025-10-07T17:05:34"/>
    <d v="2025-10-16T17:02:20"/>
    <s v="OPERACIONAL"/>
    <s v="SOPORTE"/>
    <s v="NO-CUSTOMER360"/>
    <s v="C360_Team_Mtto"/>
    <s v="Medium"/>
    <s v="CERRADO"/>
    <s v=""/>
    <s v="BORJA CORTIJO LAJARA"/>
    <x v="2"/>
    <d v="2025-10-07T17:05:34"/>
    <d v="2025-10-16T17:02:20"/>
    <s v="Externo"/>
    <n v="41"/>
    <d v="2025-10-06T00:00:00"/>
    <n v="42"/>
    <d v="2025-10-13T00:00:00"/>
    <n v="8.9977544328721706"/>
    <n v="2025"/>
    <n v="2025"/>
    <x v="18"/>
    <x v="10"/>
  </r>
  <r>
    <s v="ESPC360-21321"/>
    <s v="[PRO][Fondos] INC059251300 - PEX_0040523288 [NWE] No puede ver detalle ni rentabilidad correcta"/>
    <s v="Fondos"/>
    <d v="2025-10-07T17:20:14"/>
    <d v="2025-10-08T09:24:40"/>
    <s v="OPERACIONAL"/>
    <s v="SOPORTE"/>
    <s v=""/>
    <s v="C360_Team_Mtto"/>
    <s v="Medium"/>
    <s v="CERRADO"/>
    <s v=""/>
    <s v="BORJA CORTIJO LAJARA"/>
    <x v="2"/>
    <d v="2025-10-07T17:20:14"/>
    <d v="2025-10-08T09:24:40"/>
    <s v="Externo"/>
    <n v="41"/>
    <d v="2025-10-06T00:00:00"/>
    <n v="41"/>
    <d v="2025-10-06T00:00:00"/>
    <n v="0.66975248842936708"/>
    <n v="2025"/>
    <n v="2025"/>
    <x v="18"/>
    <x v="10"/>
  </r>
  <r>
    <s v="ESPC360-21326"/>
    <s v="[PRO][Cuentas] INC059085408 - PEX_0040332255 [NHB] Representante Legal no puede comprar un fondo de terceros para su hijo. "/>
    <s v="Cuentas"/>
    <d v="2025-10-08T09:41:14"/>
    <d v="2025-10-20T12:31:04"/>
    <s v="OPERACIONAL"/>
    <s v="SOPORTE"/>
    <s v="NO-CUSTOMER360"/>
    <s v="C360_Team_Mtto"/>
    <s v="Medium"/>
    <s v="CERRADO"/>
    <s v=""/>
    <s v="BORJA CORTIJO LAJARA"/>
    <x v="2"/>
    <d v="2025-10-08T09:41:14"/>
    <d v="2025-10-20T12:31:04"/>
    <s v="Externo"/>
    <n v="41"/>
    <d v="2025-10-06T00:00:00"/>
    <n v="43"/>
    <d v="2025-10-20T00:00:00"/>
    <n v="12.117935046291677"/>
    <n v="2025"/>
    <n v="2025"/>
    <x v="18"/>
    <x v="10"/>
  </r>
  <r>
    <s v="ESPC360-21328"/>
    <s v="[PRO][Fondos] INC059301877 - PEX_0040567946 - descuadre  adn 360 de contrato de fondos de inversión - G20057840"/>
    <s v="Fondos"/>
    <d v="2025-10-08T16:17:36"/>
    <d v="2025-10-09T12:18:58"/>
    <s v="OPERACIONAL"/>
    <s v="DESARROLLO"/>
    <s v=""/>
    <s v="C360_Team_Mtto"/>
    <s v="Medium"/>
    <s v="CERRADO"/>
    <s v=""/>
    <s v="BORJA CORTIJO LAJARA"/>
    <x v="1"/>
    <d v="2025-10-08T16:17:36"/>
    <d v="2025-10-09T12:18:58"/>
    <s v="Interno"/>
    <n v="41"/>
    <d v="2025-10-06T00:00:00"/>
    <n v="41"/>
    <d v="2025-10-06T00:00:00"/>
    <n v="0.83427968750038417"/>
    <n v="2025"/>
    <n v="2025"/>
    <x v="18"/>
    <x v="10"/>
  </r>
  <r>
    <s v="ESPC360-21372"/>
    <s v="[PRO] [Recibos] INC059319587 - Alertado errores 400"/>
    <s v="Recibos"/>
    <d v="2025-10-09T11:06:24"/>
    <d v="2025-10-20T12:32:41"/>
    <s v="OPERACIONAL"/>
    <s v="SOPORTE"/>
    <s v="NO-CUSTOMER360"/>
    <s v="C360_Team_Mtto"/>
    <s v="Medium"/>
    <s v="CERRADO"/>
    <s v=""/>
    <s v="BORJA CORTIJO LAJARA"/>
    <x v="2"/>
    <d v="2025-10-09T11:06:24"/>
    <d v="2025-10-20T12:32:41"/>
    <s v="Externo"/>
    <n v="41"/>
    <d v="2025-10-06T00:00:00"/>
    <n v="43"/>
    <d v="2025-10-20T00:00:00"/>
    <n v="11.059918993058091"/>
    <n v="2025"/>
    <n v="2025"/>
    <x v="18"/>
    <x v="10"/>
  </r>
  <r>
    <s v="ESPC360-21378"/>
    <s v="[PRO][Recibos] INC059356665 - Alertado errores 400"/>
    <s v="Recibos"/>
    <d v="2025-10-10T08:31:11"/>
    <d v="2025-10-20T12:24:26"/>
    <s v="OPERACIONAL"/>
    <s v="SOPORTE"/>
    <s v="ALERTADO"/>
    <s v="C360_Team_Mtto"/>
    <s v="Medium"/>
    <s v="CERRADO"/>
    <s v=""/>
    <s v="BORJA CORTIJO LAJARA"/>
    <x v="2"/>
    <d v="2025-10-10T08:31:11"/>
    <d v="2025-10-20T12:24:26"/>
    <s v="Externo"/>
    <n v="41"/>
    <d v="2025-10-06T00:00:00"/>
    <n v="43"/>
    <d v="2025-10-20T00:00:00"/>
    <n v="10.161978391202865"/>
    <n v="2025"/>
    <n v="2025"/>
    <x v="18"/>
    <x v="10"/>
  </r>
  <r>
    <s v="ESPC360-21379"/>
    <s v="[PRO][Cuentas] INC059372286 - Saldo diferente en ADN360"/>
    <s v="Cuentas"/>
    <d v="2025-10-10T11:35:24"/>
    <d v="2025-10-20T12:23:15"/>
    <s v="OPERACIONAL"/>
    <s v="SOPORTE"/>
    <s v="NO-CUSTOMER360"/>
    <s v="C360_Team_Mtto"/>
    <s v="Medium"/>
    <s v="CERRADO"/>
    <s v=""/>
    <s v="BORJA CORTIJO LAJARA"/>
    <x v="2"/>
    <d v="2025-10-10T11:35:24"/>
    <d v="2025-10-20T12:23:15"/>
    <s v="Externo"/>
    <n v="41"/>
    <d v="2025-10-06T00:00:00"/>
    <n v="43"/>
    <d v="2025-10-20T00:00:00"/>
    <n v="10.033231423614779"/>
    <n v="2025"/>
    <n v="2025"/>
    <x v="18"/>
    <x v="10"/>
  </r>
  <r>
    <s v="ESPC360-21382"/>
    <s v="[PRO] [Recibos]  INC059417216 -  Alertados  s-java-50059982-bills-1"/>
    <s v="Cuentas"/>
    <d v="2025-10-13T09:11:01"/>
    <d v="2025-10-15T12:20:40"/>
    <s v="OPERACIONAL"/>
    <s v="SOPORTE"/>
    <s v="ALERTADO"/>
    <s v="C360_Team_Mtto"/>
    <s v="Medium"/>
    <s v="CERRADO"/>
    <s v=""/>
    <s v="Automation for Jira"/>
    <x v="2"/>
    <d v="2025-10-13T09:11:01"/>
    <d v="2025-10-15T12:20:40"/>
    <s v="Externo"/>
    <n v="42"/>
    <d v="2025-10-13T00:00:00"/>
    <n v="42"/>
    <d v="2025-10-13T00:00:00"/>
    <n v="2.1316953356508748"/>
    <n v="2025"/>
    <n v="2025"/>
    <x v="18"/>
    <x v="10"/>
  </r>
  <r>
    <s v="ESPC360-21383"/>
    <s v="[PRO] [Procesos]  INC059416395- Fallo procesos por conexión con el GIT"/>
    <s v="Fondos;Póliza Multiproducto (PMP)"/>
    <d v="2025-10-13T09:33:08"/>
    <d v="2025-10-15T12:20:52"/>
    <s v="OPERACIONAL"/>
    <s v="SOPORTE"/>
    <s v="PROCESOS"/>
    <s v="C360_Team_Mtto"/>
    <s v="Medium"/>
    <s v="CERRADO"/>
    <s v=""/>
    <s v="Automation for Jira"/>
    <x v="2"/>
    <d v="2025-10-13T09:33:08"/>
    <d v="2025-10-15T12:20:52"/>
    <s v="Externo"/>
    <n v="42"/>
    <d v="2025-10-13T00:00:00"/>
    <n v="42"/>
    <d v="2025-10-13T00:00:00"/>
    <n v="2.1164771990734152"/>
    <n v="2025"/>
    <n v="2025"/>
    <x v="18"/>
    <x v="10"/>
  </r>
  <r>
    <s v="ESPC360-21405"/>
    <s v="[PRO][Mov. Cuentas] INC059474673 - PEX_0040640372 kibot valores"/>
    <s v="Cuentas"/>
    <d v="2025-10-14T12:41:12"/>
    <d v="2025-10-14T16:55:56"/>
    <s v="OPERACIONAL"/>
    <s v="SOPORTE"/>
    <s v=""/>
    <s v="C360_Team_Mtto"/>
    <s v="Medium"/>
    <s v="CERRADO"/>
    <s v=""/>
    <s v="BORJA CORTIJO LAJARA"/>
    <x v="2"/>
    <d v="2025-10-14T12:41:12"/>
    <d v="2025-10-14T16:55:56"/>
    <s v="Externo"/>
    <n v="42"/>
    <d v="2025-10-13T00:00:00"/>
    <n v="42"/>
    <d v="2025-10-13T00:00:00"/>
    <n v="0.17690053240221459"/>
    <n v="2025"/>
    <n v="2025"/>
    <x v="18"/>
    <x v="10"/>
  </r>
  <r>
    <s v="ESPC360-21410"/>
    <s v="[PRO] [Descuentos] El batch update-fico-balance borra el saldo impagado"/>
    <s v=""/>
    <d v="2025-10-14T17:04:14"/>
    <d v="9999-12-31T10:41:41"/>
    <s v="OPERACIONAL"/>
    <s v="FUNCIONAL"/>
    <s v=""/>
    <s v="C360_Team_Mtto"/>
    <s v="Medium"/>
    <s v="Upstream Generic State 01"/>
    <s v=""/>
    <s v="Automation for Jira"/>
    <x v="4"/>
    <d v="2025-10-14T17:04:14"/>
    <d v="9999-12-31T10:41:41"/>
    <s v="Interno"/>
    <n v="42"/>
    <d v="2025-10-13T00:00:00"/>
    <n v="53"/>
    <n v="2958468"/>
    <n v="2912520.7343361229"/>
    <n v="2025"/>
    <n v="9999"/>
    <x v="18"/>
    <x v="8"/>
  </r>
  <r>
    <s v="ESPC360-21412"/>
    <s v="[PRO] [Carteras] Correcciones por el uso de APIs externos"/>
    <s v=""/>
    <d v="2025-10-15T08:30:47"/>
    <d v="2025-10-15T08:33:13"/>
    <s v="OPERACIONAL"/>
    <s v="TÉCNICO"/>
    <s v=""/>
    <s v="C360_Operacional_Team_1"/>
    <s v="Medium"/>
    <s v="CANCELADO"/>
    <s v=""/>
    <s v="Automation for Jira"/>
    <x v="0"/>
    <d v="2025-10-15T08:30:47"/>
    <d v="2025-10-15T08:33:13"/>
    <s v="Interno"/>
    <n v="42"/>
    <d v="2025-10-13T00:00:00"/>
    <n v="42"/>
    <d v="2025-10-13T00:00:00"/>
    <n v="1.6874884240678512E-3"/>
    <n v="2025"/>
    <n v="2025"/>
    <x v="18"/>
    <x v="10"/>
  </r>
  <r>
    <s v="ESPC360-21413"/>
    <s v="[PRO] [Carteras] Correcciones por el uso de APIs externos"/>
    <s v=""/>
    <d v="2025-10-15T08:33:30"/>
    <d v="2025-10-29T14:45:51"/>
    <s v="OPERACIONAL"/>
    <s v="TÉCNICO"/>
    <s v=""/>
    <s v="C360_Operacional_Team_1"/>
    <s v="Medium"/>
    <s v="CERRADO"/>
    <s v="C360_Operacional_Sprint 213"/>
    <s v="GONZALO GARCIA MORENO"/>
    <x v="0"/>
    <d v="2025-10-15T08:33:30"/>
    <d v="2025-10-29T14:45:51"/>
    <s v="Interno"/>
    <n v="42"/>
    <d v="2025-10-13T00:00:00"/>
    <n v="44"/>
    <d v="2025-10-27T00:00:00"/>
    <n v="14.258569085650379"/>
    <n v="2025"/>
    <n v="2025"/>
    <x v="18"/>
    <x v="10"/>
  </r>
  <r>
    <s v="ESPC360-21414"/>
    <s v="[PRO] [Cuentas] INC059344010 - Error por confidencialidad"/>
    <s v="Confidencialidad;Cuentas"/>
    <d v="2025-10-15T12:17:46"/>
    <d v="2025-10-20T10:23:50"/>
    <s v="OPERACIONAL"/>
    <s v="SOPORTE"/>
    <s v=""/>
    <s v="C360_Team_Mtto"/>
    <s v="Medium"/>
    <s v="CERRADO"/>
    <s v=""/>
    <s v="Automation for Jira"/>
    <x v="2"/>
    <d v="2025-10-15T12:17:46"/>
    <d v="2025-10-20T10:23:50"/>
    <s v="Externo"/>
    <n v="42"/>
    <d v="2025-10-13T00:00:00"/>
    <n v="43"/>
    <d v="2025-10-20T00:00:00"/>
    <n v="4.9208825347159291"/>
    <n v="2025"/>
    <n v="2025"/>
    <x v="18"/>
    <x v="10"/>
  </r>
  <r>
    <s v="ESPC360-21415"/>
    <s v="[PRO][Cuentas] INC059472291 - PEX_0040645467 [NHB] No permite seleccionar cuenta menor contratación fondo por la web (Representante+Menor)"/>
    <s v="Cuentas"/>
    <d v="2025-10-15T12:27:47"/>
    <d v="2025-10-29T09:43:52"/>
    <s v="OPERACIONAL"/>
    <s v="SOPORTE"/>
    <s v="NO-CUSTOMER360"/>
    <s v="C360_Team_Mtto"/>
    <s v="Medium"/>
    <s v="CERRADO"/>
    <s v=""/>
    <s v="BORJA CORTIJO LAJARA"/>
    <x v="2"/>
    <d v="2025-10-15T12:27:47"/>
    <d v="2025-10-29T09:43:52"/>
    <s v="Externo"/>
    <n v="42"/>
    <d v="2025-10-13T00:00:00"/>
    <n v="44"/>
    <d v="2025-10-27T00:00:00"/>
    <n v="13.886167685188411"/>
    <n v="2025"/>
    <n v="2025"/>
    <x v="18"/>
    <x v="10"/>
  </r>
  <r>
    <s v="ESPC360-21416"/>
    <s v="[PRO] [CERTO] Añadir URL de OCU en certo"/>
    <s v="Santanger GO"/>
    <d v="2025-10-15T12:45:19"/>
    <d v="2025-10-29T14:45:30"/>
    <s v="OPERACIONAL"/>
    <s v="DESARROLLO"/>
    <s v=""/>
    <s v="C360_Team_Mtto"/>
    <s v="Medium"/>
    <s v="CERRADO"/>
    <s v=""/>
    <s v="BORJA CORTIJO LAJARA"/>
    <x v="1"/>
    <d v="2025-10-15T12:45:19"/>
    <d v="2025-10-29T14:45:30"/>
    <s v="Interno"/>
    <n v="42"/>
    <d v="2025-10-13T00:00:00"/>
    <n v="44"/>
    <d v="2025-10-27T00:00:00"/>
    <n v="14.083457754633855"/>
    <n v="2025"/>
    <n v="2025"/>
    <x v="18"/>
    <x v="10"/>
  </r>
  <r>
    <s v="ESPC360-21422"/>
    <s v="[PRO][Mov. Cuentas] INC059511806 - HELPY 15249736 no visualiza cuenta en app"/>
    <s v="Movimientos Cuentas"/>
    <d v="2025-10-15T16:21:24"/>
    <d v="9999-12-31T10:41:41"/>
    <s v="OPERACIONAL"/>
    <s v="SOPORTE"/>
    <s v=""/>
    <s v="C360_Team_Mtto"/>
    <s v="Medium"/>
    <s v="Blocked"/>
    <s v=""/>
    <s v="BORJA CORTIJO LAJARA"/>
    <x v="2"/>
    <d v="2025-10-15T16:21:24"/>
    <d v="9999-12-31T10:41:41"/>
    <s v="Externo"/>
    <n v="42"/>
    <d v="2025-10-13T00:00:00"/>
    <n v="53"/>
    <n v="2958468"/>
    <n v="2912519.7640849194"/>
    <n v="2025"/>
    <n v="9999"/>
    <x v="18"/>
    <x v="8"/>
  </r>
  <r>
    <s v="ESPC360-21424"/>
    <s v="[PRO][sp2txt] INC059542249 - Error in job PADN190D, application B-SANES-P-HDP.ADN360-100058456"/>
    <s v=""/>
    <d v="2025-10-16T08:48:46"/>
    <d v="2025-10-20T09:29:46"/>
    <s v="OPERACIONAL"/>
    <s v="DESARROLLO"/>
    <s v="SP2TXT"/>
    <s v="C360_Team_Mtto"/>
    <s v="Medium"/>
    <s v="CERRADO"/>
    <s v=""/>
    <s v="BORJA CORTIJO LAJARA"/>
    <x v="1"/>
    <d v="2025-10-16T08:48:46"/>
    <d v="2025-10-20T09:29:46"/>
    <s v="Interno"/>
    <n v="42"/>
    <d v="2025-10-13T00:00:00"/>
    <n v="43"/>
    <d v="2025-10-20T00:00:00"/>
    <n v="4.0284661342593608"/>
    <n v="2025"/>
    <n v="2025"/>
    <x v="18"/>
    <x v="10"/>
  </r>
  <r>
    <s v="ESPC360-21425"/>
    <s v="[PRO][Créditos] INC059513136 - Reducción de limite en cuenta de credito que no se refleja en la información de ADN."/>
    <s v="Créditos"/>
    <d v="2025-10-16T09:01:28"/>
    <d v="2025-10-16T11:36:14"/>
    <s v="OPERACIONAL"/>
    <s v="DESARROLLO"/>
    <s v=""/>
    <s v="C360_Team_Mtto"/>
    <s v="Medium"/>
    <s v="CERRADO"/>
    <s v=""/>
    <s v="BORJA CORTIJO LAJARA"/>
    <x v="1"/>
    <d v="2025-10-16T09:01:28"/>
    <d v="2025-10-16T11:36:14"/>
    <s v="Interno"/>
    <n v="42"/>
    <d v="2025-10-13T00:00:00"/>
    <n v="42"/>
    <d v="2025-10-13T00:00:00"/>
    <n v="0.10746883101819549"/>
    <n v="2025"/>
    <n v="2025"/>
    <x v="18"/>
    <x v="10"/>
  </r>
  <r>
    <s v="ESPC360-21484"/>
    <s v="[PRO][Procesos] INC059571936 - Error in job PADN360122D, application B-SANES-P-HDP.ADN360-800012122"/>
    <s v=""/>
    <d v="2025-10-16T23:41:15"/>
    <d v="2025-10-16T23:45:58"/>
    <s v="OPERACIONAL"/>
    <s v="SOPORTE"/>
    <s v="NO-CUSTOMER360"/>
    <s v="C360_Team_Mtto"/>
    <s v="Medium"/>
    <s v="CERRADO"/>
    <s v=""/>
    <s v="BORJA CORTIJO LAJARA"/>
    <x v="2"/>
    <d v="2025-10-16T23:41:15"/>
    <d v="2025-10-16T23:45:58"/>
    <s v="Externo"/>
    <n v="42"/>
    <d v="2025-10-13T00:00:00"/>
    <n v="42"/>
    <d v="2025-10-13T00:00:00"/>
    <n v="3.2678240750101395E-3"/>
    <n v="2025"/>
    <n v="2025"/>
    <x v="18"/>
    <x v="10"/>
  </r>
  <r>
    <s v="ESPC360-21493"/>
    <s v="[PRO][Santander Go] INC059587709 - No puedo acceder a la aplicación de clientes"/>
    <s v="Santanger GO"/>
    <d v="2025-10-17T11:55:08"/>
    <d v="2025-10-29T09:53:47"/>
    <s v="OPERACIONAL"/>
    <s v="SOPORTE"/>
    <s v="NO-CUSTOMER360"/>
    <s v="C360_Team_Mtto"/>
    <s v="Medium"/>
    <s v="CERRADO"/>
    <s v=""/>
    <s v="BORJA CORTIJO LAJARA"/>
    <x v="2"/>
    <d v="2025-10-17T11:55:08"/>
    <d v="2025-10-29T09:53:47"/>
    <s v="Externo"/>
    <n v="42"/>
    <d v="2025-10-13T00:00:00"/>
    <n v="44"/>
    <d v="2025-10-27T00:00:00"/>
    <n v="11.915728530089837"/>
    <n v="2025"/>
    <n v="2025"/>
    <x v="18"/>
    <x v="10"/>
  </r>
  <r>
    <s v="ESPC360-21498"/>
    <s v="[PRO][Cuentas] INC059589766 - PEX_0040749574 elevada doble consulta a kibot"/>
    <s v=""/>
    <d v="2025-10-17T12:56:55"/>
    <d v="9999-12-31T10:41:41"/>
    <s v="OPERACIONAL"/>
    <s v=""/>
    <s v=""/>
    <s v=""/>
    <s v="Medium"/>
    <s v="BACKLOG"/>
    <s v=""/>
    <s v="BORJA CORTIJO LAJARA"/>
    <x v="6"/>
    <d v="2025-10-17T12:56:55"/>
    <d v="9999-12-31T10:41:41"/>
    <s v="Pendiente clasificar"/>
    <n v="42"/>
    <d v="2025-10-13T00:00:00"/>
    <n v="53"/>
    <n v="2958468"/>
    <n v="2912517.9060826162"/>
    <n v="2025"/>
    <n v="9999"/>
    <x v="18"/>
    <x v="8"/>
  </r>
  <r>
    <s v="ESPC360-21499"/>
    <s v="[PRO] [Cuentas] INC059589766 - No se muestra cuentas "/>
    <s v="Carteras Gestionadas;Cuentas"/>
    <d v="2025-10-17T14:21:45"/>
    <d v="2025-10-27T17:47:07"/>
    <s v="OPERACIONAL"/>
    <s v="SOPORTE"/>
    <s v=""/>
    <s v="C360_Team_Mtto"/>
    <s v="Medium"/>
    <s v="CERRADO"/>
    <s v=""/>
    <s v="Automation for Jira"/>
    <x v="2"/>
    <d v="2025-10-17T14:21:45"/>
    <d v="2025-10-27T17:47:07"/>
    <s v="Externo"/>
    <n v="42"/>
    <d v="2025-10-13T00:00:00"/>
    <n v="44"/>
    <d v="2025-10-27T00:00:00"/>
    <n v="10.142623101848585"/>
    <n v="2025"/>
    <n v="2025"/>
    <x v="18"/>
    <x v="10"/>
  </r>
  <r>
    <s v="ESPC360-21500"/>
    <s v="[PRO][Créditos] INC059591592 - PEX_0040753332_ Poliza 004948812416620283 limite incorrecto en ADN"/>
    <s v="Créditos"/>
    <d v="2025-10-17T14:32:06"/>
    <d v="2025-10-29T09:56:25"/>
    <s v="OPERACIONAL"/>
    <s v="SOPORTE"/>
    <s v="NO-CUSTOMER360"/>
    <s v="C360_Team_Mtto"/>
    <s v="Medium"/>
    <s v="CERRADO"/>
    <s v=""/>
    <s v="BORJA CORTIJO LAJARA"/>
    <x v="2"/>
    <d v="2025-10-17T14:32:06"/>
    <d v="2025-10-29T09:56:25"/>
    <s v="Externo"/>
    <n v="42"/>
    <d v="2025-10-13T00:00:00"/>
    <n v="44"/>
    <d v="2025-10-27T00:00:00"/>
    <n v="11.808554733790515"/>
    <n v="2025"/>
    <n v="2025"/>
    <x v="18"/>
    <x v="10"/>
  </r>
  <r>
    <s v="ESPC360-21501"/>
    <s v="[PRO][Cuentas] INC059592267 - PEX_0040379689 - KIBOT Ve saldo pendiente de consolidar por Web que no es correcto"/>
    <s v="Cuentas"/>
    <d v="2025-10-17T14:51:48"/>
    <d v="2025-10-17T14:54:40"/>
    <s v="OPERACIONAL"/>
    <s v="SOPORTE"/>
    <s v=""/>
    <s v="C360_Team_Mtto"/>
    <s v="Medium"/>
    <s v="CERRADO"/>
    <s v=""/>
    <s v="BORJA CORTIJO LAJARA"/>
    <x v="2"/>
    <d v="2025-10-17T14:51:48"/>
    <d v="2025-10-17T14:54:40"/>
    <s v="Externo"/>
    <n v="42"/>
    <d v="2025-10-13T00:00:00"/>
    <n v="42"/>
    <d v="2025-10-13T00:00:00"/>
    <n v="1.9927430548705161E-3"/>
    <n v="2025"/>
    <n v="2025"/>
    <x v="18"/>
    <x v="10"/>
  </r>
  <r>
    <s v="ESPC360-21503"/>
    <s v="[PRO][Alertado] INC059613062 - [LE][DYN] CPU saturation"/>
    <s v="Recibos"/>
    <d v="2025-10-20T09:18:43"/>
    <d v="2025-10-20T09:22:45"/>
    <s v="OPERACIONAL"/>
    <s v="TÉCNICO"/>
    <s v=""/>
    <s v="C360_Team_Mtto"/>
    <s v="Medium"/>
    <s v="CERRADO"/>
    <s v=""/>
    <s v="BORJA CORTIJO LAJARA"/>
    <x v="0"/>
    <d v="2025-10-20T09:18:43"/>
    <d v="2025-10-20T09:22:45"/>
    <s v="Interno"/>
    <n v="43"/>
    <d v="2025-10-20T00:00:00"/>
    <n v="43"/>
    <d v="2025-10-20T00:00:00"/>
    <n v="2.8026273212162778E-3"/>
    <n v="2025"/>
    <n v="2025"/>
    <x v="18"/>
    <x v="10"/>
  </r>
  <r>
    <s v="ESPC360-21504"/>
    <s v="[PRO][Santander Go] INC059662105 - Cliente sin permisos en Santander Go"/>
    <s v="Santanger GO"/>
    <d v="2025-10-20T09:23:16"/>
    <d v="9999-12-31T10:41:41"/>
    <s v="OPERACIONAL"/>
    <s v="SOPORTE"/>
    <s v="NO-CUSTOMER360"/>
    <s v="C360_Team_Mtto"/>
    <s v="Medium"/>
    <s v="Blocked"/>
    <s v=""/>
    <s v="BORJA CORTIJO LAJARA"/>
    <x v="2"/>
    <d v="2025-10-20T09:23:16"/>
    <d v="9999-12-31T10:41:41"/>
    <s v="Externo"/>
    <n v="43"/>
    <d v="2025-10-20T00:00:00"/>
    <n v="53"/>
    <n v="2958468"/>
    <n v="2912515.0544535764"/>
    <n v="2025"/>
    <n v="9999"/>
    <x v="18"/>
    <x v="8"/>
  </r>
  <r>
    <s v="ESPC360-21506"/>
    <s v="[PRO][PMP] INC059552011 - PEX_0040701237_0049 6755 2025 04702 PMP en estado aprobada , al iniciar la subyacente ya directamente sale la pantalla adjunta."/>
    <s v="Póliza Multiproducto (PMP)"/>
    <d v="2025-10-20T12:11:53"/>
    <d v="2025-10-21T15:52:17"/>
    <s v="OPERACIONAL"/>
    <s v="SOPORTE"/>
    <s v="NO-CUSTOMER360"/>
    <s v="C360_Team_Mtto"/>
    <s v="Medium"/>
    <s v="CERRADO"/>
    <s v=""/>
    <s v="BORJA CORTIJO LAJARA"/>
    <x v="2"/>
    <d v="2025-10-20T12:11:53"/>
    <d v="2025-10-21T15:52:17"/>
    <s v="Externo"/>
    <n v="43"/>
    <d v="2025-10-20T00:00:00"/>
    <n v="43"/>
    <d v="2025-10-20T00:00:00"/>
    <n v="1.1530499305517878"/>
    <n v="2025"/>
    <n v="2025"/>
    <x v="18"/>
    <x v="10"/>
  </r>
  <r>
    <s v="ESPC360-21508"/>
    <s v="[PRO][Tarjetas] INC059668392 - Indican problemas en el API de refinanciación de tarjetas"/>
    <s v="Tarjetas"/>
    <d v="2025-10-20T12:51:47"/>
    <d v="9999-12-31T10:41:41"/>
    <s v="OPERACIONAL"/>
    <s v="Selecciona (SOPORTE/DEFINICIÓN/FUNCIONAL/TÉCNICO/DESARROLLO)"/>
    <s v=""/>
    <s v="C360_Team_Mtto"/>
    <s v="Medium"/>
    <s v="ON HOLD"/>
    <s v=""/>
    <s v="BORJA CORTIJO LAJARA"/>
    <x v="7"/>
    <d v="2025-10-20T12:51:47"/>
    <d v="9999-12-31T10:41:41"/>
    <s v="Pendiente clasificar"/>
    <n v="43"/>
    <d v="2025-10-20T00:00:00"/>
    <n v="53"/>
    <n v="2958468"/>
    <n v="2912514.9096577549"/>
    <n v="2025"/>
    <n v="9999"/>
    <x v="18"/>
    <x v="8"/>
  </r>
  <r>
    <s v="ESPC360-21512"/>
    <s v="[PRO][Mov. Cuentas] INC059668433 - Por favor indiquen porque la información en adn es erronea en el numero de titulos comprados, Se adjunta"/>
    <s v="Movimientos Cuentas"/>
    <d v="2025-10-20T13:24:45"/>
    <d v="2025-10-20T16:00:18"/>
    <s v="OPERACIONAL"/>
    <s v="DESARROLLO"/>
    <s v=""/>
    <s v="C360_Team_Mtto"/>
    <s v="Medium"/>
    <s v="CERRADO"/>
    <s v=""/>
    <s v="BORJA CORTIJO LAJARA"/>
    <x v="1"/>
    <d v="2025-10-20T13:24:45"/>
    <d v="2025-10-20T16:00:18"/>
    <s v="Interno"/>
    <n v="43"/>
    <d v="2025-10-20T00:00:00"/>
    <n v="43"/>
    <d v="2025-10-20T00:00:00"/>
    <n v="0.10801502315007383"/>
    <n v="2025"/>
    <n v="2025"/>
    <x v="18"/>
    <x v="10"/>
  </r>
  <r>
    <s v="ESPC360-21525"/>
    <s v="[PRO][Procesos] INC059596608 - Error in job PADN360132D, application B-SANES-P-HDP.ADN360-800012122"/>
    <s v=""/>
    <d v="2025-10-20T15:35:34"/>
    <d v="2025-10-21T15:45:14"/>
    <s v="OPERACIONAL"/>
    <s v="SOPORTE"/>
    <s v="PROCESOS"/>
    <s v="C360_Team_Mtto"/>
    <s v="Medium"/>
    <s v="CERRADO"/>
    <s v=""/>
    <s v="BORJA CORTIJO LAJARA"/>
    <x v="2"/>
    <d v="2025-10-20T15:35:34"/>
    <d v="2025-10-21T15:45:14"/>
    <s v="Externo"/>
    <n v="43"/>
    <d v="2025-10-20T00:00:00"/>
    <n v="43"/>
    <d v="2025-10-20T00:00:00"/>
    <n v="1.0067052546291961"/>
    <n v="2025"/>
    <n v="2025"/>
    <x v="18"/>
    <x v="10"/>
  </r>
  <r>
    <s v="ESPC360-21530"/>
    <s v="[PRO][ADN-Cliente] INC059667640 - VODAFONE, EN LA WEB/APP le sale su oficina de referencia que no es la correcta"/>
    <s v=""/>
    <d v="2025-10-20T16:44:51"/>
    <d v="2025-10-21T15:55:22"/>
    <s v="OPERACIONAL"/>
    <s v="SOPORTE"/>
    <s v="NO-CUSTOMER360"/>
    <s v="C360_Team_Mtto"/>
    <s v="Medium"/>
    <s v="CERRADO"/>
    <s v=""/>
    <s v="BORJA CORTIJO LAJARA"/>
    <x v="2"/>
    <d v="2025-10-20T16:44:51"/>
    <d v="2025-10-21T15:55:22"/>
    <s v="Externo"/>
    <n v="43"/>
    <d v="2025-10-20T00:00:00"/>
    <n v="43"/>
    <d v="2025-10-20T00:00:00"/>
    <n v="0.96563739583507413"/>
    <n v="2025"/>
    <n v="2025"/>
    <x v="18"/>
    <x v="10"/>
  </r>
  <r>
    <s v="ESPC360-21531"/>
    <s v="[PRO] [Cuentas] INC059590476 - Diferencia entre saldo y saldo de movimientos"/>
    <s v="Cuentas"/>
    <d v="2025-10-21T10:30:03"/>
    <d v="2025-10-21T13:11:33"/>
    <s v="OPERACIONAL"/>
    <s v="SOPORTE"/>
    <s v=""/>
    <s v="C360_Team_Mtto"/>
    <s v="Medium"/>
    <s v="CERRADO"/>
    <s v=""/>
    <s v="Automation for Jira"/>
    <x v="2"/>
    <d v="2025-10-21T10:30:03"/>
    <d v="2025-10-21T13:11:33"/>
    <s v="Externo"/>
    <n v="43"/>
    <d v="2025-10-20T00:00:00"/>
    <n v="43"/>
    <d v="2025-10-20T00:00:00"/>
    <n v="0.11216214120213408"/>
    <n v="2025"/>
    <n v="2025"/>
    <x v="18"/>
    <x v="10"/>
  </r>
  <r>
    <s v="ESPC360-21532"/>
    <s v="[PRO][ADN-Cliente] INC059703460 - F-32380971  No le permite contratar porque aparece como incapacitado en ADN Cliente"/>
    <s v=""/>
    <d v="2025-10-21T10:31:02"/>
    <d v="2025-10-29T09:58:19"/>
    <s v="OPERACIONAL"/>
    <s v="SOPORTE"/>
    <s v="NO-CUSTOMER360"/>
    <s v="C360_Team_Mtto"/>
    <s v="Medium"/>
    <s v="CERRADO"/>
    <s v=""/>
    <s v="BORJA CORTIJO LAJARA"/>
    <x v="2"/>
    <d v="2025-10-21T10:31:02"/>
    <d v="2025-10-29T09:58:19"/>
    <s v="Externo"/>
    <n v="43"/>
    <d v="2025-10-20T00:00:00"/>
    <n v="44"/>
    <d v="2025-10-27T00:00:00"/>
    <n v="7.9772795254684752"/>
    <n v="2025"/>
    <n v="2025"/>
    <x v="18"/>
    <x v="10"/>
  </r>
  <r>
    <s v="ESPC360-21535"/>
    <s v="[PRO] [Deudor] Se pierden eventos para préstamos y descuentos"/>
    <s v=""/>
    <d v="2025-10-21T12:11:59"/>
    <d v="9999-12-31T10:41:41"/>
    <s v="OPERACIONAL"/>
    <s v="TÉCNICO"/>
    <s v=""/>
    <s v="C360_Team_Mtto"/>
    <s v="Medium"/>
    <s v="Upstream Generic State 06"/>
    <s v=""/>
    <s v="Automation for Jira"/>
    <x v="0"/>
    <d v="2025-10-21T12:11:59"/>
    <d v="9999-12-31T10:41:41"/>
    <s v="Interno"/>
    <n v="43"/>
    <d v="2025-10-20T00:00:00"/>
    <n v="53"/>
    <n v="2958468"/>
    <n v="2912513.9372885767"/>
    <n v="2025"/>
    <n v="9999"/>
    <x v="18"/>
    <x v="8"/>
  </r>
  <r>
    <s v="ESPC360-21537"/>
    <s v="[PRO][Mov. Cuentas] INC059709233 - Los movimientos visibles a través de ADN ES89 0049 6689 0526 1622 5934"/>
    <s v="Movimientos Cuentas"/>
    <d v="2025-10-21T14:03:55"/>
    <d v="2025-10-22T09:24:30"/>
    <s v="OPERACIONAL"/>
    <s v="DESARROLLO"/>
    <s v=""/>
    <s v="C360_Team_Mtto"/>
    <s v="Medium"/>
    <s v="CERRADO"/>
    <s v=""/>
    <s v="BORJA CORTIJO LAJARA"/>
    <x v="1"/>
    <d v="2025-10-21T14:03:55"/>
    <d v="2025-10-22T09:24:30"/>
    <s v="Interno"/>
    <n v="43"/>
    <d v="2025-10-20T00:00:00"/>
    <n v="43"/>
    <d v="2025-10-20T00:00:00"/>
    <n v="0.8059592129648081"/>
    <n v="2025"/>
    <n v="2025"/>
    <x v="18"/>
    <x v="10"/>
  </r>
  <r>
    <s v="ESPC360-21539"/>
    <s v="[PRO][ADN-Cliente] INC059710869 - oficina modifico el CNAE del cliente y no esta actualizado en ADN"/>
    <s v=""/>
    <d v="2025-10-21T14:06:38"/>
    <d v="2025-10-29T09:59:25"/>
    <s v="OPERACIONAL"/>
    <s v="SOPORTE"/>
    <s v="NO-CUSTOMER360"/>
    <s v="C360_Team_Mtto"/>
    <s v="Medium"/>
    <s v="CERRADO"/>
    <s v=""/>
    <s v="BORJA CORTIJO LAJARA"/>
    <x v="2"/>
    <d v="2025-10-21T14:06:38"/>
    <d v="2025-10-29T09:59:25"/>
    <s v="Externo"/>
    <n v="43"/>
    <d v="2025-10-20T00:00:00"/>
    <n v="44"/>
    <d v="2025-10-27T00:00:00"/>
    <n v="7.8283202314778464"/>
    <n v="2025"/>
    <n v="2025"/>
    <x v="18"/>
    <x v="10"/>
  </r>
  <r>
    <s v="ESPC360-21543"/>
    <s v="[PRO][Alertado-SRE] INC059730428 - [LE][DYN] Failure rate increase | PaaS | sanes-bipghl-pro-s-java-*-posglob-b, s-java-50066452-posglob-b"/>
    <s v=""/>
    <d v="2025-10-22T08:36:00"/>
    <d v="2025-10-29T10:00:53"/>
    <s v="OPERACIONAL"/>
    <s v="SOPORTE"/>
    <s v="NO-CUSTOMER360"/>
    <s v="C360_Team_Mtto"/>
    <s v="Medium"/>
    <s v="CERRADO"/>
    <s v=""/>
    <s v="BORJA CORTIJO LAJARA"/>
    <x v="2"/>
    <d v="2025-10-22T08:36:00"/>
    <d v="2025-10-29T10:00:53"/>
    <s v="Externo"/>
    <n v="43"/>
    <d v="2025-10-20T00:00:00"/>
    <n v="44"/>
    <d v="2025-10-27T00:00:00"/>
    <n v="7.0589446759258863"/>
    <n v="2025"/>
    <n v="2025"/>
    <x v="18"/>
    <x v="10"/>
  </r>
  <r>
    <s v="ESPC360-21548"/>
    <s v="[PRO][Seguros] INC059670810 - PEX_0040781584 - KIBOT - 73902098Q RAV CANCELADOS QUE LE SIGUEN APARECIENDO EN BANCA ONLINE"/>
    <s v="Seguros"/>
    <d v="2025-10-22T13:00:34"/>
    <d v="2025-10-29T10:02:42"/>
    <s v="OPERACIONAL"/>
    <s v="SOPORTE"/>
    <s v="NO-CUSTOMER360"/>
    <s v="C360_Team_Mtto"/>
    <s v="Medium"/>
    <s v="CERRADO"/>
    <s v=""/>
    <s v="BORJA CORTIJO LAJARA"/>
    <x v="2"/>
    <d v="2025-10-22T13:00:34"/>
    <d v="2025-10-29T10:02:42"/>
    <s v="Externo"/>
    <n v="43"/>
    <d v="2025-10-20T00:00:00"/>
    <n v="44"/>
    <d v="2025-10-27T00:00:00"/>
    <n v="6.8764818287090748"/>
    <n v="2025"/>
    <n v="2025"/>
    <x v="18"/>
    <x v="10"/>
  </r>
  <r>
    <s v="ESPC360-21551"/>
    <s v="[PRO][Mov. Cuentas] INC059745819 - Descripción movimientos erróneos"/>
    <s v="Movimientos Cuentas"/>
    <d v="2025-10-22T13:26:16"/>
    <d v="2025-10-23T08:56:34"/>
    <s v="OPERACIONAL"/>
    <s v="DESARROLLO"/>
    <s v=""/>
    <s v="C360_Team_Mtto"/>
    <s v="Medium"/>
    <s v="CERRADO"/>
    <s v=""/>
    <s v="BORJA CORTIJO LAJARA"/>
    <x v="1"/>
    <d v="2025-10-22T13:26:16"/>
    <d v="2025-10-23T08:56:34"/>
    <s v="Interno"/>
    <n v="43"/>
    <d v="2025-10-20T00:00:00"/>
    <n v="43"/>
    <d v="2025-10-20T00:00:00"/>
    <n v="0.81270600694551831"/>
    <n v="2025"/>
    <n v="2025"/>
    <x v="18"/>
    <x v="10"/>
  </r>
  <r>
    <s v="ESPC360-21553"/>
    <s v="[PRO][Tarjetas] INC059751075 - PEX40823318 KIBOT - Tarjeta débito PJ 4176570170878492 que está activada y sin embargo en ADN360 aparece PENDIENTE DE ACTIVAR"/>
    <s v="Tarjetas de Débito"/>
    <d v="2025-10-22T15:39:29"/>
    <d v="2025-10-23T15:26:30"/>
    <s v="OPERACIONAL"/>
    <s v="SOPORTE"/>
    <s v=""/>
    <s v="C360_Team_Mtto"/>
    <s v="Medium"/>
    <s v="CERRADO"/>
    <s v=""/>
    <s v="BORJA CORTIJO LAJARA"/>
    <x v="2"/>
    <d v="2025-10-22T15:39:29"/>
    <d v="2025-10-23T15:26:30"/>
    <s v="Externo"/>
    <n v="43"/>
    <d v="2025-10-20T00:00:00"/>
    <n v="43"/>
    <d v="2025-10-20T00:00:00"/>
    <n v="0.99097570602316409"/>
    <n v="2025"/>
    <n v="2025"/>
    <x v="18"/>
    <x v="10"/>
  </r>
  <r>
    <s v="ESPC360-21554"/>
    <s v="[PRO][Fondos] INC059747893 - PEX_0040834551 - KIBOT No se actualiza la valoración de sus fondos de inversión"/>
    <s v="Fondos"/>
    <d v="2025-10-22T15:43:06"/>
    <d v="9999-12-31T10:41:41"/>
    <s v="OPERACIONAL"/>
    <s v="SOPORTE"/>
    <s v=""/>
    <s v="C360_Team_Mtto"/>
    <s v="Medium"/>
    <s v="Upstream Generic State 00"/>
    <s v=""/>
    <s v="BORJA CORTIJO LAJARA"/>
    <x v="2"/>
    <d v="2025-10-22T15:43:06"/>
    <d v="9999-12-31T10:41:41"/>
    <s v="Externo"/>
    <n v="43"/>
    <d v="2025-10-20T00:00:00"/>
    <n v="53"/>
    <n v="2958468"/>
    <n v="2912512.7906854283"/>
    <n v="2025"/>
    <n v="9999"/>
    <x v="18"/>
    <x v="8"/>
  </r>
  <r>
    <s v="ESPC360-21637"/>
    <s v="[PRO][PMP] INC059774655 - PEX_0040844836 - pmp 0049 2833 2025 04054 migrada - no aparecen datos"/>
    <s v="Póliza Multiproducto (PMP)"/>
    <d v="2025-10-23T10:59:10"/>
    <d v="9999-12-31T10:41:41"/>
    <s v="OPERACIONAL"/>
    <s v="SOPORTE"/>
    <s v=""/>
    <s v="C360_Team_Mtto"/>
    <s v="Medium"/>
    <s v="Blocked"/>
    <s v=""/>
    <s v="BORJA CORTIJO LAJARA"/>
    <x v="2"/>
    <d v="2025-10-23T10:59:10"/>
    <d v="9999-12-31T10:41:41"/>
    <s v="Externo"/>
    <n v="43"/>
    <d v="2025-10-20T00:00:00"/>
    <n v="53"/>
    <n v="2958468"/>
    <n v="2912511.9878554055"/>
    <n v="2025"/>
    <n v="9999"/>
    <x v="18"/>
    <x v="8"/>
  </r>
  <r>
    <s v="ESPC360-21641"/>
    <s v="[PRO][Seguros] INC059776016 - El seguro no tiene provisión en ADN360"/>
    <s v="Seguros"/>
    <d v="2025-10-23T13:27:35"/>
    <d v="2025-10-23T16:53:01"/>
    <s v="OPERACIONAL"/>
    <s v="SOPORTE"/>
    <s v=""/>
    <s v="C360_Team_Mtto"/>
    <s v="Medium"/>
    <s v="CERRADO"/>
    <s v=""/>
    <s v="BORJA CORTIJO LAJARA"/>
    <x v="2"/>
    <d v="2025-10-23T13:27:35"/>
    <d v="2025-10-23T16:53:01"/>
    <s v="Externo"/>
    <n v="43"/>
    <d v="2025-10-20T00:00:00"/>
    <n v="43"/>
    <d v="2025-10-20T00:00:00"/>
    <n v="0.14266842592769535"/>
    <n v="2025"/>
    <n v="2025"/>
    <x v="18"/>
    <x v="10"/>
  </r>
  <r>
    <s v="ESPC360-21643"/>
    <s v="[PRO][Seguros] INC059778299 - No se muestra el seguro por ADN360"/>
    <s v="Seguros"/>
    <d v="2025-10-23T15:52:17"/>
    <d v="2025-10-23T16:53:30"/>
    <s v="OPERACIONAL"/>
    <s v="SOPORTE"/>
    <s v=""/>
    <s v="C360_Team_Mtto"/>
    <s v="Medium"/>
    <s v="CERRADO"/>
    <s v=""/>
    <s v="BORJA CORTIJO LAJARA"/>
    <x v="2"/>
    <d v="2025-10-23T15:52:17"/>
    <d v="2025-10-23T16:53:30"/>
    <s v="Externo"/>
    <n v="43"/>
    <d v="2025-10-20T00:00:00"/>
    <n v="43"/>
    <d v="2025-10-20T00:00:00"/>
    <n v="4.2513807871728204E-2"/>
    <n v="2025"/>
    <n v="2025"/>
    <x v="18"/>
    <x v="10"/>
  </r>
  <r>
    <s v="ESPC360-21652"/>
    <s v="[PRO][Depósitos] INC059791621 - PEX_0040877035_ 004969923020000143_ error saldo "/>
    <s v="Depósitos"/>
    <d v="2025-10-24T09:40:57"/>
    <d v="9999-12-31T10:41:41"/>
    <s v="OPERACIONAL"/>
    <s v="SOPORTE"/>
    <s v=""/>
    <s v="C360_Team_Mtto"/>
    <s v="Medium"/>
    <s v="ON HOLD"/>
    <s v=""/>
    <s v="BORJA CORTIJO LAJARA"/>
    <x v="2"/>
    <d v="2025-10-24T09:40:57"/>
    <d v="9999-12-31T10:41:41"/>
    <s v="Externo"/>
    <n v="43"/>
    <d v="2025-10-20T00:00:00"/>
    <n v="53"/>
    <n v="2958468"/>
    <n v="2912511.042180602"/>
    <n v="2025"/>
    <n v="9999"/>
    <x v="18"/>
    <x v="8"/>
  </r>
  <r>
    <s v="ESPC360-21666"/>
    <s v="[PRO] [Préstamos] INC059810710 - PEX_0040880123  no ve los préstamos"/>
    <s v="Préstamos"/>
    <d v="2025-10-24T13:19:38"/>
    <d v="2025-10-27T13:05:13"/>
    <s v="OPERACIONAL"/>
    <s v="DESARROLLO"/>
    <s v=""/>
    <s v="C360_Team_Mtto"/>
    <s v="Medium"/>
    <s v="CERRADO"/>
    <s v=""/>
    <s v="BORJA CORTIJO LAJARA"/>
    <x v="1"/>
    <d v="2025-10-24T13:19:38"/>
    <d v="2025-10-27T13:05:13"/>
    <s v="Interno"/>
    <n v="43"/>
    <d v="2025-10-20T00:00:00"/>
    <n v="44"/>
    <d v="2025-10-27T00:00:00"/>
    <n v="2.9899938773087342"/>
    <n v="2025"/>
    <n v="2025"/>
    <x v="18"/>
    <x v="10"/>
  </r>
  <r>
    <s v="ESPC360-21674"/>
    <s v="[PRO][Santander Go] INC059882708 - no me permite ver posiciones del cliente, tanto de adn cliente como en santander go"/>
    <s v="Confidencialidad;Santanger GO"/>
    <d v="2025-10-27T11:40:24"/>
    <d v="2025-10-29T10:07:08"/>
    <s v="OPERACIONAL"/>
    <s v="SOPORTE"/>
    <s v="NO-CUSTOMER360"/>
    <s v="C360_Team_Mtto"/>
    <s v="Medium"/>
    <s v="CERRADO"/>
    <s v=""/>
    <s v="BORJA CORTIJO LAJARA"/>
    <x v="2"/>
    <d v="2025-10-27T11:40:24"/>
    <d v="2025-10-29T10:07:08"/>
    <s v="Externo"/>
    <n v="44"/>
    <d v="2025-10-27T00:00:00"/>
    <n v="44"/>
    <d v="2025-10-27T00:00:00"/>
    <n v="1.9352337615709985"/>
    <n v="2025"/>
    <n v="2025"/>
    <x v="18"/>
    <x v="10"/>
  </r>
  <r>
    <s v="ESPC360-21686"/>
    <s v="[PRO][Préstamos] INC059913097 - No ve el préstamo aunque lo tiene asociado "/>
    <s v="Préstamos"/>
    <d v="2025-10-28T11:17:56"/>
    <d v="2025-10-29T12:14:23"/>
    <s v="OPERACIONAL"/>
    <s v="DESARROLLO"/>
    <s v="EXTRACCIÓN"/>
    <s v="C360_Team_Mtto"/>
    <s v="Medium"/>
    <s v="CERRADO"/>
    <s v=""/>
    <s v="BORJA CORTIJO LAJARA"/>
    <x v="1"/>
    <d v="2025-10-28T11:17:56"/>
    <d v="2025-10-29T12:14:23"/>
    <s v="Interno"/>
    <n v="44"/>
    <d v="2025-10-27T00:00:00"/>
    <n v="44"/>
    <d v="2025-10-27T00:00:00"/>
    <n v="1.0392023726890329"/>
    <n v="2025"/>
    <n v="2025"/>
    <x v="18"/>
    <x v="10"/>
  </r>
  <r>
    <s v="ESPC360-21687"/>
    <s v="[PRO][Seguros] INC059441277 - NO APARECE POLIZA ASISA EN POSICIONES ADN 360º"/>
    <s v="Seguros"/>
    <d v="2025-10-28T11:23:27"/>
    <d v="2025-10-29T10:11:31"/>
    <s v="OPERACIONAL"/>
    <s v="SOPORTE"/>
    <s v="NO-CUSTOMER360"/>
    <s v="C360_Team_Mtto"/>
    <s v="Medium"/>
    <s v="CERRADO"/>
    <s v=""/>
    <s v="BORJA CORTIJO LAJARA"/>
    <x v="2"/>
    <d v="2025-10-28T11:23:27"/>
    <d v="2025-10-29T10:11:31"/>
    <s v="Externo"/>
    <n v="44"/>
    <d v="2025-10-27T00:00:00"/>
    <n v="44"/>
    <d v="2025-10-27T00:00:00"/>
    <n v="0.95005502314597834"/>
    <n v="2025"/>
    <n v="2025"/>
    <x v="18"/>
    <x v="10"/>
  </r>
  <r>
    <s v="ESPC360-21688"/>
    <s v="[PRO][Préstamos] INC059916939 - PEX_0040949583 no ve prestamo asociado "/>
    <s v="Préstamos"/>
    <d v="2025-10-28T11:35:06"/>
    <d v="2025-10-29T12:14:42"/>
    <s v="OPERACIONAL"/>
    <s v="DESARROLLO"/>
    <s v="EXTRACCIÓN"/>
    <s v="C360_Team_Mtto"/>
    <s v="Medium"/>
    <s v="CERRADO"/>
    <s v=""/>
    <s v="BORJA CORTIJO LAJARA"/>
    <x v="1"/>
    <d v="2025-10-28T11:35:06"/>
    <d v="2025-10-29T12:14:42"/>
    <s v="Interno"/>
    <n v="44"/>
    <d v="2025-10-27T00:00:00"/>
    <n v="44"/>
    <d v="2025-10-27T00:00:00"/>
    <n v="1.0274933333348599"/>
    <n v="2025"/>
    <n v="2025"/>
    <x v="18"/>
    <x v="10"/>
  </r>
  <r>
    <s v="ESPC360-21689"/>
    <s v="[PRO][ADN-Operativo] INC059920890 - En ADN Operativo no puedo accede a los informes de Auditorias SAN a través del menú: ADN - INFORMES JURÍDICOS - CLIENTES AUDITORIAS SAN - GESTIÓN. La pantalla e"/>
    <s v=""/>
    <d v="2025-10-28T11:55:22"/>
    <d v="2025-10-29T10:08:48"/>
    <s v="OPERACIONAL"/>
    <s v="SOPORTE"/>
    <s v="NO-CUSTOMER360"/>
    <s v="C360_Team_Mtto"/>
    <s v="Medium"/>
    <s v="CERRADO"/>
    <s v=""/>
    <s v="BORJA CORTIJO LAJARA"/>
    <x v="2"/>
    <d v="2025-10-28T11:55:22"/>
    <d v="2025-10-29T10:08:48"/>
    <s v="Externo"/>
    <n v="44"/>
    <d v="2025-10-27T00:00:00"/>
    <n v="44"/>
    <d v="2025-10-27T00:00:00"/>
    <n v="0.92599693287047558"/>
    <n v="2025"/>
    <n v="2025"/>
    <x v="18"/>
    <x v="10"/>
  </r>
  <r>
    <s v="ESPC360-21691"/>
    <s v="[PRO][Seguros] INC059915592 - PEX_0040944976 - KIBOT - CLIENTE Y7730660Y POLIZA ACCIDENTES 710210098826 QUE NO LE SALE EN ADN CLIENTE"/>
    <s v="Seguros"/>
    <d v="2025-10-28T14:59:54"/>
    <d v="9999-12-31T10:41:41"/>
    <s v="OPERACIONAL"/>
    <s v="SOPORTE"/>
    <s v="NO-CUSTOMER360"/>
    <s v="C360_Team_Mtto"/>
    <s v="Medium"/>
    <s v="Blocked"/>
    <s v=""/>
    <s v="BORJA CORTIJO LAJARA"/>
    <x v="2"/>
    <d v="2025-10-28T14:59:54"/>
    <d v="9999-12-31T10:41:41"/>
    <s v="Externo"/>
    <n v="44"/>
    <d v="2025-10-27T00:00:00"/>
    <n v="53"/>
    <n v="2958468"/>
    <n v="2912506.8206851278"/>
    <n v="2025"/>
    <n v="9999"/>
    <x v="18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1">
  <r>
    <s v="TÉCNICO"/>
    <d v="2024-02-05T15:37:07"/>
    <d v="2025-01-17T09:53:58"/>
    <x v="0"/>
    <n v="6"/>
    <x v="0"/>
    <n v="3"/>
    <x v="0"/>
    <n v="346.76169511573971"/>
    <n v="2024"/>
    <n v="2025"/>
  </r>
  <r>
    <s v="TÉCNICO"/>
    <d v="2024-02-19T17:14:37"/>
    <d v="2025-06-30T10:23:05"/>
    <x v="0"/>
    <n v="8"/>
    <x v="1"/>
    <n v="27"/>
    <x v="1"/>
    <n v="496.71420730324462"/>
    <n v="2024"/>
    <n v="2025"/>
  </r>
  <r>
    <s v="DESARROLLO"/>
    <d v="2024-03-08T07:55:27"/>
    <d v="2025-01-22T09:14:11"/>
    <x v="0"/>
    <n v="10"/>
    <x v="2"/>
    <n v="4"/>
    <x v="2"/>
    <n v="320.05466725693987"/>
    <n v="2024"/>
    <n v="2025"/>
  </r>
  <r>
    <s v="TÉCNICO"/>
    <d v="2024-04-12T14:26:49"/>
    <d v="2025-01-16T09:57:39"/>
    <x v="0"/>
    <n v="15"/>
    <x v="3"/>
    <n v="3"/>
    <x v="0"/>
    <n v="278.81307679398014"/>
    <n v="2024"/>
    <n v="2025"/>
  </r>
  <r>
    <s v="TÉCNICO"/>
    <d v="2024-04-23T16:32:19"/>
    <d v="2025-01-31T13:13:33"/>
    <x v="0"/>
    <n v="17"/>
    <x v="4"/>
    <n v="5"/>
    <x v="3"/>
    <n v="282.86196151620243"/>
    <n v="2024"/>
    <n v="2025"/>
  </r>
  <r>
    <s v="DESARROLLO"/>
    <d v="2024-05-28T10:28:24"/>
    <d v="2025-01-17T10:49:05"/>
    <x v="0"/>
    <n v="22"/>
    <x v="5"/>
    <n v="3"/>
    <x v="0"/>
    <n v="234.01436315972387"/>
    <n v="2024"/>
    <n v="2025"/>
  </r>
  <r>
    <s v="SOPORTE"/>
    <d v="2024-08-22T12:46:37"/>
    <d v="2025-01-07T16:01:30"/>
    <x v="1"/>
    <n v="34"/>
    <x v="6"/>
    <n v="2"/>
    <x v="4"/>
    <n v="138.13532729166764"/>
    <n v="2024"/>
    <n v="2025"/>
  </r>
  <r>
    <s v="DESARROLLO"/>
    <d v="2024-09-19T00:24:19"/>
    <d v="2025-01-22T09:14:11"/>
    <x v="0"/>
    <n v="38"/>
    <x v="7"/>
    <n v="4"/>
    <x v="2"/>
    <n v="125.36796297453839"/>
    <n v="2024"/>
    <n v="2025"/>
  </r>
  <r>
    <s v="TÉCNICO"/>
    <d v="2024-09-19T12:18:46"/>
    <d v="2025-06-19T09:18:00"/>
    <x v="0"/>
    <n v="38"/>
    <x v="7"/>
    <n v="25"/>
    <x v="5"/>
    <n v="272.87447269675613"/>
    <n v="2024"/>
    <n v="2025"/>
  </r>
  <r>
    <s v="SOPORTE"/>
    <d v="2024-09-26T15:07:09"/>
    <d v="2025-01-16T10:06:20"/>
    <x v="1"/>
    <n v="39"/>
    <x v="8"/>
    <n v="3"/>
    <x v="0"/>
    <n v="111.79109862268524"/>
    <n v="2024"/>
    <n v="2025"/>
  </r>
  <r>
    <s v="DESARROLLO"/>
    <d v="2024-10-16T15:17:22"/>
    <d v="2025-01-29T13:40:06"/>
    <x v="0"/>
    <n v="42"/>
    <x v="9"/>
    <n v="5"/>
    <x v="3"/>
    <n v="104.93245473379648"/>
    <n v="2024"/>
    <n v="2025"/>
  </r>
  <r>
    <s v="DESARROLLO"/>
    <d v="2024-11-06T21:53:00"/>
    <d v="2025-01-17T09:02:58"/>
    <x v="0"/>
    <n v="45"/>
    <x v="10"/>
    <n v="3"/>
    <x v="0"/>
    <n v="71.465246967592975"/>
    <n v="2024"/>
    <n v="2025"/>
  </r>
  <r>
    <s v="TÉCNICO"/>
    <d v="2024-11-20T11:27:17"/>
    <d v="2025-01-17T09:02:58"/>
    <x v="0"/>
    <n v="47"/>
    <x v="11"/>
    <n v="3"/>
    <x v="0"/>
    <n v="57.899773622688372"/>
    <n v="2024"/>
    <n v="2025"/>
  </r>
  <r>
    <s v="DESARROLLO"/>
    <d v="2024-11-25T17:41:10"/>
    <d v="2025-01-30T10:25:56"/>
    <x v="0"/>
    <n v="48"/>
    <x v="12"/>
    <n v="5"/>
    <x v="3"/>
    <n v="65.697754270833684"/>
    <n v="2024"/>
    <n v="2025"/>
  </r>
  <r>
    <s v="DESARROLLO"/>
    <d v="2024-11-28T09:38:38"/>
    <d v="2025-01-08T10:25:39"/>
    <x v="0"/>
    <n v="48"/>
    <x v="12"/>
    <n v="2"/>
    <x v="4"/>
    <n v="41.032652291665727"/>
    <n v="2024"/>
    <n v="2025"/>
  </r>
  <r>
    <s v="TÉCNICO"/>
    <d v="2024-11-29T14:16:12"/>
    <d v="2025-06-27T10:31:32"/>
    <x v="0"/>
    <n v="48"/>
    <x v="12"/>
    <n v="26"/>
    <x v="6"/>
    <n v="209.84398101851548"/>
    <n v="2024"/>
    <n v="2025"/>
  </r>
  <r>
    <s v="DESARROLLO"/>
    <d v="2024-12-05T13:01:43"/>
    <d v="2025-01-17T09:02:31"/>
    <x v="0"/>
    <n v="49"/>
    <x v="13"/>
    <n v="3"/>
    <x v="0"/>
    <n v="42.833895289353677"/>
    <n v="2024"/>
    <n v="2025"/>
  </r>
  <r>
    <s v="DESARROLLO"/>
    <d v="2024-12-09T16:54:35"/>
    <d v="2025-01-17T09:03:23"/>
    <x v="0"/>
    <n v="50"/>
    <x v="14"/>
    <n v="3"/>
    <x v="0"/>
    <n v="38.672779375003302"/>
    <n v="2024"/>
    <n v="2025"/>
  </r>
  <r>
    <s v="DESARROLLO"/>
    <d v="2024-12-18T12:54:46"/>
    <d v="2025-01-07T14:17:05"/>
    <x v="0"/>
    <n v="51"/>
    <x v="15"/>
    <n v="2"/>
    <x v="4"/>
    <n v="20.057156782408128"/>
    <n v="2024"/>
    <n v="2025"/>
  </r>
  <r>
    <s v="SOPORTE"/>
    <d v="2024-12-20T14:22:08"/>
    <d v="2025-01-07T13:36:15"/>
    <x v="1"/>
    <n v="51"/>
    <x v="15"/>
    <n v="2"/>
    <x v="4"/>
    <n v="17.968137152776762"/>
    <n v="2024"/>
    <n v="2025"/>
  </r>
  <r>
    <s v="SOPORTE"/>
    <d v="2024-12-31T09:55:33"/>
    <d v="2025-01-14T10:23:27"/>
    <x v="1"/>
    <n v="53"/>
    <x v="16"/>
    <n v="3"/>
    <x v="0"/>
    <n v="14.019374548610358"/>
    <n v="2024"/>
    <n v="2025"/>
  </r>
  <r>
    <s v="SOPORTE"/>
    <d v="2024-12-31T12:00:14"/>
    <d v="2025-01-08T10:40:59"/>
    <x v="1"/>
    <n v="53"/>
    <x v="16"/>
    <n v="2"/>
    <x v="4"/>
    <n v="7.9449663310224423"/>
    <n v="2024"/>
    <n v="2025"/>
  </r>
  <r>
    <s v="DESARROLLO"/>
    <d v="2025-01-07T14:09:59"/>
    <d v="2025-01-14T10:23:56"/>
    <x v="0"/>
    <n v="2"/>
    <x v="17"/>
    <n v="3"/>
    <x v="0"/>
    <n v="6.8430214814870851"/>
    <n v="2025"/>
    <n v="2025"/>
  </r>
  <r>
    <s v="DESARROLLO"/>
    <d v="2025-01-09T12:32:59"/>
    <d v="2025-01-09T12:42:39"/>
    <x v="0"/>
    <n v="2"/>
    <x v="17"/>
    <n v="2"/>
    <x v="4"/>
    <n v="6.7173726856708527E-3"/>
    <n v="2025"/>
    <n v="2025"/>
  </r>
  <r>
    <s v="SOPORTE"/>
    <d v="2025-01-10T09:05:18"/>
    <d v="2025-01-10T09:12:33"/>
    <x v="1"/>
    <n v="2"/>
    <x v="17"/>
    <n v="2"/>
    <x v="4"/>
    <n v="5.0313425963395275E-3"/>
    <n v="2025"/>
    <n v="2025"/>
  </r>
  <r>
    <s v="SOPORTE"/>
    <d v="2025-01-13T15:57:45"/>
    <d v="2025-01-28T10:19:25"/>
    <x v="1"/>
    <n v="3"/>
    <x v="18"/>
    <n v="5"/>
    <x v="3"/>
    <n v="14.765052256945637"/>
    <n v="2025"/>
    <n v="2025"/>
  </r>
  <r>
    <s v="SOPORTE"/>
    <d v="2025-01-14T15:07:51"/>
    <d v="2025-01-21T12:50:59"/>
    <x v="1"/>
    <n v="3"/>
    <x v="18"/>
    <n v="4"/>
    <x v="2"/>
    <n v="6.9049569444396184"/>
    <n v="2025"/>
    <n v="2025"/>
  </r>
  <r>
    <s v="SOPORTE"/>
    <d v="2025-01-14T16:04:17"/>
    <d v="2025-01-17T09:16:14"/>
    <x v="1"/>
    <n v="3"/>
    <x v="18"/>
    <n v="3"/>
    <x v="0"/>
    <n v="2.7166265277774073"/>
    <n v="2025"/>
    <n v="2025"/>
  </r>
  <r>
    <s v="SOPORTE"/>
    <d v="2025-01-14T16:09:24"/>
    <d v="2025-01-14T17:31:54"/>
    <x v="1"/>
    <n v="3"/>
    <x v="18"/>
    <n v="3"/>
    <x v="0"/>
    <n v="5.7294803242257331E-2"/>
    <n v="2025"/>
    <n v="2025"/>
  </r>
  <r>
    <s v="TÉCNICO"/>
    <d v="2025-01-15T08:55:53"/>
    <d v="2025-06-27T10:31:00"/>
    <x v="0"/>
    <n v="3"/>
    <x v="18"/>
    <n v="26"/>
    <x v="6"/>
    <n v="163.0660514814881"/>
    <n v="2025"/>
    <n v="2025"/>
  </r>
  <r>
    <s v="DESARROLLO"/>
    <d v="2025-01-15T10:10:56"/>
    <d v="2025-01-17T09:20:18"/>
    <x v="0"/>
    <n v="3"/>
    <x v="18"/>
    <n v="3"/>
    <x v="0"/>
    <n v="1.9648327430550125"/>
    <n v="2025"/>
    <n v="2025"/>
  </r>
  <r>
    <s v="SOPORTE"/>
    <d v="2025-01-15T11:31:38"/>
    <d v="2025-01-17T09:11:31"/>
    <x v="1"/>
    <n v="3"/>
    <x v="18"/>
    <n v="3"/>
    <x v="0"/>
    <n v="1.902703576386557"/>
    <n v="2025"/>
    <n v="2025"/>
  </r>
  <r>
    <s v="SOPORTE"/>
    <d v="2025-01-16T10:01:19"/>
    <d v="2025-01-17T09:12:27"/>
    <x v="1"/>
    <n v="3"/>
    <x v="18"/>
    <n v="3"/>
    <x v="0"/>
    <n v="0.96606079860794125"/>
    <n v="2025"/>
    <n v="2025"/>
  </r>
  <r>
    <s v="DESARROLLO"/>
    <d v="2025-01-16T10:42:34"/>
    <d v="2025-07-02T10:35:22"/>
    <x v="0"/>
    <n v="3"/>
    <x v="18"/>
    <n v="27"/>
    <x v="1"/>
    <n v="166.99500155092392"/>
    <n v="2025"/>
    <n v="2025"/>
  </r>
  <r>
    <s v="SOPORTE"/>
    <d v="2025-01-17T09:47:12"/>
    <d v="2025-01-23T10:26:04"/>
    <x v="1"/>
    <n v="3"/>
    <x v="18"/>
    <n v="4"/>
    <x v="2"/>
    <n v="6.026984525458829"/>
    <n v="2025"/>
    <n v="2025"/>
  </r>
  <r>
    <s v="SOPORTE"/>
    <d v="2025-01-20T10:03:59"/>
    <d v="2025-01-21T11:16:08"/>
    <x v="1"/>
    <n v="4"/>
    <x v="19"/>
    <n v="4"/>
    <x v="2"/>
    <n v="1.0501110185141442"/>
    <n v="2025"/>
    <n v="2025"/>
  </r>
  <r>
    <s v="TÉCNICO"/>
    <d v="2025-01-20T11:09:12"/>
    <d v="2025-03-05T01:19:56"/>
    <x v="0"/>
    <n v="4"/>
    <x v="19"/>
    <n v="10"/>
    <x v="7"/>
    <n v="43.590795648146013"/>
    <n v="2025"/>
    <n v="2025"/>
  </r>
  <r>
    <s v="SOPORTE"/>
    <d v="2025-01-21T12:47:07"/>
    <d v="2025-01-27T13:22:17"/>
    <x v="1"/>
    <n v="4"/>
    <x v="19"/>
    <n v="5"/>
    <x v="3"/>
    <n v="6.0244201504610828"/>
    <n v="2025"/>
    <n v="2025"/>
  </r>
  <r>
    <s v="SOPORTE"/>
    <d v="2025-01-21T13:03:58"/>
    <d v="2025-01-23T10:40:07"/>
    <x v="1"/>
    <n v="4"/>
    <x v="19"/>
    <n v="4"/>
    <x v="2"/>
    <n v="1.9001030092622386"/>
    <n v="2025"/>
    <n v="2025"/>
  </r>
  <r>
    <s v="SOPORTE"/>
    <d v="2025-01-22T17:52:08"/>
    <d v="2025-01-27T12:28:27"/>
    <x v="1"/>
    <n v="4"/>
    <x v="19"/>
    <n v="5"/>
    <x v="3"/>
    <n v="4.775229178245354"/>
    <n v="2025"/>
    <n v="2025"/>
  </r>
  <r>
    <s v="TÉCNICO"/>
    <d v="2025-01-23T08:16:20"/>
    <d v="2025-03-19T14:34:11"/>
    <x v="0"/>
    <n v="4"/>
    <x v="19"/>
    <n v="12"/>
    <x v="8"/>
    <n v="55.262393946759403"/>
    <n v="2025"/>
    <n v="2025"/>
  </r>
  <r>
    <s v="SOPORTE"/>
    <d v="2025-01-23T09:37:19"/>
    <d v="2025-02-20T09:41:51"/>
    <x v="1"/>
    <n v="4"/>
    <x v="19"/>
    <n v="8"/>
    <x v="9"/>
    <n v="28.003138530097203"/>
    <n v="2025"/>
    <n v="2025"/>
  </r>
  <r>
    <s v="SOPORTE"/>
    <d v="2025-01-23T10:15:39"/>
    <d v="2025-03-17T11:34:52"/>
    <x v="1"/>
    <n v="4"/>
    <x v="19"/>
    <n v="12"/>
    <x v="8"/>
    <n v="53.055010428237438"/>
    <n v="2025"/>
    <n v="2025"/>
  </r>
  <r>
    <s v="DESARROLLO"/>
    <d v="2025-01-23T12:08:37"/>
    <d v="2025-02-05T08:47:29"/>
    <x v="0"/>
    <n v="4"/>
    <x v="19"/>
    <n v="6"/>
    <x v="10"/>
    <n v="12.860332719908911"/>
    <n v="2025"/>
    <n v="2025"/>
  </r>
  <r>
    <s v="DESARROLLO"/>
    <d v="2025-01-23T12:09:43"/>
    <d v="2025-01-24T11:29:33"/>
    <x v="0"/>
    <n v="4"/>
    <x v="19"/>
    <n v="4"/>
    <x v="2"/>
    <n v="0.9720973726871307"/>
    <n v="2025"/>
    <n v="2025"/>
  </r>
  <r>
    <s v="SOPORTE"/>
    <d v="2025-01-27T12:11:48"/>
    <d v="2025-01-27T13:25:54"/>
    <x v="1"/>
    <n v="5"/>
    <x v="20"/>
    <n v="5"/>
    <x v="3"/>
    <n v="5.1458518522849772E-2"/>
    <n v="2025"/>
    <n v="2025"/>
  </r>
  <r>
    <s v="SOPORTE"/>
    <d v="2025-01-28T11:17:24"/>
    <d v="2025-01-29T15:59:34"/>
    <x v="1"/>
    <n v="5"/>
    <x v="20"/>
    <n v="5"/>
    <x v="3"/>
    <n v="1.1959477083291858"/>
    <n v="2025"/>
    <n v="2025"/>
  </r>
  <r>
    <s v="SOPORTE"/>
    <d v="2025-01-29T15:54:30"/>
    <d v="2025-02-06T10:13:13"/>
    <x v="1"/>
    <n v="5"/>
    <x v="20"/>
    <n v="6"/>
    <x v="10"/>
    <n v="7.7629956365781254"/>
    <n v="2025"/>
    <n v="2025"/>
  </r>
  <r>
    <s v="SOPORTE"/>
    <d v="2025-01-29T17:28:14"/>
    <d v="2025-02-06T09:48:48"/>
    <x v="1"/>
    <n v="5"/>
    <x v="20"/>
    <n v="6"/>
    <x v="10"/>
    <n v="7.6809568055541604"/>
    <n v="2025"/>
    <n v="2025"/>
  </r>
  <r>
    <s v="DESARROLLO"/>
    <d v="2025-01-30T11:37:52"/>
    <d v="2025-03-05T01:19:56"/>
    <x v="0"/>
    <n v="5"/>
    <x v="20"/>
    <n v="10"/>
    <x v="7"/>
    <n v="33.570885682871449"/>
    <n v="2025"/>
    <n v="2025"/>
  </r>
  <r>
    <s v="SOPORTE"/>
    <d v="2025-01-30T16:54:03"/>
    <d v="2025-01-30T17:07:02"/>
    <x v="1"/>
    <n v="5"/>
    <x v="20"/>
    <n v="5"/>
    <x v="3"/>
    <n v="9.0228356493753381E-3"/>
    <n v="2025"/>
    <n v="2025"/>
  </r>
  <r>
    <s v="SOPORTE"/>
    <d v="2025-01-31T11:15:23"/>
    <d v="2025-01-31T12:07:04"/>
    <x v="1"/>
    <n v="5"/>
    <x v="20"/>
    <n v="5"/>
    <x v="3"/>
    <n v="3.5891261570213828E-2"/>
    <n v="2025"/>
    <n v="2025"/>
  </r>
  <r>
    <s v="SOPORTE"/>
    <d v="2025-02-04T09:13:02"/>
    <d v="2025-02-06T10:24:22"/>
    <x v="1"/>
    <n v="6"/>
    <x v="21"/>
    <n v="6"/>
    <x v="10"/>
    <n v="2.04953081018175"/>
    <n v="2025"/>
    <n v="2025"/>
  </r>
  <r>
    <s v="SOPORTE"/>
    <d v="2025-02-04T09:52:14"/>
    <d v="2025-02-05T09:31:48"/>
    <x v="1"/>
    <n v="6"/>
    <x v="21"/>
    <n v="6"/>
    <x v="10"/>
    <n v="0.98581575231219176"/>
    <n v="2025"/>
    <n v="2025"/>
  </r>
  <r>
    <s v="DESARROLLO"/>
    <d v="2025-02-04T09:53:37"/>
    <d v="2025-02-20T09:12:00"/>
    <x v="0"/>
    <n v="6"/>
    <x v="21"/>
    <n v="8"/>
    <x v="9"/>
    <n v="15.971090023143915"/>
    <n v="2025"/>
    <n v="2025"/>
  </r>
  <r>
    <s v="SOPORTE"/>
    <d v="2025-02-04T14:39:24"/>
    <d v="2025-02-20T09:38:08"/>
    <x v="1"/>
    <n v="6"/>
    <x v="21"/>
    <n v="8"/>
    <x v="9"/>
    <n v="15.790781979165331"/>
    <n v="2025"/>
    <n v="2025"/>
  </r>
  <r>
    <s v="DESARROLLO"/>
    <d v="2025-02-05T00:13:58"/>
    <d v="2025-03-05T01:19:56"/>
    <x v="0"/>
    <n v="6"/>
    <x v="21"/>
    <n v="10"/>
    <x v="7"/>
    <n v="28.045805208334059"/>
    <n v="2025"/>
    <n v="2025"/>
  </r>
  <r>
    <s v="TÉCNICO"/>
    <d v="2025-02-05T00:45:28"/>
    <d v="2025-02-20T09:12:00"/>
    <x v="0"/>
    <n v="6"/>
    <x v="21"/>
    <n v="8"/>
    <x v="9"/>
    <n v="15.351755300922378"/>
    <n v="2025"/>
    <n v="2025"/>
  </r>
  <r>
    <s v="DESARROLLO"/>
    <d v="2025-02-05T09:43:41"/>
    <d v="2025-03-19T14:34:10"/>
    <x v="0"/>
    <n v="6"/>
    <x v="21"/>
    <n v="12"/>
    <x v="8"/>
    <n v="42.201724282407667"/>
    <n v="2025"/>
    <n v="2025"/>
  </r>
  <r>
    <s v="SOPORTE"/>
    <d v="2025-02-05T10:52:17"/>
    <d v="2025-02-06T10:14:13"/>
    <x v="1"/>
    <n v="6"/>
    <x v="21"/>
    <n v="6"/>
    <x v="10"/>
    <n v="0.9735635995384655"/>
    <n v="2025"/>
    <n v="2025"/>
  </r>
  <r>
    <s v="DESARROLLO"/>
    <d v="2025-02-05T12:27:15"/>
    <d v="2025-04-09T12:34:18"/>
    <x v="0"/>
    <n v="6"/>
    <x v="21"/>
    <n v="15"/>
    <x v="11"/>
    <n v="63.004894421290373"/>
    <n v="2025"/>
    <n v="2025"/>
  </r>
  <r>
    <s v="DESARROLLO"/>
    <d v="2025-02-05T12:46:09"/>
    <d v="2025-03-19T14:34:10"/>
    <x v="0"/>
    <n v="6"/>
    <x v="21"/>
    <n v="12"/>
    <x v="8"/>
    <n v="42.075009583335486"/>
    <n v="2025"/>
    <n v="2025"/>
  </r>
  <r>
    <s v="SOPORTE"/>
    <d v="2025-02-05T15:56:33"/>
    <d v="2025-02-17T10:47:10"/>
    <x v="1"/>
    <n v="6"/>
    <x v="21"/>
    <n v="8"/>
    <x v="9"/>
    <n v="11.785148275463143"/>
    <n v="2025"/>
    <n v="2025"/>
  </r>
  <r>
    <s v="SOPORTE"/>
    <d v="2025-02-06T13:12:29"/>
    <d v="2025-02-06T16:19:13"/>
    <x v="1"/>
    <n v="6"/>
    <x v="21"/>
    <n v="6"/>
    <x v="10"/>
    <n v="0.12967614583612885"/>
    <n v="2025"/>
    <n v="2025"/>
  </r>
  <r>
    <s v="DESARROLLO"/>
    <d v="2025-02-10T12:30:56"/>
    <d v="2025-03-05T01:19:56"/>
    <x v="0"/>
    <n v="7"/>
    <x v="22"/>
    <n v="10"/>
    <x v="7"/>
    <n v="22.534026215274935"/>
    <n v="2025"/>
    <n v="2025"/>
  </r>
  <r>
    <s v="DESARROLLO"/>
    <d v="2025-02-10T15:41:34"/>
    <d v="2025-03-05T01:19:56"/>
    <x v="0"/>
    <n v="7"/>
    <x v="22"/>
    <n v="10"/>
    <x v="7"/>
    <n v="22.401646666665329"/>
    <n v="2025"/>
    <n v="2025"/>
  </r>
  <r>
    <s v="TÉCNICO"/>
    <d v="2025-02-11T09:35:05"/>
    <d v="2025-03-05T01:20:21"/>
    <x v="0"/>
    <n v="7"/>
    <x v="22"/>
    <n v="10"/>
    <x v="7"/>
    <n v="21.656437951394764"/>
    <n v="2025"/>
    <n v="2025"/>
  </r>
  <r>
    <s v="SOPORTE"/>
    <d v="2025-02-11T10:27:16"/>
    <d v="2025-02-13T10:12:52"/>
    <x v="1"/>
    <n v="7"/>
    <x v="22"/>
    <n v="7"/>
    <x v="12"/>
    <n v="1.9899978819448734"/>
    <n v="2025"/>
    <n v="2025"/>
  </r>
  <r>
    <s v="SOPORTE"/>
    <d v="2025-02-11T15:45:13"/>
    <d v="2025-02-17T10:44:48"/>
    <x v="1"/>
    <n v="7"/>
    <x v="22"/>
    <n v="8"/>
    <x v="9"/>
    <n v="5.791371793980943"/>
    <n v="2025"/>
    <n v="2025"/>
  </r>
  <r>
    <s v="TÉCNICO"/>
    <d v="2025-02-11T15:50:39"/>
    <d v="2025-02-20T09:34:13"/>
    <x v="0"/>
    <n v="7"/>
    <x v="22"/>
    <n v="8"/>
    <x v="9"/>
    <n v="8.7385851736107725"/>
    <n v="2025"/>
    <n v="2025"/>
  </r>
  <r>
    <s v="SOPORTE"/>
    <d v="2025-02-11T17:42:21"/>
    <d v="2025-02-17T10:43:37"/>
    <x v="1"/>
    <n v="7"/>
    <x v="22"/>
    <n v="8"/>
    <x v="9"/>
    <n v="5.7092133101832587"/>
    <n v="2025"/>
    <n v="2025"/>
  </r>
  <r>
    <s v="SOPORTE"/>
    <d v="2025-02-12T10:01:27"/>
    <d v="2025-02-18T08:59:43"/>
    <x v="1"/>
    <n v="7"/>
    <x v="22"/>
    <n v="8"/>
    <x v="9"/>
    <n v="5.9571307407386485"/>
    <n v="2025"/>
    <n v="2025"/>
  </r>
  <r>
    <s v="TÉCNICO"/>
    <d v="2025-02-12T10:51:50"/>
    <d v="2025-07-02T08:48:40"/>
    <x v="0"/>
    <n v="7"/>
    <x v="22"/>
    <n v="27"/>
    <x v="1"/>
    <n v="139.91446945602365"/>
    <n v="2025"/>
    <n v="2025"/>
  </r>
  <r>
    <s v="TÉCNICO"/>
    <d v="2025-02-12T11:16:38"/>
    <d v="2025-04-09T12:34:18"/>
    <x v="0"/>
    <n v="7"/>
    <x v="22"/>
    <n v="15"/>
    <x v="11"/>
    <n v="56.053934502313496"/>
    <n v="2025"/>
    <n v="2025"/>
  </r>
  <r>
    <s v="DESARROLLO"/>
    <d v="2025-02-12T11:24:28"/>
    <d v="2025-03-05T01:20:21"/>
    <x v="0"/>
    <n v="7"/>
    <x v="22"/>
    <n v="10"/>
    <x v="7"/>
    <n v="20.580481365745072"/>
    <n v="2025"/>
    <n v="2025"/>
  </r>
  <r>
    <s v="SOPORTE"/>
    <d v="2025-02-12T13:10:28"/>
    <d v="2025-02-14T08:27:30"/>
    <x v="1"/>
    <n v="7"/>
    <x v="22"/>
    <n v="7"/>
    <x v="12"/>
    <n v="1.8034951504596393"/>
    <n v="2025"/>
    <n v="2025"/>
  </r>
  <r>
    <s v="TÉCNICO"/>
    <d v="2025-02-14T08:27:36"/>
    <d v="2025-02-17T10:41:30"/>
    <x v="0"/>
    <n v="7"/>
    <x v="22"/>
    <n v="8"/>
    <x v="9"/>
    <n v="3.0929882870332222"/>
    <n v="2025"/>
    <n v="2025"/>
  </r>
  <r>
    <s v="SOPORTE"/>
    <d v="2025-02-18T11:20:45"/>
    <d v="2025-02-18T11:53:27"/>
    <x v="1"/>
    <n v="8"/>
    <x v="23"/>
    <n v="8"/>
    <x v="9"/>
    <n v="2.2713750004186295E-2"/>
    <n v="2025"/>
    <n v="2025"/>
  </r>
  <r>
    <s v="SOPORTE"/>
    <d v="2025-02-18T15:29:38"/>
    <d v="2025-02-20T09:35:31"/>
    <x v="1"/>
    <n v="8"/>
    <x v="23"/>
    <n v="8"/>
    <x v="9"/>
    <n v="1.7540846412084647"/>
    <n v="2025"/>
    <n v="2025"/>
  </r>
  <r>
    <s v="SOPORTE"/>
    <d v="2025-02-19T08:35:38"/>
    <d v="2025-03-04T09:41:24"/>
    <x v="1"/>
    <n v="8"/>
    <x v="23"/>
    <n v="10"/>
    <x v="7"/>
    <n v="13.045663113429327"/>
    <n v="2025"/>
    <n v="2025"/>
  </r>
  <r>
    <s v="SOPORTE"/>
    <d v="2025-02-19T08:50:33"/>
    <d v="2025-02-26T10:27:41"/>
    <x v="1"/>
    <n v="8"/>
    <x v="23"/>
    <n v="9"/>
    <x v="13"/>
    <n v="7.0674461689777672"/>
    <n v="2025"/>
    <n v="2025"/>
  </r>
  <r>
    <s v="SOPORTE"/>
    <d v="2025-02-19T11:23:16"/>
    <d v="2025-02-24T16:15:21"/>
    <x v="1"/>
    <n v="8"/>
    <x v="23"/>
    <n v="9"/>
    <x v="13"/>
    <n v="5.2028386226884322"/>
    <n v="2025"/>
    <n v="2025"/>
  </r>
  <r>
    <s v="SOPORTE"/>
    <d v="2025-02-20T12:55:37"/>
    <d v="2025-02-24T16:16:22"/>
    <x v="1"/>
    <n v="8"/>
    <x v="23"/>
    <n v="9"/>
    <x v="13"/>
    <n v="4.1394069444431807"/>
    <n v="2025"/>
    <n v="2025"/>
  </r>
  <r>
    <s v="SOPORTE"/>
    <d v="2025-02-20T16:16:15"/>
    <d v="2025-02-26T10:29:32"/>
    <x v="1"/>
    <n v="8"/>
    <x v="23"/>
    <n v="9"/>
    <x v="13"/>
    <n v="5.7592179861094337"/>
    <n v="2025"/>
    <n v="2025"/>
  </r>
  <r>
    <s v="SOPORTE"/>
    <d v="2025-02-21T09:34:02"/>
    <d v="2025-02-21T09:36:56"/>
    <x v="1"/>
    <n v="8"/>
    <x v="23"/>
    <n v="8"/>
    <x v="9"/>
    <n v="2.0205439795972779E-3"/>
    <n v="2025"/>
    <n v="2025"/>
  </r>
  <r>
    <s v="TÉCNICO"/>
    <d v="2025-02-21T09:55:16"/>
    <d v="2025-02-25T16:47:27"/>
    <x v="0"/>
    <n v="8"/>
    <x v="23"/>
    <n v="9"/>
    <x v="13"/>
    <n v="4.2862385300977621"/>
    <n v="2025"/>
    <n v="2025"/>
  </r>
  <r>
    <s v="SOPORTE"/>
    <d v="2025-02-24T16:26:59"/>
    <d v="2025-02-26T10:32:16"/>
    <x v="1"/>
    <n v="9"/>
    <x v="24"/>
    <n v="9"/>
    <x v="13"/>
    <n v="1.7536714930611197"/>
    <n v="2025"/>
    <n v="2025"/>
  </r>
  <r>
    <s v="TÉCNICO"/>
    <d v="2025-02-25T09:14:19"/>
    <d v="2025-03-19T13:36:12"/>
    <x v="0"/>
    <n v="9"/>
    <x v="24"/>
    <n v="12"/>
    <x v="8"/>
    <n v="22.181865740742069"/>
    <n v="2025"/>
    <n v="2025"/>
  </r>
  <r>
    <s v="SOPORTE"/>
    <d v="2025-02-25T16:22:04"/>
    <d v="2025-03-03T11:13:25"/>
    <x v="1"/>
    <n v="9"/>
    <x v="24"/>
    <n v="10"/>
    <x v="7"/>
    <n v="5.7856651620386401"/>
    <n v="2025"/>
    <n v="2025"/>
  </r>
  <r>
    <s v="SOPORTE"/>
    <d v="2025-02-26T10:16:58"/>
    <d v="2025-02-26T16:23:42"/>
    <x v="1"/>
    <n v="9"/>
    <x v="24"/>
    <n v="9"/>
    <x v="13"/>
    <n v="0.25467462962842546"/>
    <n v="2025"/>
    <n v="2025"/>
  </r>
  <r>
    <s v="SOPORTE"/>
    <d v="2025-02-26T10:21:12"/>
    <d v="2025-02-27T17:47:34"/>
    <x v="1"/>
    <n v="9"/>
    <x v="24"/>
    <n v="9"/>
    <x v="13"/>
    <n v="1.3099860300935688"/>
    <n v="2025"/>
    <n v="2025"/>
  </r>
  <r>
    <s v="TÉCNICO"/>
    <d v="2025-02-28T14:40:01"/>
    <d v="2025-03-06T14:19:26"/>
    <x v="0"/>
    <n v="9"/>
    <x v="24"/>
    <n v="10"/>
    <x v="7"/>
    <n v="5.9857054050880834"/>
    <n v="2025"/>
    <n v="2025"/>
  </r>
  <r>
    <s v="SOPORTE"/>
    <d v="2025-03-03T11:18:25"/>
    <d v="2025-03-04T10:16:10"/>
    <x v="1"/>
    <n v="10"/>
    <x v="25"/>
    <n v="10"/>
    <x v="7"/>
    <n v="0.95677131944103166"/>
    <n v="2025"/>
    <n v="2025"/>
  </r>
  <r>
    <s v="SOPORTE"/>
    <d v="2025-03-04T10:01:07"/>
    <d v="2025-03-07T13:07:35"/>
    <x v="1"/>
    <n v="10"/>
    <x v="25"/>
    <n v="10"/>
    <x v="7"/>
    <n v="3.1294849537080154"/>
    <n v="2025"/>
    <n v="2025"/>
  </r>
  <r>
    <s v="SOPORTE"/>
    <d v="2025-03-04T17:58:40"/>
    <d v="2025-03-05T12:32:51"/>
    <x v="1"/>
    <n v="10"/>
    <x v="25"/>
    <n v="10"/>
    <x v="7"/>
    <n v="0.77373037036886672"/>
    <n v="2025"/>
    <n v="2025"/>
  </r>
  <r>
    <s v="DESARROLLO"/>
    <d v="2025-03-05T16:58:35"/>
    <d v="2025-04-09T12:34:18"/>
    <x v="0"/>
    <n v="10"/>
    <x v="25"/>
    <n v="15"/>
    <x v="11"/>
    <n v="34.816473067126935"/>
    <n v="2025"/>
    <n v="2025"/>
  </r>
  <r>
    <s v="TÉCNICO"/>
    <d v="2025-03-05T17:43:14"/>
    <d v="2025-04-09T12:34:18"/>
    <x v="0"/>
    <n v="10"/>
    <x v="25"/>
    <n v="15"/>
    <x v="11"/>
    <n v="34.785461527775624"/>
    <n v="2025"/>
    <n v="2025"/>
  </r>
  <r>
    <s v="DESARROLLO"/>
    <d v="2025-03-06T08:36:05"/>
    <d v="2025-03-12T00:34:18"/>
    <x v="0"/>
    <n v="10"/>
    <x v="25"/>
    <n v="11"/>
    <x v="14"/>
    <n v="5.6654360185129917"/>
    <n v="2025"/>
    <n v="2025"/>
  </r>
  <r>
    <s v="SOPORTE"/>
    <d v="2025-03-06T08:40:37"/>
    <d v="2025-03-07T13:08:48"/>
    <x v="1"/>
    <n v="10"/>
    <x v="25"/>
    <n v="10"/>
    <x v="7"/>
    <n v="1.1862352083335281"/>
    <n v="2025"/>
    <n v="2025"/>
  </r>
  <r>
    <s v="SOPORTE"/>
    <d v="2025-03-06T14:00:01"/>
    <d v="2025-03-07T13:06:06"/>
    <x v="1"/>
    <n v="10"/>
    <x v="25"/>
    <n v="10"/>
    <x v="7"/>
    <n v="0.96255560185090872"/>
    <n v="2025"/>
    <n v="2025"/>
  </r>
  <r>
    <s v="SOPORTE"/>
    <d v="2025-03-07T12:46:39"/>
    <d v="2025-03-07T13:04:17"/>
    <x v="1"/>
    <n v="10"/>
    <x v="25"/>
    <n v="10"/>
    <x v="7"/>
    <n v="1.2253449080162682E-2"/>
    <n v="2025"/>
    <n v="2025"/>
  </r>
  <r>
    <s v="SOPORTE"/>
    <d v="2025-03-10T16:09:28"/>
    <d v="2025-03-14T13:35:18"/>
    <x v="1"/>
    <n v="11"/>
    <x v="26"/>
    <n v="11"/>
    <x v="14"/>
    <n v="3.8929310069433996"/>
    <n v="2025"/>
    <n v="2025"/>
  </r>
  <r>
    <s v="SOPORTE"/>
    <d v="2025-03-10T16:23:22"/>
    <d v="2025-03-10T17:18:43"/>
    <x v="1"/>
    <n v="11"/>
    <x v="26"/>
    <n v="11"/>
    <x v="14"/>
    <n v="3.8444351848738734E-2"/>
    <n v="2025"/>
    <n v="2025"/>
  </r>
  <r>
    <s v="SOPORTE"/>
    <d v="2025-03-11T09:06:08"/>
    <d v="2025-03-14T13:34:35"/>
    <x v="1"/>
    <n v="11"/>
    <x v="26"/>
    <n v="11"/>
    <x v="14"/>
    <n v="3.1864177661991562"/>
    <n v="2025"/>
    <n v="2025"/>
  </r>
  <r>
    <s v="TÉCNICO"/>
    <d v="2025-03-11T12:01:48"/>
    <d v="2025-03-11T16:28:28"/>
    <x v="0"/>
    <n v="11"/>
    <x v="26"/>
    <n v="11"/>
    <x v="14"/>
    <n v="0.18518638888781425"/>
    <n v="2025"/>
    <n v="2025"/>
  </r>
  <r>
    <s v="SOPORTE"/>
    <d v="2025-03-11T15:26:19"/>
    <d v="2025-03-26T17:10:36"/>
    <x v="1"/>
    <n v="11"/>
    <x v="26"/>
    <n v="13"/>
    <x v="15"/>
    <n v="15.07242179397872"/>
    <n v="2025"/>
    <n v="2025"/>
  </r>
  <r>
    <s v="SOPORTE"/>
    <d v="2025-03-11T16:18:25"/>
    <d v="2025-03-14T11:45:15"/>
    <x v="1"/>
    <n v="11"/>
    <x v="26"/>
    <n v="11"/>
    <x v="14"/>
    <n v="2.8103019328700611"/>
    <n v="2025"/>
    <n v="2025"/>
  </r>
  <r>
    <s v="SOPORTE"/>
    <d v="2025-03-12T17:41:25"/>
    <d v="2025-03-17T11:33:02"/>
    <x v="1"/>
    <n v="11"/>
    <x v="26"/>
    <n v="12"/>
    <x v="8"/>
    <n v="4.7441781828674721"/>
    <n v="2025"/>
    <n v="2025"/>
  </r>
  <r>
    <s v="TÉCNICO"/>
    <d v="2025-03-14T13:31:53"/>
    <d v="2025-03-27T10:11:00"/>
    <x v="0"/>
    <n v="11"/>
    <x v="26"/>
    <n v="13"/>
    <x v="15"/>
    <n v="12.860503483796492"/>
    <n v="2025"/>
    <n v="2025"/>
  </r>
  <r>
    <s v="TÉCNICO"/>
    <d v="2025-03-14T14:31:18"/>
    <d v="2025-03-17T10:59:17"/>
    <x v="0"/>
    <n v="11"/>
    <x v="26"/>
    <n v="12"/>
    <x v="8"/>
    <n v="2.8527753356538597"/>
    <n v="2025"/>
    <n v="2025"/>
  </r>
  <r>
    <s v="SOPORTE"/>
    <d v="2025-03-19T08:36:55"/>
    <d v="2025-03-20T10:17:06"/>
    <x v="1"/>
    <n v="12"/>
    <x v="27"/>
    <n v="12"/>
    <x v="8"/>
    <n v="1.0695798726883368"/>
    <n v="2025"/>
    <n v="2025"/>
  </r>
  <r>
    <s v="TÉCNICO"/>
    <d v="2025-03-19T09:31:10"/>
    <d v="2025-03-31T10:21:21"/>
    <x v="0"/>
    <n v="12"/>
    <x v="27"/>
    <n v="14"/>
    <x v="16"/>
    <n v="12.034842638888222"/>
    <n v="2025"/>
    <n v="2025"/>
  </r>
  <r>
    <s v="SOPORTE"/>
    <d v="2025-03-19T13:07:20"/>
    <d v="2025-03-19T13:24:00"/>
    <x v="1"/>
    <n v="12"/>
    <x v="27"/>
    <n v="12"/>
    <x v="8"/>
    <n v="1.1568182875635102E-2"/>
    <n v="2025"/>
    <n v="2025"/>
  </r>
  <r>
    <s v="DESARROLLO"/>
    <d v="2025-03-19T13:28:22"/>
    <d v="2025-03-27T10:43:07"/>
    <x v="0"/>
    <n v="12"/>
    <x v="27"/>
    <n v="13"/>
    <x v="15"/>
    <n v="7.8852509953721892"/>
    <n v="2025"/>
    <n v="2025"/>
  </r>
  <r>
    <s v="SOPORTE"/>
    <d v="2025-03-19T15:27:58"/>
    <d v="2025-04-07T10:55:09"/>
    <x v="1"/>
    <n v="12"/>
    <x v="27"/>
    <n v="15"/>
    <x v="11"/>
    <n v="18.810543298612174"/>
    <n v="2025"/>
    <n v="2025"/>
  </r>
  <r>
    <s v="DESARROLLO"/>
    <d v="2025-03-19T16:36:28"/>
    <d v="2025-04-08T10:29:41"/>
    <x v="0"/>
    <n v="12"/>
    <x v="27"/>
    <n v="15"/>
    <x v="11"/>
    <n v="19.745286342593317"/>
    <n v="2025"/>
    <n v="2025"/>
  </r>
  <r>
    <s v="DESARROLLO"/>
    <d v="2025-03-19T17:07:39"/>
    <d v="2025-08-26T13:33:37"/>
    <x v="0"/>
    <n v="12"/>
    <x v="27"/>
    <n v="35"/>
    <x v="17"/>
    <n v="159.8513606365741"/>
    <n v="2025"/>
    <n v="2025"/>
  </r>
  <r>
    <s v="SOPORTE"/>
    <d v="2025-03-24T09:30:35"/>
    <d v="2025-04-07T10:57:00"/>
    <x v="1"/>
    <n v="13"/>
    <x v="28"/>
    <n v="15"/>
    <x v="11"/>
    <n v="14.060001979167282"/>
    <n v="2025"/>
    <n v="2025"/>
  </r>
  <r>
    <s v="TÉCNICO"/>
    <d v="2025-03-24T09:34:15"/>
    <d v="2025-06-30T11:25:59"/>
    <x v="0"/>
    <n v="13"/>
    <x v="28"/>
    <n v="27"/>
    <x v="1"/>
    <n v="98.077590231485374"/>
    <n v="2025"/>
    <n v="2025"/>
  </r>
  <r>
    <s v="TÉCNICO"/>
    <d v="2025-03-24T09:35:14"/>
    <d v="2025-06-30T16:59:17"/>
    <x v="0"/>
    <n v="13"/>
    <x v="28"/>
    <n v="27"/>
    <x v="1"/>
    <n v="98.308374525462568"/>
    <n v="2025"/>
    <n v="2025"/>
  </r>
  <r>
    <s v="DESARROLLO"/>
    <d v="2025-03-24T10:41:02"/>
    <d v="2025-05-07T02:40:39"/>
    <x v="0"/>
    <n v="13"/>
    <x v="28"/>
    <n v="19"/>
    <x v="18"/>
    <n v="43.666401747686905"/>
    <n v="2025"/>
    <n v="2025"/>
  </r>
  <r>
    <s v="SOPORTE"/>
    <d v="2025-03-25T15:17:54"/>
    <d v="2025-03-26T13:47:59"/>
    <x v="1"/>
    <n v="13"/>
    <x v="28"/>
    <n v="13"/>
    <x v="15"/>
    <n v="0.93756347222370096"/>
    <n v="2025"/>
    <n v="2025"/>
  </r>
  <r>
    <s v="SOPORTE"/>
    <d v="2025-03-26T13:09:10"/>
    <d v="2025-04-21T10:19:44"/>
    <x v="1"/>
    <n v="13"/>
    <x v="28"/>
    <n v="17"/>
    <x v="19"/>
    <n v="25.882340034724621"/>
    <n v="2025"/>
    <n v="2025"/>
  </r>
  <r>
    <s v="DESARROLLO"/>
    <d v="2025-03-26T15:43:03"/>
    <d v="2025-06-19T09:19:38"/>
    <x v="0"/>
    <n v="13"/>
    <x v="28"/>
    <n v="25"/>
    <x v="5"/>
    <n v="84.733737951384683"/>
    <n v="2025"/>
    <n v="2025"/>
  </r>
  <r>
    <s v="SOPORTE"/>
    <d v="2025-03-26T16:05:13"/>
    <d v="2025-04-02T12:54:41"/>
    <x v="1"/>
    <n v="13"/>
    <x v="28"/>
    <n v="14"/>
    <x v="16"/>
    <n v="6.8676816898150719"/>
    <n v="2025"/>
    <n v="2025"/>
  </r>
  <r>
    <s v="TÉCNICO"/>
    <d v="2025-03-28T11:20:25"/>
    <d v="2025-03-31T10:21:25"/>
    <x v="0"/>
    <n v="13"/>
    <x v="28"/>
    <n v="14"/>
    <x v="16"/>
    <n v="2.9590256365772802"/>
    <n v="2025"/>
    <n v="2025"/>
  </r>
  <r>
    <s v="TÉCNICO"/>
    <d v="2025-03-28T11:22:28"/>
    <d v="2025-03-31T10:21:28"/>
    <x v="0"/>
    <n v="13"/>
    <x v="28"/>
    <n v="14"/>
    <x v="16"/>
    <n v="2.9576318634281051"/>
    <n v="2025"/>
    <n v="2025"/>
  </r>
  <r>
    <s v="TÉCNICO"/>
    <d v="2025-03-28T11:23:07"/>
    <d v="2025-03-31T10:21:31"/>
    <x v="0"/>
    <n v="13"/>
    <x v="28"/>
    <n v="14"/>
    <x v="16"/>
    <n v="2.9572286226903088"/>
    <n v="2025"/>
    <n v="2025"/>
  </r>
  <r>
    <s v="TÉCNICO"/>
    <d v="2025-03-28T11:24:08"/>
    <d v="2025-03-31T10:21:35"/>
    <x v="0"/>
    <n v="13"/>
    <x v="28"/>
    <n v="14"/>
    <x v="16"/>
    <n v="2.9565624537062831"/>
    <n v="2025"/>
    <n v="2025"/>
  </r>
  <r>
    <s v="TÉCNICO"/>
    <d v="2025-03-28T11:24:37"/>
    <d v="2025-03-31T10:21:39"/>
    <x v="0"/>
    <n v="13"/>
    <x v="28"/>
    <n v="14"/>
    <x v="16"/>
    <n v="2.9562763888898189"/>
    <n v="2025"/>
    <n v="2025"/>
  </r>
  <r>
    <s v="TÉCNICO"/>
    <d v="2025-03-28T11:25:10"/>
    <d v="2025-03-31T10:21:43"/>
    <x v="0"/>
    <n v="13"/>
    <x v="28"/>
    <n v="14"/>
    <x v="16"/>
    <n v="2.9559380787031841"/>
    <n v="2025"/>
    <n v="2025"/>
  </r>
  <r>
    <s v="SOPORTE"/>
    <d v="2025-03-31T09:43:48"/>
    <d v="2025-04-09T09:23:58"/>
    <x v="1"/>
    <n v="14"/>
    <x v="29"/>
    <n v="15"/>
    <x v="11"/>
    <n v="8.9862350578696351"/>
    <n v="2025"/>
    <n v="2025"/>
  </r>
  <r>
    <s v="SOPORTE"/>
    <d v="2025-03-31T16:35:34"/>
    <d v="2025-04-04T10:25:07"/>
    <x v="1"/>
    <n v="14"/>
    <x v="29"/>
    <n v="14"/>
    <x v="16"/>
    <n v="3.7427500578705803"/>
    <n v="2025"/>
    <n v="2025"/>
  </r>
  <r>
    <s v="SOPORTE"/>
    <d v="2025-04-01T11:58:43"/>
    <d v="2025-04-03T08:56:23"/>
    <x v="1"/>
    <n v="14"/>
    <x v="29"/>
    <n v="14"/>
    <x v="16"/>
    <n v="1.873378032403707"/>
    <n v="2025"/>
    <n v="2025"/>
  </r>
  <r>
    <s v="DEFINICIÓN"/>
    <d v="2025-04-02T08:29:47"/>
    <d v="2025-06-27T14:18:49"/>
    <x v="1"/>
    <n v="14"/>
    <x v="29"/>
    <n v="26"/>
    <x v="6"/>
    <n v="86.2423781018515"/>
    <n v="2025"/>
    <n v="2025"/>
  </r>
  <r>
    <s v="DESARROLLO"/>
    <d v="2025-04-02T12:49:09"/>
    <d v="2025-04-08T10:13:50"/>
    <x v="0"/>
    <n v="14"/>
    <x v="29"/>
    <n v="15"/>
    <x v="11"/>
    <n v="5.892135381945991"/>
    <n v="2025"/>
    <n v="2025"/>
  </r>
  <r>
    <s v="DESARROLLO"/>
    <d v="2025-04-03T09:34:46"/>
    <d v="2025-05-07T02:40:22"/>
    <x v="0"/>
    <n v="14"/>
    <x v="29"/>
    <n v="19"/>
    <x v="18"/>
    <n v="33.712222997688514"/>
    <n v="2025"/>
    <n v="2025"/>
  </r>
  <r>
    <s v="DESARROLLO"/>
    <d v="2025-04-03T10:08:00"/>
    <d v="2025-05-07T02:40:52"/>
    <x v="0"/>
    <n v="14"/>
    <x v="29"/>
    <n v="19"/>
    <x v="18"/>
    <n v="33.689486030089029"/>
    <n v="2025"/>
    <n v="2025"/>
  </r>
  <r>
    <s v="FUNCIONAL"/>
    <d v="2025-04-08T09:32:56"/>
    <d v="2025-07-23T11:43:03"/>
    <x v="0"/>
    <n v="15"/>
    <x v="30"/>
    <n v="30"/>
    <x v="20"/>
    <n v="106.09035962962662"/>
    <n v="2025"/>
    <n v="2025"/>
  </r>
  <r>
    <s v="DESARROLLO"/>
    <d v="2025-04-08T10:10:31"/>
    <d v="2025-06-27T14:18:14"/>
    <x v="0"/>
    <n v="15"/>
    <x v="30"/>
    <n v="26"/>
    <x v="6"/>
    <n v="80.172031712958415"/>
    <n v="2025"/>
    <n v="2025"/>
  </r>
  <r>
    <s v="DESARROLLO"/>
    <d v="2025-04-09T16:25:49"/>
    <d v="2025-05-08T15:58:54"/>
    <x v="0"/>
    <n v="15"/>
    <x v="30"/>
    <n v="19"/>
    <x v="18"/>
    <n v="28.981308449074277"/>
    <n v="2025"/>
    <n v="2025"/>
  </r>
  <r>
    <s v="SOPORTE"/>
    <d v="2025-04-10T09:52:21"/>
    <d v="2025-04-10T10:12:10"/>
    <x v="1"/>
    <n v="15"/>
    <x v="30"/>
    <n v="15"/>
    <x v="11"/>
    <n v="1.3757384258497041E-2"/>
    <n v="2025"/>
    <n v="2025"/>
  </r>
  <r>
    <s v="SOPORTE"/>
    <d v="2025-04-10T12:34:52"/>
    <d v="2025-05-08T09:24:09"/>
    <x v="1"/>
    <n v="15"/>
    <x v="30"/>
    <n v="19"/>
    <x v="18"/>
    <n v="27.867557800927898"/>
    <n v="2025"/>
    <n v="2025"/>
  </r>
  <r>
    <s v="SOPORTE"/>
    <d v="2025-04-10T15:47:55"/>
    <d v="2025-04-14T11:55:37"/>
    <x v="1"/>
    <n v="15"/>
    <x v="30"/>
    <n v="16"/>
    <x v="21"/>
    <n v="3.8386829513910925"/>
    <n v="2025"/>
    <n v="2025"/>
  </r>
  <r>
    <s v="DESARROLLO"/>
    <d v="2025-04-11T09:54:21"/>
    <d v="2025-04-11T13:01:46"/>
    <x v="0"/>
    <n v="15"/>
    <x v="30"/>
    <n v="15"/>
    <x v="11"/>
    <n v="0.13015734953660285"/>
    <n v="2025"/>
    <n v="2025"/>
  </r>
  <r>
    <s v="SOPORTE"/>
    <d v="2025-04-14T11:29:48"/>
    <d v="2025-04-21T10:15:35"/>
    <x v="1"/>
    <n v="16"/>
    <x v="31"/>
    <n v="17"/>
    <x v="19"/>
    <n v="6.9484664351839456"/>
    <n v="2025"/>
    <n v="2025"/>
  </r>
  <r>
    <s v="SOPORTE"/>
    <d v="2025-04-14T13:10:53"/>
    <d v="2025-04-23T14:32:24"/>
    <x v="1"/>
    <n v="16"/>
    <x v="31"/>
    <n v="17"/>
    <x v="19"/>
    <n v="9.0566127430574852"/>
    <n v="2025"/>
    <n v="2025"/>
  </r>
  <r>
    <s v="SOPORTE"/>
    <d v="2025-04-14T18:07:53"/>
    <d v="2025-04-30T15:04:38"/>
    <x v="1"/>
    <n v="16"/>
    <x v="31"/>
    <n v="18"/>
    <x v="22"/>
    <n v="15.872749143520196"/>
    <n v="2025"/>
    <n v="2025"/>
  </r>
  <r>
    <s v="SOPORTE"/>
    <d v="2025-04-15T07:58:15"/>
    <d v="2025-04-23T14:34:15"/>
    <x v="1"/>
    <n v="16"/>
    <x v="31"/>
    <n v="17"/>
    <x v="19"/>
    <n v="8.2749974537073285"/>
    <n v="2025"/>
    <n v="2025"/>
  </r>
  <r>
    <s v="DESARROLLO"/>
    <d v="2025-04-16T10:46:02"/>
    <d v="2025-05-22T13:16:06"/>
    <x v="0"/>
    <n v="16"/>
    <x v="31"/>
    <n v="21"/>
    <x v="23"/>
    <n v="36.104214513892657"/>
    <n v="2025"/>
    <n v="2025"/>
  </r>
  <r>
    <s v="DESARROLLO"/>
    <d v="2025-04-16T10:47:21"/>
    <d v="2025-05-22T13:16:09"/>
    <x v="0"/>
    <n v="16"/>
    <x v="31"/>
    <n v="21"/>
    <x v="23"/>
    <n v="36.103329618061252"/>
    <n v="2025"/>
    <n v="2025"/>
  </r>
  <r>
    <s v="DESARROLLO"/>
    <d v="2025-04-20T23:46:14"/>
    <d v="2025-05-07T02:40:39"/>
    <x v="0"/>
    <n v="17"/>
    <x v="32"/>
    <n v="19"/>
    <x v="18"/>
    <n v="16.121121030089853"/>
    <n v="2025"/>
    <n v="2025"/>
  </r>
  <r>
    <s v="SOPORTE"/>
    <d v="2025-04-21T11:46:39"/>
    <d v="2025-05-05T09:01:11"/>
    <x v="1"/>
    <n v="17"/>
    <x v="32"/>
    <n v="19"/>
    <x v="18"/>
    <n v="13.885097013888299"/>
    <n v="2025"/>
    <n v="2025"/>
  </r>
  <r>
    <s v="TÉCNICO"/>
    <d v="2025-04-21T13:59:24"/>
    <d v="2025-06-26T15:47:07"/>
    <x v="0"/>
    <n v="17"/>
    <x v="32"/>
    <n v="26"/>
    <x v="6"/>
    <n v="66.074800023146963"/>
    <n v="2025"/>
    <n v="2025"/>
  </r>
  <r>
    <s v="SOPORTE"/>
    <d v="2025-04-21T17:19:54"/>
    <d v="2025-04-23T14:35:37"/>
    <x v="1"/>
    <n v="17"/>
    <x v="32"/>
    <n v="17"/>
    <x v="19"/>
    <n v="1.8859240277815843"/>
    <n v="2025"/>
    <n v="2025"/>
  </r>
  <r>
    <s v="SOPORTE"/>
    <d v="2025-04-23T16:47:30"/>
    <d v="2025-04-30T15:06:52"/>
    <x v="1"/>
    <n v="17"/>
    <x v="32"/>
    <n v="18"/>
    <x v="22"/>
    <n v="6.9301104166661389"/>
    <n v="2025"/>
    <n v="2025"/>
  </r>
  <r>
    <s v="TÉCNICO"/>
    <d v="2025-04-24T08:57:34"/>
    <d v="2025-04-24T16:18:52"/>
    <x v="0"/>
    <n v="17"/>
    <x v="32"/>
    <n v="17"/>
    <x v="19"/>
    <n v="0.30646269676071825"/>
    <n v="2025"/>
    <n v="2025"/>
  </r>
  <r>
    <s v="SOPORTE"/>
    <d v="2025-04-24T09:15:39"/>
    <d v="2025-04-25T10:18:24"/>
    <x v="1"/>
    <n v="17"/>
    <x v="32"/>
    <n v="17"/>
    <x v="19"/>
    <n v="1.0435754513891879"/>
    <n v="2025"/>
    <n v="2025"/>
  </r>
  <r>
    <s v="SOPORTE"/>
    <d v="2025-04-24T12:59:49"/>
    <d v="2025-04-25T10:15:08"/>
    <x v="1"/>
    <n v="17"/>
    <x v="32"/>
    <n v="17"/>
    <x v="19"/>
    <n v="0.88564653935463866"/>
    <n v="2025"/>
    <n v="2025"/>
  </r>
  <r>
    <s v="DESARROLLO"/>
    <d v="2025-04-25T10:46:37"/>
    <d v="2025-05-28T14:52:09"/>
    <x v="0"/>
    <n v="17"/>
    <x v="32"/>
    <n v="22"/>
    <x v="24"/>
    <n v="33.170506215275964"/>
    <n v="2025"/>
    <n v="2025"/>
  </r>
  <r>
    <s v="DESARROLLO"/>
    <d v="2025-04-28T10:38:42"/>
    <d v="2025-05-28T16:27:12"/>
    <x v="0"/>
    <n v="18"/>
    <x v="33"/>
    <n v="22"/>
    <x v="24"/>
    <n v="30.242008333334525"/>
    <n v="2025"/>
    <n v="2025"/>
  </r>
  <r>
    <s v="SOPORTE"/>
    <d v="2025-04-28T11:44:04"/>
    <d v="2025-05-05T09:03:26"/>
    <x v="1"/>
    <n v="18"/>
    <x v="33"/>
    <n v="19"/>
    <x v="18"/>
    <n v="6.8884425347205251"/>
    <n v="2025"/>
    <n v="2025"/>
  </r>
  <r>
    <s v="DESARROLLO"/>
    <d v="2025-05-05T12:52:58"/>
    <d v="2025-05-08T15:58:46"/>
    <x v="0"/>
    <n v="19"/>
    <x v="34"/>
    <n v="19"/>
    <x v="18"/>
    <n v="3.1290257060245494"/>
    <n v="2025"/>
    <n v="2025"/>
  </r>
  <r>
    <s v="DESARROLLO"/>
    <d v="2025-05-05T18:10:39"/>
    <d v="2025-05-08T08:53:35"/>
    <x v="0"/>
    <n v="19"/>
    <x v="34"/>
    <n v="19"/>
    <x v="18"/>
    <n v="2.6131508217586088"/>
    <n v="2025"/>
    <n v="2025"/>
  </r>
  <r>
    <s v="DESARROLLO"/>
    <d v="2025-05-06T18:47:42"/>
    <d v="2025-05-08T09:20:12"/>
    <x v="0"/>
    <n v="19"/>
    <x v="34"/>
    <n v="19"/>
    <x v="18"/>
    <n v="1.6059009606469772"/>
    <n v="2025"/>
    <n v="2025"/>
  </r>
  <r>
    <s v="SOPORTE"/>
    <d v="2025-05-08T15:56:44"/>
    <d v="2025-05-12T09:02:22"/>
    <x v="1"/>
    <n v="19"/>
    <x v="34"/>
    <n v="20"/>
    <x v="25"/>
    <n v="3.7122404629626544"/>
    <n v="2025"/>
    <n v="2025"/>
  </r>
  <r>
    <s v="SOPORTE"/>
    <d v="2025-05-08T17:13:06"/>
    <d v="2025-05-12T09:03:08"/>
    <x v="1"/>
    <n v="19"/>
    <x v="34"/>
    <n v="20"/>
    <x v="25"/>
    <n v="3.6597401041653939"/>
    <n v="2025"/>
    <n v="2025"/>
  </r>
  <r>
    <s v="SOPORTE"/>
    <d v="2025-05-12T08:47:44"/>
    <d v="2025-05-16T12:33:51"/>
    <x v="1"/>
    <n v="20"/>
    <x v="35"/>
    <n v="20"/>
    <x v="25"/>
    <n v="4.1570263310204609"/>
    <n v="2025"/>
    <n v="2025"/>
  </r>
  <r>
    <s v="SOPORTE"/>
    <d v="2025-05-16T09:21:37"/>
    <d v="2025-05-21T10:44:20"/>
    <x v="1"/>
    <n v="20"/>
    <x v="35"/>
    <n v="21"/>
    <x v="23"/>
    <n v="5.0574424652804737"/>
    <n v="2025"/>
    <n v="2025"/>
  </r>
  <r>
    <s v="SOPORTE"/>
    <d v="2025-05-16T10:13:25"/>
    <d v="2025-05-19T16:38:55"/>
    <x v="1"/>
    <n v="20"/>
    <x v="35"/>
    <n v="21"/>
    <x v="23"/>
    <n v="3.2677145486159134"/>
    <n v="2025"/>
    <n v="2025"/>
  </r>
  <r>
    <s v="DESARROLLO"/>
    <d v="2025-05-16T12:32:15"/>
    <d v="2025-05-28T11:53:19"/>
    <x v="0"/>
    <n v="20"/>
    <x v="35"/>
    <n v="22"/>
    <x v="24"/>
    <n v="11.972961770836264"/>
    <n v="2025"/>
    <n v="2025"/>
  </r>
  <r>
    <s v="TÉCNICO"/>
    <d v="2025-05-19T12:04:37"/>
    <d v="2025-05-21T10:41:45"/>
    <x v="0"/>
    <n v="21"/>
    <x v="36"/>
    <n v="21"/>
    <x v="23"/>
    <n v="1.9424481134265079"/>
    <n v="2025"/>
    <n v="2025"/>
  </r>
  <r>
    <s v="SOPORTE"/>
    <d v="2025-05-19T12:55:50"/>
    <d v="2025-05-19T16:33:39"/>
    <x v="1"/>
    <n v="21"/>
    <x v="36"/>
    <n v="21"/>
    <x v="23"/>
    <n v="0.15126025462814141"/>
    <n v="2025"/>
    <n v="2025"/>
  </r>
  <r>
    <s v="SOPORTE"/>
    <d v="2025-05-19T14:16:09"/>
    <d v="2025-05-28T11:53:00"/>
    <x v="1"/>
    <n v="21"/>
    <x v="36"/>
    <n v="22"/>
    <x v="24"/>
    <n v="8.900593831021979"/>
    <n v="2025"/>
    <n v="2025"/>
  </r>
  <r>
    <s v="SOPORTE"/>
    <d v="2025-05-19T14:35:05"/>
    <d v="2025-05-21T10:39:07"/>
    <x v="1"/>
    <n v="21"/>
    <x v="36"/>
    <n v="21"/>
    <x v="23"/>
    <n v="1.8361347222235054"/>
    <n v="2025"/>
    <n v="2025"/>
  </r>
  <r>
    <s v="DESARROLLO"/>
    <d v="2025-05-20T10:41:41"/>
    <d v="9999-12-31T10:41:41"/>
    <x v="0"/>
    <n v="21"/>
    <x v="36"/>
    <n v="53"/>
    <x v="26"/>
    <n v="2912668"/>
    <n v="2025"/>
    <n v="9999"/>
  </r>
  <r>
    <s v="DESARROLLO"/>
    <d v="2025-05-20T10:46:40"/>
    <d v="2025-05-21T10:43:20"/>
    <x v="0"/>
    <n v="21"/>
    <x v="36"/>
    <n v="21"/>
    <x v="23"/>
    <n v="0.99767932870599907"/>
    <n v="2025"/>
    <n v="2025"/>
  </r>
  <r>
    <s v="SOPORTE"/>
    <d v="2025-05-20T13:42:38"/>
    <d v="2025-05-23T10:27:52"/>
    <x v="1"/>
    <n v="21"/>
    <x v="36"/>
    <n v="21"/>
    <x v="23"/>
    <n v="2.8647356250003213"/>
    <n v="2025"/>
    <n v="2025"/>
  </r>
  <r>
    <s v="TÉCNICO"/>
    <d v="2025-05-21T09:00:31"/>
    <d v="2025-09-16T16:56:23"/>
    <x v="0"/>
    <n v="21"/>
    <x v="36"/>
    <n v="38"/>
    <x v="27"/>
    <n v="118.33046369213116"/>
    <n v="2025"/>
    <n v="2025"/>
  </r>
  <r>
    <s v="DESARROLLO"/>
    <d v="2025-05-21T16:01:00"/>
    <d v="2025-06-25T17:49:10"/>
    <x v="0"/>
    <n v="21"/>
    <x v="36"/>
    <n v="26"/>
    <x v="6"/>
    <n v="35.075114062499779"/>
    <n v="2025"/>
    <n v="2025"/>
  </r>
  <r>
    <s v="SOPORTE"/>
    <d v="2025-05-21T16:27:58"/>
    <d v="2025-05-23T10:20:11"/>
    <x v="1"/>
    <n v="21"/>
    <x v="36"/>
    <n v="21"/>
    <x v="23"/>
    <n v="1.7445910648166318"/>
    <n v="2025"/>
    <n v="2025"/>
  </r>
  <r>
    <s v="SOPORTE"/>
    <d v="2025-05-22T11:53:44"/>
    <d v="2025-05-27T12:47:38"/>
    <x v="1"/>
    <n v="21"/>
    <x v="36"/>
    <n v="22"/>
    <x v="24"/>
    <n v="5.0374357754626544"/>
    <n v="2025"/>
    <n v="2025"/>
  </r>
  <r>
    <s v="SOPORTE"/>
    <d v="2025-05-26T12:34:02"/>
    <d v="2025-05-26T12:56:44"/>
    <x v="1"/>
    <n v="22"/>
    <x v="37"/>
    <n v="22"/>
    <x v="24"/>
    <n v="1.5762615737912711E-2"/>
    <n v="2025"/>
    <n v="2025"/>
  </r>
  <r>
    <s v="SOPORTE"/>
    <d v="2025-05-26T12:49:39"/>
    <d v="2025-06-10T11:08:23"/>
    <x v="1"/>
    <n v="22"/>
    <x v="37"/>
    <n v="24"/>
    <x v="28"/>
    <n v="14.929673101847584"/>
    <n v="2025"/>
    <n v="2025"/>
  </r>
  <r>
    <s v="DEFINICIÓN"/>
    <d v="2025-05-26T15:59:04"/>
    <d v="2025-07-23T10:11:17"/>
    <x v="1"/>
    <n v="22"/>
    <x v="37"/>
    <n v="30"/>
    <x v="20"/>
    <n v="57.758483784724376"/>
    <n v="2025"/>
    <n v="2025"/>
  </r>
  <r>
    <s v="TÉCNICO"/>
    <d v="2025-05-27T23:15:48"/>
    <d v="2025-06-27T10:43:31"/>
    <x v="0"/>
    <n v="22"/>
    <x v="37"/>
    <n v="26"/>
    <x v="6"/>
    <n v="30.47757079861185"/>
    <n v="2025"/>
    <n v="2025"/>
  </r>
  <r>
    <s v="SOPORTE"/>
    <d v="2025-05-28T10:37:03"/>
    <d v="2025-05-28T11:47:49"/>
    <x v="1"/>
    <n v="22"/>
    <x v="37"/>
    <n v="22"/>
    <x v="24"/>
    <n v="4.9145185184897855E-2"/>
    <n v="2025"/>
    <n v="2025"/>
  </r>
  <r>
    <s v="TÉCNICO"/>
    <d v="2025-05-28T10:48:41"/>
    <d v="2025-05-28T10:55:05"/>
    <x v="0"/>
    <n v="22"/>
    <x v="37"/>
    <n v="22"/>
    <x v="24"/>
    <n v="4.4396527810022235E-3"/>
    <n v="2025"/>
    <n v="2025"/>
  </r>
  <r>
    <s v="SOPORTE"/>
    <d v="2025-05-28T10:49:33"/>
    <d v="2025-05-28T11:51:24"/>
    <x v="1"/>
    <n v="22"/>
    <x v="37"/>
    <n v="22"/>
    <x v="24"/>
    <n v="4.2954571756126825E-2"/>
    <n v="2025"/>
    <n v="2025"/>
  </r>
  <r>
    <s v="SOPORTE"/>
    <d v="2025-05-28T10:50:20"/>
    <d v="2025-05-28T11:42:37"/>
    <x v="1"/>
    <n v="22"/>
    <x v="37"/>
    <n v="22"/>
    <x v="24"/>
    <n v="3.6304178240243345E-2"/>
    <n v="2025"/>
    <n v="2025"/>
  </r>
  <r>
    <s v="DESARROLLO"/>
    <d v="2025-05-28T11:53:59"/>
    <d v="9999-12-31T10:41:41"/>
    <x v="0"/>
    <n v="22"/>
    <x v="37"/>
    <n v="53"/>
    <x v="26"/>
    <n v="2912659.9497926855"/>
    <n v="2025"/>
    <n v="9999"/>
  </r>
  <r>
    <s v="DESARROLLO"/>
    <d v="2025-05-28T12:52:19"/>
    <d v="2025-05-28T15:43:05"/>
    <x v="0"/>
    <n v="22"/>
    <x v="37"/>
    <n v="22"/>
    <x v="24"/>
    <n v="0.11858664351893822"/>
    <n v="2025"/>
    <n v="2025"/>
  </r>
  <r>
    <s v="SOPORTE"/>
    <d v="2025-05-28T13:51:00"/>
    <d v="2025-05-30T10:46:59"/>
    <x v="1"/>
    <n v="22"/>
    <x v="37"/>
    <n v="22"/>
    <x v="24"/>
    <n v="1.8722081249943585"/>
    <n v="2025"/>
    <n v="2025"/>
  </r>
  <r>
    <s v="SOPORTE"/>
    <d v="2025-05-28T15:41:58"/>
    <d v="2025-05-29T15:59:00"/>
    <x v="1"/>
    <n v="22"/>
    <x v="37"/>
    <n v="22"/>
    <x v="24"/>
    <n v="1.0118222569435602"/>
    <n v="2025"/>
    <n v="2025"/>
  </r>
  <r>
    <s v="SOPORTE"/>
    <d v="2025-05-28T15:45:23"/>
    <d v="2025-05-28T16:07:49"/>
    <x v="1"/>
    <n v="22"/>
    <x v="37"/>
    <n v="22"/>
    <x v="24"/>
    <n v="1.558255786949303E-2"/>
    <n v="2025"/>
    <n v="2025"/>
  </r>
  <r>
    <s v="SOPORTE"/>
    <d v="2025-05-29T13:35:54"/>
    <d v="2025-05-29T15:56:52"/>
    <x v="1"/>
    <n v="22"/>
    <x v="37"/>
    <n v="22"/>
    <x v="24"/>
    <n v="9.7883043978072237E-2"/>
    <n v="2025"/>
    <n v="2025"/>
  </r>
  <r>
    <s v="DEFINICIÓN"/>
    <d v="2025-05-29T17:14:30"/>
    <d v="2025-07-23T10:11:17"/>
    <x v="1"/>
    <n v="22"/>
    <x v="37"/>
    <n v="30"/>
    <x v="20"/>
    <n v="54.706100636569317"/>
    <n v="2025"/>
    <n v="2025"/>
  </r>
  <r>
    <s v="TÉCNICO"/>
    <d v="2025-05-30T10:16:44"/>
    <d v="2025-05-30T10:23:25"/>
    <x v="0"/>
    <n v="22"/>
    <x v="37"/>
    <n v="22"/>
    <x v="24"/>
    <n v="4.6482407415169291E-3"/>
    <n v="2025"/>
    <n v="2025"/>
  </r>
  <r>
    <s v="SOPORTE"/>
    <d v="2025-06-02T11:58:55"/>
    <d v="2025-06-03T12:41:20"/>
    <x v="1"/>
    <n v="23"/>
    <x v="38"/>
    <n v="23"/>
    <x v="29"/>
    <n v="1.0294503240729682"/>
    <n v="2025"/>
    <n v="2025"/>
  </r>
  <r>
    <s v="SOPORTE"/>
    <d v="2025-06-02T12:14:24"/>
    <d v="2025-06-03T10:52:53"/>
    <x v="1"/>
    <n v="23"/>
    <x v="38"/>
    <n v="23"/>
    <x v="29"/>
    <n v="0.94339837963343598"/>
    <n v="2025"/>
    <n v="2025"/>
  </r>
  <r>
    <s v="SOPORTE"/>
    <d v="2025-06-03T10:05:23"/>
    <d v="2025-06-06T09:49:09"/>
    <x v="1"/>
    <n v="23"/>
    <x v="38"/>
    <n v="23"/>
    <x v="29"/>
    <n v="2.9887231365719344"/>
    <n v="2025"/>
    <n v="2025"/>
  </r>
  <r>
    <s v="SOPORTE"/>
    <d v="2025-06-03T10:05:53"/>
    <d v="2025-06-06T09:52:04"/>
    <x v="1"/>
    <n v="23"/>
    <x v="38"/>
    <n v="23"/>
    <x v="29"/>
    <n v="2.9904061458291835"/>
    <n v="2025"/>
    <n v="2025"/>
  </r>
  <r>
    <s v="DESARROLLO"/>
    <d v="2025-06-03T12:40:05"/>
    <d v="2025-06-04T16:06:39"/>
    <x v="0"/>
    <n v="23"/>
    <x v="38"/>
    <n v="23"/>
    <x v="29"/>
    <n v="1.14345090277493"/>
    <n v="2025"/>
    <n v="2025"/>
  </r>
  <r>
    <s v="SOPORTE"/>
    <d v="2025-06-03T13:47:03"/>
    <d v="2025-06-04T15:30:00"/>
    <x v="1"/>
    <n v="23"/>
    <x v="38"/>
    <n v="23"/>
    <x v="29"/>
    <n v="1.0714931249967776"/>
    <n v="2025"/>
    <n v="2025"/>
  </r>
  <r>
    <s v="SOPORTE"/>
    <d v="2025-06-03T16:44:56"/>
    <d v="2025-06-05T09:37:23"/>
    <x v="1"/>
    <n v="23"/>
    <x v="38"/>
    <n v="23"/>
    <x v="29"/>
    <n v="1.7031016550972709"/>
    <n v="2025"/>
    <n v="2025"/>
  </r>
  <r>
    <s v="DESARROLLO"/>
    <d v="2025-06-04T13:24:19"/>
    <d v="2025-07-23T10:11:17"/>
    <x v="0"/>
    <n v="23"/>
    <x v="38"/>
    <n v="30"/>
    <x v="20"/>
    <n v="48.86594313657406"/>
    <n v="2025"/>
    <n v="2025"/>
  </r>
  <r>
    <s v="DESARROLLO"/>
    <d v="2025-06-04T16:08:52"/>
    <d v="2025-06-04T16:12:32"/>
    <x v="0"/>
    <n v="23"/>
    <x v="38"/>
    <n v="23"/>
    <x v="29"/>
    <n v="2.5417013894184493E-3"/>
    <n v="2025"/>
    <n v="2025"/>
  </r>
  <r>
    <s v="SOPORTE"/>
    <d v="2025-06-05T09:36:12"/>
    <d v="2025-06-10T11:09:20"/>
    <x v="1"/>
    <n v="23"/>
    <x v="38"/>
    <n v="24"/>
    <x v="28"/>
    <n v="5.0646765624987893"/>
    <n v="2025"/>
    <n v="2025"/>
  </r>
  <r>
    <s v="SOPORTE"/>
    <d v="2025-06-05T12:15:18"/>
    <d v="2025-06-19T08:29:52"/>
    <x v="1"/>
    <n v="23"/>
    <x v="38"/>
    <n v="25"/>
    <x v="5"/>
    <n v="13.843446736114856"/>
    <n v="2025"/>
    <n v="2025"/>
  </r>
  <r>
    <s v="SOPORTE"/>
    <d v="2025-06-06T09:15:12"/>
    <d v="2025-06-10T11:29:27"/>
    <x v="1"/>
    <n v="23"/>
    <x v="38"/>
    <n v="24"/>
    <x v="28"/>
    <n v="4.0932244791692938"/>
    <n v="2025"/>
    <n v="2025"/>
  </r>
  <r>
    <s v="TÉCNICO"/>
    <d v="2025-06-06T13:28:58"/>
    <d v="2025-06-26T15:49:18"/>
    <x v="0"/>
    <n v="23"/>
    <x v="38"/>
    <n v="26"/>
    <x v="6"/>
    <n v="20.097456759256602"/>
    <n v="2025"/>
    <n v="2025"/>
  </r>
  <r>
    <s v="TÉCNICO"/>
    <d v="2025-06-06T15:14:01"/>
    <d v="2025-06-06T15:30:54"/>
    <x v="0"/>
    <n v="23"/>
    <x v="38"/>
    <n v="23"/>
    <x v="29"/>
    <n v="1.172149305784842E-2"/>
    <n v="2025"/>
    <n v="2025"/>
  </r>
  <r>
    <s v="SOPORTE"/>
    <d v="2025-06-10T08:13:48"/>
    <d v="2025-06-10T08:18:30"/>
    <x v="1"/>
    <n v="24"/>
    <x v="39"/>
    <n v="24"/>
    <x v="28"/>
    <n v="3.2585416629444808E-3"/>
    <n v="2025"/>
    <n v="2025"/>
  </r>
  <r>
    <s v="SOPORTE"/>
    <d v="2025-06-10T11:31:36"/>
    <d v="2025-06-12T13:40:50"/>
    <x v="1"/>
    <n v="24"/>
    <x v="39"/>
    <n v="24"/>
    <x v="28"/>
    <n v="2.0897496180550661"/>
    <n v="2025"/>
    <n v="2025"/>
  </r>
  <r>
    <s v="TÉCNICO"/>
    <d v="2025-06-10T13:41:16"/>
    <d v="2025-06-10T13:51:33"/>
    <x v="0"/>
    <n v="24"/>
    <x v="39"/>
    <n v="24"/>
    <x v="28"/>
    <n v="7.1357754641212523E-3"/>
    <n v="2025"/>
    <n v="2025"/>
  </r>
  <r>
    <s v="SOPORTE"/>
    <d v="2025-06-11T12:24:11"/>
    <d v="2025-06-12T13:39:58"/>
    <x v="1"/>
    <n v="24"/>
    <x v="39"/>
    <n v="24"/>
    <x v="28"/>
    <n v="1.0526281249985914"/>
    <n v="2025"/>
    <n v="2025"/>
  </r>
  <r>
    <s v="DESARROLLO"/>
    <d v="2025-06-11T18:39:07"/>
    <d v="2025-06-26T15:50:15"/>
    <x v="0"/>
    <n v="24"/>
    <x v="39"/>
    <n v="26"/>
    <x v="6"/>
    <n v="14.88274015046045"/>
    <n v="2025"/>
    <n v="2025"/>
  </r>
  <r>
    <s v="SOPORTE"/>
    <d v="2025-06-12T13:28:17"/>
    <d v="2025-06-16T12:26:30"/>
    <x v="1"/>
    <n v="24"/>
    <x v="39"/>
    <n v="25"/>
    <x v="5"/>
    <n v="3.9571008333296049"/>
    <n v="2025"/>
    <n v="2025"/>
  </r>
  <r>
    <s v="SOPORTE"/>
    <d v="2025-06-12T13:35:13"/>
    <d v="2025-06-16T12:27:14"/>
    <x v="1"/>
    <n v="24"/>
    <x v="39"/>
    <n v="25"/>
    <x v="5"/>
    <n v="3.952790023147827"/>
    <n v="2025"/>
    <n v="2025"/>
  </r>
  <r>
    <s v="DESARROLLO"/>
    <d v="2025-06-12T16:07:38"/>
    <d v="2025-07-23T11:38:53"/>
    <x v="0"/>
    <n v="24"/>
    <x v="39"/>
    <n v="30"/>
    <x v="20"/>
    <n v="40.813374328703503"/>
    <n v="2025"/>
    <n v="2025"/>
  </r>
  <r>
    <s v="DESARROLLO"/>
    <d v="2025-06-13T12:16:05"/>
    <d v="2025-06-23T10:17:31"/>
    <x v="0"/>
    <n v="24"/>
    <x v="39"/>
    <n v="26"/>
    <x v="6"/>
    <n v="9.91766917824134"/>
    <n v="2025"/>
    <n v="2025"/>
  </r>
  <r>
    <s v="TÉCNICO"/>
    <d v="2025-06-15T15:59:07"/>
    <d v="9999-12-31T10:41:41"/>
    <x v="0"/>
    <n v="25"/>
    <x v="40"/>
    <n v="53"/>
    <x v="26"/>
    <n v="2912641.7795600467"/>
    <n v="2025"/>
    <n v="9999"/>
  </r>
  <r>
    <s v="SOPORTE"/>
    <d v="2025-06-16T12:24:27"/>
    <d v="2025-06-16T13:54:59"/>
    <x v="1"/>
    <n v="25"/>
    <x v="40"/>
    <n v="25"/>
    <x v="5"/>
    <n v="6.2861365746357478E-2"/>
    <n v="2025"/>
    <n v="2025"/>
  </r>
  <r>
    <s v="SOPORTE"/>
    <d v="2025-06-16T12:28:53"/>
    <d v="2025-06-19T08:20:08"/>
    <x v="1"/>
    <n v="25"/>
    <x v="40"/>
    <n v="25"/>
    <x v="5"/>
    <n v="2.8272603356454056"/>
    <n v="2025"/>
    <n v="2025"/>
  </r>
  <r>
    <s v="SOPORTE"/>
    <d v="2025-06-16T13:47:30"/>
    <d v="2025-06-16T14:12:54"/>
    <x v="1"/>
    <n v="25"/>
    <x v="40"/>
    <n v="25"/>
    <x v="5"/>
    <n v="1.7634224539506249E-2"/>
    <n v="2025"/>
    <n v="2025"/>
  </r>
  <r>
    <s v="SOPORTE"/>
    <d v="2025-06-16T13:59:29"/>
    <d v="2025-06-19T08:21:02"/>
    <x v="1"/>
    <n v="25"/>
    <x v="40"/>
    <n v="25"/>
    <x v="5"/>
    <n v="2.7649566203690483"/>
    <n v="2025"/>
    <n v="2025"/>
  </r>
  <r>
    <s v="SOPORTE"/>
    <d v="2025-06-16T14:40:18"/>
    <d v="2025-06-25T09:34:32"/>
    <x v="1"/>
    <n v="25"/>
    <x v="40"/>
    <n v="26"/>
    <x v="6"/>
    <n v="8.7876637615772779"/>
    <n v="2025"/>
    <n v="2025"/>
  </r>
  <r>
    <s v="SOPORTE"/>
    <d v="2025-06-16T16:22:45"/>
    <d v="2025-06-17T19:20:21"/>
    <x v="1"/>
    <n v="25"/>
    <x v="40"/>
    <n v="25"/>
    <x v="5"/>
    <n v="1.1233343055573641"/>
    <n v="2025"/>
    <n v="2025"/>
  </r>
  <r>
    <s v="SOPORTE"/>
    <d v="2025-06-17T08:41:57"/>
    <d v="2025-06-26T10:53:06"/>
    <x v="1"/>
    <n v="25"/>
    <x v="40"/>
    <n v="26"/>
    <x v="6"/>
    <n v="9.0910808912012726"/>
    <n v="2025"/>
    <n v="2025"/>
  </r>
  <r>
    <s v="SOPORTE"/>
    <d v="2025-06-17T10:21:20"/>
    <d v="2025-06-26T10:53:37"/>
    <x v="1"/>
    <n v="25"/>
    <x v="40"/>
    <n v="26"/>
    <x v="6"/>
    <n v="9.022424687500461"/>
    <n v="2025"/>
    <n v="2025"/>
  </r>
  <r>
    <s v="SOPORTE"/>
    <d v="2025-06-17T10:22:41"/>
    <d v="2025-06-18T11:06:48"/>
    <x v="1"/>
    <n v="25"/>
    <x v="40"/>
    <n v="25"/>
    <x v="5"/>
    <n v="1.0306354282438406"/>
    <n v="2025"/>
    <n v="2025"/>
  </r>
  <r>
    <s v="SOPORTE"/>
    <d v="2025-06-17T12:19:53"/>
    <d v="2025-07-18T11:49:44"/>
    <x v="1"/>
    <n v="25"/>
    <x v="40"/>
    <n v="29"/>
    <x v="30"/>
    <n v="30.979061238431314"/>
    <n v="2025"/>
    <n v="2025"/>
  </r>
  <r>
    <s v="SOPORTE"/>
    <d v="2025-06-17T15:29:11"/>
    <d v="2025-06-26T10:54:13"/>
    <x v="1"/>
    <n v="25"/>
    <x v="40"/>
    <n v="26"/>
    <x v="6"/>
    <n v="8.8090576967588277"/>
    <n v="2025"/>
    <n v="2025"/>
  </r>
  <r>
    <s v="SOPORTE"/>
    <d v="2025-06-17T17:05:27"/>
    <d v="2025-06-19T09:09:58"/>
    <x v="1"/>
    <n v="25"/>
    <x v="40"/>
    <n v="25"/>
    <x v="5"/>
    <n v="1.6698047106474405"/>
    <n v="2025"/>
    <n v="2025"/>
  </r>
  <r>
    <s v="SOPORTE"/>
    <d v="2025-06-17T17:49:49"/>
    <d v="2025-06-19T09:10:44"/>
    <x v="1"/>
    <n v="25"/>
    <x v="40"/>
    <n v="25"/>
    <x v="5"/>
    <n v="1.6395268634223612"/>
    <n v="2025"/>
    <n v="2025"/>
  </r>
  <r>
    <s v="SOPORTE"/>
    <d v="2025-06-17T17:53:32"/>
    <d v="2025-06-19T09:11:15"/>
    <x v="1"/>
    <n v="25"/>
    <x v="40"/>
    <n v="25"/>
    <x v="5"/>
    <n v="1.6373114699090365"/>
    <n v="2025"/>
    <n v="2025"/>
  </r>
  <r>
    <s v="SOPORTE"/>
    <d v="2025-06-17T19:06:54"/>
    <d v="2025-06-19T08:31:34"/>
    <x v="1"/>
    <n v="25"/>
    <x v="40"/>
    <n v="25"/>
    <x v="5"/>
    <n v="1.5587980671261903"/>
    <n v="2025"/>
    <n v="2025"/>
  </r>
  <r>
    <s v="SOPORTE"/>
    <d v="2025-06-18T08:49:10"/>
    <d v="2025-06-26T10:55:11"/>
    <x v="1"/>
    <n v="25"/>
    <x v="40"/>
    <n v="26"/>
    <x v="6"/>
    <n v="8.0875125694437884"/>
    <n v="2025"/>
    <n v="2025"/>
  </r>
  <r>
    <s v="SOPORTE"/>
    <d v="2025-06-18T09:38:34"/>
    <d v="2025-06-19T08:29:42"/>
    <x v="1"/>
    <n v="25"/>
    <x v="40"/>
    <n v="25"/>
    <x v="5"/>
    <n v="0.95216744213394122"/>
    <n v="2025"/>
    <n v="2025"/>
  </r>
  <r>
    <s v="DESARROLLO"/>
    <d v="2025-06-18T10:06:30"/>
    <d v="2025-06-23T10:16:46"/>
    <x v="0"/>
    <n v="25"/>
    <x v="40"/>
    <n v="26"/>
    <x v="6"/>
    <n v="5.0071359606517944"/>
    <n v="2025"/>
    <n v="2025"/>
  </r>
  <r>
    <s v="SOPORTE"/>
    <d v="2025-06-18T10:20:02"/>
    <d v="2025-06-19T09:12:15"/>
    <x v="1"/>
    <n v="25"/>
    <x v="40"/>
    <n v="25"/>
    <x v="5"/>
    <n v="0.95292997685464798"/>
    <n v="2025"/>
    <n v="2025"/>
  </r>
  <r>
    <s v="SOPORTE"/>
    <d v="2025-06-18T11:45:40"/>
    <d v="2025-06-25T14:44:19"/>
    <x v="1"/>
    <n v="25"/>
    <x v="40"/>
    <n v="26"/>
    <x v="6"/>
    <n v="7.1240573379618581"/>
    <n v="2025"/>
    <n v="2025"/>
  </r>
  <r>
    <s v="SOPORTE"/>
    <d v="2025-06-19T08:33:08"/>
    <d v="2025-06-26T10:55:45"/>
    <x v="1"/>
    <n v="25"/>
    <x v="40"/>
    <n v="26"/>
    <x v="6"/>
    <n v="7.0990372453743475"/>
    <n v="2025"/>
    <n v="2025"/>
  </r>
  <r>
    <s v="TÉCNICO"/>
    <d v="2025-06-19T12:12:32"/>
    <d v="2025-06-19T12:26:20"/>
    <x v="0"/>
    <n v="25"/>
    <x v="40"/>
    <n v="25"/>
    <x v="5"/>
    <n v="9.5805092641967349E-3"/>
    <n v="2025"/>
    <n v="2025"/>
  </r>
  <r>
    <s v="SOPORTE"/>
    <d v="2025-06-23T08:33:23"/>
    <d v="2025-06-24T13:13:38"/>
    <x v="1"/>
    <n v="26"/>
    <x v="41"/>
    <n v="26"/>
    <x v="6"/>
    <n v="1.1946158912032843"/>
    <n v="2025"/>
    <n v="2025"/>
  </r>
  <r>
    <s v="DESARROLLO"/>
    <d v="2025-06-23T17:52:57"/>
    <d v="2025-07-23T11:41:26"/>
    <x v="0"/>
    <n v="26"/>
    <x v="41"/>
    <n v="30"/>
    <x v="20"/>
    <n v="29.742002141203557"/>
    <n v="2025"/>
    <n v="2025"/>
  </r>
  <r>
    <s v="DEFINICIÓN"/>
    <d v="2025-06-23T17:54:47"/>
    <d v="2025-07-23T11:41:46"/>
    <x v="1"/>
    <n v="26"/>
    <x v="41"/>
    <n v="30"/>
    <x v="20"/>
    <n v="29.740957719906874"/>
    <n v="2025"/>
    <n v="2025"/>
  </r>
  <r>
    <s v="SOPORTE"/>
    <d v="2025-06-24T10:14:41"/>
    <d v="2025-06-26T10:59:30"/>
    <x v="1"/>
    <n v="26"/>
    <x v="41"/>
    <n v="26"/>
    <x v="6"/>
    <n v="2.0311220833318657"/>
    <n v="2025"/>
    <n v="2025"/>
  </r>
  <r>
    <s v="TÉCNICO"/>
    <d v="2025-06-24T16:32:54"/>
    <d v="2025-06-24T16:42:02"/>
    <x v="0"/>
    <n v="26"/>
    <x v="41"/>
    <n v="26"/>
    <x v="6"/>
    <n v="6.3373726807185449E-3"/>
    <n v="2025"/>
    <n v="2025"/>
  </r>
  <r>
    <s v="SOPORTE"/>
    <d v="2025-06-25T09:29:06"/>
    <d v="2025-06-25T09:34:49"/>
    <x v="1"/>
    <n v="26"/>
    <x v="41"/>
    <n v="26"/>
    <x v="6"/>
    <n v="3.9630324099562131E-3"/>
    <n v="2025"/>
    <n v="2025"/>
  </r>
  <r>
    <s v="SOPORTE"/>
    <d v="2025-06-25T10:38:40"/>
    <d v="2025-06-26T10:56:59"/>
    <x v="1"/>
    <n v="26"/>
    <x v="41"/>
    <n v="26"/>
    <x v="6"/>
    <n v="1.0127227314806078"/>
    <n v="2025"/>
    <n v="2025"/>
  </r>
  <r>
    <s v="TÉCNICO"/>
    <d v="2025-06-25T13:52:40"/>
    <d v="2025-10-29T14:44:44"/>
    <x v="0"/>
    <n v="26"/>
    <x v="41"/>
    <n v="44"/>
    <x v="31"/>
    <n v="126.03614947916503"/>
    <n v="2025"/>
    <n v="2025"/>
  </r>
  <r>
    <s v="SOPORTE"/>
    <d v="2025-06-25T14:37:03"/>
    <d v="2025-06-25T14:39:15"/>
    <x v="1"/>
    <n v="26"/>
    <x v="41"/>
    <n v="26"/>
    <x v="6"/>
    <n v="1.5270254589268006E-3"/>
    <n v="2025"/>
    <n v="2025"/>
  </r>
  <r>
    <s v="SOPORTE"/>
    <d v="2025-06-26T10:09:44"/>
    <d v="2025-06-26T10:13:22"/>
    <x v="1"/>
    <n v="26"/>
    <x v="41"/>
    <n v="26"/>
    <x v="6"/>
    <n v="2.5329745330964215E-3"/>
    <n v="2025"/>
    <n v="2025"/>
  </r>
  <r>
    <s v="SOPORTE"/>
    <d v="2025-06-26T10:46:19"/>
    <d v="2025-06-26T10:52:21"/>
    <x v="1"/>
    <n v="26"/>
    <x v="41"/>
    <n v="26"/>
    <x v="6"/>
    <n v="4.1822685234365053E-3"/>
    <n v="2025"/>
    <n v="2025"/>
  </r>
  <r>
    <s v="TÉCNICO"/>
    <d v="2025-06-27T08:55:26"/>
    <d v="2025-06-30T10:11:08"/>
    <x v="0"/>
    <n v="26"/>
    <x v="41"/>
    <n v="27"/>
    <x v="1"/>
    <n v="3.0525653009244706"/>
    <n v="2025"/>
    <n v="2025"/>
  </r>
  <r>
    <s v="SOPORTE"/>
    <d v="2025-06-30T09:16:02"/>
    <d v="2025-07-01T10:38:33"/>
    <x v="1"/>
    <n v="27"/>
    <x v="42"/>
    <n v="27"/>
    <x v="1"/>
    <n v="1.0572994097237824"/>
    <n v="2025"/>
    <n v="2025"/>
  </r>
  <r>
    <s v="SOPORTE"/>
    <d v="2025-06-30T12:19:37"/>
    <d v="2025-07-01T13:45:04"/>
    <x v="1"/>
    <n v="27"/>
    <x v="42"/>
    <n v="27"/>
    <x v="1"/>
    <n v="1.0593406944462913"/>
    <n v="2025"/>
    <n v="2025"/>
  </r>
  <r>
    <s v="SOPORTE"/>
    <d v="2025-06-30T14:45:02"/>
    <d v="2025-06-30T15:25:30"/>
    <x v="1"/>
    <n v="27"/>
    <x v="42"/>
    <n v="27"/>
    <x v="1"/>
    <n v="2.8097303242248017E-2"/>
    <n v="2025"/>
    <n v="2025"/>
  </r>
  <r>
    <s v="SOPORTE"/>
    <d v="2025-06-30T15:26:15"/>
    <d v="2025-07-07T09:35:19"/>
    <x v="1"/>
    <n v="27"/>
    <x v="42"/>
    <n v="28"/>
    <x v="32"/>
    <n v="6.75629546296841"/>
    <n v="2025"/>
    <n v="2025"/>
  </r>
  <r>
    <s v="TÉCNICO"/>
    <d v="2025-06-30T15:29:42"/>
    <d v="2025-06-30T15:32:42"/>
    <x v="0"/>
    <n v="27"/>
    <x v="42"/>
    <n v="27"/>
    <x v="1"/>
    <n v="2.0849537031608634E-3"/>
    <n v="2025"/>
    <n v="2025"/>
  </r>
  <r>
    <s v="SOPORTE"/>
    <d v="2025-06-30T15:33:35"/>
    <d v="2025-07-07T09:36:20"/>
    <x v="1"/>
    <n v="27"/>
    <x v="42"/>
    <n v="28"/>
    <x v="32"/>
    <n v="6.7519175462948624"/>
    <n v="2025"/>
    <n v="2025"/>
  </r>
  <r>
    <s v="SOPORTE"/>
    <d v="2025-06-30T16:54:51"/>
    <d v="2025-07-01T10:34:53"/>
    <x v="1"/>
    <n v="27"/>
    <x v="42"/>
    <n v="27"/>
    <x v="1"/>
    <n v="0.73614334490412148"/>
    <n v="2025"/>
    <n v="2025"/>
  </r>
  <r>
    <s v="SOPORTE"/>
    <d v="2025-07-01T13:56:22"/>
    <d v="2025-07-07T09:31:49"/>
    <x v="1"/>
    <n v="27"/>
    <x v="42"/>
    <n v="28"/>
    <x v="32"/>
    <n v="5.8162854050897295"/>
    <n v="2025"/>
    <n v="2025"/>
  </r>
  <r>
    <s v="SOPORTE"/>
    <d v="2025-07-02T08:31:04"/>
    <d v="2025-07-02T11:31:56"/>
    <x v="1"/>
    <n v="27"/>
    <x v="42"/>
    <n v="27"/>
    <x v="1"/>
    <n v="0.12559813657571794"/>
    <n v="2025"/>
    <n v="2025"/>
  </r>
  <r>
    <s v="DEFINICIÓN"/>
    <d v="2025-07-02T08:54:13"/>
    <d v="2025-08-06T12:08:55"/>
    <x v="1"/>
    <n v="27"/>
    <x v="42"/>
    <n v="32"/>
    <x v="33"/>
    <n v="35.135206168983132"/>
    <n v="2025"/>
    <n v="2025"/>
  </r>
  <r>
    <s v="TÉCNICO"/>
    <d v="2025-07-02T11:58:04"/>
    <d v="2025-07-02T12:10:04"/>
    <x v="0"/>
    <n v="27"/>
    <x v="42"/>
    <n v="27"/>
    <x v="1"/>
    <n v="8.3262037005624734E-3"/>
    <n v="2025"/>
    <n v="2025"/>
  </r>
  <r>
    <s v="TÉCNICO"/>
    <d v="2025-07-02T13:45:48"/>
    <d v="2025-07-07T09:37:21"/>
    <x v="0"/>
    <n v="27"/>
    <x v="42"/>
    <n v="28"/>
    <x v="32"/>
    <n v="4.8274628819417558"/>
    <n v="2025"/>
    <n v="2025"/>
  </r>
  <r>
    <s v="TÉCNICO"/>
    <d v="2025-07-03T12:30:31"/>
    <d v="2025-07-07T09:38:12"/>
    <x v="0"/>
    <n v="27"/>
    <x v="42"/>
    <n v="28"/>
    <x v="32"/>
    <n v="3.8803311458323151"/>
    <n v="2025"/>
    <n v="2025"/>
  </r>
  <r>
    <s v="SOPORTE"/>
    <d v="2025-07-03T13:44:44"/>
    <d v="2025-07-10T10:03:53"/>
    <x v="1"/>
    <n v="27"/>
    <x v="42"/>
    <n v="28"/>
    <x v="32"/>
    <n v="6.8466356828721473"/>
    <n v="2025"/>
    <n v="2025"/>
  </r>
  <r>
    <s v="TÉCNICO"/>
    <d v="2025-07-04T09:49:39"/>
    <d v="2025-07-07T09:39:24"/>
    <x v="0"/>
    <n v="27"/>
    <x v="42"/>
    <n v="28"/>
    <x v="32"/>
    <n v="2.9928766435186844"/>
    <n v="2025"/>
    <n v="2025"/>
  </r>
  <r>
    <s v="DESARROLLO"/>
    <d v="2025-07-04T10:02:36"/>
    <d v="2025-07-23T11:47:24"/>
    <x v="0"/>
    <n v="27"/>
    <x v="42"/>
    <n v="30"/>
    <x v="20"/>
    <n v="19.072779340276611"/>
    <n v="2025"/>
    <n v="2025"/>
  </r>
  <r>
    <s v="SOPORTE"/>
    <d v="2025-07-07T09:25:13"/>
    <d v="2025-07-09T15:03:45"/>
    <x v="1"/>
    <n v="28"/>
    <x v="43"/>
    <n v="28"/>
    <x v="32"/>
    <n v="2.235091539354471"/>
    <n v="2025"/>
    <n v="2025"/>
  </r>
  <r>
    <s v="SOPORTE"/>
    <d v="2025-07-07T13:13:33"/>
    <d v="2025-07-07T13:18:13"/>
    <x v="1"/>
    <n v="28"/>
    <x v="43"/>
    <n v="28"/>
    <x v="32"/>
    <n v="3.2449999998789281E-3"/>
    <n v="2025"/>
    <n v="2025"/>
  </r>
  <r>
    <s v="SOPORTE"/>
    <d v="2025-07-08T09:59:50"/>
    <d v="2025-07-17T09:41:26"/>
    <x v="1"/>
    <n v="28"/>
    <x v="43"/>
    <n v="29"/>
    <x v="30"/>
    <n v="8.9872192476832424"/>
    <n v="2025"/>
    <n v="2025"/>
  </r>
  <r>
    <s v="SOPORTE"/>
    <d v="2025-07-09T10:53:43"/>
    <d v="2025-07-15T12:13:52"/>
    <x v="1"/>
    <n v="28"/>
    <x v="43"/>
    <n v="29"/>
    <x v="30"/>
    <n v="6.0556563888894743"/>
    <n v="2025"/>
    <n v="2025"/>
  </r>
  <r>
    <s v="DESARROLLO"/>
    <d v="2025-07-09T11:02:12"/>
    <d v="2025-07-23T11:47:29"/>
    <x v="0"/>
    <n v="28"/>
    <x v="43"/>
    <n v="30"/>
    <x v="20"/>
    <n v="14.031448576388357"/>
    <n v="2025"/>
    <n v="2025"/>
  </r>
  <r>
    <s v="SOPORTE"/>
    <d v="2025-07-09T11:05:48"/>
    <d v="2025-07-09T11:08:46"/>
    <x v="1"/>
    <n v="28"/>
    <x v="43"/>
    <n v="28"/>
    <x v="32"/>
    <n v="2.0554398142849095E-3"/>
    <n v="2025"/>
    <n v="2025"/>
  </r>
  <r>
    <s v="SOPORTE"/>
    <d v="2025-07-10T11:55:31"/>
    <d v="2025-07-11T14:13:49"/>
    <x v="1"/>
    <n v="28"/>
    <x v="43"/>
    <n v="28"/>
    <x v="32"/>
    <n v="1.0960479282439337"/>
    <n v="2025"/>
    <n v="2025"/>
  </r>
  <r>
    <s v="SOPORTE"/>
    <d v="2025-07-14T09:12:57"/>
    <d v="2025-07-29T12:17:51"/>
    <x v="1"/>
    <n v="29"/>
    <x v="44"/>
    <n v="31"/>
    <x v="34"/>
    <n v="15.128399513887416"/>
    <n v="2025"/>
    <n v="2025"/>
  </r>
  <r>
    <s v="DESARROLLO"/>
    <d v="2025-07-14T10:47:15"/>
    <d v="2025-08-06T12:08:55"/>
    <x v="0"/>
    <n v="29"/>
    <x v="44"/>
    <n v="32"/>
    <x v="33"/>
    <n v="23.056710162032687"/>
    <n v="2025"/>
    <n v="2025"/>
  </r>
  <r>
    <s v="SOPORTE"/>
    <d v="2025-07-14T11:28:21"/>
    <d v="2025-07-29T12:18:35"/>
    <x v="1"/>
    <n v="29"/>
    <x v="44"/>
    <n v="31"/>
    <x v="34"/>
    <n v="15.034890486109362"/>
    <n v="2025"/>
    <n v="2025"/>
  </r>
  <r>
    <s v="SOPORTE"/>
    <d v="2025-07-14T14:50:00"/>
    <d v="2025-07-15T14:42:17"/>
    <x v="1"/>
    <n v="29"/>
    <x v="44"/>
    <n v="29"/>
    <x v="30"/>
    <n v="0.99463606481003808"/>
    <n v="2025"/>
    <n v="2025"/>
  </r>
  <r>
    <s v="SOPORTE"/>
    <d v="2025-07-15T07:52:42"/>
    <d v="2025-07-24T08:31:12"/>
    <x v="1"/>
    <n v="29"/>
    <x v="44"/>
    <n v="30"/>
    <x v="20"/>
    <n v="9.0267397800926119"/>
    <n v="2025"/>
    <n v="2025"/>
  </r>
  <r>
    <s v="SOPORTE"/>
    <d v="2025-07-15T10:30:02"/>
    <d v="2025-07-21T08:36:34"/>
    <x v="1"/>
    <n v="29"/>
    <x v="44"/>
    <n v="30"/>
    <x v="20"/>
    <n v="5.9212104861144326"/>
    <n v="2025"/>
    <n v="2025"/>
  </r>
  <r>
    <s v="DESARROLLO"/>
    <d v="2025-07-15T11:45:43"/>
    <d v="2025-07-18T13:44:52"/>
    <x v="0"/>
    <n v="29"/>
    <x v="44"/>
    <n v="29"/>
    <x v="30"/>
    <n v="3.082734479168721"/>
    <n v="2025"/>
    <n v="2025"/>
  </r>
  <r>
    <s v="SOPORTE"/>
    <d v="2025-07-15T14:32:53"/>
    <d v="2025-07-15T14:40:48"/>
    <x v="1"/>
    <n v="29"/>
    <x v="44"/>
    <n v="29"/>
    <x v="30"/>
    <n v="5.490208335686475E-3"/>
    <n v="2025"/>
    <n v="2025"/>
  </r>
  <r>
    <s v="SOPORTE"/>
    <d v="2025-07-16T08:47:37"/>
    <d v="2025-07-16T11:28:30"/>
    <x v="1"/>
    <n v="29"/>
    <x v="44"/>
    <n v="29"/>
    <x v="30"/>
    <n v="0.11171667824237375"/>
    <n v="2025"/>
    <n v="2025"/>
  </r>
  <r>
    <s v="SOPORTE"/>
    <d v="2025-07-16T09:57:35"/>
    <d v="2025-07-21T13:03:37"/>
    <x v="1"/>
    <n v="29"/>
    <x v="44"/>
    <n v="30"/>
    <x v="20"/>
    <n v="5.1291918055503629"/>
    <n v="2025"/>
    <n v="2025"/>
  </r>
  <r>
    <s v="SOPORTE"/>
    <d v="2025-07-17T09:45:26"/>
    <d v="2025-07-29T12:19:45"/>
    <x v="1"/>
    <n v="29"/>
    <x v="44"/>
    <n v="31"/>
    <x v="34"/>
    <n v="12.107173715281533"/>
    <n v="2025"/>
    <n v="2025"/>
  </r>
  <r>
    <s v="SOPORTE"/>
    <d v="2025-07-17T10:34:45"/>
    <d v="2025-07-22T12:04:17"/>
    <x v="1"/>
    <n v="29"/>
    <x v="44"/>
    <n v="30"/>
    <x v="20"/>
    <n v="5.0621804166657967"/>
    <n v="2025"/>
    <n v="2025"/>
  </r>
  <r>
    <s v="SOPORTE"/>
    <d v="2025-07-17T11:26:54"/>
    <d v="2025-07-18T10:22:34"/>
    <x v="1"/>
    <n v="29"/>
    <x v="44"/>
    <n v="29"/>
    <x v="30"/>
    <n v="0.95532101851858897"/>
    <n v="2025"/>
    <n v="2025"/>
  </r>
  <r>
    <s v="DESARROLLO"/>
    <d v="2025-07-17T14:36:07"/>
    <d v="2025-07-31T12:02:47"/>
    <x v="0"/>
    <n v="29"/>
    <x v="44"/>
    <n v="31"/>
    <x v="34"/>
    <n v="13.893521168982261"/>
    <n v="2025"/>
    <n v="2025"/>
  </r>
  <r>
    <s v="SOPORTE"/>
    <d v="2025-07-18T11:45:04"/>
    <d v="2025-07-18T11:53:40"/>
    <x v="1"/>
    <n v="29"/>
    <x v="44"/>
    <n v="29"/>
    <x v="30"/>
    <n v="5.9707523178076372E-3"/>
    <n v="2025"/>
    <n v="2025"/>
  </r>
  <r>
    <s v="SOPORTE"/>
    <d v="2025-07-18T13:26:57"/>
    <d v="2025-07-29T12:20:18"/>
    <x v="1"/>
    <n v="29"/>
    <x v="44"/>
    <n v="31"/>
    <x v="34"/>
    <n v="10.953720659716055"/>
    <n v="2025"/>
    <n v="2025"/>
  </r>
  <r>
    <s v="SOPORTE"/>
    <d v="2025-07-21T08:34:58"/>
    <d v="2025-07-22T12:02:12"/>
    <x v="1"/>
    <n v="30"/>
    <x v="45"/>
    <n v="30"/>
    <x v="20"/>
    <n v="1.1439116319452296"/>
    <n v="2025"/>
    <n v="2025"/>
  </r>
  <r>
    <s v="SOPORTE"/>
    <d v="2025-07-21T11:50:31"/>
    <d v="2025-07-22T11:59:48"/>
    <x v="1"/>
    <n v="30"/>
    <x v="45"/>
    <n v="30"/>
    <x v="20"/>
    <n v="1.0064358564777649"/>
    <n v="2025"/>
    <n v="2025"/>
  </r>
  <r>
    <s v="SOPORTE"/>
    <d v="2025-07-21T14:44:40"/>
    <d v="2025-07-21T14:57:20"/>
    <x v="1"/>
    <n v="30"/>
    <x v="45"/>
    <n v="30"/>
    <x v="20"/>
    <n v="8.7979050949797966E-3"/>
    <n v="2025"/>
    <n v="2025"/>
  </r>
  <r>
    <s v="SOPORTE"/>
    <d v="2025-07-21T14:48:21"/>
    <d v="2025-07-23T10:03:26"/>
    <x v="1"/>
    <n v="30"/>
    <x v="45"/>
    <n v="30"/>
    <x v="20"/>
    <n v="1.8021411805530079"/>
    <n v="2025"/>
    <n v="2025"/>
  </r>
  <r>
    <s v="DESARROLLO"/>
    <d v="2025-07-22T14:36:55"/>
    <d v="2025-08-06T12:11:02"/>
    <x v="0"/>
    <n v="30"/>
    <x v="45"/>
    <n v="32"/>
    <x v="33"/>
    <n v="14.898695555551967"/>
    <n v="2025"/>
    <n v="2025"/>
  </r>
  <r>
    <s v="SOPORTE"/>
    <d v="2025-07-23T10:06:03"/>
    <d v="2025-07-24T10:20:48"/>
    <x v="1"/>
    <n v="30"/>
    <x v="45"/>
    <n v="30"/>
    <x v="20"/>
    <n v="1.0102466666648979"/>
    <n v="2025"/>
    <n v="2025"/>
  </r>
  <r>
    <s v="SOPORTE"/>
    <d v="2025-07-23T12:27:42"/>
    <d v="2025-07-23T12:40:56"/>
    <x v="1"/>
    <n v="30"/>
    <x v="45"/>
    <n v="30"/>
    <x v="20"/>
    <n v="9.1971527799614705E-3"/>
    <n v="2025"/>
    <n v="2025"/>
  </r>
  <r>
    <s v="DEFINICIÓN"/>
    <d v="2025-07-24T08:32:18"/>
    <d v="2025-07-31T12:02:51"/>
    <x v="1"/>
    <n v="30"/>
    <x v="45"/>
    <n v="31"/>
    <x v="34"/>
    <n v="7.1462159953734954"/>
    <n v="2025"/>
    <n v="2025"/>
  </r>
  <r>
    <s v="SOPORTE"/>
    <d v="2025-07-28T09:01:44"/>
    <d v="2025-07-28T09:15:18"/>
    <x v="1"/>
    <n v="31"/>
    <x v="46"/>
    <n v="31"/>
    <x v="34"/>
    <n v="9.4239467580337077E-3"/>
    <n v="2025"/>
    <n v="2025"/>
  </r>
  <r>
    <s v="REPROCESO"/>
    <d v="2025-07-28T09:19:32"/>
    <d v="2025-07-30T17:48:44"/>
    <x v="0"/>
    <n v="31"/>
    <x v="46"/>
    <n v="31"/>
    <x v="34"/>
    <n v="2.3536109606502578"/>
    <n v="2025"/>
    <n v="2025"/>
  </r>
  <r>
    <s v="SOPORTE"/>
    <d v="2025-07-28T09:33:14"/>
    <d v="2025-07-30T13:55:52"/>
    <x v="1"/>
    <n v="31"/>
    <x v="46"/>
    <n v="31"/>
    <x v="34"/>
    <n v="2.1823840277720592"/>
    <n v="2025"/>
    <n v="2025"/>
  </r>
  <r>
    <s v="SOPORTE"/>
    <d v="2025-07-28T09:38:22"/>
    <d v="2025-07-30T09:12:40"/>
    <x v="1"/>
    <n v="31"/>
    <x v="46"/>
    <n v="31"/>
    <x v="34"/>
    <n v="1.9821482638872112"/>
    <n v="2025"/>
    <n v="2025"/>
  </r>
  <r>
    <s v="SOPORTE"/>
    <d v="2025-07-28T10:40:13"/>
    <d v="2025-07-29T12:20:35"/>
    <x v="1"/>
    <n v="31"/>
    <x v="46"/>
    <n v="31"/>
    <x v="34"/>
    <n v="1.0697011689844658"/>
    <n v="2025"/>
    <n v="2025"/>
  </r>
  <r>
    <s v="DESARROLLO"/>
    <d v="2025-07-28T13:40:36"/>
    <d v="9999-12-31T10:41:41"/>
    <x v="0"/>
    <n v="31"/>
    <x v="46"/>
    <n v="53"/>
    <x v="26"/>
    <n v="2912598.8757500811"/>
    <n v="2025"/>
    <n v="9999"/>
  </r>
  <r>
    <s v="TÉCNICO"/>
    <d v="2025-07-28T14:40:18"/>
    <d v="2025-07-30T15:37:14"/>
    <x v="0"/>
    <n v="31"/>
    <x v="46"/>
    <n v="31"/>
    <x v="34"/>
    <n v="2.0395396643507411"/>
    <n v="2025"/>
    <n v="2025"/>
  </r>
  <r>
    <s v="SOPORTE"/>
    <d v="2025-07-29T12:15:12"/>
    <d v="2025-07-29T14:53:52"/>
    <x v="1"/>
    <n v="31"/>
    <x v="46"/>
    <n v="31"/>
    <x v="34"/>
    <n v="0.11018319443974178"/>
    <n v="2025"/>
    <n v="2025"/>
  </r>
  <r>
    <s v="SOPORTE"/>
    <d v="2025-07-29T12:37:25"/>
    <d v="2025-07-30T09:10:24"/>
    <x v="1"/>
    <n v="31"/>
    <x v="46"/>
    <n v="31"/>
    <x v="34"/>
    <n v="0.85623315972043201"/>
    <n v="2025"/>
    <n v="2025"/>
  </r>
  <r>
    <s v="SOPORTE"/>
    <d v="2025-07-29T14:29:46"/>
    <d v="2025-07-29T14:53:24"/>
    <x v="1"/>
    <n v="31"/>
    <x v="46"/>
    <n v="31"/>
    <x v="34"/>
    <n v="1.6421157408331055E-2"/>
    <n v="2025"/>
    <n v="2025"/>
  </r>
  <r>
    <s v="TÉCNICO"/>
    <d v="2025-07-30T13:57:26"/>
    <d v="2025-08-08T10:26:38"/>
    <x v="0"/>
    <n v="31"/>
    <x v="46"/>
    <n v="32"/>
    <x v="33"/>
    <n v="8.853602662034973"/>
    <n v="2025"/>
    <n v="2025"/>
  </r>
  <r>
    <s v="SOPORTE"/>
    <d v="2025-08-01T10:04:53"/>
    <d v="2025-08-05T09:46:47"/>
    <x v="1"/>
    <n v="31"/>
    <x v="46"/>
    <n v="32"/>
    <x v="33"/>
    <n v="3.9874240624994854"/>
    <n v="2025"/>
    <n v="2025"/>
  </r>
  <r>
    <s v="SOPORTE"/>
    <d v="2025-08-01T10:29:58"/>
    <d v="2025-09-04T08:58:26"/>
    <x v="1"/>
    <n v="31"/>
    <x v="46"/>
    <n v="36"/>
    <x v="35"/>
    <n v="33.936434444440238"/>
    <n v="2025"/>
    <n v="2025"/>
  </r>
  <r>
    <s v="SOPORTE"/>
    <d v="2025-08-01T10:40:24"/>
    <d v="2025-08-04T10:54:31"/>
    <x v="1"/>
    <n v="31"/>
    <x v="46"/>
    <n v="32"/>
    <x v="33"/>
    <n v="3.0098013425958925"/>
    <n v="2025"/>
    <n v="2025"/>
  </r>
  <r>
    <s v="DEFINICIÓN"/>
    <d v="2025-08-01T11:51:18"/>
    <d v="2025-09-03T01:13:09"/>
    <x v="1"/>
    <n v="31"/>
    <x v="46"/>
    <n v="36"/>
    <x v="35"/>
    <n v="32.556840682867914"/>
    <n v="2025"/>
    <n v="2025"/>
  </r>
  <r>
    <s v="SOPORTE"/>
    <d v="2025-08-01T12:38:48"/>
    <d v="2025-08-06T08:32:54"/>
    <x v="1"/>
    <n v="31"/>
    <x v="46"/>
    <n v="32"/>
    <x v="33"/>
    <n v="4.8292425925901625"/>
    <n v="2025"/>
    <n v="2025"/>
  </r>
  <r>
    <s v="TÉCNICO"/>
    <d v="2025-08-01T13:56:24"/>
    <d v="2025-08-06T09:11:00"/>
    <x v="0"/>
    <n v="31"/>
    <x v="46"/>
    <n v="32"/>
    <x v="33"/>
    <n v="4.8018012962929788"/>
    <n v="2025"/>
    <n v="2025"/>
  </r>
  <r>
    <s v="SOPORTE"/>
    <d v="2025-08-04T09:29:50"/>
    <d v="2025-08-04T09:45:53"/>
    <x v="1"/>
    <n v="32"/>
    <x v="47"/>
    <n v="32"/>
    <x v="33"/>
    <n v="1.1139444439322688E-2"/>
    <n v="2025"/>
    <n v="2025"/>
  </r>
  <r>
    <s v="SOPORTE"/>
    <d v="2025-08-04T11:29:35"/>
    <d v="2025-08-05T13:11:46"/>
    <x v="1"/>
    <n v="32"/>
    <x v="47"/>
    <n v="32"/>
    <x v="33"/>
    <n v="1.0709692824093509"/>
    <n v="2025"/>
    <n v="2025"/>
  </r>
  <r>
    <s v="TÉCNICO"/>
    <d v="2025-08-04T11:49:56"/>
    <d v="2025-09-16T16:56:33"/>
    <x v="0"/>
    <n v="32"/>
    <x v="47"/>
    <n v="38"/>
    <x v="27"/>
    <n v="43.212924814812141"/>
    <n v="2025"/>
    <n v="2025"/>
  </r>
  <r>
    <s v="SOPORTE"/>
    <d v="2025-08-05T08:03:16"/>
    <d v="2025-08-05T13:11:56"/>
    <x v="1"/>
    <n v="32"/>
    <x v="47"/>
    <n v="32"/>
    <x v="33"/>
    <n v="0.21436297453328734"/>
    <n v="2025"/>
    <n v="2025"/>
  </r>
  <r>
    <s v="SOPORTE"/>
    <d v="2025-08-05T08:12:10"/>
    <d v="2025-08-06T15:38:37"/>
    <x v="1"/>
    <n v="32"/>
    <x v="47"/>
    <n v="32"/>
    <x v="33"/>
    <n v="1.3100347569416044"/>
    <n v="2025"/>
    <n v="2025"/>
  </r>
  <r>
    <s v="SOPORTE"/>
    <d v="2025-08-05T09:04:22"/>
    <d v="2025-08-05T13:12:08"/>
    <x v="1"/>
    <n v="32"/>
    <x v="47"/>
    <n v="32"/>
    <x v="33"/>
    <n v="0.17205997685232433"/>
    <n v="2025"/>
    <n v="2025"/>
  </r>
  <r>
    <s v="SOPORTE"/>
    <d v="2025-08-05T09:42:50"/>
    <d v="2025-09-03T15:04:29"/>
    <x v="1"/>
    <n v="32"/>
    <x v="47"/>
    <n v="36"/>
    <x v="35"/>
    <n v="29.223376979163731"/>
    <n v="2025"/>
    <n v="2025"/>
  </r>
  <r>
    <s v="SOPORTE"/>
    <d v="2025-08-05T10:37:45"/>
    <d v="2025-08-06T08:37:10"/>
    <x v="1"/>
    <n v="32"/>
    <x v="47"/>
    <n v="32"/>
    <x v="33"/>
    <n v="0.91625626157474471"/>
    <n v="2025"/>
    <n v="2025"/>
  </r>
  <r>
    <s v="SOPORTE"/>
    <d v="2025-08-05T15:12:13"/>
    <d v="2025-08-06T15:38:26"/>
    <x v="1"/>
    <n v="32"/>
    <x v="47"/>
    <n v="32"/>
    <x v="33"/>
    <n v="1.0182054629622144"/>
    <n v="2025"/>
    <n v="2025"/>
  </r>
  <r>
    <s v="SOPORTE"/>
    <d v="2025-08-05T15:47:42"/>
    <d v="2025-08-13T12:47:06"/>
    <x v="1"/>
    <n v="32"/>
    <x v="47"/>
    <n v="33"/>
    <x v="36"/>
    <n v="7.8745839930561488"/>
    <n v="2025"/>
    <n v="2025"/>
  </r>
  <r>
    <s v="DESARROLLO"/>
    <d v="2025-08-06T08:21:39"/>
    <d v="2025-08-06T15:20:51"/>
    <x v="0"/>
    <n v="32"/>
    <x v="47"/>
    <n v="32"/>
    <x v="33"/>
    <n v="0.29111549768276745"/>
    <n v="2025"/>
    <n v="2025"/>
  </r>
  <r>
    <s v="TÉCNICO"/>
    <d v="2025-08-06T09:33:16"/>
    <d v="9999-12-31T10:41:41"/>
    <x v="0"/>
    <n v="32"/>
    <x v="47"/>
    <n v="53"/>
    <x v="26"/>
    <n v="2912590.0475075119"/>
    <n v="2025"/>
    <n v="9999"/>
  </r>
  <r>
    <s v="TÉCNICO"/>
    <d v="2025-08-06T11:08:06"/>
    <d v="2025-09-03T01:13:10"/>
    <x v="0"/>
    <n v="32"/>
    <x v="47"/>
    <n v="36"/>
    <x v="35"/>
    <n v="27.586842152777535"/>
    <n v="2025"/>
    <n v="2025"/>
  </r>
  <r>
    <s v="SOPORTE"/>
    <d v="2025-08-07T08:17:58"/>
    <d v="2025-08-07T08:36:50"/>
    <x v="1"/>
    <n v="32"/>
    <x v="47"/>
    <n v="32"/>
    <x v="33"/>
    <n v="1.3102592594805174E-2"/>
    <n v="2025"/>
    <n v="2025"/>
  </r>
  <r>
    <s v="SOPORTE"/>
    <d v="2025-08-07T08:38:48"/>
    <d v="2025-08-07T11:57:48"/>
    <x v="1"/>
    <n v="32"/>
    <x v="47"/>
    <n v="32"/>
    <x v="33"/>
    <n v="0.13819039351801621"/>
    <n v="2025"/>
    <n v="2025"/>
  </r>
  <r>
    <s v="SOPORTE"/>
    <d v="2025-08-07T09:33:35"/>
    <d v="2025-08-13T12:48:54"/>
    <x v="1"/>
    <n v="32"/>
    <x v="47"/>
    <n v="33"/>
    <x v="36"/>
    <n v="6.1356427314822213"/>
    <n v="2025"/>
    <n v="2025"/>
  </r>
  <r>
    <s v="SOPORTE"/>
    <d v="2025-08-07T09:43:31"/>
    <d v="2025-08-08T11:26:24"/>
    <x v="1"/>
    <n v="32"/>
    <x v="47"/>
    <n v="32"/>
    <x v="33"/>
    <n v="1.0714383101876592"/>
    <n v="2025"/>
    <n v="2025"/>
  </r>
  <r>
    <s v="SOPORTE"/>
    <d v="2025-08-08T09:21:39"/>
    <d v="2025-08-08T11:24:40"/>
    <x v="1"/>
    <n v="32"/>
    <x v="47"/>
    <n v="32"/>
    <x v="33"/>
    <n v="8.5424733799300157E-2"/>
    <n v="2025"/>
    <n v="2025"/>
  </r>
  <r>
    <s v="SOPORTE"/>
    <d v="2025-08-08T11:00:26"/>
    <d v="2025-08-08T13:58:40"/>
    <x v="1"/>
    <n v="32"/>
    <x v="47"/>
    <n v="32"/>
    <x v="33"/>
    <n v="0.12377469907369232"/>
    <n v="2025"/>
    <n v="2025"/>
  </r>
  <r>
    <s v="TÉCNICO"/>
    <d v="2025-08-08T11:18:10"/>
    <d v="2025-09-29T15:50:11"/>
    <x v="0"/>
    <n v="32"/>
    <x v="47"/>
    <n v="40"/>
    <x v="37"/>
    <n v="52.188902314810548"/>
    <n v="2025"/>
    <n v="2025"/>
  </r>
  <r>
    <s v="SOPORTE"/>
    <d v="2025-08-11T12:38:01"/>
    <d v="2025-08-21T11:09:46"/>
    <x v="1"/>
    <n v="33"/>
    <x v="48"/>
    <n v="34"/>
    <x v="38"/>
    <n v="9.9387159838006482"/>
    <n v="2025"/>
    <n v="2025"/>
  </r>
  <r>
    <s v="TÉCNICO"/>
    <d v="2025-08-11T14:57:17"/>
    <d v="2025-09-26T11:36:52"/>
    <x v="0"/>
    <n v="33"/>
    <x v="48"/>
    <n v="39"/>
    <x v="39"/>
    <n v="45.86082399305451"/>
    <n v="2025"/>
    <n v="2025"/>
  </r>
  <r>
    <s v="SOPORTE"/>
    <d v="2025-08-12T11:57:13"/>
    <d v="2025-08-13T13:40:50"/>
    <x v="1"/>
    <n v="33"/>
    <x v="48"/>
    <n v="33"/>
    <x v="36"/>
    <n v="1.0719623263867106"/>
    <n v="2025"/>
    <n v="2025"/>
  </r>
  <r>
    <s v="SOPORTE"/>
    <d v="2025-08-12T12:02:58"/>
    <d v="2025-08-13T13:41:11"/>
    <x v="1"/>
    <n v="33"/>
    <x v="48"/>
    <n v="33"/>
    <x v="36"/>
    <n v="1.0681997916617547"/>
    <n v="2025"/>
    <n v="2025"/>
  </r>
  <r>
    <s v="SOPORTE"/>
    <d v="2025-08-13T09:25:20"/>
    <d v="2025-08-13T13:43:56"/>
    <x v="1"/>
    <n v="33"/>
    <x v="48"/>
    <n v="33"/>
    <x v="36"/>
    <n v="0.17958079861273291"/>
    <n v="2025"/>
    <n v="2025"/>
  </r>
  <r>
    <s v="SOPORTE"/>
    <d v="2025-08-13T09:32:55"/>
    <d v="2025-08-13T13:43:35"/>
    <x v="1"/>
    <n v="33"/>
    <x v="48"/>
    <n v="33"/>
    <x v="36"/>
    <n v="0.17407177083077841"/>
    <n v="2025"/>
    <n v="2025"/>
  </r>
  <r>
    <s v="DESARROLLO"/>
    <d v="2025-08-14T10:05:20"/>
    <d v="2025-09-10T12:41:16"/>
    <x v="0"/>
    <n v="33"/>
    <x v="48"/>
    <n v="37"/>
    <x v="40"/>
    <n v="27.108285879628966"/>
    <n v="2025"/>
    <n v="2025"/>
  </r>
  <r>
    <s v="TÉCNICO"/>
    <d v="2025-08-14T14:33:22"/>
    <d v="2025-08-18T11:40:55"/>
    <x v="0"/>
    <n v="33"/>
    <x v="48"/>
    <n v="34"/>
    <x v="38"/>
    <n v="3.8802484490734059"/>
    <n v="2025"/>
    <n v="2025"/>
  </r>
  <r>
    <s v="SOPORTE"/>
    <d v="2025-08-18T10:35:07"/>
    <d v="2025-08-21T11:11:41"/>
    <x v="1"/>
    <n v="34"/>
    <x v="49"/>
    <n v="34"/>
    <x v="38"/>
    <n v="3.0253899768504198"/>
    <n v="2025"/>
    <n v="2025"/>
  </r>
  <r>
    <s v="SOPORTE"/>
    <d v="2025-08-18T10:42:02"/>
    <d v="2025-08-19T11:44:51"/>
    <x v="1"/>
    <n v="34"/>
    <x v="49"/>
    <n v="34"/>
    <x v="38"/>
    <n v="1.0436208449100377"/>
    <n v="2025"/>
    <n v="2025"/>
  </r>
  <r>
    <s v="SOPORTE"/>
    <d v="2025-08-18T10:44:56"/>
    <d v="2025-08-19T11:45:06"/>
    <x v="1"/>
    <n v="34"/>
    <x v="49"/>
    <n v="34"/>
    <x v="38"/>
    <n v="1.0417899768581265"/>
    <n v="2025"/>
    <n v="2025"/>
  </r>
  <r>
    <s v="SOPORTE"/>
    <d v="2025-08-20T13:58:09"/>
    <d v="2025-08-21T11:17:57"/>
    <x v="1"/>
    <n v="34"/>
    <x v="49"/>
    <n v="34"/>
    <x v="38"/>
    <n v="0.88874856481561437"/>
    <n v="2025"/>
    <n v="2025"/>
  </r>
  <r>
    <s v="SOPORTE"/>
    <d v="2025-08-25T11:39:55"/>
    <d v="2025-08-25T11:50:23"/>
    <x v="1"/>
    <n v="35"/>
    <x v="50"/>
    <n v="35"/>
    <x v="17"/>
    <n v="7.2642129598534666E-3"/>
    <n v="2025"/>
    <n v="2025"/>
  </r>
  <r>
    <s v="SOPORTE"/>
    <d v="2025-08-25T11:41:55"/>
    <d v="2025-08-25T11:56:44"/>
    <x v="1"/>
    <n v="35"/>
    <x v="50"/>
    <n v="35"/>
    <x v="17"/>
    <n v="1.0288344907166902E-2"/>
    <n v="2025"/>
    <n v="2025"/>
  </r>
  <r>
    <s v="SOPORTE"/>
    <d v="2025-08-25T11:59:28"/>
    <d v="2025-09-03T09:31:50"/>
    <x v="1"/>
    <n v="35"/>
    <x v="50"/>
    <n v="36"/>
    <x v="35"/>
    <n v="8.897466828704637"/>
    <n v="2025"/>
    <n v="2025"/>
  </r>
  <r>
    <s v="SOPORTE"/>
    <d v="2025-08-27T08:30:37"/>
    <d v="2025-09-03T15:22:34"/>
    <x v="1"/>
    <n v="35"/>
    <x v="50"/>
    <n v="36"/>
    <x v="35"/>
    <n v="7.2860809027770301"/>
    <n v="2025"/>
    <n v="2025"/>
  </r>
  <r>
    <s v="SOPORTE"/>
    <d v="2025-08-27T09:18:16"/>
    <d v="2025-09-02T09:17:32"/>
    <x v="1"/>
    <n v="35"/>
    <x v="50"/>
    <n v="36"/>
    <x v="35"/>
    <n v="5.9994885879568756"/>
    <n v="2025"/>
    <n v="2025"/>
  </r>
  <r>
    <s v="SOPORTE"/>
    <d v="2025-08-27T09:19:26"/>
    <d v="2025-09-01T14:04:54"/>
    <x v="1"/>
    <n v="35"/>
    <x v="50"/>
    <n v="36"/>
    <x v="35"/>
    <n v="5.1982395370359882"/>
    <n v="2025"/>
    <n v="2025"/>
  </r>
  <r>
    <s v="SOPORTE"/>
    <d v="2025-08-27T09:52:12"/>
    <d v="2025-09-04T10:11:13"/>
    <x v="1"/>
    <n v="35"/>
    <x v="50"/>
    <n v="36"/>
    <x v="35"/>
    <n v="8.0132045370410196"/>
    <n v="2025"/>
    <n v="2025"/>
  </r>
  <r>
    <s v="DEFINICIÓN"/>
    <d v="2025-08-27T13:24:55"/>
    <d v="2025-10-02T10:40:04"/>
    <x v="1"/>
    <n v="35"/>
    <x v="50"/>
    <n v="40"/>
    <x v="37"/>
    <n v="35.88552118055668"/>
    <n v="2025"/>
    <n v="2025"/>
  </r>
  <r>
    <s v="DEFINICIÓN"/>
    <d v="2025-08-28T08:19:53"/>
    <d v="2025-09-24T11:36:31"/>
    <x v="1"/>
    <n v="35"/>
    <x v="50"/>
    <n v="39"/>
    <x v="39"/>
    <n v="27.136549421302334"/>
    <n v="2025"/>
    <n v="2025"/>
  </r>
  <r>
    <s v="SOPORTE"/>
    <d v="2025-09-01T14:04:21"/>
    <d v="2025-09-17T16:24:22"/>
    <x v="1"/>
    <n v="36"/>
    <x v="51"/>
    <n v="38"/>
    <x v="27"/>
    <n v="16.097235439810902"/>
    <n v="2025"/>
    <n v="2025"/>
  </r>
  <r>
    <s v="SOPORTE"/>
    <d v="2025-09-01T14:24:42"/>
    <d v="2025-09-03T15:26:13"/>
    <x v="1"/>
    <n v="36"/>
    <x v="51"/>
    <n v="36"/>
    <x v="35"/>
    <n v="2.0427218402764993"/>
    <n v="2025"/>
    <n v="2025"/>
  </r>
  <r>
    <s v="SOPORTE"/>
    <d v="2025-09-02T08:32:20"/>
    <d v="2025-09-04T10:12:05"/>
    <x v="1"/>
    <n v="36"/>
    <x v="51"/>
    <n v="36"/>
    <x v="35"/>
    <n v="2.0692642939757206"/>
    <n v="2025"/>
    <n v="2025"/>
  </r>
  <r>
    <s v="SOPORTE"/>
    <d v="2025-09-02T09:26:51"/>
    <d v="2025-09-08T09:51:19"/>
    <x v="1"/>
    <n v="36"/>
    <x v="51"/>
    <n v="37"/>
    <x v="40"/>
    <n v="6.0169998032361036"/>
    <n v="2025"/>
    <n v="2025"/>
  </r>
  <r>
    <s v="TÉCNICO"/>
    <d v="2025-09-02T09:55:52"/>
    <d v="2025-09-05T15:31:11"/>
    <x v="0"/>
    <n v="36"/>
    <x v="51"/>
    <n v="36"/>
    <x v="35"/>
    <n v="3.2328621990745887"/>
    <n v="2025"/>
    <n v="2025"/>
  </r>
  <r>
    <s v="TÉCNICO"/>
    <d v="2025-09-02T10:07:23"/>
    <d v="2025-09-10T08:36:42"/>
    <x v="0"/>
    <n v="36"/>
    <x v="51"/>
    <n v="37"/>
    <x v="40"/>
    <n v="7.9370326504576951"/>
    <n v="2025"/>
    <n v="2025"/>
  </r>
  <r>
    <s v="SOPORTE"/>
    <d v="2025-09-02T10:18:25"/>
    <d v="2025-09-02T11:34:31"/>
    <x v="1"/>
    <n v="36"/>
    <x v="51"/>
    <n v="36"/>
    <x v="35"/>
    <n v="5.2848611114313826E-2"/>
    <n v="2025"/>
    <n v="2025"/>
  </r>
  <r>
    <s v="SOPORTE"/>
    <d v="2025-09-02T14:52:38"/>
    <d v="2025-09-08T08:23:42"/>
    <x v="1"/>
    <n v="36"/>
    <x v="51"/>
    <n v="37"/>
    <x v="40"/>
    <n v="5.7299114583365736"/>
    <n v="2025"/>
    <n v="2025"/>
  </r>
  <r>
    <s v="SOPORTE"/>
    <d v="2025-09-03T11:05:12"/>
    <d v="2025-09-04T09:03:37"/>
    <x v="1"/>
    <n v="36"/>
    <x v="51"/>
    <n v="36"/>
    <x v="35"/>
    <n v="0.91557203703268897"/>
    <n v="2025"/>
    <n v="2025"/>
  </r>
  <r>
    <s v="TÉCNICO"/>
    <d v="2025-09-04T08:33:34"/>
    <d v="2025-09-04T11:06:56"/>
    <x v="0"/>
    <n v="36"/>
    <x v="51"/>
    <n v="36"/>
    <x v="35"/>
    <n v="0.10650704861473059"/>
    <n v="2025"/>
    <n v="2025"/>
  </r>
  <r>
    <s v="TÉCNICO"/>
    <d v="2025-09-04T08:50:12"/>
    <d v="2025-10-02T12:13:10"/>
    <x v="0"/>
    <n v="36"/>
    <x v="51"/>
    <n v="40"/>
    <x v="37"/>
    <n v="28.14095317129977"/>
    <n v="2025"/>
    <n v="2025"/>
  </r>
  <r>
    <s v="SOPORTE"/>
    <d v="2025-09-04T10:05:27"/>
    <d v="2025-09-11T15:03:03"/>
    <x v="1"/>
    <n v="36"/>
    <x v="51"/>
    <n v="37"/>
    <x v="40"/>
    <n v="7.2066634490765864"/>
    <n v="2025"/>
    <n v="2025"/>
  </r>
  <r>
    <s v="SOPORTE"/>
    <d v="2025-09-04T12:12:41"/>
    <d v="2025-09-04T14:06:31"/>
    <x v="1"/>
    <n v="36"/>
    <x v="51"/>
    <n v="36"/>
    <x v="35"/>
    <n v="7.9054988425923511E-2"/>
    <n v="2025"/>
    <n v="2025"/>
  </r>
  <r>
    <s v="SOPORTE"/>
    <d v="2025-09-04T15:15:54"/>
    <d v="2025-09-08T08:28:22"/>
    <x v="1"/>
    <n v="36"/>
    <x v="51"/>
    <n v="37"/>
    <x v="40"/>
    <n v="3.7169969675960601"/>
    <n v="2025"/>
    <n v="2025"/>
  </r>
  <r>
    <s v="TÉCNICO"/>
    <d v="2025-09-08T09:29:08"/>
    <d v="9999-12-31T10:41:41"/>
    <x v="0"/>
    <n v="37"/>
    <x v="52"/>
    <n v="53"/>
    <x v="26"/>
    <n v="2912557.050381829"/>
    <n v="2025"/>
    <n v="9999"/>
  </r>
  <r>
    <s v="DESARROLLO"/>
    <d v="2025-09-08T11:10:57"/>
    <d v="2025-09-29T15:50:46"/>
    <x v="0"/>
    <n v="37"/>
    <x v="52"/>
    <n v="40"/>
    <x v="37"/>
    <n v="21.19431112267921"/>
    <n v="2025"/>
    <n v="2025"/>
  </r>
  <r>
    <s v="DESARROLLO"/>
    <d v="2025-09-08T12:47:29"/>
    <d v="2025-09-08T15:23:08"/>
    <x v="0"/>
    <n v="37"/>
    <x v="52"/>
    <n v="37"/>
    <x v="40"/>
    <n v="0.10808633101987652"/>
    <n v="2025"/>
    <n v="2025"/>
  </r>
  <r>
    <s v="SOPORTE"/>
    <d v="2025-09-09T13:50:07"/>
    <d v="2025-09-09T14:12:23"/>
    <x v="1"/>
    <n v="37"/>
    <x v="52"/>
    <n v="37"/>
    <x v="40"/>
    <n v="1.5463437499420252E-2"/>
    <n v="2025"/>
    <n v="2025"/>
  </r>
  <r>
    <s v="SOPORTE"/>
    <d v="2025-09-09T15:13:47"/>
    <d v="2025-09-11T15:05:04"/>
    <x v="1"/>
    <n v="37"/>
    <x v="52"/>
    <n v="37"/>
    <x v="40"/>
    <n v="1.993943773151841"/>
    <n v="2025"/>
    <n v="2025"/>
  </r>
  <r>
    <s v="TÉCNICO"/>
    <d v="2025-09-10T09:57:04"/>
    <d v="9999-12-31T10:41:41"/>
    <x v="0"/>
    <n v="37"/>
    <x v="52"/>
    <n v="53"/>
    <x v="26"/>
    <n v="2912555.0309862155"/>
    <n v="2025"/>
    <n v="9999"/>
  </r>
  <r>
    <s v="SOPORTE"/>
    <d v="2025-09-10T14:02:19"/>
    <d v="2025-10-14T15:57:06"/>
    <x v="1"/>
    <n v="37"/>
    <x v="52"/>
    <n v="42"/>
    <x v="41"/>
    <n v="34.079713113431353"/>
    <n v="2025"/>
    <n v="2025"/>
  </r>
  <r>
    <s v="SOPORTE"/>
    <d v="2025-09-11T08:14:25"/>
    <d v="2025-09-22T10:33:12"/>
    <x v="1"/>
    <n v="37"/>
    <x v="52"/>
    <n v="39"/>
    <x v="39"/>
    <n v="11.096382476847793"/>
    <n v="2025"/>
    <n v="2025"/>
  </r>
  <r>
    <s v="DESARROLLO"/>
    <d v="2025-09-11T09:04:43"/>
    <d v="2025-10-01T09:47:42"/>
    <x v="0"/>
    <n v="37"/>
    <x v="52"/>
    <n v="40"/>
    <x v="37"/>
    <n v="20.029855925924494"/>
    <n v="2025"/>
    <n v="2025"/>
  </r>
  <r>
    <s v="SOPORTE"/>
    <d v="2025-09-11T14:29:16"/>
    <d v="2025-09-15T10:38:05"/>
    <x v="1"/>
    <n v="37"/>
    <x v="52"/>
    <n v="38"/>
    <x v="27"/>
    <n v="3.8394629745380371"/>
    <n v="2025"/>
    <n v="2025"/>
  </r>
  <r>
    <s v="SOPORTE"/>
    <d v="2025-09-12T09:07:56"/>
    <d v="2025-09-17T10:22:46"/>
    <x v="1"/>
    <n v="37"/>
    <x v="52"/>
    <n v="38"/>
    <x v="27"/>
    <n v="5.0519767245350522"/>
    <n v="2025"/>
    <n v="2025"/>
  </r>
  <r>
    <s v="SOPORTE"/>
    <d v="2025-09-12T10:37:41"/>
    <d v="2025-09-30T10:34:09"/>
    <x v="1"/>
    <n v="37"/>
    <x v="52"/>
    <n v="40"/>
    <x v="37"/>
    <n v="17.997547060185752"/>
    <n v="2025"/>
    <n v="2025"/>
  </r>
  <r>
    <s v="SOPORTE"/>
    <d v="2025-09-15T14:06:08"/>
    <d v="2025-09-17T16:23:03"/>
    <x v="1"/>
    <n v="38"/>
    <x v="53"/>
    <n v="38"/>
    <x v="27"/>
    <n v="2.0950822222221177"/>
    <n v="2025"/>
    <n v="2025"/>
  </r>
  <r>
    <s v="SOPORTE"/>
    <d v="2025-09-16T11:09:31"/>
    <d v="2025-10-29T08:55:21"/>
    <x v="1"/>
    <n v="38"/>
    <x v="53"/>
    <n v="44"/>
    <x v="31"/>
    <n v="42.906827766200877"/>
    <n v="2025"/>
    <n v="2025"/>
  </r>
  <r>
    <s v="SOPORTE"/>
    <d v="2025-09-16T12:27:11"/>
    <d v="2025-09-17T16:23:35"/>
    <x v="1"/>
    <n v="38"/>
    <x v="53"/>
    <n v="38"/>
    <x v="27"/>
    <n v="1.1641746643508668"/>
    <n v="2025"/>
    <n v="2025"/>
  </r>
  <r>
    <s v="DESARROLLO"/>
    <d v="2025-09-16T12:33:49"/>
    <d v="2025-09-22T16:31:06"/>
    <x v="0"/>
    <n v="38"/>
    <x v="53"/>
    <n v="39"/>
    <x v="39"/>
    <n v="6.1647812615774455"/>
    <n v="2025"/>
    <n v="2025"/>
  </r>
  <r>
    <s v="SOPORTE"/>
    <d v="2025-09-17T11:53:04"/>
    <d v="9999-12-31T10:41:41"/>
    <x v="1"/>
    <n v="38"/>
    <x v="53"/>
    <n v="53"/>
    <x v="26"/>
    <n v="2912547.95042544"/>
    <n v="2025"/>
    <n v="9999"/>
  </r>
  <r>
    <s v="SOPORTE"/>
    <d v="2025-09-17T13:18:09"/>
    <d v="9999-12-31T10:41:41"/>
    <x v="1"/>
    <n v="38"/>
    <x v="53"/>
    <n v="53"/>
    <x v="26"/>
    <n v="2912547.8913406022"/>
    <n v="2025"/>
    <n v="9999"/>
  </r>
  <r>
    <s v="SOPORTE"/>
    <d v="2025-09-17T15:17:26"/>
    <d v="2025-09-30T10:35:47"/>
    <x v="1"/>
    <n v="38"/>
    <x v="53"/>
    <n v="40"/>
    <x v="37"/>
    <n v="12.804407233794336"/>
    <n v="2025"/>
    <n v="2025"/>
  </r>
  <r>
    <s v="SOPORTE"/>
    <d v="2025-09-19T10:04:37"/>
    <d v="2025-09-23T12:33:41"/>
    <x v="1"/>
    <n v="38"/>
    <x v="53"/>
    <n v="39"/>
    <x v="39"/>
    <n v="4.103512268520717"/>
    <n v="2025"/>
    <n v="2025"/>
  </r>
  <r>
    <s v="SOPORTE"/>
    <d v="2025-09-22T08:45:46"/>
    <d v="2025-09-23T16:27:23"/>
    <x v="1"/>
    <n v="39"/>
    <x v="54"/>
    <n v="39"/>
    <x v="39"/>
    <n v="1.3205713194474811"/>
    <n v="2025"/>
    <n v="2025"/>
  </r>
  <r>
    <s v="SOPORTE"/>
    <d v="2025-09-22T09:55:56"/>
    <d v="2025-09-22T09:57:59"/>
    <x v="1"/>
    <n v="39"/>
    <x v="54"/>
    <n v="39"/>
    <x v="39"/>
    <n v="1.4248032384784892E-3"/>
    <n v="2025"/>
    <n v="2025"/>
  </r>
  <r>
    <s v="FUNCIONAL"/>
    <d v="2025-09-22T16:12:20"/>
    <d v="2025-09-22T17:04:43"/>
    <x v="0"/>
    <n v="39"/>
    <x v="54"/>
    <n v="39"/>
    <x v="39"/>
    <n v="3.6373831018863712E-2"/>
    <n v="2025"/>
    <n v="2025"/>
  </r>
  <r>
    <s v="SOPORTE"/>
    <d v="2025-09-23T11:42:43"/>
    <d v="2025-09-24T10:48:01"/>
    <x v="1"/>
    <n v="39"/>
    <x v="54"/>
    <n v="39"/>
    <x v="39"/>
    <n v="0.96200630787643604"/>
    <n v="2025"/>
    <n v="2025"/>
  </r>
  <r>
    <s v="TÉCNICO"/>
    <d v="2025-09-23T15:30:37"/>
    <d v="2025-10-02T12:17:04"/>
    <x v="0"/>
    <n v="39"/>
    <x v="54"/>
    <n v="40"/>
    <x v="37"/>
    <n v="8.8655918055519578"/>
    <n v="2025"/>
    <n v="2025"/>
  </r>
  <r>
    <s v="SOPORTE"/>
    <d v="2025-09-24T10:14:03"/>
    <d v="2025-10-01T09:41:29"/>
    <x v="1"/>
    <n v="39"/>
    <x v="54"/>
    <n v="40"/>
    <x v="37"/>
    <n v="6.9773848726908909"/>
    <n v="2025"/>
    <n v="2025"/>
  </r>
  <r>
    <s v="SOPORTE"/>
    <d v="2025-09-24T12:19:12"/>
    <d v="9999-12-31T10:41:41"/>
    <x v="1"/>
    <n v="39"/>
    <x v="54"/>
    <n v="53"/>
    <x v="26"/>
    <n v="2912540.9322854863"/>
    <n v="2025"/>
    <n v="9999"/>
  </r>
  <r>
    <s v="SOPORTE"/>
    <d v="2025-09-24T14:51:07"/>
    <d v="2025-09-25T11:52:27"/>
    <x v="1"/>
    <n v="39"/>
    <x v="54"/>
    <n v="39"/>
    <x v="39"/>
    <n v="0.87592724536807509"/>
    <n v="2025"/>
    <n v="2025"/>
  </r>
  <r>
    <s v="DESARROLLO"/>
    <d v="2025-09-24T15:06:56"/>
    <d v="2025-09-24T17:17:29"/>
    <x v="0"/>
    <n v="39"/>
    <x v="54"/>
    <n v="39"/>
    <x v="39"/>
    <n v="9.0662361115391832E-2"/>
    <n v="2025"/>
    <n v="2025"/>
  </r>
  <r>
    <s v="SOPORTE"/>
    <d v="2025-09-25T13:19:22"/>
    <d v="2025-09-26T11:07:54"/>
    <x v="1"/>
    <n v="39"/>
    <x v="54"/>
    <n v="39"/>
    <x v="39"/>
    <n v="0.90870299767993856"/>
    <n v="2025"/>
    <n v="2025"/>
  </r>
  <r>
    <s v="SOPORTE"/>
    <d v="2025-09-25T15:14:31"/>
    <d v="2025-09-26T12:57:33"/>
    <x v="1"/>
    <n v="39"/>
    <x v="54"/>
    <n v="39"/>
    <x v="39"/>
    <n v="0.9048891898128204"/>
    <n v="2025"/>
    <n v="2025"/>
  </r>
  <r>
    <s v="SOPORTE"/>
    <d v="2025-09-26T09:58:09"/>
    <d v="2025-09-30T10:37:06"/>
    <x v="1"/>
    <n v="39"/>
    <x v="54"/>
    <n v="40"/>
    <x v="37"/>
    <n v="4.0270533101793262"/>
    <n v="2025"/>
    <n v="2025"/>
  </r>
  <r>
    <s v="SOPORTE"/>
    <d v="2025-09-26T10:01:45"/>
    <d v="2025-09-30T10:37:56"/>
    <x v="1"/>
    <n v="39"/>
    <x v="54"/>
    <n v="40"/>
    <x v="37"/>
    <n v="4.0251277430579648"/>
    <n v="2025"/>
    <n v="2025"/>
  </r>
  <r>
    <s v="SOPORTE"/>
    <d v="2025-09-26T11:09:13"/>
    <d v="2025-09-30T10:38:42"/>
    <x v="1"/>
    <n v="39"/>
    <x v="54"/>
    <n v="40"/>
    <x v="37"/>
    <n v="3.9788095023104688"/>
    <n v="2025"/>
    <n v="2025"/>
  </r>
  <r>
    <s v="SOPORTE"/>
    <d v="2025-09-26T11:26:47"/>
    <d v="2025-10-06T11:43:53"/>
    <x v="1"/>
    <n v="39"/>
    <x v="54"/>
    <n v="41"/>
    <x v="42"/>
    <n v="10.011869861111336"/>
    <n v="2025"/>
    <n v="2025"/>
  </r>
  <r>
    <s v="SOPORTE"/>
    <d v="2025-09-26T11:29:03"/>
    <d v="2025-09-30T10:40:47"/>
    <x v="1"/>
    <n v="39"/>
    <x v="54"/>
    <n v="40"/>
    <x v="37"/>
    <n v="3.9664847337917308"/>
    <n v="2025"/>
    <n v="2025"/>
  </r>
  <r>
    <s v="SOPORTE"/>
    <d v="2025-09-26T11:31:52"/>
    <d v="2025-10-06T11:45:36"/>
    <x v="1"/>
    <n v="39"/>
    <x v="54"/>
    <n v="41"/>
    <x v="42"/>
    <n v="10.009527974536468"/>
    <n v="2025"/>
    <n v="2025"/>
  </r>
  <r>
    <s v="SOPORTE"/>
    <d v="2025-09-26T14:36:58"/>
    <d v="2025-09-30T10:42:15"/>
    <x v="1"/>
    <n v="39"/>
    <x v="54"/>
    <n v="40"/>
    <x v="37"/>
    <n v="3.8369992129591992"/>
    <n v="2025"/>
    <n v="2025"/>
  </r>
  <r>
    <s v="DESARROLLO"/>
    <d v="2025-09-29T15:21:50"/>
    <d v="2025-09-29T15:47:14"/>
    <x v="0"/>
    <n v="40"/>
    <x v="55"/>
    <n v="40"/>
    <x v="37"/>
    <n v="1.7633854171435814E-2"/>
    <n v="2025"/>
    <n v="2025"/>
  </r>
  <r>
    <s v="DESARROLLO"/>
    <d v="2025-09-30T09:07:43"/>
    <d v="2025-09-30T16:13:46"/>
    <x v="0"/>
    <n v="40"/>
    <x v="55"/>
    <n v="40"/>
    <x v="37"/>
    <n v="0.29586913194361841"/>
    <n v="2025"/>
    <n v="2025"/>
  </r>
  <r>
    <s v="DESARROLLO"/>
    <d v="2025-09-30T11:55:44"/>
    <d v="2025-09-30T15:48:23"/>
    <x v="0"/>
    <n v="40"/>
    <x v="55"/>
    <n v="40"/>
    <x v="37"/>
    <n v="0.16156394675635966"/>
    <n v="2025"/>
    <n v="2025"/>
  </r>
  <r>
    <s v="SOPORTE"/>
    <d v="2025-09-30T13:38:27"/>
    <d v="2025-10-03T08:54:26"/>
    <x v="1"/>
    <n v="40"/>
    <x v="55"/>
    <n v="40"/>
    <x v="37"/>
    <n v="2.8027695023120032"/>
    <n v="2025"/>
    <n v="2025"/>
  </r>
  <r>
    <s v="SOPORTE"/>
    <d v="2025-09-30T14:57:11"/>
    <d v="2025-10-06T11:47:43"/>
    <x v="1"/>
    <n v="40"/>
    <x v="55"/>
    <n v="41"/>
    <x v="42"/>
    <n v="5.8684321759210434"/>
    <n v="2025"/>
    <n v="2025"/>
  </r>
  <r>
    <s v="SOPORTE"/>
    <d v="2025-10-01T08:52:52"/>
    <d v="2025-10-16T16:51:07"/>
    <x v="1"/>
    <n v="40"/>
    <x v="55"/>
    <n v="42"/>
    <x v="41"/>
    <n v="15.332122650463134"/>
    <n v="2025"/>
    <n v="2025"/>
  </r>
  <r>
    <s v="SOPORTE"/>
    <d v="2025-10-01T09:22:15"/>
    <d v="2025-10-03T08:55:00"/>
    <x v="1"/>
    <n v="40"/>
    <x v="55"/>
    <n v="40"/>
    <x v="37"/>
    <n v="1.9810798379621701"/>
    <n v="2025"/>
    <n v="2025"/>
  </r>
  <r>
    <s v="SOPORTE"/>
    <d v="2025-10-01T12:42:01"/>
    <d v="2025-10-06T11:50:10"/>
    <x v="1"/>
    <n v="40"/>
    <x v="55"/>
    <n v="41"/>
    <x v="42"/>
    <n v="4.9639991782387369"/>
    <n v="2025"/>
    <n v="2025"/>
  </r>
  <r>
    <s v="SOPORTE"/>
    <d v="2025-10-01T17:48:03"/>
    <d v="2025-10-06T15:42:36"/>
    <x v="1"/>
    <n v="40"/>
    <x v="55"/>
    <n v="41"/>
    <x v="42"/>
    <n v="4.9128820717596682"/>
    <n v="2025"/>
    <n v="2025"/>
  </r>
  <r>
    <s v="SOPORTE"/>
    <d v="2025-10-02T10:08:40"/>
    <d v="2025-10-16T16:53:29"/>
    <x v="1"/>
    <n v="40"/>
    <x v="55"/>
    <n v="42"/>
    <x v="41"/>
    <n v="14.281121782412811"/>
    <n v="2025"/>
    <n v="2025"/>
  </r>
  <r>
    <s v="SOPORTE"/>
    <d v="2025-10-02T10:09:54"/>
    <d v="2025-10-16T16:54:41"/>
    <x v="1"/>
    <n v="40"/>
    <x v="55"/>
    <n v="42"/>
    <x v="41"/>
    <n v="14.281104178240639"/>
    <n v="2025"/>
    <n v="2025"/>
  </r>
  <r>
    <s v="SOPORTE"/>
    <d v="2025-10-02T10:17:38"/>
    <d v="2025-10-20T10:19:43"/>
    <x v="1"/>
    <n v="40"/>
    <x v="55"/>
    <n v="43"/>
    <x v="43"/>
    <n v="18.001452754630009"/>
    <n v="2025"/>
    <n v="2025"/>
  </r>
  <r>
    <s v="SOPORTE"/>
    <d v="2025-10-02T12:20:15"/>
    <d v="2025-10-15T12:19:40"/>
    <x v="1"/>
    <n v="40"/>
    <x v="55"/>
    <n v="42"/>
    <x v="41"/>
    <n v="12.999591979161778"/>
    <n v="2025"/>
    <n v="2025"/>
  </r>
  <r>
    <s v="DESARROLLO"/>
    <d v="2025-10-02T13:21:05"/>
    <d v="2025-10-02T15:50:26"/>
    <x v="0"/>
    <n v="40"/>
    <x v="55"/>
    <n v="40"/>
    <x v="37"/>
    <n v="0.10372077546344372"/>
    <n v="2025"/>
    <n v="2025"/>
  </r>
  <r>
    <s v="SOPORTE"/>
    <d v="2025-10-02T15:55:16"/>
    <d v="2025-10-08T09:35:03"/>
    <x v="1"/>
    <n v="40"/>
    <x v="55"/>
    <n v="41"/>
    <x v="42"/>
    <n v="5.7359610069470364"/>
    <n v="2025"/>
    <n v="2025"/>
  </r>
  <r>
    <s v="SOPORTE"/>
    <d v="2025-10-02T15:58:51"/>
    <d v="2025-10-20T12:28:58"/>
    <x v="1"/>
    <n v="40"/>
    <x v="55"/>
    <n v="43"/>
    <x v="43"/>
    <n v="17.854251736112928"/>
    <n v="2025"/>
    <n v="2025"/>
  </r>
  <r>
    <s v="DESARROLLO"/>
    <d v="2025-10-03T08:40:40"/>
    <d v="2025-10-03T14:38:41"/>
    <x v="0"/>
    <n v="40"/>
    <x v="55"/>
    <n v="40"/>
    <x v="37"/>
    <n v="0.24861629629594972"/>
    <n v="2025"/>
    <n v="2025"/>
  </r>
  <r>
    <s v="SOPORTE"/>
    <d v="2025-10-06T09:32:01"/>
    <d v="2025-10-15T12:20:10"/>
    <x v="1"/>
    <n v="41"/>
    <x v="56"/>
    <n v="42"/>
    <x v="41"/>
    <n v="9.1167660416685976"/>
    <n v="2025"/>
    <n v="2025"/>
  </r>
  <r>
    <s v="SOPORTE"/>
    <d v="2025-10-06T10:11:43"/>
    <d v="2025-10-21T15:47:23"/>
    <x v="1"/>
    <n v="41"/>
    <x v="56"/>
    <n v="43"/>
    <x v="43"/>
    <n v="15.233097627315146"/>
    <n v="2025"/>
    <n v="2025"/>
  </r>
  <r>
    <s v="SOPORTE"/>
    <d v="2025-10-07T08:40:52"/>
    <d v="2025-10-16T16:57:40"/>
    <x v="1"/>
    <n v="41"/>
    <x v="56"/>
    <n v="42"/>
    <x v="41"/>
    <n v="9.3450019328738563"/>
    <n v="2025"/>
    <n v="2025"/>
  </r>
  <r>
    <s v="SOPORTE"/>
    <d v="2025-10-07T09:34:23"/>
    <d v="2025-10-16T16:59:28"/>
    <x v="1"/>
    <n v="41"/>
    <x v="56"/>
    <n v="42"/>
    <x v="41"/>
    <n v="9.3090866666607326"/>
    <n v="2025"/>
    <n v="2025"/>
  </r>
  <r>
    <s v="SOPORTE"/>
    <d v="2025-10-07T09:39:04"/>
    <d v="2025-10-16T17:00:45"/>
    <x v="1"/>
    <n v="41"/>
    <x v="56"/>
    <n v="42"/>
    <x v="41"/>
    <n v="9.3067198495409684"/>
    <n v="2025"/>
    <n v="2025"/>
  </r>
  <r>
    <s v="SOPORTE"/>
    <d v="2025-10-07T09:56:12"/>
    <d v="2025-10-09T15:22:28"/>
    <x v="1"/>
    <n v="41"/>
    <x v="56"/>
    <n v="41"/>
    <x v="42"/>
    <n v="2.2265803819464054"/>
    <n v="2025"/>
    <n v="2025"/>
  </r>
  <r>
    <s v="SOPORTE"/>
    <d v="2025-10-07T10:03:39"/>
    <d v="9999-12-31T10:41:41"/>
    <x v="1"/>
    <n v="41"/>
    <x v="56"/>
    <n v="53"/>
    <x v="26"/>
    <n v="2912528.0264079981"/>
    <n v="2025"/>
    <n v="9999"/>
  </r>
  <r>
    <s v="SOPORTE"/>
    <d v="2025-10-07T17:05:34"/>
    <d v="2025-10-16T17:02:20"/>
    <x v="1"/>
    <n v="41"/>
    <x v="56"/>
    <n v="42"/>
    <x v="41"/>
    <n v="8.9977544328721706"/>
    <n v="2025"/>
    <n v="2025"/>
  </r>
  <r>
    <s v="SOPORTE"/>
    <d v="2025-10-07T17:20:14"/>
    <d v="2025-10-08T09:24:40"/>
    <x v="1"/>
    <n v="41"/>
    <x v="56"/>
    <n v="41"/>
    <x v="42"/>
    <n v="0.66975248842936708"/>
    <n v="2025"/>
    <n v="2025"/>
  </r>
  <r>
    <s v="SOPORTE"/>
    <d v="2025-10-08T09:41:14"/>
    <d v="2025-10-20T12:31:04"/>
    <x v="1"/>
    <n v="41"/>
    <x v="56"/>
    <n v="43"/>
    <x v="43"/>
    <n v="12.117935046291677"/>
    <n v="2025"/>
    <n v="2025"/>
  </r>
  <r>
    <s v="DESARROLLO"/>
    <d v="2025-10-08T16:17:36"/>
    <d v="2025-10-09T12:18:58"/>
    <x v="0"/>
    <n v="41"/>
    <x v="56"/>
    <n v="41"/>
    <x v="42"/>
    <n v="0.83427968750038417"/>
    <n v="2025"/>
    <n v="2025"/>
  </r>
  <r>
    <s v="SOPORTE"/>
    <d v="2025-10-09T11:06:24"/>
    <d v="2025-10-20T12:32:41"/>
    <x v="1"/>
    <n v="41"/>
    <x v="56"/>
    <n v="43"/>
    <x v="43"/>
    <n v="11.059918993058091"/>
    <n v="2025"/>
    <n v="2025"/>
  </r>
  <r>
    <s v="SOPORTE"/>
    <d v="2025-10-10T08:31:11"/>
    <d v="2025-10-20T12:24:26"/>
    <x v="1"/>
    <n v="41"/>
    <x v="56"/>
    <n v="43"/>
    <x v="43"/>
    <n v="10.161978391202865"/>
    <n v="2025"/>
    <n v="2025"/>
  </r>
  <r>
    <s v="SOPORTE"/>
    <d v="2025-10-10T11:35:24"/>
    <d v="2025-10-20T12:23:15"/>
    <x v="1"/>
    <n v="41"/>
    <x v="56"/>
    <n v="43"/>
    <x v="43"/>
    <n v="10.033231423614779"/>
    <n v="2025"/>
    <n v="2025"/>
  </r>
  <r>
    <s v="SOPORTE"/>
    <d v="2025-10-13T09:11:01"/>
    <d v="2025-10-15T12:20:40"/>
    <x v="1"/>
    <n v="42"/>
    <x v="57"/>
    <n v="42"/>
    <x v="41"/>
    <n v="2.1316953356508748"/>
    <n v="2025"/>
    <n v="2025"/>
  </r>
  <r>
    <s v="SOPORTE"/>
    <d v="2025-10-13T09:33:08"/>
    <d v="2025-10-15T12:20:52"/>
    <x v="1"/>
    <n v="42"/>
    <x v="57"/>
    <n v="42"/>
    <x v="41"/>
    <n v="2.1164771990734152"/>
    <n v="2025"/>
    <n v="2025"/>
  </r>
  <r>
    <s v="SOPORTE"/>
    <d v="2025-10-14T12:41:12"/>
    <d v="2025-10-14T16:55:56"/>
    <x v="1"/>
    <n v="42"/>
    <x v="57"/>
    <n v="42"/>
    <x v="41"/>
    <n v="0.17690053240221459"/>
    <n v="2025"/>
    <n v="2025"/>
  </r>
  <r>
    <s v="FUNCIONAL"/>
    <d v="2025-10-14T17:04:14"/>
    <d v="9999-12-31T10:41:41"/>
    <x v="0"/>
    <n v="42"/>
    <x v="57"/>
    <n v="53"/>
    <x v="26"/>
    <n v="2912520.7343361229"/>
    <n v="2025"/>
    <n v="9999"/>
  </r>
  <r>
    <s v="TÉCNICO"/>
    <d v="2025-10-15T08:30:47"/>
    <d v="2025-10-15T08:33:13"/>
    <x v="0"/>
    <n v="42"/>
    <x v="57"/>
    <n v="42"/>
    <x v="41"/>
    <n v="1.6874884240678512E-3"/>
    <n v="2025"/>
    <n v="2025"/>
  </r>
  <r>
    <s v="TÉCNICO"/>
    <d v="2025-10-15T08:33:30"/>
    <d v="2025-10-29T14:45:51"/>
    <x v="0"/>
    <n v="42"/>
    <x v="57"/>
    <n v="44"/>
    <x v="31"/>
    <n v="14.258569085650379"/>
    <n v="2025"/>
    <n v="2025"/>
  </r>
  <r>
    <s v="SOPORTE"/>
    <d v="2025-10-15T12:17:46"/>
    <d v="2025-10-20T10:23:50"/>
    <x v="1"/>
    <n v="42"/>
    <x v="57"/>
    <n v="43"/>
    <x v="43"/>
    <n v="4.9208825347159291"/>
    <n v="2025"/>
    <n v="2025"/>
  </r>
  <r>
    <s v="SOPORTE"/>
    <d v="2025-10-15T12:27:47"/>
    <d v="2025-10-29T09:43:52"/>
    <x v="1"/>
    <n v="42"/>
    <x v="57"/>
    <n v="44"/>
    <x v="31"/>
    <n v="13.886167685188411"/>
    <n v="2025"/>
    <n v="2025"/>
  </r>
  <r>
    <s v="DESARROLLO"/>
    <d v="2025-10-15T12:45:19"/>
    <d v="2025-10-29T14:45:30"/>
    <x v="0"/>
    <n v="42"/>
    <x v="57"/>
    <n v="44"/>
    <x v="31"/>
    <n v="14.083457754633855"/>
    <n v="2025"/>
    <n v="2025"/>
  </r>
  <r>
    <s v="SOPORTE"/>
    <d v="2025-10-15T16:21:24"/>
    <d v="9999-12-31T10:41:41"/>
    <x v="1"/>
    <n v="42"/>
    <x v="57"/>
    <n v="53"/>
    <x v="26"/>
    <n v="2912519.7640849194"/>
    <n v="2025"/>
    <n v="9999"/>
  </r>
  <r>
    <s v="DESARROLLO"/>
    <d v="2025-10-16T08:48:46"/>
    <d v="2025-10-20T09:29:46"/>
    <x v="0"/>
    <n v="42"/>
    <x v="57"/>
    <n v="43"/>
    <x v="43"/>
    <n v="4.0284661342593608"/>
    <n v="2025"/>
    <n v="2025"/>
  </r>
  <r>
    <s v="DESARROLLO"/>
    <d v="2025-10-16T09:01:28"/>
    <d v="2025-10-16T11:36:14"/>
    <x v="0"/>
    <n v="42"/>
    <x v="57"/>
    <n v="42"/>
    <x v="41"/>
    <n v="0.10746883101819549"/>
    <n v="2025"/>
    <n v="2025"/>
  </r>
  <r>
    <s v="SOPORTE"/>
    <d v="2025-10-16T23:41:15"/>
    <d v="2025-10-16T23:45:58"/>
    <x v="1"/>
    <n v="42"/>
    <x v="57"/>
    <n v="42"/>
    <x v="41"/>
    <n v="3.2678240750101395E-3"/>
    <n v="2025"/>
    <n v="2025"/>
  </r>
  <r>
    <s v="SOPORTE"/>
    <d v="2025-10-17T11:55:08"/>
    <d v="2025-10-29T09:53:47"/>
    <x v="1"/>
    <n v="42"/>
    <x v="57"/>
    <n v="44"/>
    <x v="31"/>
    <n v="11.915728530089837"/>
    <n v="2025"/>
    <n v="2025"/>
  </r>
  <r>
    <s v=""/>
    <d v="2025-10-17T12:56:55"/>
    <d v="9999-12-31T10:41:41"/>
    <x v="2"/>
    <n v="42"/>
    <x v="57"/>
    <n v="53"/>
    <x v="26"/>
    <n v="2912517.9060826162"/>
    <n v="2025"/>
    <n v="9999"/>
  </r>
  <r>
    <s v="SOPORTE"/>
    <d v="2025-10-17T14:21:45"/>
    <d v="2025-10-27T17:47:07"/>
    <x v="1"/>
    <n v="42"/>
    <x v="57"/>
    <n v="44"/>
    <x v="31"/>
    <n v="10.142623101848585"/>
    <n v="2025"/>
    <n v="2025"/>
  </r>
  <r>
    <s v="SOPORTE"/>
    <d v="2025-10-17T14:32:06"/>
    <d v="2025-10-29T09:56:25"/>
    <x v="1"/>
    <n v="42"/>
    <x v="57"/>
    <n v="44"/>
    <x v="31"/>
    <n v="11.808554733790515"/>
    <n v="2025"/>
    <n v="2025"/>
  </r>
  <r>
    <s v="SOPORTE"/>
    <d v="2025-10-17T14:51:48"/>
    <d v="2025-10-17T14:54:40"/>
    <x v="1"/>
    <n v="42"/>
    <x v="57"/>
    <n v="42"/>
    <x v="41"/>
    <n v="1.9927430548705161E-3"/>
    <n v="2025"/>
    <n v="2025"/>
  </r>
  <r>
    <s v="TÉCNICO"/>
    <d v="2025-10-20T09:18:43"/>
    <d v="2025-10-20T09:22:45"/>
    <x v="0"/>
    <n v="43"/>
    <x v="58"/>
    <n v="43"/>
    <x v="43"/>
    <n v="2.8026273212162778E-3"/>
    <n v="2025"/>
    <n v="2025"/>
  </r>
  <r>
    <s v="SOPORTE"/>
    <d v="2025-10-20T09:23:16"/>
    <d v="9999-12-31T10:41:41"/>
    <x v="1"/>
    <n v="43"/>
    <x v="58"/>
    <n v="53"/>
    <x v="26"/>
    <n v="2912515.0544535764"/>
    <n v="2025"/>
    <n v="9999"/>
  </r>
  <r>
    <s v="SOPORTE"/>
    <d v="2025-10-20T12:11:53"/>
    <d v="2025-10-21T15:52:17"/>
    <x v="1"/>
    <n v="43"/>
    <x v="58"/>
    <n v="43"/>
    <x v="43"/>
    <n v="1.1530499305517878"/>
    <n v="2025"/>
    <n v="2025"/>
  </r>
  <r>
    <s v="Selecciona (SOPORTE/DEFINICIÓN/FUNCIONAL/TÉCNICO/DESARROLLO)"/>
    <d v="2025-10-20T12:51:47"/>
    <d v="9999-12-31T10:41:41"/>
    <x v="2"/>
    <n v="43"/>
    <x v="58"/>
    <n v="53"/>
    <x v="26"/>
    <n v="2912514.9096577549"/>
    <n v="2025"/>
    <n v="9999"/>
  </r>
  <r>
    <s v="DESARROLLO"/>
    <d v="2025-10-20T13:24:45"/>
    <d v="2025-10-20T16:00:18"/>
    <x v="0"/>
    <n v="43"/>
    <x v="58"/>
    <n v="43"/>
    <x v="43"/>
    <n v="0.10801502315007383"/>
    <n v="2025"/>
    <n v="2025"/>
  </r>
  <r>
    <s v="SOPORTE"/>
    <d v="2025-10-20T15:35:34"/>
    <d v="2025-10-21T15:45:14"/>
    <x v="1"/>
    <n v="43"/>
    <x v="58"/>
    <n v="43"/>
    <x v="43"/>
    <n v="1.0067052546291961"/>
    <n v="2025"/>
    <n v="2025"/>
  </r>
  <r>
    <s v="SOPORTE"/>
    <d v="2025-10-20T16:44:51"/>
    <d v="2025-10-21T15:55:22"/>
    <x v="1"/>
    <n v="43"/>
    <x v="58"/>
    <n v="43"/>
    <x v="43"/>
    <n v="0.96563739583507413"/>
    <n v="2025"/>
    <n v="2025"/>
  </r>
  <r>
    <s v="SOPORTE"/>
    <d v="2025-10-21T10:30:03"/>
    <d v="2025-10-21T13:11:33"/>
    <x v="1"/>
    <n v="43"/>
    <x v="58"/>
    <n v="43"/>
    <x v="43"/>
    <n v="0.11216214120213408"/>
    <n v="2025"/>
    <n v="2025"/>
  </r>
  <r>
    <s v="SOPORTE"/>
    <d v="2025-10-21T10:31:02"/>
    <d v="2025-10-29T09:58:19"/>
    <x v="1"/>
    <n v="43"/>
    <x v="58"/>
    <n v="44"/>
    <x v="31"/>
    <n v="7.9772795254684752"/>
    <n v="2025"/>
    <n v="2025"/>
  </r>
  <r>
    <s v="TÉCNICO"/>
    <d v="2025-10-21T12:11:59"/>
    <d v="9999-12-31T10:41:41"/>
    <x v="0"/>
    <n v="43"/>
    <x v="58"/>
    <n v="53"/>
    <x v="26"/>
    <n v="2912513.9372885767"/>
    <n v="2025"/>
    <n v="9999"/>
  </r>
  <r>
    <s v="DESARROLLO"/>
    <d v="2025-10-21T14:03:55"/>
    <d v="2025-10-22T09:24:30"/>
    <x v="0"/>
    <n v="43"/>
    <x v="58"/>
    <n v="43"/>
    <x v="43"/>
    <n v="0.8059592129648081"/>
    <n v="2025"/>
    <n v="2025"/>
  </r>
  <r>
    <s v="SOPORTE"/>
    <d v="2025-10-21T14:06:38"/>
    <d v="2025-10-29T09:59:25"/>
    <x v="1"/>
    <n v="43"/>
    <x v="58"/>
    <n v="44"/>
    <x v="31"/>
    <n v="7.8283202314778464"/>
    <n v="2025"/>
    <n v="2025"/>
  </r>
  <r>
    <s v="SOPORTE"/>
    <d v="2025-10-22T08:36:00"/>
    <d v="2025-10-29T10:00:53"/>
    <x v="1"/>
    <n v="43"/>
    <x v="58"/>
    <n v="44"/>
    <x v="31"/>
    <n v="7.0589446759258863"/>
    <n v="2025"/>
    <n v="2025"/>
  </r>
  <r>
    <s v="SOPORTE"/>
    <d v="2025-10-22T13:00:34"/>
    <d v="2025-10-29T10:02:42"/>
    <x v="1"/>
    <n v="43"/>
    <x v="58"/>
    <n v="44"/>
    <x v="31"/>
    <n v="6.8764818287090748"/>
    <n v="2025"/>
    <n v="2025"/>
  </r>
  <r>
    <s v="DESARROLLO"/>
    <d v="2025-10-22T13:26:16"/>
    <d v="2025-10-23T08:56:34"/>
    <x v="0"/>
    <n v="43"/>
    <x v="58"/>
    <n v="43"/>
    <x v="43"/>
    <n v="0.81270600694551831"/>
    <n v="2025"/>
    <n v="2025"/>
  </r>
  <r>
    <s v="SOPORTE"/>
    <d v="2025-10-22T15:39:29"/>
    <d v="2025-10-23T15:26:30"/>
    <x v="1"/>
    <n v="43"/>
    <x v="58"/>
    <n v="43"/>
    <x v="43"/>
    <n v="0.99097570602316409"/>
    <n v="2025"/>
    <n v="2025"/>
  </r>
  <r>
    <s v="SOPORTE"/>
    <d v="2025-10-22T15:43:06"/>
    <d v="9999-12-31T10:41:41"/>
    <x v="1"/>
    <n v="43"/>
    <x v="58"/>
    <n v="53"/>
    <x v="26"/>
    <n v="2912512.7906854283"/>
    <n v="2025"/>
    <n v="9999"/>
  </r>
  <r>
    <s v="SOPORTE"/>
    <d v="2025-10-23T10:59:10"/>
    <d v="9999-12-31T10:41:41"/>
    <x v="1"/>
    <n v="43"/>
    <x v="58"/>
    <n v="53"/>
    <x v="26"/>
    <n v="2912511.9878554055"/>
    <n v="2025"/>
    <n v="9999"/>
  </r>
  <r>
    <s v="SOPORTE"/>
    <d v="2025-10-23T13:27:35"/>
    <d v="2025-10-23T16:53:01"/>
    <x v="1"/>
    <n v="43"/>
    <x v="58"/>
    <n v="43"/>
    <x v="43"/>
    <n v="0.14266842592769535"/>
    <n v="2025"/>
    <n v="2025"/>
  </r>
  <r>
    <s v="SOPORTE"/>
    <d v="2025-10-23T15:52:17"/>
    <d v="2025-10-23T16:53:30"/>
    <x v="1"/>
    <n v="43"/>
    <x v="58"/>
    <n v="43"/>
    <x v="43"/>
    <n v="4.2513807871728204E-2"/>
    <n v="2025"/>
    <n v="2025"/>
  </r>
  <r>
    <s v="SOPORTE"/>
    <d v="2025-10-24T09:40:57"/>
    <d v="9999-12-31T10:41:41"/>
    <x v="1"/>
    <n v="43"/>
    <x v="58"/>
    <n v="53"/>
    <x v="26"/>
    <n v="2912511.042180602"/>
    <n v="2025"/>
    <n v="9999"/>
  </r>
  <r>
    <s v="DESARROLLO"/>
    <d v="2025-10-24T13:19:38"/>
    <d v="2025-10-27T13:05:13"/>
    <x v="0"/>
    <n v="43"/>
    <x v="58"/>
    <n v="44"/>
    <x v="31"/>
    <n v="2.9899938773087342"/>
    <n v="2025"/>
    <n v="2025"/>
  </r>
  <r>
    <s v="SOPORTE"/>
    <d v="2025-10-27T11:40:24"/>
    <d v="2025-10-29T10:07:08"/>
    <x v="1"/>
    <n v="44"/>
    <x v="59"/>
    <n v="44"/>
    <x v="31"/>
    <n v="1.9352337615709985"/>
    <n v="2025"/>
    <n v="2025"/>
  </r>
  <r>
    <s v="DESARROLLO"/>
    <d v="2025-10-28T11:17:56"/>
    <d v="2025-10-29T12:14:23"/>
    <x v="0"/>
    <n v="44"/>
    <x v="59"/>
    <n v="44"/>
    <x v="31"/>
    <n v="1.0392023726890329"/>
    <n v="2025"/>
    <n v="2025"/>
  </r>
  <r>
    <s v="SOPORTE"/>
    <d v="2025-10-28T11:23:27"/>
    <d v="2025-10-29T10:11:31"/>
    <x v="1"/>
    <n v="44"/>
    <x v="59"/>
    <n v="44"/>
    <x v="31"/>
    <n v="0.95005502314597834"/>
    <n v="2025"/>
    <n v="2025"/>
  </r>
  <r>
    <s v="DESARROLLO"/>
    <d v="2025-10-28T11:35:06"/>
    <d v="2025-10-29T12:14:42"/>
    <x v="0"/>
    <n v="44"/>
    <x v="59"/>
    <n v="44"/>
    <x v="31"/>
    <n v="1.0274933333348599"/>
    <n v="2025"/>
    <n v="2025"/>
  </r>
  <r>
    <s v="SOPORTE"/>
    <d v="2025-10-28T11:55:22"/>
    <d v="2025-10-29T10:08:48"/>
    <x v="1"/>
    <n v="44"/>
    <x v="59"/>
    <n v="44"/>
    <x v="31"/>
    <n v="0.92599693287047558"/>
    <n v="2025"/>
    <n v="2025"/>
  </r>
  <r>
    <s v="SOPORTE"/>
    <d v="2025-10-28T14:59:54"/>
    <d v="9999-12-31T10:41:41"/>
    <x v="1"/>
    <n v="44"/>
    <x v="59"/>
    <n v="53"/>
    <x v="26"/>
    <n v="2912506.8206851278"/>
    <n v="2025"/>
    <n v="9999"/>
  </r>
  <r>
    <m/>
    <m/>
    <m/>
    <x v="3"/>
    <m/>
    <x v="60"/>
    <m/>
    <x v="44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">
  <r>
    <s v="ESPC360-5150"/>
    <s v="[PRE] [KS] Fallo de  ks-java-50061915-dgos-avro-gs en PRE"/>
    <s v=""/>
    <d v="2024-02-05T15:37:07"/>
    <d v="2025-01-17T09:53:58"/>
    <s v="OPERACIONAL"/>
    <s v="TÉCNICO"/>
    <s v=""/>
    <s v="C360_Team_Mtto"/>
    <s v="Medium"/>
    <s v="CANCELADO"/>
    <s v=""/>
    <x v="0"/>
    <x v="0"/>
    <d v="2024-02-05T15:37:07"/>
    <d v="2025-01-17T09:53:58"/>
    <s v="Interno"/>
    <n v="6"/>
    <d v="2024-02-05T00:00:00"/>
    <n v="3"/>
    <d v="2025-01-13T00:00:00"/>
    <n v="346.76169511573971"/>
    <n v="2024"/>
    <n v="2025"/>
    <s v="2024-02"/>
    <s v="2025-01"/>
  </r>
  <r>
    <s v="ESPC360-5701"/>
    <s v="[PRE] [KStream] Error tests unitarios PC en accounts-movs-avro-gs"/>
    <s v=""/>
    <d v="2024-02-19T17:14:37"/>
    <d v="2025-06-30T10:23:05"/>
    <s v="OPERACIONAL"/>
    <s v="TÉCNICO"/>
    <s v=""/>
    <s v="C360_Team_Mtto"/>
    <s v="Medium"/>
    <s v="CANCELADO"/>
    <s v=""/>
    <x v="1"/>
    <x v="0"/>
    <d v="2024-02-19T17:14:37"/>
    <d v="2025-06-30T10:23:05"/>
    <s v="Interno"/>
    <n v="8"/>
    <d v="2024-02-19T00:00:00"/>
    <n v="27"/>
    <d v="2025-06-30T00:00:00"/>
    <n v="496.71420730324462"/>
    <n v="2024"/>
    <n v="2025"/>
    <s v="2024-02"/>
    <s v="2025-06"/>
  </r>
  <r>
    <s v="ESPC360-6192"/>
    <s v="[AVRO] Movimientos Cuentas - Construcción errónea del IdMov"/>
    <s v="Movimientos Cuentas"/>
    <d v="2024-03-08T07:55:27"/>
    <d v="2025-01-22T09:14:11"/>
    <s v="OPERACIONAL"/>
    <s v="DESARROLLO"/>
    <s v=""/>
    <s v="C360_Operacional_Team_Hero"/>
    <s v="Medium"/>
    <s v="CERRADO"/>
    <s v="C360_Operacional_Sprint 172"/>
    <x v="2"/>
    <x v="1"/>
    <d v="2024-03-08T07:55:27"/>
    <d v="2025-01-22T09:14:11"/>
    <s v="Interno"/>
    <n v="10"/>
    <d v="2024-03-04T00:00:00"/>
    <n v="4"/>
    <d v="2025-01-20T00:00:00"/>
    <n v="320.05466725693987"/>
    <n v="2024"/>
    <n v="2025"/>
    <s v="2024-03"/>
    <s v="2025-01"/>
  </r>
  <r>
    <s v="ESPC360-6934"/>
    <s v="[Swagger] - Componentes que no han subido en sprint 173"/>
    <s v=""/>
    <d v="2024-04-12T14:26:49"/>
    <d v="2025-01-16T09:57:39"/>
    <s v="OPERACIONAL"/>
    <s v="TÉCNICO"/>
    <s v=""/>
    <s v=""/>
    <s v="Medium"/>
    <s v="CERRADO"/>
    <s v=""/>
    <x v="2"/>
    <x v="0"/>
    <d v="2024-04-12T14:26:49"/>
    <d v="2025-01-16T09:57:39"/>
    <s v="Interno"/>
    <n v="15"/>
    <d v="2024-04-08T00:00:00"/>
    <n v="3"/>
    <d v="2025-01-13T00:00:00"/>
    <n v="278.81307679398014"/>
    <n v="2024"/>
    <n v="2025"/>
    <s v="2024-04"/>
    <s v="2025-01"/>
  </r>
  <r>
    <s v="ESPC360-7230"/>
    <s v="[PRE] Error Broken pipe en micro s-java-50059982-card-contracts"/>
    <s v=""/>
    <d v="2024-04-23T16:32:19"/>
    <d v="2025-01-31T13:13:33"/>
    <s v="OPERACIONAL"/>
    <s v="TÉCNICO"/>
    <s v=""/>
    <s v="C360_Team_Mtto"/>
    <s v="Medium"/>
    <s v="CANCELADO"/>
    <s v="C360_Operacional_Sprint 175;C360_Operacional_Sprint 176"/>
    <x v="2"/>
    <x v="0"/>
    <d v="2024-04-23T16:32:19"/>
    <d v="2025-01-31T13:13:33"/>
    <s v="Interno"/>
    <n v="17"/>
    <d v="2024-04-22T00:00:00"/>
    <n v="5"/>
    <d v="2025-01-27T00:00:00"/>
    <n v="282.86196151620243"/>
    <n v="2024"/>
    <n v="2025"/>
    <s v="2024-04"/>
    <s v="2025-01"/>
  </r>
  <r>
    <s v="ESPC360-8113"/>
    <s v="[DEV] Null pointer exception en GPI-Avro"/>
    <s v=""/>
    <d v="2024-05-28T10:28:24"/>
    <d v="2025-01-17T10:49:05"/>
    <s v="OPERACIONAL"/>
    <s v="DESARROLLO"/>
    <s v=""/>
    <s v="C360_Team_Mtto"/>
    <s v="Medium"/>
    <s v="CERRADO"/>
    <s v=""/>
    <x v="3"/>
    <x v="1"/>
    <d v="2024-05-28T10:28:24"/>
    <d v="2025-01-17T10:49:05"/>
    <s v="Interno"/>
    <n v="22"/>
    <d v="2024-05-27T00:00:00"/>
    <n v="3"/>
    <d v="2025-01-13T00:00:00"/>
    <n v="234.01436315972387"/>
    <n v="2024"/>
    <n v="2025"/>
    <s v="2024-05"/>
    <s v="2025-01"/>
  </r>
  <r>
    <s v="ESPC360-11020"/>
    <s v="[Batch] [Tarjetas] Solucionar actualización del nombre de beneficiario al actualizar solo la pers_fisica y juridica"/>
    <s v="Tarjetas"/>
    <d v="2024-08-22T12:46:37"/>
    <d v="2025-01-07T16:01:30"/>
    <s v="OPERACIONAL"/>
    <s v="SOPORTE"/>
    <s v=""/>
    <s v=""/>
    <s v="Medium"/>
    <s v="CANCELADO"/>
    <s v=""/>
    <x v="1"/>
    <x v="2"/>
    <d v="2024-08-22T12:46:37"/>
    <d v="2025-01-07T16:01:30"/>
    <s v="Externo"/>
    <n v="34"/>
    <d v="2024-08-19T00:00:00"/>
    <n v="2"/>
    <d v="2025-01-06T00:00:00"/>
    <n v="138.13532729166764"/>
    <n v="2024"/>
    <n v="2025"/>
    <s v="2024-08"/>
    <s v="2025-01"/>
  </r>
  <r>
    <s v="ESPC360-11527"/>
    <s v="[PRE] [Accounts Movements] [KStream] - Error en la generación del idMov con microsegundos a 0"/>
    <s v="Movimientos Cuentas"/>
    <d v="2024-09-19T00:24:19"/>
    <d v="2025-01-22T09:14:11"/>
    <s v="OPERACIONAL"/>
    <s v="DESARROLLO"/>
    <s v=""/>
    <s v="C360_Operacional_Team_Hero"/>
    <s v="Medium"/>
    <s v="CERRADO"/>
    <s v="C360_Operacional_Sprint 186"/>
    <x v="2"/>
    <x v="1"/>
    <d v="2024-09-19T00:24:19"/>
    <d v="2025-01-22T09:14:11"/>
    <s v="Interno"/>
    <n v="38"/>
    <d v="2024-09-16T00:00:00"/>
    <n v="4"/>
    <d v="2025-01-20T00:00:00"/>
    <n v="125.36796297453839"/>
    <n v="2024"/>
    <n v="2025"/>
    <s v="2024-09"/>
    <s v="2025-01"/>
  </r>
  <r>
    <s v="ESPC360-11687"/>
    <s v="La función batch DATE_TO_LONG realiza conversión a UTC"/>
    <s v=""/>
    <d v="2024-09-19T12:18:46"/>
    <d v="2025-06-19T09:18:00"/>
    <s v="OPERACIONAL"/>
    <s v="TÉCNICO"/>
    <s v=""/>
    <s v=""/>
    <s v="Medium"/>
    <s v="CERRADO"/>
    <s v=""/>
    <x v="1"/>
    <x v="0"/>
    <d v="2024-09-19T12:18:46"/>
    <d v="2025-06-19T09:18:00"/>
    <s v="Interno"/>
    <n v="38"/>
    <d v="2024-09-16T00:00:00"/>
    <n v="25"/>
    <d v="2025-06-16T00:00:00"/>
    <n v="272.87447269675613"/>
    <n v="2024"/>
    <n v="2025"/>
    <s v="2024-09"/>
    <s v="2025-06"/>
  </r>
  <r>
    <s v="ESPC360-11832"/>
    <s v="[PRO] [Fondos] INC046770445 - Denuncian dos fondos del cliente con descripción errónea."/>
    <s v="Fondos"/>
    <d v="2024-09-26T15:07:09"/>
    <d v="2025-01-16T10:06:20"/>
    <s v="OPERACIONAL"/>
    <s v="SOPORTE"/>
    <s v=""/>
    <s v="C360_Team_Mtto"/>
    <s v="Medium"/>
    <s v="CERRADO"/>
    <s v=""/>
    <x v="1"/>
    <x v="2"/>
    <d v="2024-09-26T15:07:09"/>
    <d v="2025-01-16T10:06:20"/>
    <s v="Externo"/>
    <n v="39"/>
    <d v="2024-09-23T00:00:00"/>
    <n v="3"/>
    <d v="2025-01-13T00:00:00"/>
    <n v="111.79109862268524"/>
    <n v="2024"/>
    <n v="2025"/>
    <s v="2024-09"/>
    <s v="2025-01"/>
  </r>
  <r>
    <s v="ESPC360-12380"/>
    <s v="[PRO] [Tarjetas] La carga batch de tarjetas debe cargar una cuenta asociada"/>
    <s v=""/>
    <d v="2024-10-16T15:17:22"/>
    <d v="2025-01-29T13:40:06"/>
    <s v="OPERACIONAL"/>
    <s v="DESARROLLO"/>
    <s v=""/>
    <s v="C360_Team_Mtto"/>
    <s v="Medium"/>
    <s v="CERRADO"/>
    <s v=""/>
    <x v="2"/>
    <x v="1"/>
    <d v="2024-10-16T15:17:22"/>
    <d v="2025-01-29T13:40:06"/>
    <s v="Interno"/>
    <n v="42"/>
    <d v="2024-10-14T00:00:00"/>
    <n v="5"/>
    <d v="2025-01-27T00:00:00"/>
    <n v="104.93245473379648"/>
    <n v="2024"/>
    <n v="2025"/>
    <s v="2024-10"/>
    <s v="2025-01"/>
  </r>
  <r>
    <s v="ESPC360-13013"/>
    <s v="[ACCOUNTS - PRE] Errores detectados con la actualización a Darwin 4.3.3"/>
    <s v="Cuentas"/>
    <d v="2024-11-06T21:53:00"/>
    <d v="2025-01-17T09:02:58"/>
    <s v="OPERACIONAL"/>
    <s v="DESARROLLO"/>
    <s v=""/>
    <s v="C360_Operacional_Team_Hero"/>
    <s v="Medium"/>
    <s v="CERRADO"/>
    <s v="C360_Operacional_Sprint 189"/>
    <x v="2"/>
    <x v="1"/>
    <d v="2024-11-06T21:53:00"/>
    <d v="2025-01-17T09:02:58"/>
    <s v="Interno"/>
    <n v="45"/>
    <d v="2024-11-04T00:00:00"/>
    <n v="3"/>
    <d v="2025-01-13T00:00:00"/>
    <n v="71.465246967592975"/>
    <n v="2024"/>
    <n v="2025"/>
    <s v="2024-11"/>
    <s v="2025-01"/>
  </r>
  <r>
    <s v="ESPC360-13392"/>
    <s v="[ACCOUNTS - PRE] Errores detectados en el swagger de accounts con la actualización a Darwin 4.3.3"/>
    <s v=""/>
    <d v="2024-11-20T11:27:17"/>
    <d v="2025-01-17T09:02:58"/>
    <s v="OPERACIONAL"/>
    <s v="TÉCNICO"/>
    <s v=""/>
    <s v="C360_Operacional_Team_Hero"/>
    <s v="Highest"/>
    <s v="CERRADO"/>
    <s v="C360_Operacional_Sprint 190"/>
    <x v="2"/>
    <x v="0"/>
    <d v="2024-11-20T11:27:17"/>
    <d v="2025-01-17T09:02:58"/>
    <s v="Interno"/>
    <n v="47"/>
    <d v="2024-11-18T00:00:00"/>
    <n v="3"/>
    <d v="2025-01-13T00:00:00"/>
    <n v="57.899773622688372"/>
    <n v="2024"/>
    <n v="2025"/>
    <s v="2024-11"/>
    <s v="2025-01"/>
  </r>
  <r>
    <s v="ESPC360-13531"/>
    <s v="[PRO] [Mov. Cuentas] INC048649441 - Error 500 movimientos cuentas"/>
    <s v="Movimientos Cuentas"/>
    <d v="2024-11-25T17:41:10"/>
    <d v="2025-01-30T10:25:56"/>
    <s v="OPERACIONAL"/>
    <s v="DESARROLLO"/>
    <s v=""/>
    <s v="C360_Team_Mtto"/>
    <s v="Medium"/>
    <s v="CERRADO"/>
    <s v=""/>
    <x v="1"/>
    <x v="1"/>
    <d v="2024-11-25T17:41:10"/>
    <d v="2025-01-30T10:25:56"/>
    <s v="Interno"/>
    <n v="48"/>
    <d v="2024-11-25T00:00:00"/>
    <n v="5"/>
    <d v="2025-01-27T00:00:00"/>
    <n v="65.697754270833684"/>
    <n v="2024"/>
    <n v="2025"/>
    <s v="2024-11"/>
    <s v="2025-01"/>
  </r>
  <r>
    <s v="ESPC360-13558"/>
    <s v="[PRO] [PMP] INC048843528 - Marca PMP no se muestra D+1 desde contratación"/>
    <s v=""/>
    <d v="2024-11-28T09:38:38"/>
    <d v="2025-01-08T10:25:39"/>
    <s v="OPERACIONAL"/>
    <s v="DESARROLLO"/>
    <s v=""/>
    <s v="C360_Team_Mtto"/>
    <s v="Medium"/>
    <s v="CERRADO"/>
    <s v=""/>
    <x v="1"/>
    <x v="1"/>
    <d v="2024-11-28T09:38:38"/>
    <d v="2025-01-08T10:25:39"/>
    <s v="Interno"/>
    <n v="48"/>
    <d v="2024-11-25T00:00:00"/>
    <n v="2"/>
    <d v="2025-01-06T00:00:00"/>
    <n v="41.032652291665727"/>
    <n v="2024"/>
    <n v="2025"/>
    <s v="2024-11"/>
    <s v="2025-01"/>
  </r>
  <r>
    <s v="ESPC360-13787"/>
    <s v="[PRO] [Mov. Cuentas] INC048917883 - No funcionan filtros de movimientos en cuentas"/>
    <s v="Cuentas"/>
    <d v="2024-11-29T14:16:12"/>
    <d v="2025-06-27T10:31:32"/>
    <s v="OPERACIONAL"/>
    <s v="TÉCNICO"/>
    <s v=""/>
    <s v="C360_Team_Mtto"/>
    <s v="Medium"/>
    <s v="CANCELADO"/>
    <s v=""/>
    <x v="1"/>
    <x v="0"/>
    <d v="2024-11-29T14:16:12"/>
    <d v="2025-06-27T10:31:32"/>
    <s v="Interno"/>
    <n v="48"/>
    <d v="2024-11-25T00:00:00"/>
    <n v="26"/>
    <d v="2025-06-23T00:00:00"/>
    <n v="209.84398101851548"/>
    <n v="2024"/>
    <n v="2025"/>
    <s v="2024-11"/>
    <s v="2025-06"/>
  </r>
  <r>
    <s v="ESPC360-13853"/>
    <s v="[PRO] [Renting] Contratos alfanumericos no actualzian el GSI"/>
    <s v="Renting"/>
    <d v="2024-12-05T13:01:43"/>
    <d v="2025-01-17T09:02:31"/>
    <s v="OPERACIONAL"/>
    <s v="DESARROLLO"/>
    <s v=""/>
    <s v="C360_Team_Mtto"/>
    <s v="Medium"/>
    <s v="CERRADO"/>
    <s v=""/>
    <x v="1"/>
    <x v="1"/>
    <d v="2024-12-05T13:01:43"/>
    <d v="2025-01-17T09:02:31"/>
    <s v="Interno"/>
    <n v="49"/>
    <d v="2024-12-02T00:00:00"/>
    <n v="3"/>
    <d v="2025-01-13T00:00:00"/>
    <n v="42.833895289353677"/>
    <n v="2024"/>
    <n v="2025"/>
    <s v="2024-12"/>
    <s v="2025-01"/>
  </r>
  <r>
    <s v="ESPC360-13890"/>
    <s v="[Santander GO - Users CMC] Búsqueda y Filtros en la obtención de los usuarios de un CMC"/>
    <s v=""/>
    <d v="2024-12-09T16:54:35"/>
    <d v="2025-01-17T09:03:23"/>
    <s v="OPERACIONAL"/>
    <s v="DESARROLLO"/>
    <s v=""/>
    <s v="C360_Operacional_Team_2"/>
    <s v="Highest"/>
    <s v="CERRADO"/>
    <s v="C360_Operacional_Sprint 191"/>
    <x v="2"/>
    <x v="1"/>
    <d v="2024-12-09T16:54:35"/>
    <d v="2025-01-17T09:03:23"/>
    <s v="Interno"/>
    <n v="50"/>
    <d v="2024-12-09T00:00:00"/>
    <n v="3"/>
    <d v="2025-01-13T00:00:00"/>
    <n v="38.672779375003302"/>
    <n v="2024"/>
    <n v="2025"/>
    <s v="2024-12"/>
    <s v="2025-01"/>
  </r>
  <r>
    <s v="ESPC360-14102"/>
    <s v="[PRO] [Planes Pensiones] INC049562301 - Error en planes de pensiones"/>
    <s v="Planes de Pensiones"/>
    <d v="2024-12-18T12:54:46"/>
    <d v="2025-01-07T14:17:05"/>
    <s v="OPERACIONAL"/>
    <s v="DESARROLLO"/>
    <s v=""/>
    <s v="C360_Team_Mtto"/>
    <s v="Medium"/>
    <s v="CERRADO"/>
    <s v=""/>
    <x v="1"/>
    <x v="1"/>
    <d v="2024-12-18T12:54:46"/>
    <d v="2025-01-07T14:17:05"/>
    <s v="Interno"/>
    <n v="51"/>
    <d v="2024-12-16T00:00:00"/>
    <n v="2"/>
    <d v="2025-01-06T00:00:00"/>
    <n v="20.057156782408128"/>
    <n v="2024"/>
    <n v="2025"/>
    <s v="2024-12"/>
    <s v="2025-01"/>
  </r>
  <r>
    <s v="ESPC360-14147"/>
    <s v="[PRO] [Confidencialidad] INC049392464 - Se ven contratos de depósitos que no se filtran por confidencialidad"/>
    <s v="Confidencialidad;Depósitos"/>
    <d v="2024-12-20T14:22:08"/>
    <d v="2025-01-07T13:36:15"/>
    <s v="OPERACIONAL"/>
    <s v="SOPORTE"/>
    <s v=""/>
    <s v="C360_Team_Mtto"/>
    <s v="Medium"/>
    <s v="CERRADO"/>
    <s v=""/>
    <x v="1"/>
    <x v="2"/>
    <d v="2024-12-20T14:22:08"/>
    <d v="2025-01-07T13:36:15"/>
    <s v="Externo"/>
    <n v="51"/>
    <d v="2024-12-16T00:00:00"/>
    <n v="2"/>
    <d v="2025-01-06T00:00:00"/>
    <n v="17.968137152776762"/>
    <n v="2024"/>
    <n v="2025"/>
    <s v="2024-12"/>
    <s v="2025-01"/>
  </r>
  <r>
    <s v="ESPC360-14170"/>
    <s v="[PRO] [Seguros] INC049893945 - No aparece la prima en ADN360"/>
    <s v="Seguros"/>
    <d v="2024-12-31T09:55:33"/>
    <d v="2025-01-14T10:23:27"/>
    <s v="OPERACIONAL"/>
    <s v="SOPORTE"/>
    <s v=""/>
    <s v="C360_Team_Mtto"/>
    <s v="Medium"/>
    <s v="CERRADO"/>
    <s v=""/>
    <x v="1"/>
    <x v="2"/>
    <d v="2024-12-31T09:55:33"/>
    <d v="2025-01-14T10:23:27"/>
    <s v="Externo"/>
    <n v="53"/>
    <d v="2024-12-30T00:00:00"/>
    <n v="3"/>
    <d v="2025-01-13T00:00:00"/>
    <n v="14.019374548610358"/>
    <n v="2024"/>
    <n v="2025"/>
    <s v="2024-12"/>
    <s v="2025-01"/>
  </r>
  <r>
    <s v="ESPC360-14171"/>
    <s v="[PRO] [FRONT] INC049918076 - Al imprimir PG del cliente no se exportan en PDF todos los contratos"/>
    <s v="Front ADN360"/>
    <d v="2024-12-31T12:00:14"/>
    <d v="2025-01-08T10:40:59"/>
    <s v="OPERACIONAL"/>
    <s v="SOPORTE"/>
    <s v=""/>
    <s v="C360_Team_Mtto"/>
    <s v="Medium"/>
    <s v="CERRADO"/>
    <s v=""/>
    <x v="1"/>
    <x v="2"/>
    <d v="2024-12-31T12:00:14"/>
    <d v="2025-01-08T10:40:59"/>
    <s v="Externo"/>
    <n v="53"/>
    <d v="2024-12-30T00:00:00"/>
    <n v="2"/>
    <d v="2025-01-06T00:00:00"/>
    <n v="7.9449663310224423"/>
    <n v="2024"/>
    <n v="2025"/>
    <s v="2024-12"/>
    <s v="2025-01"/>
  </r>
  <r>
    <s v="ESPC360-14328"/>
    <s v="[PRO] [Planes Pensiones] Error en planes de pensiones al no existir rentabilidades"/>
    <s v=""/>
    <d v="2025-01-07T14:09:59"/>
    <d v="2025-01-14T10:23:56"/>
    <s v="OPERACIONAL"/>
    <s v="DESARROLLO"/>
    <s v=""/>
    <s v=""/>
    <s v="Medium"/>
    <s v="CANCELADO"/>
    <s v=""/>
    <x v="1"/>
    <x v="1"/>
    <d v="2025-01-07T14:09:59"/>
    <d v="2025-01-14T10:23:56"/>
    <s v="Interno"/>
    <n v="2"/>
    <d v="2025-01-06T00:00:00"/>
    <n v="3"/>
    <d v="2025-01-13T00:00:00"/>
    <n v="6.8430214814870851"/>
    <n v="2025"/>
    <n v="2025"/>
    <s v="2025-01"/>
    <s v="2025-01"/>
  </r>
  <r>
    <s v="ESPC360-14346"/>
    <s v="[PRO] [Cuentas]  INCXXXX - ejemplo descripcion"/>
    <s v=""/>
    <d v="2025-01-09T12:32:59"/>
    <d v="2025-01-09T12:42:39"/>
    <s v="OPERACIONAL"/>
    <s v="DESARROLLO"/>
    <s v=""/>
    <s v="C360_Team_Mtto"/>
    <s v="Medium"/>
    <s v="CANCELADO"/>
    <s v=""/>
    <x v="1"/>
    <x v="1"/>
    <d v="2025-01-09T12:32:59"/>
    <d v="2025-01-09T12:42:39"/>
    <s v="Interno"/>
    <n v="2"/>
    <d v="2025-01-06T00:00:00"/>
    <n v="2"/>
    <d v="2025-01-06T00:00:00"/>
    <n v="6.7173726856708527E-3"/>
    <n v="2025"/>
    <n v="2025"/>
    <s v="2025-01"/>
    <s v="2025-01"/>
  </r>
  <r>
    <s v="ESPC360-14415"/>
    <s v="[PRO]  [Dock Station] INC050200140 - Problemas con la dockstation"/>
    <s v=""/>
    <d v="2025-01-10T09:05:18"/>
    <d v="2025-01-10T09:12:33"/>
    <s v="OPERACIONAL"/>
    <s v="SOPORTE"/>
    <s v=""/>
    <s v="C360_Team_Mtto"/>
    <s v="Medium"/>
    <s v="CERRADO"/>
    <s v=""/>
    <x v="1"/>
    <x v="2"/>
    <d v="2025-01-10T09:05:18"/>
    <d v="2025-01-10T09:12:33"/>
    <s v="Externo"/>
    <n v="2"/>
    <d v="2025-01-06T00:00:00"/>
    <n v="2"/>
    <d v="2025-01-06T00:00:00"/>
    <n v="5.0313425963395275E-3"/>
    <n v="2025"/>
    <n v="2025"/>
    <s v="2025-01"/>
    <s v="2025-01"/>
  </r>
  <r>
    <s v="ESPC360-14434"/>
    <s v="[PRO] [Cuentas] INC050189525 - no se ven los recibos b2b en el canal  y en el sico de la oficina si"/>
    <s v="Cuentas;Recibos"/>
    <d v="2025-01-13T15:57:45"/>
    <d v="2025-01-28T10:19:25"/>
    <s v="OPERACIONAL"/>
    <s v="SOPORTE"/>
    <s v=""/>
    <s v="C360_Team_Mtto"/>
    <s v="Medium"/>
    <s v="CERRADO"/>
    <s v=""/>
    <x v="1"/>
    <x v="2"/>
    <d v="2025-01-13T15:57:45"/>
    <d v="2025-01-28T10:19:25"/>
    <s v="Externo"/>
    <n v="3"/>
    <d v="2025-01-13T00:00:00"/>
    <n v="5"/>
    <d v="2025-01-27T00:00:00"/>
    <n v="14.765052256945637"/>
    <n v="2025"/>
    <n v="2025"/>
    <s v="2025-01"/>
    <s v="2025-01"/>
  </r>
  <r>
    <s v="ESPC360-14463"/>
    <s v="[PRO] [Creditos] INC050294916 - Empresa no ve su cuenta crédito"/>
    <s v="Créditos"/>
    <d v="2025-01-14T15:07:51"/>
    <d v="2025-01-21T12:50:59"/>
    <s v="OPERACIONAL"/>
    <s v="SOPORTE"/>
    <s v=""/>
    <s v="C360_Team_Mtto"/>
    <s v="Medium"/>
    <s v="CERRADO"/>
    <s v=""/>
    <x v="1"/>
    <x v="2"/>
    <d v="2025-01-14T15:07:51"/>
    <d v="2025-01-21T12:50:59"/>
    <s v="Externo"/>
    <n v="3"/>
    <d v="2025-01-13T00:00:00"/>
    <n v="4"/>
    <d v="2025-01-20T00:00:00"/>
    <n v="6.9049569444396184"/>
    <n v="2025"/>
    <n v="2025"/>
    <s v="2025-01"/>
    <s v="2025-01"/>
  </r>
  <r>
    <s v="ESPC360-14464"/>
    <s v="[PRO] [Valores] INC050336446 - no muestra correctamente la rentabilidad"/>
    <s v="Valores"/>
    <d v="2025-01-14T16:04:17"/>
    <d v="2025-01-17T09:16:14"/>
    <s v="OPERACIONAL"/>
    <s v="SOPORTE"/>
    <s v=""/>
    <s v="C360_Team_Mtto"/>
    <s v="Medium"/>
    <s v="CERRADO"/>
    <s v=""/>
    <x v="1"/>
    <x v="2"/>
    <d v="2025-01-14T16:04:17"/>
    <d v="2025-01-17T09:16:14"/>
    <s v="Externo"/>
    <n v="3"/>
    <d v="2025-01-13T00:00:00"/>
    <n v="3"/>
    <d v="2025-01-13T00:00:00"/>
    <n v="2.7166265277774073"/>
    <n v="2025"/>
    <n v="2025"/>
    <s v="2025-01"/>
    <s v="2025-01"/>
  </r>
  <r>
    <s v="ESPC360-14465"/>
    <s v="[PRE] [Cuentas] Error 403 forbidden al consultar cuentas"/>
    <s v=""/>
    <d v="2025-01-14T16:09:24"/>
    <d v="2025-01-14T17:31:54"/>
    <s v="OPERACIONAL"/>
    <s v="SOPORTE"/>
    <s v=""/>
    <s v=""/>
    <s v="Medium"/>
    <s v="CERRADO"/>
    <s v=""/>
    <x v="0"/>
    <x v="2"/>
    <d v="2025-01-14T16:09:24"/>
    <d v="2025-01-14T17:31:54"/>
    <s v="Externo"/>
    <n v="3"/>
    <d v="2025-01-13T00:00:00"/>
    <n v="3"/>
    <d v="2025-01-13T00:00:00"/>
    <n v="5.7294803242257331E-2"/>
    <n v="2025"/>
    <n v="2025"/>
    <s v="2025-01"/>
    <s v="2025-01"/>
  </r>
  <r>
    <s v="ESPC360-14466"/>
    <s v="[PRO] [Mov. Cuentas] INC050337181- No aparecen movimientos y consultas de mas de 20s"/>
    <s v="Cuentas;Movimientos Cuentas"/>
    <d v="2025-01-15T08:55:53"/>
    <d v="2025-06-27T10:31:00"/>
    <s v="OPERACIONAL"/>
    <s v="TÉCNICO"/>
    <s v=""/>
    <s v="C360_Team_Mtto"/>
    <s v="Medium"/>
    <s v="CANCELADO"/>
    <s v=""/>
    <x v="1"/>
    <x v="0"/>
    <d v="2025-01-15T08:55:53"/>
    <d v="2025-06-27T10:31:00"/>
    <s v="Interno"/>
    <n v="3"/>
    <d v="2025-01-13T00:00:00"/>
    <n v="26"/>
    <d v="2025-06-23T00:00:00"/>
    <n v="163.0660514814881"/>
    <n v="2025"/>
    <n v="2025"/>
    <s v="2025-01"/>
    <s v="2025-06"/>
  </r>
  <r>
    <s v="ESPC360-14467"/>
    <s v="[PRO] [Cuentas] INC050367771 - contrato partenón con numeración distinta"/>
    <s v=""/>
    <d v="2025-01-15T10:10:56"/>
    <d v="2025-01-17T09:20:18"/>
    <s v="OPERACIONAL"/>
    <s v="DESARROLLO"/>
    <s v=""/>
    <s v="C360_Team_Mtto"/>
    <s v="Medium"/>
    <s v="CERRADO"/>
    <s v=""/>
    <x v="1"/>
    <x v="1"/>
    <d v="2025-01-15T10:10:56"/>
    <d v="2025-01-17T09:20:18"/>
    <s v="Interno"/>
    <n v="3"/>
    <d v="2025-01-13T00:00:00"/>
    <n v="3"/>
    <d v="2025-01-13T00:00:00"/>
    <n v="1.9648327430550125"/>
    <n v="2025"/>
    <n v="2025"/>
    <s v="2025-01"/>
    <s v="2025-01"/>
  </r>
  <r>
    <s v="ESPC360-14482"/>
    <s v="[PRO] [Cuentas] INC050340970 - error 500 al llamar al micro de /accouts/compact"/>
    <s v="Cuentas"/>
    <d v="2025-01-15T11:31:38"/>
    <d v="2025-01-17T09:11:31"/>
    <s v="OPERACIONAL"/>
    <s v="SOPORTE"/>
    <s v=""/>
    <s v="C360_Team_Mtto"/>
    <s v="Medium"/>
    <s v="CERRADO"/>
    <s v=""/>
    <x v="1"/>
    <x v="2"/>
    <d v="2025-01-15T11:31:38"/>
    <d v="2025-01-17T09:11:31"/>
    <s v="Externo"/>
    <n v="3"/>
    <d v="2025-01-13T00:00:00"/>
    <n v="3"/>
    <d v="2025-01-13T00:00:00"/>
    <n v="1.902703576386557"/>
    <n v="2025"/>
    <n v="2025"/>
    <s v="2025-01"/>
    <s v="2025-01"/>
  </r>
  <r>
    <s v="ESPC360-14500"/>
    <s v="[PRE] [Confidencialidad] INC050408143 - Error Forbidden al recuperar los detalles de una cuenta"/>
    <s v="Confidencialidad"/>
    <d v="2025-01-16T10:01:19"/>
    <d v="2025-01-17T09:12:27"/>
    <s v="OPERACIONAL"/>
    <s v="SOPORTE"/>
    <s v=""/>
    <s v=""/>
    <s v="Medium"/>
    <s v="CERRADO"/>
    <s v=""/>
    <x v="0"/>
    <x v="2"/>
    <d v="2025-01-16T10:01:19"/>
    <d v="2025-01-17T09:12:27"/>
    <s v="Externo"/>
    <n v="3"/>
    <d v="2025-01-13T00:00:00"/>
    <n v="3"/>
    <d v="2025-01-13T00:00:00"/>
    <n v="0.96606079860794125"/>
    <n v="2025"/>
    <n v="2025"/>
    <s v="2025-01"/>
    <s v="2025-01"/>
  </r>
  <r>
    <s v="ESPC360-14503"/>
    <s v="[PRO] [Tarjetas] nuevo job update-cuentas-asociadas en bb-scla-50061915-cards"/>
    <s v=""/>
    <d v="2025-01-16T10:42:34"/>
    <d v="2025-07-02T10:35:22"/>
    <s v="OPERACIONAL"/>
    <s v="DESARROLLO"/>
    <s v=""/>
    <s v="C360_Team_Mtto"/>
    <s v="Medium"/>
    <s v="CANCELADO"/>
    <s v=""/>
    <x v="2"/>
    <x v="1"/>
    <d v="2025-01-16T10:42:34"/>
    <d v="2025-07-02T10:35:22"/>
    <s v="Interno"/>
    <n v="3"/>
    <d v="2025-01-13T00:00:00"/>
    <n v="27"/>
    <d v="2025-06-30T00:00:00"/>
    <n v="166.99500155092392"/>
    <n v="2025"/>
    <n v="2025"/>
    <s v="2025-01"/>
    <s v="2025-06"/>
  </r>
  <r>
    <s v="ESPC360-14766"/>
    <s v="[PRO] [Tarjetas] INC050425769 -  CONTRATO TARJETA FIRMADO no se ve"/>
    <s v="Tarjetas"/>
    <d v="2025-01-17T09:47:12"/>
    <d v="2025-01-23T10:26:04"/>
    <s v="OPERACIONAL"/>
    <s v="SOPORTE"/>
    <s v=""/>
    <s v="C360_Team_Mtto"/>
    <s v="Medium"/>
    <s v="CERRADO"/>
    <s v=""/>
    <x v="1"/>
    <x v="2"/>
    <d v="2025-01-17T09:47:12"/>
    <d v="2025-01-23T10:26:04"/>
    <s v="Externo"/>
    <n v="3"/>
    <d v="2025-01-13T00:00:00"/>
    <n v="4"/>
    <d v="2025-01-20T00:00:00"/>
    <n v="6.026984525458829"/>
    <n v="2025"/>
    <n v="2025"/>
    <s v="2025-01"/>
    <s v="2025-01"/>
  </r>
  <r>
    <s v="ESPC360-14795"/>
    <s v="[PRO] [Seguros] INC050524831 - La póliza sale a cero en ADN"/>
    <s v="Seguros"/>
    <d v="2025-01-20T10:03:59"/>
    <d v="2025-01-21T11:16:08"/>
    <s v="OPERACIONAL"/>
    <s v="SOPORTE"/>
    <s v=""/>
    <s v="C360_Team_Mtto"/>
    <s v="Medium"/>
    <s v="CERRADO"/>
    <s v=""/>
    <x v="1"/>
    <x v="2"/>
    <d v="2025-01-20T10:03:59"/>
    <d v="2025-01-21T11:16:08"/>
    <s v="Externo"/>
    <n v="4"/>
    <d v="2025-01-20T00:00:00"/>
    <n v="4"/>
    <d v="2025-01-20T00:00:00"/>
    <n v="1.0501110185141442"/>
    <n v="2025"/>
    <n v="2025"/>
    <s v="2025-01"/>
    <s v="2025-01"/>
  </r>
  <r>
    <s v="ESPC360-14798"/>
    <s v="[PRO] [Valores] el proceso  carga-valores-valor-emision está mal planificado en la migración a Databricks"/>
    <s v=""/>
    <d v="2025-01-20T11:09:12"/>
    <d v="2025-03-05T01:19:56"/>
    <s v="OPERACIONAL"/>
    <s v="TÉCNICO"/>
    <s v=""/>
    <s v="C360_Operacional_Team_1"/>
    <s v="Medium"/>
    <s v="CERRADO"/>
    <s v="C360_Operacional_Sprint 195"/>
    <x v="1"/>
    <x v="0"/>
    <d v="2025-01-20T11:09:12"/>
    <d v="2025-03-05T01:19:56"/>
    <s v="Interno"/>
    <n v="4"/>
    <d v="2025-01-20T00:00:00"/>
    <n v="10"/>
    <d v="2025-03-03T00:00:00"/>
    <n v="43.590795648146013"/>
    <n v="2025"/>
    <n v="2025"/>
    <s v="2025-01"/>
    <s v="2025-03"/>
  </r>
  <r>
    <s v="ESPC360-14816"/>
    <s v="[PRO] [Seguros] INC050567816 - Contrato debería estar dado de baja y aparece activo"/>
    <s v="Seguros"/>
    <d v="2025-01-21T12:47:07"/>
    <d v="2025-01-27T13:22:17"/>
    <s v="OPERACIONAL"/>
    <s v="SOPORTE"/>
    <s v=""/>
    <s v="C360_Team_Mtto"/>
    <s v="Medium"/>
    <s v="CERRADO"/>
    <s v=""/>
    <x v="1"/>
    <x v="2"/>
    <d v="2025-01-21T12:47:07"/>
    <d v="2025-01-27T13:22:17"/>
    <s v="Externo"/>
    <n v="4"/>
    <d v="2025-01-20T00:00:00"/>
    <n v="5"/>
    <d v="2025-01-27T00:00:00"/>
    <n v="6.0244201504610828"/>
    <n v="2025"/>
    <n v="2025"/>
    <s v="2025-01"/>
    <s v="2025-01"/>
  </r>
  <r>
    <s v="ESPC360-14817"/>
    <s v="[PRO][Seguros] INC050568621 - Cliente no ve contrato dado de alta"/>
    <s v="Seguros"/>
    <d v="2025-01-21T13:03:58"/>
    <d v="2025-01-23T10:40:07"/>
    <s v="OPERACIONAL"/>
    <s v="SOPORTE"/>
    <s v=""/>
    <s v="C360_Team_Mtto"/>
    <s v="Medium"/>
    <s v="CERRADO"/>
    <s v=""/>
    <x v="1"/>
    <x v="2"/>
    <d v="2025-01-21T13:03:58"/>
    <d v="2025-01-23T10:40:07"/>
    <s v="Externo"/>
    <n v="4"/>
    <d v="2025-01-20T00:00:00"/>
    <n v="4"/>
    <d v="2025-01-20T00:00:00"/>
    <n v="1.9001030092622386"/>
    <n v="2025"/>
    <n v="2025"/>
    <s v="2025-01"/>
    <s v="2025-01"/>
  </r>
  <r>
    <s v="ESPC360-14864"/>
    <s v="[PRE] [PMP] INC050609464 - No aparece póliza pmp"/>
    <s v="Póliza Multiproducto (PMP)"/>
    <d v="2025-01-22T17:52:08"/>
    <d v="2025-01-27T12:28:27"/>
    <s v="OPERACIONAL"/>
    <s v="SOPORTE"/>
    <s v=""/>
    <s v="C360_Team_Mtto"/>
    <s v="Medium"/>
    <s v="CERRADO"/>
    <s v=""/>
    <x v="0"/>
    <x v="2"/>
    <d v="2025-01-22T17:52:08"/>
    <d v="2025-01-27T12:28:27"/>
    <s v="Externo"/>
    <n v="4"/>
    <d v="2025-01-20T00:00:00"/>
    <n v="5"/>
    <d v="2025-01-27T00:00:00"/>
    <n v="4.775229178245354"/>
    <n v="2025"/>
    <n v="2025"/>
    <s v="2025-01"/>
    <s v="2025-01"/>
  </r>
  <r>
    <s v="ESPC360-14873"/>
    <s v="[Databricks] Corregir fallo en los procesos TTL con test-script"/>
    <s v=""/>
    <d v="2025-01-23T08:16:20"/>
    <d v="2025-03-19T14:34:11"/>
    <s v="OPERACIONAL"/>
    <s v="TÉCNICO"/>
    <s v=""/>
    <s v="C360_Operacional_Team_2"/>
    <s v="Medium"/>
    <s v="CERRADO"/>
    <s v="C360_Operacional_Sprint 196"/>
    <x v="2"/>
    <x v="0"/>
    <d v="2025-01-23T08:16:20"/>
    <d v="2025-03-19T14:34:11"/>
    <s v="Interno"/>
    <n v="4"/>
    <d v="2025-01-20T00:00:00"/>
    <n v="12"/>
    <d v="2025-03-17T00:00:00"/>
    <n v="55.262393946759403"/>
    <n v="2025"/>
    <n v="2025"/>
    <s v="2025-01"/>
    <s v="2025-03"/>
  </r>
  <r>
    <s v="ESPC360-14874"/>
    <s v="[PRE] [Carteras Gestionadas] INC050567501 - Error al obtener carteras gestionadas cuando gravity esta activado"/>
    <s v="Carteras Gestionadas"/>
    <d v="2025-01-23T09:37:19"/>
    <d v="2025-02-20T09:41:51"/>
    <s v="OPERACIONAL"/>
    <s v="SOPORTE"/>
    <s v=""/>
    <s v="C360_Team_Mtto"/>
    <s v="Medium"/>
    <s v="CERRADO"/>
    <s v=""/>
    <x v="0"/>
    <x v="2"/>
    <d v="2025-01-23T09:37:19"/>
    <d v="2025-02-20T09:41:51"/>
    <s v="Externo"/>
    <n v="4"/>
    <d v="2025-01-20T00:00:00"/>
    <n v="8"/>
    <d v="2025-02-17T00:00:00"/>
    <n v="28.003138530097203"/>
    <n v="2025"/>
    <n v="2025"/>
    <s v="2025-01"/>
    <s v="2025-02"/>
  </r>
  <r>
    <s v="ESPC360-14880"/>
    <s v="[PRO] [Fondos] INC050599939 - El cliente no ve el detalle de fondos en NWE"/>
    <s v="Fondos"/>
    <d v="2025-01-23T10:15:39"/>
    <d v="2025-03-17T11:34:52"/>
    <s v="OPERACIONAL"/>
    <s v="SOPORTE"/>
    <s v=""/>
    <s v="C360_Team_Mtto"/>
    <s v="Medium"/>
    <s v="CERRADO"/>
    <s v=""/>
    <x v="1"/>
    <x v="2"/>
    <d v="2025-01-23T10:15:39"/>
    <d v="2025-03-17T11:34:52"/>
    <s v="Externo"/>
    <n v="4"/>
    <d v="2025-01-20T00:00:00"/>
    <n v="12"/>
    <d v="2025-03-17T00:00:00"/>
    <n v="53.055010428237438"/>
    <n v="2025"/>
    <n v="2025"/>
    <s v="2025-01"/>
    <s v="2025-03"/>
  </r>
  <r>
    <s v="ESPC360-14885"/>
    <s v="[PRO]  Se debe modificar la configuración de los logs para poder ver los logs funcionales en kibana"/>
    <s v="Cuentas;Fondos;Tarjetas"/>
    <d v="2025-01-23T12:08:37"/>
    <d v="2025-02-05T08:47:29"/>
    <s v="OPERACIONAL"/>
    <s v="DESARROLLO"/>
    <s v=""/>
    <s v="C360_Team_Mtto"/>
    <s v="Medium"/>
    <s v="CERRADO"/>
    <s v=""/>
    <x v="1"/>
    <x v="1"/>
    <d v="2025-01-23T12:08:37"/>
    <d v="2025-02-05T08:47:29"/>
    <s v="Interno"/>
    <n v="4"/>
    <d v="2025-01-20T00:00:00"/>
    <n v="6"/>
    <d v="2025-02-03T00:00:00"/>
    <n v="12.860332719908911"/>
    <n v="2025"/>
    <n v="2025"/>
    <s v="2025-01"/>
    <s v="2025-02"/>
  </r>
  <r>
    <s v="ESPC360-14886"/>
    <s v="[FRONT] El front al levantar en local falla tirando de los servicios de dev"/>
    <s v="Front ADN360"/>
    <d v="2025-01-23T12:09:43"/>
    <d v="2025-01-24T11:29:33"/>
    <s v="OPERACIONAL"/>
    <s v="DESARROLLO"/>
    <s v=""/>
    <s v="C360_Team_Mtto"/>
    <s v="Medium"/>
    <s v="CERRADO"/>
    <s v=""/>
    <x v="4"/>
    <x v="1"/>
    <d v="2025-01-23T12:09:43"/>
    <d v="2025-01-24T11:29:33"/>
    <s v="Interno"/>
    <n v="4"/>
    <d v="2025-01-20T00:00:00"/>
    <n v="4"/>
    <d v="2025-01-20T00:00:00"/>
    <n v="0.9720973726871307"/>
    <n v="2025"/>
    <n v="2025"/>
    <s v="2025-01"/>
    <s v="2025-01"/>
  </r>
  <r>
    <s v="ESPC360-15019"/>
    <s v="[PRO] [Seguros] INC050749339- No aparece el seguro en la posición global"/>
    <s v="Seguros"/>
    <d v="2025-01-27T12:11:48"/>
    <d v="2025-01-27T13:25:54"/>
    <s v="OPERACIONAL"/>
    <s v="SOPORTE"/>
    <s v=""/>
    <s v="C360_Team_Mtto"/>
    <s v="Medium"/>
    <s v="CERRADO"/>
    <s v=""/>
    <x v="1"/>
    <x v="2"/>
    <d v="2025-01-27T12:11:48"/>
    <d v="2025-01-27T13:25:54"/>
    <s v="Externo"/>
    <n v="5"/>
    <d v="2025-01-27T00:00:00"/>
    <n v="5"/>
    <d v="2025-01-27T00:00:00"/>
    <n v="5.1458518522849772E-2"/>
    <n v="2025"/>
    <n v="2025"/>
    <s v="2025-01"/>
    <s v="2025-01"/>
  </r>
  <r>
    <s v="ESPC360-15055"/>
    <s v="[PRO] [Cuentas] INC050762442"/>
    <s v="Cuentas"/>
    <d v="2025-01-28T11:17:24"/>
    <d v="2025-01-29T15:59:34"/>
    <s v="OPERACIONAL"/>
    <s v="SOPORTE"/>
    <s v=""/>
    <s v="C360_Team_Mtto"/>
    <s v="Medium"/>
    <s v="CERRADO"/>
    <s v=""/>
    <x v="1"/>
    <x v="2"/>
    <d v="2025-01-28T11:17:24"/>
    <d v="2025-01-29T15:59:34"/>
    <s v="Externo"/>
    <n v="5"/>
    <d v="2025-01-27T00:00:00"/>
    <n v="5"/>
    <d v="2025-01-27T00:00:00"/>
    <n v="1.1959477083291858"/>
    <n v="2025"/>
    <n v="2025"/>
    <s v="2025-01"/>
    <s v="2025-01"/>
  </r>
  <r>
    <s v="ESPC360-15081"/>
    <s v="[PRO] [Seguros] INC050829728 - Cliente no ve sus seguros"/>
    <s v="Seguros"/>
    <d v="2025-01-29T15:54:30"/>
    <d v="2025-02-06T10:13:13"/>
    <s v="OPERACIONAL"/>
    <s v="SOPORTE"/>
    <s v=""/>
    <s v="C360_Team_Mtto"/>
    <s v="Medium"/>
    <s v="CERRADO"/>
    <s v=""/>
    <x v="1"/>
    <x v="2"/>
    <d v="2025-01-29T15:54:30"/>
    <d v="2025-02-06T10:13:13"/>
    <s v="Externo"/>
    <n v="5"/>
    <d v="2025-01-27T00:00:00"/>
    <n v="6"/>
    <d v="2025-02-03T00:00:00"/>
    <n v="7.7629956365781254"/>
    <n v="2025"/>
    <n v="2025"/>
    <s v="2025-01"/>
    <s v="2025-02"/>
  </r>
  <r>
    <s v="ESPC360-15085"/>
    <s v="[PRO] [Fondos] INC050791871 - Aparecen fondos que antes no aparecían en la posición del cliente"/>
    <s v="Fondos"/>
    <d v="2025-01-29T17:28:14"/>
    <d v="2025-02-06T09:48:48"/>
    <s v="OPERACIONAL"/>
    <s v="SOPORTE"/>
    <s v=""/>
    <s v="C360_Team_Mtto"/>
    <s v="Medium"/>
    <s v="CERRADO"/>
    <s v=""/>
    <x v="1"/>
    <x v="2"/>
    <d v="2025-01-29T17:28:14"/>
    <d v="2025-02-06T09:48:48"/>
    <s v="Externo"/>
    <n v="5"/>
    <d v="2025-01-27T00:00:00"/>
    <n v="6"/>
    <d v="2025-02-03T00:00:00"/>
    <n v="7.6809568055541604"/>
    <n v="2025"/>
    <n v="2025"/>
    <s v="2025-01"/>
    <s v="2025-02"/>
  </r>
  <r>
    <s v="ESPC360-15087"/>
    <s v="[PRE] Habilitar contador movimientos tarjetas Particulares para prepago"/>
    <s v=""/>
    <d v="2025-01-30T11:37:52"/>
    <d v="2025-03-05T01:19:56"/>
    <s v="OPERACIONAL"/>
    <s v="DESARROLLO"/>
    <s v=""/>
    <s v="C360_Operacional_Team_2"/>
    <s v="Medium"/>
    <s v="CERRADO"/>
    <s v="C360_Operacional_Sprint 195"/>
    <x v="0"/>
    <x v="1"/>
    <d v="2025-01-30T11:37:52"/>
    <d v="2025-03-05T01:19:56"/>
    <s v="Interno"/>
    <n v="5"/>
    <d v="2025-01-27T00:00:00"/>
    <n v="10"/>
    <d v="2025-03-03T00:00:00"/>
    <n v="33.570885682871449"/>
    <n v="2025"/>
    <n v="2025"/>
    <s v="2025-01"/>
    <s v="2025-03"/>
  </r>
  <r>
    <s v="ESPC360-15362"/>
    <s v="[PRO] [Cuentas] INC050873250 - No aparece una de las cuentas junto con el resto."/>
    <s v="Cuentas"/>
    <d v="2025-01-30T16:54:03"/>
    <d v="2025-01-30T17:07:02"/>
    <s v="OPERACIONAL"/>
    <s v="SOPORTE"/>
    <s v=""/>
    <s v="C360_Team_Mtto"/>
    <s v="Medium"/>
    <s v="CERRADO"/>
    <s v=""/>
    <x v="1"/>
    <x v="2"/>
    <d v="2025-01-30T16:54:03"/>
    <d v="2025-01-30T17:07:02"/>
    <s v="Externo"/>
    <n v="5"/>
    <d v="2025-01-27T00:00:00"/>
    <n v="5"/>
    <d v="2025-01-27T00:00:00"/>
    <n v="9.0228356493753381E-3"/>
    <n v="2025"/>
    <n v="2025"/>
    <s v="2025-01"/>
    <s v="2025-01"/>
  </r>
  <r>
    <s v="ESPC360-15407"/>
    <s v="[BUZON] [Préstamos] Cancelación Registral: prueba piloto 2 (Cris Villagrasa) - informzación sobre intervininentes dados de baja"/>
    <s v="Préstamos"/>
    <d v="2025-01-31T11:15:23"/>
    <d v="2025-01-31T12:07:04"/>
    <s v="OPERACIONAL"/>
    <s v="SOPORTE"/>
    <s v=""/>
    <s v=""/>
    <s v="Medium"/>
    <s v="CERRADO"/>
    <s v=""/>
    <x v="2"/>
    <x v="2"/>
    <d v="2025-01-31T11:15:23"/>
    <d v="2025-01-31T12:07:04"/>
    <s v="Externo"/>
    <n v="5"/>
    <d v="2025-01-27T00:00:00"/>
    <n v="5"/>
    <d v="2025-01-27T00:00:00"/>
    <n v="3.5891261570213828E-2"/>
    <n v="2025"/>
    <n v="2025"/>
    <s v="2025-01"/>
    <s v="2025-01"/>
  </r>
  <r>
    <s v="ESPC360-15438"/>
    <s v="[PRO] [Seguros] INC050990290 - La póliza aparece a 0 en ADN."/>
    <s v="Seguros"/>
    <d v="2025-02-04T09:13:02"/>
    <d v="2025-02-06T10:24:22"/>
    <s v="OPERACIONAL"/>
    <s v="SOPORTE"/>
    <s v=""/>
    <s v="C360_Team_Mtto"/>
    <s v="Medium"/>
    <s v="CERRADO"/>
    <s v=""/>
    <x v="1"/>
    <x v="2"/>
    <d v="2025-02-04T09:13:02"/>
    <d v="2025-02-06T10:24:22"/>
    <s v="Externo"/>
    <n v="6"/>
    <d v="2025-02-03T00:00:00"/>
    <n v="6"/>
    <d v="2025-02-03T00:00:00"/>
    <n v="2.04953081018175"/>
    <n v="2025"/>
    <n v="2025"/>
    <s v="2025-02"/>
    <s v="2025-02"/>
  </r>
  <r>
    <s v="ESPC360-15440"/>
    <s v="[PRO] [Seguros] INC050896200 - Seguro está en vigor, en ADN en las posiciones de seguros aparece a 0."/>
    <s v="Seguros"/>
    <d v="2025-02-04T09:52:14"/>
    <d v="2025-02-05T09:31:48"/>
    <s v="OPERACIONAL"/>
    <s v="SOPORTE"/>
    <s v=""/>
    <s v="C360_Team_Mtto"/>
    <s v="Medium"/>
    <s v="CERRADO"/>
    <s v=""/>
    <x v="1"/>
    <x v="2"/>
    <d v="2025-02-04T09:52:14"/>
    <d v="2025-02-05T09:31:48"/>
    <s v="Externo"/>
    <n v="6"/>
    <d v="2025-02-03T00:00:00"/>
    <n v="6"/>
    <d v="2025-02-03T00:00:00"/>
    <n v="0.98581575231219176"/>
    <n v="2025"/>
    <n v="2025"/>
    <s v="2025-02"/>
    <s v="2025-02"/>
  </r>
  <r>
    <s v="ESPC360-15442"/>
    <s v="[PRO] [Hipotecas] INC051015804 - Al acceder al detalle del préstamo 0049 6574 1030000090, da error"/>
    <s v="Hipotecas"/>
    <d v="2025-02-04T09:53:37"/>
    <d v="2025-02-20T09:12:00"/>
    <s v="OPERACIONAL"/>
    <s v="DESARROLLO"/>
    <s v=""/>
    <s v="C360_Team_Mtto"/>
    <s v="Medium"/>
    <s v="CERRADO"/>
    <s v=""/>
    <x v="1"/>
    <x v="1"/>
    <d v="2025-02-04T09:53:37"/>
    <d v="2025-02-20T09:12:00"/>
    <s v="Interno"/>
    <n v="6"/>
    <d v="2025-02-03T00:00:00"/>
    <n v="8"/>
    <d v="2025-02-17T00:00:00"/>
    <n v="15.971090023143915"/>
    <n v="2025"/>
    <n v="2025"/>
    <s v="2025-02"/>
    <s v="2025-02"/>
  </r>
  <r>
    <s v="ESPC360-15445"/>
    <s v="[PRO] [Cuentas] INC051024909 - No aparece una cuenta en NWE"/>
    <s v="Cuentas"/>
    <d v="2025-02-04T14:39:24"/>
    <d v="2025-02-20T09:38:08"/>
    <s v="OPERACIONAL"/>
    <s v="SOPORTE"/>
    <s v=""/>
    <s v="C360_Team_Mtto"/>
    <s v="Medium"/>
    <s v="CERRADO"/>
    <s v=""/>
    <x v="1"/>
    <x v="2"/>
    <d v="2025-02-04T14:39:24"/>
    <d v="2025-02-20T09:38:08"/>
    <s v="Externo"/>
    <n v="6"/>
    <d v="2025-02-03T00:00:00"/>
    <n v="8"/>
    <d v="2025-02-17T00:00:00"/>
    <n v="15.790781979165331"/>
    <n v="2025"/>
    <n v="2025"/>
    <s v="2025-02"/>
    <s v="2025-02"/>
  </r>
  <r>
    <s v="ESPC360-15451"/>
    <s v="[PRO] - Corrección de los identificadores de propuestas asociadas en préstamos"/>
    <s v=""/>
    <d v="2025-02-05T00:13:58"/>
    <d v="2025-03-05T01:19:56"/>
    <s v="OPERACIONAL"/>
    <s v="DESARROLLO"/>
    <s v=""/>
    <s v="C360_Operacional_Team_1"/>
    <s v="Medium"/>
    <s v="CERRADO"/>
    <s v="C360_Operacional_Sprint 196"/>
    <x v="1"/>
    <x v="1"/>
    <d v="2025-02-05T00:13:58"/>
    <d v="2025-03-05T01:19:56"/>
    <s v="Interno"/>
    <n v="6"/>
    <d v="2025-02-03T00:00:00"/>
    <n v="10"/>
    <d v="2025-03-03T00:00:00"/>
    <n v="28.045805208334059"/>
    <n v="2025"/>
    <n v="2025"/>
    <s v="2025-02"/>
    <s v="2025-03"/>
  </r>
  <r>
    <s v="ESPC360-15452"/>
    <s v="Ajustar la devolución de la rentabilidad histórica de valores en el front"/>
    <s v="Valores"/>
    <d v="2025-02-05T00:45:28"/>
    <d v="2025-02-20T09:12:00"/>
    <s v="OPERACIONAL"/>
    <s v="TÉCNICO"/>
    <s v=""/>
    <s v="C360_Team_Mtto"/>
    <s v="Medium"/>
    <s v="CERRADO"/>
    <s v=""/>
    <x v="1"/>
    <x v="0"/>
    <d v="2025-02-05T00:45:28"/>
    <d v="2025-02-20T09:12:00"/>
    <s v="Interno"/>
    <n v="6"/>
    <d v="2025-02-03T00:00:00"/>
    <n v="8"/>
    <d v="2025-02-17T00:00:00"/>
    <n v="15.351755300922378"/>
    <n v="2025"/>
    <n v="2025"/>
    <s v="2025-02"/>
    <s v="2025-02"/>
  </r>
  <r>
    <s v="ESPC360-15453"/>
    <s v="[PRO] Crear workflows para los jobs de contador de movimientos de personas"/>
    <s v=""/>
    <d v="2025-02-05T09:43:41"/>
    <d v="2025-03-19T14:34:10"/>
    <s v="OPERACIONAL"/>
    <s v="DESARROLLO"/>
    <s v=""/>
    <s v="C360_Operacional_Team_2"/>
    <s v="Medium"/>
    <s v="CERRADO"/>
    <s v="C360_Operacional_Sprint 196"/>
    <x v="1"/>
    <x v="1"/>
    <d v="2025-02-05T09:43:41"/>
    <d v="2025-03-19T14:34:10"/>
    <s v="Interno"/>
    <n v="6"/>
    <d v="2025-02-03T00:00:00"/>
    <n v="12"/>
    <d v="2025-03-17T00:00:00"/>
    <n v="42.201724282407667"/>
    <n v="2025"/>
    <n v="2025"/>
    <s v="2025-02"/>
    <s v="2025-03"/>
  </r>
  <r>
    <s v="ESPC360-15455"/>
    <s v="[PRO] [Seguros] INC051057453 - La póliza aparece a 0 en ADN."/>
    <s v="Seguros"/>
    <d v="2025-02-05T10:52:17"/>
    <d v="2025-02-06T10:14:13"/>
    <s v="OPERACIONAL"/>
    <s v="SOPORTE"/>
    <s v=""/>
    <s v="C360_Team_Mtto"/>
    <s v="Medium"/>
    <s v="CERRADO"/>
    <s v=""/>
    <x v="1"/>
    <x v="2"/>
    <d v="2025-02-05T10:52:17"/>
    <d v="2025-02-06T10:14:13"/>
    <s v="Externo"/>
    <n v="6"/>
    <d v="2025-02-03T00:00:00"/>
    <n v="6"/>
    <d v="2025-02-03T00:00:00"/>
    <n v="0.9735635995384655"/>
    <n v="2025"/>
    <n v="2025"/>
    <s v="2025-02"/>
    <s v="2025-02"/>
  </r>
  <r>
    <s v="ESPC360-15460"/>
    <s v="[PRO] - Completar configuración del batch de santander-go"/>
    <s v=""/>
    <d v="2025-02-05T12:27:15"/>
    <d v="2025-04-09T12:34:18"/>
    <s v="OPERACIONAL"/>
    <s v="DESARROLLO"/>
    <s v=""/>
    <s v="C360_Operacional_Team_2"/>
    <s v="Medium"/>
    <s v="CERRADO"/>
    <s v="C360_Operacional_Sprint 197"/>
    <x v="1"/>
    <x v="1"/>
    <d v="2025-02-05T12:27:15"/>
    <d v="2025-04-09T12:34:18"/>
    <s v="Interno"/>
    <n v="6"/>
    <d v="2025-02-03T00:00:00"/>
    <n v="15"/>
    <d v="2025-04-07T00:00:00"/>
    <n v="63.004894421290373"/>
    <n v="2025"/>
    <n v="2025"/>
    <s v="2025-02"/>
    <s v="2025-04"/>
  </r>
  <r>
    <s v="ESPC360-15464"/>
    <s v="Corrección de los idPropuesta de propuestas asociadas"/>
    <s v=""/>
    <d v="2025-02-05T12:46:09"/>
    <d v="2025-03-19T14:34:10"/>
    <s v="OPERACIONAL"/>
    <s v="DESARROLLO"/>
    <s v=""/>
    <s v="C360_Operacional_Team_1"/>
    <s v="Medium"/>
    <s v="CERRADO"/>
    <s v="C360_Operacional_Sprint 196"/>
    <x v="1"/>
    <x v="1"/>
    <d v="2025-02-05T12:46:09"/>
    <d v="2025-03-19T14:34:10"/>
    <s v="Interno"/>
    <n v="6"/>
    <d v="2025-02-03T00:00:00"/>
    <n v="12"/>
    <d v="2025-03-17T00:00:00"/>
    <n v="42.075009583335486"/>
    <n v="2025"/>
    <n v="2025"/>
    <s v="2025-02"/>
    <s v="2025-03"/>
  </r>
  <r>
    <s v="ESPC360-15467"/>
    <s v="[PRO] [PFEs] INC051071394 - PFE dado de baja que sigue en ADN360"/>
    <s v="PFEs"/>
    <d v="2025-02-05T15:56:33"/>
    <d v="2025-02-17T10:47:10"/>
    <s v="OPERACIONAL"/>
    <s v="SOPORTE"/>
    <s v=""/>
    <s v="C360_Team_Mtto"/>
    <s v="Medium"/>
    <s v="CERRADO"/>
    <s v=""/>
    <x v="1"/>
    <x v="2"/>
    <d v="2025-02-05T15:56:33"/>
    <d v="2025-02-17T10:47:10"/>
    <s v="Externo"/>
    <n v="6"/>
    <d v="2025-02-03T00:00:00"/>
    <n v="8"/>
    <d v="2025-02-17T00:00:00"/>
    <n v="11.785148275463143"/>
    <n v="2025"/>
    <n v="2025"/>
    <s v="2025-02"/>
    <s v="2025-02"/>
  </r>
  <r>
    <s v="ESPC360-15488"/>
    <s v="[PRO] [Mov. Cuentas] INC051075419 - Diferencia entre la fecha operación del movimiento de ADN360 y otros aplicativos"/>
    <s v="Movimientos Cuentas"/>
    <d v="2025-02-06T13:12:29"/>
    <d v="2025-02-06T16:19:13"/>
    <s v="OPERACIONAL"/>
    <s v="SOPORTE"/>
    <s v=""/>
    <s v="C360_Team_Mtto"/>
    <s v="Medium"/>
    <s v="CERRADO"/>
    <s v=""/>
    <x v="1"/>
    <x v="2"/>
    <d v="2025-02-06T13:12:29"/>
    <d v="2025-02-06T16:19:13"/>
    <s v="Externo"/>
    <n v="6"/>
    <d v="2025-02-03T00:00:00"/>
    <n v="6"/>
    <d v="2025-02-03T00:00:00"/>
    <n v="0.12967614583612885"/>
    <n v="2025"/>
    <n v="2025"/>
    <s v="2025-02"/>
    <s v="2025-02"/>
  </r>
  <r>
    <s v="ESPC360-15650"/>
    <s v="[PRO] [Customers] - Alerta de cuerpo del mensaje null cuando devolvemos 403"/>
    <s v=""/>
    <d v="2025-02-10T12:30:56"/>
    <d v="2025-03-05T01:19:56"/>
    <s v="OPERACIONAL"/>
    <s v="DESARROLLO"/>
    <s v=""/>
    <s v="ADN_Team_Mtto"/>
    <s v="Medium"/>
    <s v="CERRADO"/>
    <s v=""/>
    <x v="1"/>
    <x v="1"/>
    <d v="2025-02-10T12:30:56"/>
    <d v="2025-03-05T01:19:56"/>
    <s v="Interno"/>
    <n v="7"/>
    <d v="2025-02-10T00:00:00"/>
    <n v="10"/>
    <d v="2025-03-03T00:00:00"/>
    <n v="22.534026215274935"/>
    <n v="2025"/>
    <n v="2025"/>
    <s v="2025-02"/>
    <s v="2025-03"/>
  </r>
  <r>
    <s v="ESPC360-15652"/>
    <s v="[PRO] [Tarjetas] Errores alertado debido a un 404"/>
    <s v="Tarjetas"/>
    <d v="2025-02-10T15:41:34"/>
    <d v="2025-03-05T01:19:56"/>
    <s v="OPERACIONAL"/>
    <s v="DESARROLLO"/>
    <s v=""/>
    <s v="C360_Team_Mtto"/>
    <s v="Medium"/>
    <s v="CERRADO"/>
    <s v=""/>
    <x v="1"/>
    <x v="1"/>
    <d v="2025-02-10T15:41:34"/>
    <d v="2025-03-05T01:19:56"/>
    <s v="Interno"/>
    <n v="7"/>
    <d v="2025-02-10T00:00:00"/>
    <n v="10"/>
    <d v="2025-03-03T00:00:00"/>
    <n v="22.401646666665329"/>
    <n v="2025"/>
    <n v="2025"/>
    <s v="2025-02"/>
    <s v="2025-03"/>
  </r>
  <r>
    <s v="ESPC360-15666"/>
    <s v="[PRO] [Mov. Cuentas]  Mejora en la query a mongo en caso de buscar por rango con el mismo dato"/>
    <s v=""/>
    <d v="2025-02-11T09:35:05"/>
    <d v="2025-03-05T01:20:21"/>
    <s v="OPERACIONAL"/>
    <s v="TÉCNICO"/>
    <s v=""/>
    <s v="C360_Team_Mtto"/>
    <s v="Medium"/>
    <s v="CERRADO"/>
    <s v=""/>
    <x v="1"/>
    <x v="0"/>
    <d v="2025-02-11T09:35:05"/>
    <d v="2025-03-05T01:20:21"/>
    <s v="Interno"/>
    <n v="7"/>
    <d v="2025-02-10T00:00:00"/>
    <n v="10"/>
    <d v="2025-03-03T00:00:00"/>
    <n v="21.656437951394764"/>
    <n v="2025"/>
    <n v="2025"/>
    <s v="2025-02"/>
    <s v="2025-03"/>
  </r>
  <r>
    <s v="ESPC360-15679"/>
    <s v="[PRO][Seguros] INC051249883 - Cliente no ve contrato dado de alta"/>
    <s v="Seguros"/>
    <d v="2025-02-11T10:27:16"/>
    <d v="2025-02-13T10:12:52"/>
    <s v="OPERACIONAL"/>
    <s v="SOPORTE"/>
    <s v=""/>
    <s v="C360_Team_Mtto"/>
    <s v="Medium"/>
    <s v="CERRADO"/>
    <s v=""/>
    <x v="1"/>
    <x v="2"/>
    <d v="2025-02-11T10:27:16"/>
    <d v="2025-02-13T10:12:52"/>
    <s v="Externo"/>
    <n v="7"/>
    <d v="2025-02-10T00:00:00"/>
    <n v="7"/>
    <d v="2025-02-10T00:00:00"/>
    <n v="1.9899978819448734"/>
    <n v="2025"/>
    <n v="2025"/>
    <s v="2025-02"/>
    <s v="2025-02"/>
  </r>
  <r>
    <s v="ESPC360-15691"/>
    <s v="[PRO] [Fondos] INC051285409 - Contrato deberia estar cancelado lo mostramos como activo"/>
    <s v="Fondos"/>
    <d v="2025-02-11T15:45:13"/>
    <d v="2025-02-17T10:44:48"/>
    <s v="OPERACIONAL"/>
    <s v="SOPORTE"/>
    <s v=""/>
    <s v="C360_Team_Mtto"/>
    <s v="Medium"/>
    <s v="CERRADO"/>
    <s v=""/>
    <x v="1"/>
    <x v="2"/>
    <d v="2025-02-11T15:45:13"/>
    <d v="2025-02-17T10:44:48"/>
    <s v="Externo"/>
    <n v="7"/>
    <d v="2025-02-10T00:00:00"/>
    <n v="8"/>
    <d v="2025-02-17T00:00:00"/>
    <n v="5.791371793980943"/>
    <n v="2025"/>
    <n v="2025"/>
    <s v="2025-02"/>
    <s v="2025-02"/>
  </r>
  <r>
    <s v="ESPC360-15692"/>
    <s v="[PRO] [Mov. Cuentas] INC051277655 - Informan de conceptos incorrectamente categorizados"/>
    <s v="Movimientos Cuentas"/>
    <d v="2025-02-11T15:50:39"/>
    <d v="2025-02-20T09:34:13"/>
    <s v="OPERACIONAL"/>
    <s v="TÉCNICO"/>
    <s v=""/>
    <s v="C360_Team_Mtto"/>
    <s v="Medium"/>
    <s v="CERRADO"/>
    <s v=""/>
    <x v="1"/>
    <x v="0"/>
    <d v="2025-02-11T15:50:39"/>
    <d v="2025-02-20T09:34:13"/>
    <s v="Interno"/>
    <n v="7"/>
    <d v="2025-02-10T00:00:00"/>
    <n v="8"/>
    <d v="2025-02-17T00:00:00"/>
    <n v="8.7385851736107725"/>
    <n v="2025"/>
    <n v="2025"/>
    <s v="2025-02"/>
    <s v="2025-02"/>
  </r>
  <r>
    <s v="ESPC360-15698"/>
    <s v="[PRO] [Valores] INC051289141 - Error en rentabilidad"/>
    <s v="Fondos;Valores"/>
    <d v="2025-02-11T17:42:21"/>
    <d v="2025-02-17T10:43:37"/>
    <s v="OPERACIONAL"/>
    <s v="SOPORTE"/>
    <s v=""/>
    <s v="C360_Team_Mtto"/>
    <s v="Medium"/>
    <s v="CERRADO"/>
    <s v=""/>
    <x v="1"/>
    <x v="2"/>
    <d v="2025-02-11T17:42:21"/>
    <d v="2025-02-17T10:43:37"/>
    <s v="Externo"/>
    <n v="7"/>
    <d v="2025-02-10T00:00:00"/>
    <n v="8"/>
    <d v="2025-02-17T00:00:00"/>
    <n v="5.7092133101832587"/>
    <n v="2025"/>
    <n v="2025"/>
    <s v="2025-02"/>
    <s v="2025-02"/>
  </r>
  <r>
    <s v="ESPC360-15702"/>
    <s v="[PRO] [Planeta Seguros] INC051319567 - Contrato Cancelado sigue vigente en adn360"/>
    <s v="Planeta Seguros"/>
    <d v="2025-02-12T10:01:27"/>
    <d v="2025-02-18T08:59:43"/>
    <s v="OPERACIONAL"/>
    <s v="SOPORTE"/>
    <s v=""/>
    <s v="C360_Team_Mtto"/>
    <s v="Medium"/>
    <s v="CERRADO"/>
    <s v=""/>
    <x v="1"/>
    <x v="2"/>
    <d v="2025-02-12T10:01:27"/>
    <d v="2025-02-18T08:59:43"/>
    <s v="Externo"/>
    <n v="7"/>
    <d v="2025-02-10T00:00:00"/>
    <n v="8"/>
    <d v="2025-02-17T00:00:00"/>
    <n v="5.9571307407386485"/>
    <n v="2025"/>
    <n v="2025"/>
    <s v="2025-02"/>
    <s v="2025-02"/>
  </r>
  <r>
    <s v="ESPC360-15704"/>
    <s v="[PRO] [FRONT] En el detalle de un producto se debe mostrar error si no existe el contrato"/>
    <s v=""/>
    <d v="2025-02-12T10:51:50"/>
    <d v="2025-07-02T08:48:40"/>
    <s v="OPERACIONAL"/>
    <s v="TÉCNICO"/>
    <s v=""/>
    <s v="C360_Operacional_Team_1"/>
    <s v="Medium"/>
    <s v="CANCELADO"/>
    <s v=""/>
    <x v="2"/>
    <x v="0"/>
    <d v="2025-02-12T10:51:50"/>
    <d v="2025-07-02T08:48:40"/>
    <s v="Interno"/>
    <n v="7"/>
    <d v="2025-02-10T00:00:00"/>
    <n v="27"/>
    <d v="2025-06-30T00:00:00"/>
    <n v="139.91446945602365"/>
    <n v="2025"/>
    <n v="2025"/>
    <s v="2025-02"/>
    <s v="2025-06"/>
  </r>
  <r>
    <s v="ESPC360-15705"/>
    <s v="[PRO] [global-search] Se necesita modificar la clave de cache actual"/>
    <s v=""/>
    <d v="2025-02-12T11:16:38"/>
    <d v="2025-04-09T12:34:18"/>
    <s v="OPERACIONAL"/>
    <s v="TÉCNICO"/>
    <s v=""/>
    <s v="C360_Operacional_Team_2"/>
    <s v="Medium"/>
    <s v="CERRADO"/>
    <s v="C360_Operacional_Sprint 197"/>
    <x v="2"/>
    <x v="0"/>
    <d v="2025-02-12T11:16:38"/>
    <d v="2025-04-09T12:34:18"/>
    <s v="Interno"/>
    <n v="7"/>
    <d v="2025-02-10T00:00:00"/>
    <n v="15"/>
    <d v="2025-04-07T00:00:00"/>
    <n v="56.053934502313496"/>
    <n v="2025"/>
    <n v="2025"/>
    <s v="2025-02"/>
    <s v="2025-04"/>
  </r>
  <r>
    <s v="ESPC360-15706"/>
    <s v="[PRO] [Mov. Cuentas] INC051319057 - Indican que faltan movimientos desde CERTO"/>
    <s v="Movimientos Cuentas"/>
    <d v="2025-02-12T11:24:28"/>
    <d v="2025-03-05T01:20:21"/>
    <s v="OPERACIONAL"/>
    <s v="DESARROLLO"/>
    <s v=""/>
    <s v="C360_Team_Mtto"/>
    <s v="Medium"/>
    <s v="CERRADO"/>
    <s v=""/>
    <x v="1"/>
    <x v="1"/>
    <d v="2025-02-12T11:24:28"/>
    <d v="2025-03-05T01:20:21"/>
    <s v="Interno"/>
    <n v="7"/>
    <d v="2025-02-10T00:00:00"/>
    <n v="10"/>
    <d v="2025-03-03T00:00:00"/>
    <n v="20.580481365745072"/>
    <n v="2025"/>
    <n v="2025"/>
    <s v="2025-02"/>
    <s v="2025-03"/>
  </r>
  <r>
    <s v="ESPC360-15708"/>
    <s v="[PRO] [Seguros] INC051326299 - Provisión de seguros se ve 0"/>
    <s v="Seguros"/>
    <d v="2025-02-12T13:10:28"/>
    <d v="2025-02-14T08:27:30"/>
    <s v="OPERACIONAL"/>
    <s v="SOPORTE"/>
    <s v=""/>
    <s v="C360_Team_Mtto"/>
    <s v="Medium"/>
    <s v="CERRADO"/>
    <s v=""/>
    <x v="1"/>
    <x v="2"/>
    <d v="2025-02-12T13:10:28"/>
    <d v="2025-02-14T08:27:30"/>
    <s v="Externo"/>
    <n v="7"/>
    <d v="2025-02-10T00:00:00"/>
    <n v="7"/>
    <d v="2025-02-10T00:00:00"/>
    <n v="1.8034951504596393"/>
    <n v="2025"/>
    <n v="2025"/>
    <s v="2025-02"/>
    <s v="2025-02"/>
  </r>
  <r>
    <s v="ESPC360-15931"/>
    <s v="[PRO] [Tarjetas]  Error en nombre beneficiario tarjeta"/>
    <s v="Tarjetas"/>
    <d v="2025-02-14T08:27:36"/>
    <d v="2025-02-17T10:41:30"/>
    <s v="OPERACIONAL"/>
    <s v="TÉCNICO"/>
    <s v=""/>
    <s v="C360_Team_Mtto"/>
    <s v="Medium"/>
    <s v="CERRADO"/>
    <s v=""/>
    <x v="2"/>
    <x v="0"/>
    <d v="2025-02-14T08:27:36"/>
    <d v="2025-02-17T10:41:30"/>
    <s v="Interno"/>
    <n v="7"/>
    <d v="2025-02-10T00:00:00"/>
    <n v="8"/>
    <d v="2025-02-17T00:00:00"/>
    <n v="3.0929882870332222"/>
    <n v="2025"/>
    <n v="2025"/>
    <s v="2025-02"/>
    <s v="2025-02"/>
  </r>
  <r>
    <s v="ESPC360-15978"/>
    <s v="[PRO] [Seguros] INC051523797 - Póliza no aparece en ADN360"/>
    <s v=""/>
    <d v="2025-02-18T11:20:45"/>
    <d v="2025-02-18T11:53:27"/>
    <s v="OPERACIONAL"/>
    <s v="SOPORTE"/>
    <s v=""/>
    <s v=""/>
    <s v="Medium"/>
    <s v="CERRADO"/>
    <s v=""/>
    <x v="1"/>
    <x v="2"/>
    <d v="2025-02-18T11:20:45"/>
    <d v="2025-02-18T11:53:27"/>
    <s v="Externo"/>
    <n v="8"/>
    <d v="2025-02-17T00:00:00"/>
    <n v="8"/>
    <d v="2025-02-17T00:00:00"/>
    <n v="2.2713750004186295E-2"/>
    <n v="2025"/>
    <n v="2025"/>
    <s v="2025-02"/>
    <s v="2025-02"/>
  </r>
  <r>
    <s v="ESPC360-16008"/>
    <s v="[PRO] [Seguros] INC051535834 - Póliza Planeta Seguros dada de baja que sigue apareciendo"/>
    <s v="Planeta Seguros"/>
    <d v="2025-02-18T15:29:38"/>
    <d v="2025-02-20T09:35:31"/>
    <s v="OPERACIONAL"/>
    <s v="SOPORTE"/>
    <s v=""/>
    <s v="C360_Team_Mtto"/>
    <s v="Medium"/>
    <s v="CERRADO"/>
    <s v=""/>
    <x v="1"/>
    <x v="2"/>
    <d v="2025-02-18T15:29:38"/>
    <d v="2025-02-20T09:35:31"/>
    <s v="Externo"/>
    <n v="8"/>
    <d v="2025-02-17T00:00:00"/>
    <n v="8"/>
    <d v="2025-02-17T00:00:00"/>
    <n v="1.7540846412084647"/>
    <n v="2025"/>
    <n v="2025"/>
    <s v="2025-02"/>
    <s v="2025-02"/>
  </r>
  <r>
    <s v="ESPC360-16018"/>
    <s v="[PRO] [Fondos] INC051523575 - No ve fondo desde empresas"/>
    <s v="Fondos"/>
    <d v="2025-02-19T08:35:38"/>
    <d v="2025-03-04T09:41:24"/>
    <s v="OPERACIONAL"/>
    <s v="SOPORTE"/>
    <s v=""/>
    <s v="C360_Team_Mtto"/>
    <s v="Medium"/>
    <s v="CERRADO"/>
    <s v=""/>
    <x v="1"/>
    <x v="2"/>
    <d v="2025-02-19T08:35:38"/>
    <d v="2025-03-04T09:41:24"/>
    <s v="Externo"/>
    <n v="8"/>
    <d v="2025-02-17T00:00:00"/>
    <n v="10"/>
    <d v="2025-03-03T00:00:00"/>
    <n v="13.045663113429327"/>
    <n v="2025"/>
    <n v="2025"/>
    <s v="2025-02"/>
    <s v="2025-03"/>
  </r>
  <r>
    <s v="ESPC360-16020"/>
    <s v="[PRO] [Customers] INC051500484 - Error en nombre empresa al solicitar certificado de titularidad"/>
    <s v=""/>
    <d v="2025-02-19T08:50:33"/>
    <d v="2025-02-26T10:27:41"/>
    <s v="OPERACIONAL"/>
    <s v="SOPORTE"/>
    <s v=""/>
    <s v="C360_Team_Mtto"/>
    <s v="Medium"/>
    <s v="CERRADO"/>
    <s v=""/>
    <x v="1"/>
    <x v="2"/>
    <d v="2025-02-19T08:50:33"/>
    <d v="2025-02-26T10:27:41"/>
    <s v="Externo"/>
    <n v="8"/>
    <d v="2025-02-17T00:00:00"/>
    <n v="9"/>
    <d v="2025-02-24T00:00:00"/>
    <n v="7.0674461689777672"/>
    <n v="2025"/>
    <n v="2025"/>
    <s v="2025-02"/>
    <s v="2025-02"/>
  </r>
  <r>
    <s v="ESPC360-16021"/>
    <s v="[PRO] [Tarjetas] INC051573279 - No aparece tarjeta prepago mini"/>
    <s v="Tarjetas"/>
    <d v="2025-02-19T11:23:16"/>
    <d v="2025-02-24T16:15:21"/>
    <s v="OPERACIONAL"/>
    <s v="SOPORTE"/>
    <s v=""/>
    <s v="C360_Team_Mtto"/>
    <s v="Medium"/>
    <s v="CERRADO"/>
    <s v=""/>
    <x v="1"/>
    <x v="2"/>
    <d v="2025-02-19T11:23:16"/>
    <d v="2025-02-24T16:15:21"/>
    <s v="Externo"/>
    <n v="8"/>
    <d v="2025-02-17T00:00:00"/>
    <n v="9"/>
    <d v="2025-02-24T00:00:00"/>
    <n v="5.2028386226884322"/>
    <n v="2025"/>
    <n v="2025"/>
    <s v="2025-02"/>
    <s v="2025-02"/>
  </r>
  <r>
    <s v="ESPC360-16024"/>
    <s v="[PRO] [Planes Empleo] INC051614426 - No se muestra plan de pensiones de empleado"/>
    <s v=""/>
    <d v="2025-02-20T12:55:37"/>
    <d v="2025-02-24T16:16:22"/>
    <s v="OPERACIONAL"/>
    <s v="SOPORTE"/>
    <s v=""/>
    <s v="C360_Team_Mtto"/>
    <s v="Medium"/>
    <s v="CERRADO"/>
    <s v=""/>
    <x v="1"/>
    <x v="2"/>
    <d v="2025-02-20T12:55:37"/>
    <d v="2025-02-24T16:16:22"/>
    <s v="Externo"/>
    <n v="8"/>
    <d v="2025-02-17T00:00:00"/>
    <n v="9"/>
    <d v="2025-02-24T00:00:00"/>
    <n v="4.1394069444431807"/>
    <n v="2025"/>
    <n v="2025"/>
    <s v="2025-02"/>
    <s v="2025-02"/>
  </r>
  <r>
    <s v="ESPC360-16121"/>
    <s v="[PRO] [Valores] INC051619640 - Rentabilidad con error v2"/>
    <s v="Valores"/>
    <d v="2025-02-20T16:16:15"/>
    <d v="2025-02-26T10:29:32"/>
    <s v="OPERACIONAL"/>
    <s v="SOPORTE"/>
    <s v=""/>
    <s v="C360_Team_Mtto"/>
    <s v="Medium"/>
    <s v="CERRADO"/>
    <s v=""/>
    <x v="1"/>
    <x v="2"/>
    <d v="2025-02-20T16:16:15"/>
    <d v="2025-02-26T10:29:32"/>
    <s v="Externo"/>
    <n v="8"/>
    <d v="2025-02-17T00:00:00"/>
    <n v="9"/>
    <d v="2025-02-24T00:00:00"/>
    <n v="5.7592179861094337"/>
    <n v="2025"/>
    <n v="2025"/>
    <s v="2025-02"/>
    <s v="2025-02"/>
  </r>
  <r>
    <s v="ESPC360-16149"/>
    <s v="[PRO] [Planes Empleo] INC051287970 - No se muestra plan de pensiones de empleado"/>
    <s v=""/>
    <d v="2025-02-21T09:34:02"/>
    <d v="2025-02-21T09:36:56"/>
    <s v="OPERACIONAL"/>
    <s v="SOPORTE"/>
    <s v=""/>
    <s v="C360_Team_Mtto"/>
    <s v="Medium"/>
    <s v="CERRADO"/>
    <s v=""/>
    <x v="2"/>
    <x v="2"/>
    <d v="2025-02-21T09:34:02"/>
    <d v="2025-02-21T09:36:56"/>
    <s v="Externo"/>
    <n v="8"/>
    <d v="2025-02-17T00:00:00"/>
    <n v="8"/>
    <d v="2025-02-17T00:00:00"/>
    <n v="2.0205439795972779E-3"/>
    <n v="2025"/>
    <n v="2025"/>
    <s v="2025-02"/>
    <s v="2025-02"/>
  </r>
  <r>
    <s v="ESPC360-16150"/>
    <s v="[PRO] [Préstamos] INC051615141 -Deuda en TPX en AREs no reflejada"/>
    <s v="Préstamos"/>
    <d v="2025-02-21T09:55:16"/>
    <d v="2025-02-25T16:47:27"/>
    <s v="OPERACIONAL"/>
    <s v="TÉCNICO"/>
    <s v=""/>
    <s v="C360_Team_Mtto"/>
    <s v="Medium"/>
    <s v="CERRADO"/>
    <s v=""/>
    <x v="1"/>
    <x v="0"/>
    <d v="2025-02-21T09:55:16"/>
    <d v="2025-02-25T16:47:27"/>
    <s v="Interno"/>
    <n v="8"/>
    <d v="2025-02-17T00:00:00"/>
    <n v="9"/>
    <d v="2025-02-24T00:00:00"/>
    <n v="4.2862385300977621"/>
    <n v="2025"/>
    <n v="2025"/>
    <s v="2025-02"/>
    <s v="2025-02"/>
  </r>
  <r>
    <s v="ESPC360-16196"/>
    <s v="[PRO] [Valores] INC051764804 - No se muestra contrato"/>
    <s v="Valores"/>
    <d v="2025-02-24T16:26:59"/>
    <d v="2025-02-26T10:32:16"/>
    <s v="OPERACIONAL"/>
    <s v="SOPORTE"/>
    <s v=""/>
    <s v="C360_Team_Mtto"/>
    <s v="Medium"/>
    <s v="CERRADO"/>
    <s v=""/>
    <x v="1"/>
    <x v="2"/>
    <d v="2025-02-24T16:26:59"/>
    <d v="2025-02-26T10:32:16"/>
    <s v="Externo"/>
    <n v="9"/>
    <d v="2025-02-24T00:00:00"/>
    <n v="9"/>
    <d v="2025-02-24T00:00:00"/>
    <n v="1.7536714930611197"/>
    <n v="2025"/>
    <n v="2025"/>
    <s v="2025-02"/>
    <s v="2025-02"/>
  </r>
  <r>
    <s v="ESPC360-16206"/>
    <s v="[PRO] [Tarjetas] problema con usuario con demasiados contratos de tarjetas"/>
    <s v="Tarjetas"/>
    <d v="2025-02-25T09:14:19"/>
    <d v="2025-03-19T13:36:12"/>
    <s v="OPERACIONAL"/>
    <s v="TÉCNICO"/>
    <s v=""/>
    <s v="C360_Team_Mtto"/>
    <s v="Medium"/>
    <s v="CERRADO"/>
    <s v=""/>
    <x v="1"/>
    <x v="0"/>
    <d v="2025-02-25T09:14:19"/>
    <d v="2025-03-19T13:36:12"/>
    <s v="Interno"/>
    <n v="9"/>
    <d v="2025-02-24T00:00:00"/>
    <n v="12"/>
    <d v="2025-03-17T00:00:00"/>
    <n v="22.181865740742069"/>
    <n v="2025"/>
    <n v="2025"/>
    <s v="2025-02"/>
    <s v="2025-03"/>
  </r>
  <r>
    <s v="ESPC360-16218"/>
    <s v="[PRO] [Fondos] INC051805761 - Fondo de inversión que aparece en ADN como en proceso de cálculo"/>
    <s v="Fondos"/>
    <d v="2025-02-25T16:22:04"/>
    <d v="2025-03-03T11:13:25"/>
    <s v="OPERACIONAL"/>
    <s v="SOPORTE"/>
    <s v=""/>
    <s v="C360_Team_Mtto"/>
    <s v="Medium"/>
    <s v="CERRADO"/>
    <s v=""/>
    <x v="1"/>
    <x v="2"/>
    <d v="2025-02-25T16:22:04"/>
    <d v="2025-03-03T11:13:25"/>
    <s v="Externo"/>
    <n v="9"/>
    <d v="2025-02-24T00:00:00"/>
    <n v="10"/>
    <d v="2025-03-03T00:00:00"/>
    <n v="5.7856651620386401"/>
    <n v="2025"/>
    <n v="2025"/>
    <s v="2025-02"/>
    <s v="2025-03"/>
  </r>
  <r>
    <s v="ESPC360-16232"/>
    <s v="[PRO] [Seguros] INC051846252 - No se ve poliza dado de alta"/>
    <s v="Seguros"/>
    <d v="2025-02-26T10:16:58"/>
    <d v="2025-02-26T16:23:42"/>
    <s v="OPERACIONAL"/>
    <s v="SOPORTE"/>
    <s v=""/>
    <s v="C360_Team_Mtto"/>
    <s v="Medium"/>
    <s v="CERRADO"/>
    <s v=""/>
    <x v="1"/>
    <x v="2"/>
    <d v="2025-02-26T10:16:58"/>
    <d v="2025-02-26T16:23:42"/>
    <s v="Externo"/>
    <n v="9"/>
    <d v="2025-02-24T00:00:00"/>
    <n v="9"/>
    <d v="2025-02-24T00:00:00"/>
    <n v="0.25467462962842546"/>
    <n v="2025"/>
    <n v="2025"/>
    <s v="2025-02"/>
    <s v="2025-02"/>
  </r>
  <r>
    <s v="ESPC360-16233"/>
    <s v="[PRE] [Cuentas] INC051845983 - Error en la actualización de las cuentas del servicio adn360-api.pru.bsch/v1/accounts"/>
    <s v="Cuentas"/>
    <d v="2025-02-26T10:21:12"/>
    <d v="2025-02-27T17:47:34"/>
    <s v="OPERACIONAL"/>
    <s v="SOPORTE"/>
    <s v=""/>
    <s v="C360_Team_Mtto"/>
    <s v="Medium"/>
    <s v="CERRADO"/>
    <s v=""/>
    <x v="0"/>
    <x v="2"/>
    <d v="2025-02-26T10:21:12"/>
    <d v="2025-02-27T17:47:34"/>
    <s v="Externo"/>
    <n v="9"/>
    <d v="2025-02-24T00:00:00"/>
    <n v="9"/>
    <d v="2025-02-24T00:00:00"/>
    <n v="1.3099860300935688"/>
    <n v="2025"/>
    <n v="2025"/>
    <s v="2025-02"/>
    <s v="2025-02"/>
  </r>
  <r>
    <s v="ESPC360-16468"/>
    <s v="[PRO] [Cuentas] INC051929527 - no visualiza la cuenta asociada"/>
    <s v="Cuentas"/>
    <d v="2025-02-28T14:40:01"/>
    <d v="2025-03-06T14:19:26"/>
    <s v="OPERACIONAL"/>
    <s v="TÉCNICO"/>
    <s v=""/>
    <s v="C360_Team_Mtto"/>
    <s v="Medium"/>
    <s v="CERRADO"/>
    <s v=""/>
    <x v="1"/>
    <x v="0"/>
    <d v="2025-02-28T14:40:01"/>
    <d v="2025-03-06T14:19:26"/>
    <s v="Interno"/>
    <n v="9"/>
    <d v="2025-02-24T00:00:00"/>
    <n v="10"/>
    <d v="2025-03-03T00:00:00"/>
    <n v="5.9857054050880834"/>
    <n v="2025"/>
    <n v="2025"/>
    <s v="2025-02"/>
    <s v="2025-03"/>
  </r>
  <r>
    <s v="ESPC360-16479"/>
    <s v="[PRO] [Confidencialidad] INC051932003 - Cliente sin confidencialidad no pueden darle la clave de acceso"/>
    <s v="Confidencialidad"/>
    <d v="2025-03-03T11:18:25"/>
    <d v="2025-03-04T10:16:10"/>
    <s v="OPERACIONAL"/>
    <s v="SOPORTE"/>
    <s v=""/>
    <s v="C360_Team_Mtto"/>
    <s v="Medium"/>
    <s v="CERRADO"/>
    <s v=""/>
    <x v="1"/>
    <x v="2"/>
    <d v="2025-03-03T11:18:25"/>
    <d v="2025-03-04T10:16:10"/>
    <s v="Externo"/>
    <n v="10"/>
    <d v="2025-03-03T00:00:00"/>
    <n v="10"/>
    <d v="2025-03-03T00:00:00"/>
    <n v="0.95677131944103166"/>
    <n v="2025"/>
    <n v="2025"/>
    <s v="2025-03"/>
    <s v="2025-03"/>
  </r>
  <r>
    <s v="ESPC360-16505"/>
    <s v="[PRO] [Cuentas] INC052035804 - No ve cuenta"/>
    <s v="Bolaseg;Cuentas"/>
    <d v="2025-03-04T10:01:07"/>
    <d v="2025-03-07T13:07:35"/>
    <s v="OPERACIONAL"/>
    <s v="SOPORTE"/>
    <s v=""/>
    <s v="C360_Team_Mtto"/>
    <s v="Medium"/>
    <s v="CERRADO"/>
    <s v=""/>
    <x v="1"/>
    <x v="2"/>
    <d v="2025-03-04T10:01:07"/>
    <d v="2025-03-07T13:07:35"/>
    <s v="Externo"/>
    <n v="10"/>
    <d v="2025-03-03T00:00:00"/>
    <n v="10"/>
    <d v="2025-03-03T00:00:00"/>
    <n v="3.1294849537080154"/>
    <n v="2025"/>
    <n v="2025"/>
    <s v="2025-03"/>
    <s v="2025-03"/>
  </r>
  <r>
    <s v="ESPC360-16524"/>
    <s v="[PRO] INC052043294 - Alertado en bills - Llamada a movimientos"/>
    <s v="Movimientos Cuentas"/>
    <d v="2025-03-04T17:58:40"/>
    <d v="2025-03-05T12:32:51"/>
    <s v="OPERACIONAL"/>
    <s v="SOPORTE"/>
    <s v=""/>
    <s v="C360_Team_Mtto"/>
    <s v="Medium"/>
    <s v="CERRADO"/>
    <s v=""/>
    <x v="1"/>
    <x v="2"/>
    <d v="2025-03-04T17:58:40"/>
    <d v="2025-03-05T12:32:51"/>
    <s v="Externo"/>
    <n v="10"/>
    <d v="2025-03-03T00:00:00"/>
    <n v="10"/>
    <d v="2025-03-03T00:00:00"/>
    <n v="0.77373037036886672"/>
    <n v="2025"/>
    <n v="2025"/>
    <s v="2025-03"/>
    <s v="2025-03"/>
  </r>
  <r>
    <s v="ESPC360-16541"/>
    <s v="Corrección JAVA_OPTS en custmovssearchms"/>
    <s v=""/>
    <d v="2025-03-05T16:58:35"/>
    <d v="2025-04-09T12:34:18"/>
    <s v="OPERACIONAL"/>
    <s v="DESARROLLO"/>
    <s v=""/>
    <s v="C360_Operacional_Team_2"/>
    <s v="Medium"/>
    <s v="CERRADO"/>
    <s v="C360_Operacional_Sprint 197"/>
    <x v="2"/>
    <x v="1"/>
    <d v="2025-03-05T16:58:35"/>
    <d v="2025-04-09T12:34:18"/>
    <s v="Interno"/>
    <n v="10"/>
    <d v="2025-03-03T00:00:00"/>
    <n v="15"/>
    <d v="2025-04-07T00:00:00"/>
    <n v="34.816473067126935"/>
    <n v="2025"/>
    <n v="2025"/>
    <s v="2025-03"/>
    <s v="2025-04"/>
  </r>
  <r>
    <s v="ESPC360-16545"/>
    <s v="[PRO] Actualizar versión de avro-models en dp-pmp-avro"/>
    <s v=""/>
    <d v="2025-03-05T17:43:14"/>
    <d v="2025-04-09T12:34:18"/>
    <s v="OPERACIONAL"/>
    <s v="TÉCNICO"/>
    <s v=""/>
    <s v="C360_Operacional_Team_2"/>
    <s v="Medium"/>
    <s v="CERRADO"/>
    <s v="C360_Operacional_Sprint 197"/>
    <x v="2"/>
    <x v="0"/>
    <d v="2025-03-05T17:43:14"/>
    <d v="2025-04-09T12:34:18"/>
    <s v="Interno"/>
    <n v="10"/>
    <d v="2025-03-03T00:00:00"/>
    <n v="15"/>
    <d v="2025-04-07T00:00:00"/>
    <n v="34.785461527775624"/>
    <n v="2025"/>
    <n v="2025"/>
    <s v="2025-03"/>
    <s v="2025-04"/>
  </r>
  <r>
    <s v="ESPC360-16549"/>
    <s v="[PRO] [FRONT] - No se muestran alertas en prestamos/hipotecas en Santander GO."/>
    <s v=""/>
    <d v="2025-03-06T08:36:05"/>
    <d v="2025-03-12T00:34:18"/>
    <s v="OPERACIONAL"/>
    <s v="DESARROLLO"/>
    <s v=""/>
    <s v=""/>
    <s v="Medium"/>
    <s v="CERRADO"/>
    <s v=""/>
    <x v="1"/>
    <x v="1"/>
    <d v="2025-03-06T08:36:05"/>
    <d v="2025-03-12T00:34:18"/>
    <s v="Interno"/>
    <n v="10"/>
    <d v="2025-03-03T00:00:00"/>
    <n v="11"/>
    <d v="2025-03-10T00:00:00"/>
    <n v="5.6654360185129917"/>
    <n v="2025"/>
    <n v="2025"/>
    <s v="2025-03"/>
    <s v="2025-03"/>
  </r>
  <r>
    <s v="ESPC360-16550"/>
    <s v="[PRO][Seguros] INC052091864 - La póliza no se visualiza en ADN"/>
    <s v="Seguros"/>
    <d v="2025-03-06T08:40:37"/>
    <d v="2025-03-07T13:08:48"/>
    <s v="OPERACIONAL"/>
    <s v="SOPORTE"/>
    <s v=""/>
    <s v="C360_Team_Mtto"/>
    <s v="Medium"/>
    <s v="CERRADO"/>
    <s v=""/>
    <x v="1"/>
    <x v="2"/>
    <d v="2025-03-06T08:40:37"/>
    <d v="2025-03-07T13:08:48"/>
    <s v="Externo"/>
    <n v="10"/>
    <d v="2025-03-03T00:00:00"/>
    <n v="10"/>
    <d v="2025-03-03T00:00:00"/>
    <n v="1.1862352083335281"/>
    <n v="2025"/>
    <n v="2025"/>
    <s v="2025-03"/>
    <s v="2025-03"/>
  </r>
  <r>
    <s v="ESPC360-16595"/>
    <s v="[PRO] [Seguros] INC052136894 - Provision a 0"/>
    <s v="Seguros"/>
    <d v="2025-03-06T14:00:01"/>
    <d v="2025-03-07T13:06:06"/>
    <s v="OPERACIONAL"/>
    <s v="SOPORTE"/>
    <s v=""/>
    <s v="C360_Team_Mtto"/>
    <s v="Medium"/>
    <s v="CERRADO"/>
    <s v=""/>
    <x v="1"/>
    <x v="2"/>
    <d v="2025-03-06T14:00:01"/>
    <d v="2025-03-07T13:06:06"/>
    <s v="Externo"/>
    <n v="10"/>
    <d v="2025-03-03T00:00:00"/>
    <n v="10"/>
    <d v="2025-03-03T00:00:00"/>
    <n v="0.96255560185090872"/>
    <n v="2025"/>
    <n v="2025"/>
    <s v="2025-03"/>
    <s v="2025-03"/>
  </r>
  <r>
    <s v="ESPC360-16697"/>
    <s v="[PRE] [Confirming] INC052138222 - No se está mostrando el campo contract holder en oficina pero si en NWE"/>
    <s v="Factoring &amp; Confirming"/>
    <d v="2025-03-07T12:46:39"/>
    <d v="2025-03-07T13:04:17"/>
    <s v="OPERACIONAL"/>
    <s v="SOPORTE"/>
    <s v=""/>
    <s v="C360_Team_Mtto"/>
    <s v="Medium"/>
    <s v="CERRADO"/>
    <s v=""/>
    <x v="1"/>
    <x v="2"/>
    <d v="2025-03-07T12:46:39"/>
    <d v="2025-03-07T13:04:17"/>
    <s v="Externo"/>
    <n v="10"/>
    <d v="2025-03-03T00:00:00"/>
    <n v="10"/>
    <d v="2025-03-03T00:00:00"/>
    <n v="1.2253449080162682E-2"/>
    <n v="2025"/>
    <n v="2025"/>
    <s v="2025-03"/>
    <s v="2025-03"/>
  </r>
  <r>
    <s v="ESPC360-16726"/>
    <s v="[PRO] [Valores] INC052250965 - No se muestra un contrato por canal INT application PGP"/>
    <s v="Valores"/>
    <d v="2025-03-10T16:09:28"/>
    <d v="2025-03-14T13:35:18"/>
    <s v="OPERACIONAL"/>
    <s v="SOPORTE"/>
    <s v=""/>
    <s v="C360_Team_Mtto"/>
    <s v="Medium"/>
    <s v="CERRADO"/>
    <s v=""/>
    <x v="1"/>
    <x v="2"/>
    <d v="2025-03-10T16:09:28"/>
    <d v="2025-03-14T13:35:18"/>
    <s v="Externo"/>
    <n v="11"/>
    <d v="2025-03-10T00:00:00"/>
    <n v="11"/>
    <d v="2025-03-10T00:00:00"/>
    <n v="3.8929310069433996"/>
    <n v="2025"/>
    <n v="2025"/>
    <s v="2025-03"/>
    <s v="2025-03"/>
  </r>
  <r>
    <s v="ESPC360-16727"/>
    <s v="[PRO] [Seguros] INC052263273  - No se muestra seguro de tipo 311 en ADN360 pero si en ADN Seguros"/>
    <s v="Seguros"/>
    <d v="2025-03-10T16:23:22"/>
    <d v="2025-03-10T17:18:43"/>
    <s v="OPERACIONAL"/>
    <s v="SOPORTE"/>
    <s v=""/>
    <s v="C360_Team_Mtto"/>
    <s v="Medium"/>
    <s v="CERRADO"/>
    <s v=""/>
    <x v="1"/>
    <x v="2"/>
    <d v="2025-03-10T16:23:22"/>
    <d v="2025-03-10T17:18:43"/>
    <s v="Externo"/>
    <n v="11"/>
    <d v="2025-03-10T00:00:00"/>
    <n v="11"/>
    <d v="2025-03-10T00:00:00"/>
    <n v="3.8444351848738734E-2"/>
    <n v="2025"/>
    <n v="2025"/>
    <s v="2025-03"/>
    <s v="2025-03"/>
  </r>
  <r>
    <s v="ESPC360-16729"/>
    <s v="[PRO] [Derivados Financieros] INC052294757 - En la posición de Derivados de ADN 360 están apareciendo dos contratos que ya están vencidos"/>
    <s v="Derivados"/>
    <d v="2025-03-11T09:06:08"/>
    <d v="2025-03-14T13:34:35"/>
    <s v="OPERACIONAL"/>
    <s v="SOPORTE"/>
    <s v=""/>
    <s v="C360_Team_Mtto"/>
    <s v="Medium"/>
    <s v="CERRADO"/>
    <s v=""/>
    <x v="1"/>
    <x v="2"/>
    <d v="2025-03-11T09:06:08"/>
    <d v="2025-03-14T13:34:35"/>
    <s v="Externo"/>
    <n v="11"/>
    <d v="2025-03-10T00:00:00"/>
    <n v="11"/>
    <d v="2025-03-10T00:00:00"/>
    <n v="3.1864177661991562"/>
    <n v="2025"/>
    <n v="2025"/>
    <s v="2025-03"/>
    <s v="2025-03"/>
  </r>
  <r>
    <s v="ESPC360-16745"/>
    <s v="[PRO] [Valores] INC052141165 - Rentabilidades devuelve error true"/>
    <s v="Valores"/>
    <d v="2025-03-11T12:01:48"/>
    <d v="2025-03-11T16:28:28"/>
    <s v="OPERACIONAL"/>
    <s v="TÉCNICO"/>
    <s v=""/>
    <s v="C360_Team_Mtto"/>
    <s v="Medium"/>
    <s v="CERRADO"/>
    <s v=""/>
    <x v="1"/>
    <x v="0"/>
    <d v="2025-03-11T12:01:48"/>
    <d v="2025-03-11T16:28:28"/>
    <s v="Interno"/>
    <n v="11"/>
    <d v="2025-03-10T00:00:00"/>
    <n v="11"/>
    <d v="2025-03-10T00:00:00"/>
    <n v="0.18518638888781425"/>
    <n v="2025"/>
    <n v="2025"/>
    <s v="2025-03"/>
    <s v="2025-03"/>
  </r>
  <r>
    <s v="ESPC360-16746"/>
    <s v="[PRO] [Seguros] INC052309896 - No se muestra la prima del seguro en ADN"/>
    <s v="Seguros"/>
    <d v="2025-03-11T15:26:19"/>
    <d v="2025-03-26T17:10:36"/>
    <s v="OPERACIONAL"/>
    <s v="SOPORTE"/>
    <s v=""/>
    <s v="C360_Team_Mtto"/>
    <s v="Medium"/>
    <s v="CERRADO"/>
    <s v=""/>
    <x v="1"/>
    <x v="2"/>
    <d v="2025-03-11T15:26:19"/>
    <d v="2025-03-26T17:10:36"/>
    <s v="Externo"/>
    <n v="11"/>
    <d v="2025-03-10T00:00:00"/>
    <n v="13"/>
    <d v="2025-03-24T00:00:00"/>
    <n v="15.07242179397872"/>
    <n v="2025"/>
    <n v="2025"/>
    <s v="2025-03"/>
    <s v="2025-03"/>
  </r>
  <r>
    <s v="ESPC360-16749"/>
    <s v="[PRO] [Planes Pensiones] INC052313320 - No se muestra contrato de planes de pensiones"/>
    <s v="Planes de Pensiones"/>
    <d v="2025-03-11T16:18:25"/>
    <d v="2025-03-14T11:45:15"/>
    <s v="OPERACIONAL"/>
    <s v="SOPORTE"/>
    <s v=""/>
    <s v="C360_Team_Mtto"/>
    <s v="Medium"/>
    <s v="CERRADO"/>
    <s v=""/>
    <x v="1"/>
    <x v="2"/>
    <d v="2025-03-11T16:18:25"/>
    <d v="2025-03-14T11:45:15"/>
    <s v="Externo"/>
    <n v="11"/>
    <d v="2025-03-10T00:00:00"/>
    <n v="11"/>
    <d v="2025-03-10T00:00:00"/>
    <n v="2.8103019328700611"/>
    <n v="2025"/>
    <n v="2025"/>
    <s v="2025-03"/>
    <s v="2025-03"/>
  </r>
  <r>
    <s v="ESPC360-16762"/>
    <s v="[PRE] [Carteras] INC052361039 - Servicio externo de carteras con tiempos altos"/>
    <s v="Carteras Gestionadas"/>
    <d v="2025-03-12T17:41:25"/>
    <d v="2025-03-17T11:33:02"/>
    <s v="OPERACIONAL"/>
    <s v="SOPORTE"/>
    <s v=""/>
    <s v="C360_Team_Mtto"/>
    <s v="Medium"/>
    <s v="CERRADO"/>
    <s v=""/>
    <x v="0"/>
    <x v="2"/>
    <d v="2025-03-12T17:41:25"/>
    <d v="2025-03-17T11:33:02"/>
    <s v="Externo"/>
    <n v="11"/>
    <d v="2025-03-10T00:00:00"/>
    <n v="12"/>
    <d v="2025-03-17T00:00:00"/>
    <n v="4.7441781828674721"/>
    <n v="2025"/>
    <n v="2025"/>
    <s v="2025-03"/>
    <s v="2025-03"/>
  </r>
  <r>
    <s v="ESPC360-16869"/>
    <s v="[PRO] [Préstamos] INC052313320 - en el api de refinanciacion hay diferencia con respecto a la cuota impagada año anterior"/>
    <s v="Préstamos"/>
    <d v="2025-03-14T13:31:53"/>
    <d v="2025-03-27T10:11:00"/>
    <s v="OPERACIONAL"/>
    <s v="TÉCNICO"/>
    <s v=""/>
    <s v="C360_Team_Mtto"/>
    <s v="Medium"/>
    <s v="CERRADO"/>
    <s v=""/>
    <x v="1"/>
    <x v="0"/>
    <d v="2025-03-14T13:31:53"/>
    <d v="2025-03-27T10:11:00"/>
    <s v="Interno"/>
    <n v="11"/>
    <d v="2025-03-10T00:00:00"/>
    <n v="13"/>
    <d v="2025-03-24T00:00:00"/>
    <n v="12.860503483796492"/>
    <n v="2025"/>
    <n v="2025"/>
    <s v="2025-03"/>
    <s v="2025-03"/>
  </r>
  <r>
    <s v="ESPC360-16871"/>
    <s v="[PRO] [Préstamos] INC052391091 - Indican que en ADN360 la cuenta asociada es erronea."/>
    <s v="Préstamos"/>
    <d v="2025-03-14T14:31:18"/>
    <d v="2025-03-17T10:59:17"/>
    <s v="OPERACIONAL"/>
    <s v="TÉCNICO"/>
    <s v=""/>
    <s v="C360_Team_Mtto"/>
    <s v="Medium"/>
    <s v="CERRADO"/>
    <s v=""/>
    <x v="1"/>
    <x v="0"/>
    <d v="2025-03-14T14:31:18"/>
    <d v="2025-03-17T10:59:17"/>
    <s v="Interno"/>
    <n v="11"/>
    <d v="2025-03-10T00:00:00"/>
    <n v="12"/>
    <d v="2025-03-17T00:00:00"/>
    <n v="2.8527753356538597"/>
    <n v="2025"/>
    <n v="2025"/>
    <s v="2025-03"/>
    <s v="2025-03"/>
  </r>
  <r>
    <s v="ESPC360-16959"/>
    <s v="[PRO] [Depósitos Estructurados] - INC052570220 - Solicitan cancelación de PFEs erróneos."/>
    <s v="Depósitos;PFEs"/>
    <d v="2025-03-19T08:36:55"/>
    <d v="2025-03-20T10:17:06"/>
    <s v="OPERACIONAL"/>
    <s v="SOPORTE"/>
    <s v=""/>
    <s v="C360_Team_Mtto"/>
    <s v="Medium"/>
    <s v="CERRADO"/>
    <s v=""/>
    <x v="1"/>
    <x v="2"/>
    <d v="2025-03-19T08:36:55"/>
    <d v="2025-03-20T10:17:06"/>
    <s v="Externo"/>
    <n v="12"/>
    <d v="2025-03-17T00:00:00"/>
    <n v="12"/>
    <d v="2025-03-17T00:00:00"/>
    <n v="1.0695798726883368"/>
    <n v="2025"/>
    <n v="2025"/>
    <s v="2025-03"/>
    <s v="2025-03"/>
  </r>
  <r>
    <s v="ESPC360-16962"/>
    <s v="Migración de marca PMP batch al nuevo modelo de propuestas (Comex)"/>
    <s v=""/>
    <d v="2025-03-19T09:31:10"/>
    <d v="2025-03-31T10:21:21"/>
    <s v="OPERACIONAL"/>
    <s v="TÉCNICO"/>
    <s v=""/>
    <s v="C360_Operacional_Team_1"/>
    <s v="Medium"/>
    <s v="CANCELADO"/>
    <s v=""/>
    <x v="2"/>
    <x v="0"/>
    <d v="2025-03-19T09:31:10"/>
    <d v="2025-03-31T10:21:21"/>
    <s v="Interno"/>
    <n v="12"/>
    <d v="2025-03-17T00:00:00"/>
    <n v="14"/>
    <d v="2025-03-31T00:00:00"/>
    <n v="12.034842638888222"/>
    <n v="2025"/>
    <n v="2025"/>
    <s v="2025-03"/>
    <s v="2025-03"/>
  </r>
  <r>
    <s v="ESPC360-16970"/>
    <s v="[PRO] [Valores] INC052606330 - No aparece la revalorizacion del contrato"/>
    <s v="Valores"/>
    <d v="2025-03-19T13:07:20"/>
    <d v="2025-03-19T13:24:00"/>
    <s v="OPERACIONAL"/>
    <s v="SOPORTE"/>
    <s v=""/>
    <s v="C360_Team_Mtto"/>
    <s v="Medium"/>
    <s v="CERRADO"/>
    <s v=""/>
    <x v="1"/>
    <x v="2"/>
    <d v="2025-03-19T13:07:20"/>
    <d v="2025-03-19T13:24:00"/>
    <s v="Externo"/>
    <n v="12"/>
    <d v="2025-03-17T00:00:00"/>
    <n v="12"/>
    <d v="2025-03-17T00:00:00"/>
    <n v="1.1568182875635102E-2"/>
    <n v="2025"/>
    <n v="2025"/>
    <s v="2025-03"/>
    <s v="2025-03"/>
  </r>
  <r>
    <s v="ESPC360-16971"/>
    <s v="[PRO] Corregir filtro del update del pdf de movimientos"/>
    <s v=""/>
    <d v="2025-03-19T13:28:22"/>
    <d v="2025-03-27T10:43:07"/>
    <s v="OPERACIONAL"/>
    <s v="DESARROLLO"/>
    <s v=""/>
    <s v="C360_Operacional_Team_2"/>
    <s v="Medium"/>
    <s v="CERRADO"/>
    <s v="C360_Operacional_Sprint 198"/>
    <x v="2"/>
    <x v="1"/>
    <d v="2025-03-19T13:28:22"/>
    <d v="2025-03-27T10:43:07"/>
    <s v="Interno"/>
    <n v="12"/>
    <d v="2025-03-17T00:00:00"/>
    <n v="13"/>
    <d v="2025-03-24T00:00:00"/>
    <n v="7.8852509953721892"/>
    <n v="2025"/>
    <n v="2025"/>
    <s v="2025-03"/>
    <s v="2025-03"/>
  </r>
  <r>
    <s v="ESPC360-16972"/>
    <s v="[PRO] [Confidencialidad] INC052605945 - Aviso de confidencialidad y no pueden ver los contratos."/>
    <s v="Confidencialidad"/>
    <d v="2025-03-19T15:27:58"/>
    <d v="2025-04-07T10:55:09"/>
    <s v="OPERACIONAL"/>
    <s v="SOPORTE"/>
    <s v=""/>
    <s v="C360_Team_Mtto"/>
    <s v="Medium"/>
    <s v="CERRADO"/>
    <s v=""/>
    <x v="1"/>
    <x v="2"/>
    <d v="2025-03-19T15:27:58"/>
    <d v="2025-04-07T10:55:09"/>
    <s v="Externo"/>
    <n v="12"/>
    <d v="2025-03-17T00:00:00"/>
    <n v="15"/>
    <d v="2025-04-07T00:00:00"/>
    <n v="18.810543298612174"/>
    <n v="2025"/>
    <n v="2025"/>
    <s v="2025-03"/>
    <s v="2025-04"/>
  </r>
  <r>
    <s v="ESPC360-16976"/>
    <s v="[PRO] [Tarjetas] INC052600241 - No se muestra el saldo dispuesto para 2 tarjetas  Corporate"/>
    <s v="Tarjetas"/>
    <d v="2025-03-19T16:36:28"/>
    <d v="2025-04-08T10:29:41"/>
    <s v="OPERACIONAL"/>
    <s v="DESARROLLO"/>
    <s v=""/>
    <s v="C360_Team_Mtto"/>
    <s v="Medium"/>
    <s v="CERRADO"/>
    <s v=""/>
    <x v="1"/>
    <x v="1"/>
    <d v="2025-03-19T16:36:28"/>
    <d v="2025-04-08T10:29:41"/>
    <s v="Interno"/>
    <n v="12"/>
    <d v="2025-03-17T00:00:00"/>
    <n v="15"/>
    <d v="2025-04-07T00:00:00"/>
    <n v="19.745286342593317"/>
    <n v="2025"/>
    <n v="2025"/>
    <s v="2025-03"/>
    <s v="2025-04"/>
  </r>
  <r>
    <s v="ESPC360-16978"/>
    <s v="[PRO] [Tarjetas] se debe de borrar el cálculo de tarjetasLimite si tiene estdo RM"/>
    <s v="Tarjetas"/>
    <d v="2025-03-19T17:07:39"/>
    <d v="2025-08-26T13:33:37"/>
    <s v="OPERACIONAL"/>
    <s v="DESARROLLO"/>
    <s v=""/>
    <s v="C360_Team_Mtto"/>
    <s v="Medium"/>
    <s v="CERRADO"/>
    <s v=""/>
    <x v="1"/>
    <x v="1"/>
    <d v="2025-03-19T17:07:39"/>
    <d v="2025-08-26T13:33:37"/>
    <s v="Interno"/>
    <n v="12"/>
    <d v="2025-03-17T00:00:00"/>
    <n v="35"/>
    <d v="2025-08-25T00:00:00"/>
    <n v="159.8513606365741"/>
    <n v="2025"/>
    <n v="2025"/>
    <s v="2025-03"/>
    <s v="2025-08"/>
  </r>
  <r>
    <s v="ESPC360-17090"/>
    <s v="[PRO] [Fondos] INC052386456 - Incidencia al contratar fondo de inversión"/>
    <s v="Cuentas;Fondos"/>
    <d v="2025-03-24T09:30:35"/>
    <d v="2025-04-07T10:57:00"/>
    <s v="OPERACIONAL"/>
    <s v="SOPORTE"/>
    <s v=""/>
    <s v="C360_Team_Mtto"/>
    <s v="Medium"/>
    <s v="CERRADO"/>
    <s v=""/>
    <x v="1"/>
    <x v="2"/>
    <d v="2025-03-24T09:30:35"/>
    <d v="2025-04-07T10:57:00"/>
    <s v="Externo"/>
    <n v="13"/>
    <d v="2025-03-24T00:00:00"/>
    <n v="15"/>
    <d v="2025-04-07T00:00:00"/>
    <n v="14.060001979167282"/>
    <n v="2025"/>
    <n v="2025"/>
    <s v="2025-03"/>
    <s v="2025-04"/>
  </r>
  <r>
    <s v="ESPC360-17091"/>
    <s v="Migración libreria front a a la última versión disponible de angular"/>
    <s v="Front ADN360"/>
    <d v="2025-03-24T09:34:15"/>
    <d v="2025-06-30T11:25:59"/>
    <s v="OPERACIONAL"/>
    <s v="TÉCNICO"/>
    <s v=""/>
    <s v="C360_Team_Mtto"/>
    <s v="Medium"/>
    <s v="CANCELADO"/>
    <s v=""/>
    <x v="1"/>
    <x v="0"/>
    <d v="2025-03-24T09:34:15"/>
    <d v="2025-06-30T11:25:59"/>
    <s v="Interno"/>
    <n v="13"/>
    <d v="2025-03-24T00:00:00"/>
    <n v="27"/>
    <d v="2025-06-30T00:00:00"/>
    <n v="98.077590231485374"/>
    <n v="2025"/>
    <n v="2025"/>
    <s v="2025-03"/>
    <s v="2025-06"/>
  </r>
  <r>
    <s v="ESPC360-17092"/>
    <s v="Migración proyecto de front a a la última versión disponible de angular"/>
    <s v=""/>
    <d v="2025-03-24T09:35:14"/>
    <d v="2025-06-30T16:59:17"/>
    <s v="OPERACIONAL"/>
    <s v="TÉCNICO"/>
    <s v=""/>
    <s v=""/>
    <s v="Medium"/>
    <s v="CANCELADO"/>
    <s v=""/>
    <x v="2"/>
    <x v="0"/>
    <d v="2025-03-24T09:35:14"/>
    <d v="2025-06-30T16:59:17"/>
    <s v="Interno"/>
    <n v="13"/>
    <d v="2025-03-24T00:00:00"/>
    <n v="27"/>
    <d v="2025-06-30T00:00:00"/>
    <n v="98.308374525462568"/>
    <n v="2025"/>
    <n v="2025"/>
    <s v="2025-03"/>
    <s v="2025-06"/>
  </r>
  <r>
    <s v="ESPC360-17093"/>
    <s v="[PRO] Corregir filtro del update del pdf de movimientos (Atlas)"/>
    <s v=""/>
    <d v="2025-03-24T10:41:02"/>
    <d v="2025-05-07T02:40:39"/>
    <s v="OPERACIONAL"/>
    <s v="DESARROLLO"/>
    <s v=""/>
    <s v="C360_Operacional_Team_2"/>
    <s v="Medium"/>
    <s v="CERRADO"/>
    <s v="C360_Operacional_Sprint 199"/>
    <x v="2"/>
    <x v="1"/>
    <d v="2025-03-24T10:41:02"/>
    <d v="2025-05-07T02:40:39"/>
    <s v="Interno"/>
    <n v="13"/>
    <d v="2025-03-24T00:00:00"/>
    <n v="19"/>
    <d v="2025-05-05T00:00:00"/>
    <n v="43.666401747686905"/>
    <n v="2025"/>
    <n v="2025"/>
    <s v="2025-03"/>
    <s v="2025-05"/>
  </r>
  <r>
    <s v="ESPC360-17137"/>
    <s v="[PRO] [Seguros] INC052819986 - No se muestra póliza de accidentes en ADN360"/>
    <s v="Seguros"/>
    <d v="2025-03-25T15:17:54"/>
    <d v="2025-03-26T13:47:59"/>
    <s v="OPERACIONAL"/>
    <s v="SOPORTE"/>
    <s v=""/>
    <s v="C360_Team_Mtto"/>
    <s v="Medium"/>
    <s v="CERRADO"/>
    <s v=""/>
    <x v="1"/>
    <x v="2"/>
    <d v="2025-03-25T15:17:54"/>
    <d v="2025-03-26T13:47:59"/>
    <s v="Externo"/>
    <n v="13"/>
    <d v="2025-03-24T00:00:00"/>
    <n v="13"/>
    <d v="2025-03-24T00:00:00"/>
    <n v="0.93756347222370096"/>
    <n v="2025"/>
    <n v="2025"/>
    <s v="2025-03"/>
    <s v="2025-03"/>
  </r>
  <r>
    <s v="ESPC360-17160"/>
    <s v="[PRO] [PFES] INC052862823 - Saldo incorrecto en adn"/>
    <s v="PFEs"/>
    <d v="2025-03-26T13:09:10"/>
    <d v="2025-04-21T10:19:44"/>
    <s v="OPERACIONAL"/>
    <s v="SOPORTE"/>
    <s v=""/>
    <s v="C360_Team_Mtto"/>
    <s v="Medium"/>
    <s v="CERRADO"/>
    <s v=""/>
    <x v="1"/>
    <x v="2"/>
    <d v="2025-03-26T13:09:10"/>
    <d v="2025-04-21T10:19:44"/>
    <s v="Externo"/>
    <n v="13"/>
    <d v="2025-03-24T00:00:00"/>
    <n v="17"/>
    <d v="2025-04-21T00:00:00"/>
    <n v="25.882340034724621"/>
    <n v="2025"/>
    <n v="2025"/>
    <s v="2025-03"/>
    <s v="2025-04"/>
  </r>
  <r>
    <s v="ESPC360-17169"/>
    <s v="[PRO] Cambiar a ataque bulk el update-contratos-carteras"/>
    <s v=""/>
    <d v="2025-03-26T15:43:03"/>
    <d v="2025-06-19T09:19:38"/>
    <s v="OPERACIONAL"/>
    <s v="DESARROLLO"/>
    <s v=""/>
    <s v="C360_Team_Mtto"/>
    <s v="Medium"/>
    <s v="CERRADO"/>
    <s v=""/>
    <x v="2"/>
    <x v="1"/>
    <d v="2025-03-26T15:43:03"/>
    <d v="2025-06-19T09:19:38"/>
    <s v="Interno"/>
    <n v="13"/>
    <d v="2025-03-24T00:00:00"/>
    <n v="25"/>
    <d v="2025-06-16T00:00:00"/>
    <n v="84.733737951384683"/>
    <n v="2025"/>
    <n v="2025"/>
    <s v="2025-03"/>
    <s v="2025-06"/>
  </r>
  <r>
    <s v="ESPC360-17170"/>
    <s v="[PRO] [Fondos] INC052867604 - Error rentabilidad en proceso de calculo"/>
    <s v="Fondos"/>
    <d v="2025-03-26T16:05:13"/>
    <d v="2025-04-02T12:54:41"/>
    <s v="OPERACIONAL"/>
    <s v="SOPORTE"/>
    <s v=""/>
    <s v="C360_Team_Mtto"/>
    <s v="Medium"/>
    <s v="CERRADO"/>
    <s v=""/>
    <x v="1"/>
    <x v="2"/>
    <d v="2025-03-26T16:05:13"/>
    <d v="2025-04-02T12:54:41"/>
    <s v="Externo"/>
    <n v="13"/>
    <d v="2025-03-24T00:00:00"/>
    <n v="14"/>
    <d v="2025-03-31T00:00:00"/>
    <n v="6.8676816898150719"/>
    <n v="2025"/>
    <n v="2025"/>
    <s v="2025-03"/>
    <s v="2025-03"/>
  </r>
  <r>
    <s v="ESPC360-17286"/>
    <s v="Migración de marca PMP batch al nuevo modelo de propuestas (Credits)"/>
    <s v=""/>
    <d v="2025-03-28T11:20:25"/>
    <d v="2025-03-31T10:21:25"/>
    <s v="OPERACIONAL"/>
    <s v="TÉCNICO"/>
    <s v=""/>
    <s v=""/>
    <s v="Medium"/>
    <s v="CANCELADO"/>
    <s v=""/>
    <x v="2"/>
    <x v="0"/>
    <d v="2025-03-28T11:20:25"/>
    <d v="2025-03-31T10:21:25"/>
    <s v="Interno"/>
    <n v="13"/>
    <d v="2025-03-24T00:00:00"/>
    <n v="14"/>
    <d v="2025-03-31T00:00:00"/>
    <n v="2.9590256365772802"/>
    <n v="2025"/>
    <n v="2025"/>
    <s v="2025-03"/>
    <s v="2025-03"/>
  </r>
  <r>
    <s v="ESPC360-17287"/>
    <s v="Migración de marca PMP batch al nuevo modelo de propuestas (Discounts)"/>
    <s v=""/>
    <d v="2025-03-28T11:22:28"/>
    <d v="2025-03-31T10:21:28"/>
    <s v="OPERACIONAL"/>
    <s v="TÉCNICO"/>
    <s v=""/>
    <s v=""/>
    <s v="Medium"/>
    <s v="CANCELADO"/>
    <s v=""/>
    <x v="2"/>
    <x v="0"/>
    <d v="2025-03-28T11:22:28"/>
    <d v="2025-03-31T10:21:28"/>
    <s v="Interno"/>
    <n v="13"/>
    <d v="2025-03-24T00:00:00"/>
    <n v="14"/>
    <d v="2025-03-31T00:00:00"/>
    <n v="2.9576318634281051"/>
    <n v="2025"/>
    <n v="2025"/>
    <s v="2025-03"/>
    <s v="2025-03"/>
  </r>
  <r>
    <s v="ESPC360-17288"/>
    <s v="Migración de marca PMP batch al nuevo modelo de propuestas (Exchange Insurances)"/>
    <s v=""/>
    <d v="2025-03-28T11:23:07"/>
    <d v="2025-03-31T10:21:31"/>
    <s v="OPERACIONAL"/>
    <s v="TÉCNICO"/>
    <s v=""/>
    <s v=""/>
    <s v="Medium"/>
    <s v="CANCELADO"/>
    <s v=""/>
    <x v="2"/>
    <x v="0"/>
    <d v="2025-03-28T11:23:07"/>
    <d v="2025-03-31T10:21:31"/>
    <s v="Interno"/>
    <n v="13"/>
    <d v="2025-03-24T00:00:00"/>
    <n v="14"/>
    <d v="2025-03-31T00:00:00"/>
    <n v="2.9572286226903088"/>
    <n v="2025"/>
    <n v="2025"/>
    <s v="2025-03"/>
    <s v="2025-03"/>
  </r>
  <r>
    <s v="ESPC360-17289"/>
    <s v="Migración de marca PMP batch al nuevo modelo de propuestas (Factoring-Confirming)"/>
    <s v=""/>
    <d v="2025-03-28T11:24:08"/>
    <d v="2025-03-31T10:21:35"/>
    <s v="OPERACIONAL"/>
    <s v="TÉCNICO"/>
    <s v=""/>
    <s v=""/>
    <s v="Medium"/>
    <s v="CANCELADO"/>
    <s v=""/>
    <x v="2"/>
    <x v="0"/>
    <d v="2025-03-28T11:24:08"/>
    <d v="2025-03-31T10:21:35"/>
    <s v="Interno"/>
    <n v="13"/>
    <d v="2025-03-24T00:00:00"/>
    <n v="14"/>
    <d v="2025-03-31T00:00:00"/>
    <n v="2.9565624537062831"/>
    <n v="2025"/>
    <n v="2025"/>
    <s v="2025-03"/>
    <s v="2025-03"/>
  </r>
  <r>
    <s v="ESPC360-17290"/>
    <s v="Migración de marca PMP batch al nuevo modelo de propuestas (Financial Derivates)"/>
    <s v=""/>
    <d v="2025-03-28T11:24:37"/>
    <d v="2025-03-31T10:21:39"/>
    <s v="OPERACIONAL"/>
    <s v="TÉCNICO"/>
    <s v=""/>
    <s v=""/>
    <s v="Medium"/>
    <s v="CANCELADO"/>
    <s v=""/>
    <x v="2"/>
    <x v="0"/>
    <d v="2025-03-28T11:24:37"/>
    <d v="2025-03-31T10:21:39"/>
    <s v="Interno"/>
    <n v="13"/>
    <d v="2025-03-24T00:00:00"/>
    <n v="14"/>
    <d v="2025-03-31T00:00:00"/>
    <n v="2.9562763888898189"/>
    <n v="2025"/>
    <n v="2025"/>
    <s v="2025-03"/>
    <s v="2025-03"/>
  </r>
  <r>
    <s v="ESPC360-17291"/>
    <s v="Migración de marca PMP batch al nuevo modelo de propuestas (Guarantees)"/>
    <s v=""/>
    <d v="2025-03-28T11:25:10"/>
    <d v="2025-03-31T10:21:43"/>
    <s v="OPERACIONAL"/>
    <s v="TÉCNICO"/>
    <s v=""/>
    <s v=""/>
    <s v="Medium"/>
    <s v="CANCELADO"/>
    <s v=""/>
    <x v="2"/>
    <x v="0"/>
    <d v="2025-03-28T11:25:10"/>
    <d v="2025-03-31T10:21:43"/>
    <s v="Interno"/>
    <n v="13"/>
    <d v="2025-03-24T00:00:00"/>
    <n v="14"/>
    <d v="2025-03-31T00:00:00"/>
    <n v="2.9559380787031841"/>
    <n v="2025"/>
    <n v="2025"/>
    <s v="2025-03"/>
    <s v="2025-03"/>
  </r>
  <r>
    <s v="ESPC360-17302"/>
    <s v="[PRO] [PFEs] INC052934819 - Datos descuadrados entre ADN360 y la aplicación particulares"/>
    <s v="PFEs"/>
    <d v="2025-03-31T09:43:48"/>
    <d v="2025-04-09T09:23:58"/>
    <s v="OPERACIONAL"/>
    <s v="SOPORTE"/>
    <s v=""/>
    <s v="C360_Team_Mtto"/>
    <s v="Medium"/>
    <s v="CERRADO"/>
    <s v=""/>
    <x v="1"/>
    <x v="2"/>
    <d v="2025-03-31T09:43:48"/>
    <d v="2025-04-09T09:23:58"/>
    <s v="Externo"/>
    <n v="14"/>
    <d v="2025-03-31T00:00:00"/>
    <n v="15"/>
    <d v="2025-04-07T00:00:00"/>
    <n v="8.9862350578696351"/>
    <n v="2025"/>
    <n v="2025"/>
    <s v="2025-03"/>
    <s v="2025-04"/>
  </r>
  <r>
    <s v="ESPC360-17338"/>
    <s v="[PRO] [Seguros] INC052906685 - Ramo de póliza incorrecto en ADN360"/>
    <s v="Seguros"/>
    <d v="2025-03-31T16:35:34"/>
    <d v="2025-04-04T10:25:07"/>
    <s v="OPERACIONAL"/>
    <s v="SOPORTE"/>
    <s v=""/>
    <s v="C360_Team_Mtto"/>
    <s v="Medium"/>
    <s v="CERRADO"/>
    <s v=""/>
    <x v="1"/>
    <x v="2"/>
    <d v="2025-03-31T16:35:34"/>
    <d v="2025-04-04T10:25:07"/>
    <s v="Externo"/>
    <n v="14"/>
    <d v="2025-03-31T00:00:00"/>
    <n v="14"/>
    <d v="2025-03-31T00:00:00"/>
    <n v="3.7427500578705803"/>
    <n v="2025"/>
    <n v="2025"/>
    <s v="2025-03"/>
    <s v="2025-03"/>
  </r>
  <r>
    <s v="ESPC360-17349"/>
    <s v="[PRO] [Seguros] INC053063539 - Póliza con salgo 0 en ADN360"/>
    <s v="Seguros"/>
    <d v="2025-04-01T11:58:43"/>
    <d v="2025-04-03T08:56:23"/>
    <s v="OPERACIONAL"/>
    <s v="SOPORTE"/>
    <s v=""/>
    <s v="C360_Team_Mtto"/>
    <s v="Medium"/>
    <s v="CERRADO"/>
    <s v=""/>
    <x v="1"/>
    <x v="2"/>
    <d v="2025-04-01T11:58:43"/>
    <d v="2025-04-03T08:56:23"/>
    <s v="Externo"/>
    <n v="14"/>
    <d v="2025-03-31T00:00:00"/>
    <n v="14"/>
    <d v="2025-03-31T00:00:00"/>
    <n v="1.873378032403707"/>
    <n v="2025"/>
    <n v="2025"/>
    <s v="2025-03"/>
    <s v="2025-03"/>
  </r>
  <r>
    <s v="ESPC360-17358"/>
    <s v="Corrección de Control-Hismo en OnPremise"/>
    <s v=""/>
    <d v="2025-04-02T08:29:47"/>
    <d v="2025-06-27T14:18:49"/>
    <s v="OPERACIONAL"/>
    <s v="DEFINICIÓN"/>
    <s v=""/>
    <s v="C360_Operacional_Team_2"/>
    <s v="Medium"/>
    <s v="CERRADO"/>
    <s v="C360_Operacional_Sprint 199"/>
    <x v="2"/>
    <x v="3"/>
    <d v="2025-04-02T08:29:47"/>
    <d v="2025-06-27T14:18:49"/>
    <s v="Externo"/>
    <n v="14"/>
    <d v="2025-03-31T00:00:00"/>
    <n v="26"/>
    <d v="2025-06-23T00:00:00"/>
    <n v="86.2423781018515"/>
    <n v="2025"/>
    <n v="2025"/>
    <s v="2025-03"/>
    <s v="2025-06"/>
  </r>
  <r>
    <s v="ESPC360-17364"/>
    <s v="[PRO] [Préstamos] La refinanciacion del contrato 004950311030609075 tiene descuadre y no deberia"/>
    <s v="Préstamos"/>
    <d v="2025-04-02T12:49:09"/>
    <d v="2025-04-08T10:13:50"/>
    <s v="OPERACIONAL"/>
    <s v="DESARROLLO"/>
    <s v=""/>
    <s v="C360_Team_Mtto"/>
    <s v="Medium"/>
    <s v="CERRADO"/>
    <s v=""/>
    <x v="1"/>
    <x v="1"/>
    <d v="2025-04-02T12:49:09"/>
    <d v="2025-04-08T10:13:50"/>
    <s v="Interno"/>
    <n v="14"/>
    <d v="2025-03-31T00:00:00"/>
    <n v="15"/>
    <d v="2025-04-07T00:00:00"/>
    <n v="5.892135381945991"/>
    <n v="2025"/>
    <n v="2025"/>
    <s v="2025-03"/>
    <s v="2025-04"/>
  </r>
  <r>
    <s v="ESPC360-17376"/>
    <s v="[PRO] Los servicios digitales de Santander Go no siempre se están traduciendo"/>
    <s v=""/>
    <d v="2025-04-03T09:34:46"/>
    <d v="2025-05-07T02:40:22"/>
    <s v="OPERACIONAL"/>
    <s v="DESARROLLO"/>
    <s v=""/>
    <s v=""/>
    <s v="Medium"/>
    <s v="CERRADO"/>
    <s v=""/>
    <x v="2"/>
    <x v="1"/>
    <d v="2025-04-03T09:34:46"/>
    <d v="2025-05-07T02:40:22"/>
    <s v="Interno"/>
    <n v="14"/>
    <d v="2025-03-31T00:00:00"/>
    <n v="19"/>
    <d v="2025-05-05T00:00:00"/>
    <n v="33.712222997688514"/>
    <n v="2025"/>
    <n v="2025"/>
    <s v="2025-03"/>
    <s v="2025-05"/>
  </r>
  <r>
    <s v="ESPC360-17377"/>
    <s v="[PRE] [BGM] INC053124945 - Modificación en API  Buscador Global - Movimientos Tarjeta"/>
    <s v="Movimientos Tarjetas"/>
    <d v="2025-04-03T10:08:00"/>
    <d v="2025-05-07T02:40:52"/>
    <s v="OPERACIONAL"/>
    <s v="DESARROLLO"/>
    <s v=""/>
    <s v="C360_Team_Mtto"/>
    <s v="Medium"/>
    <s v="CERRADO"/>
    <s v=""/>
    <x v="0"/>
    <x v="1"/>
    <d v="2025-04-03T10:08:00"/>
    <d v="2025-05-07T02:40:52"/>
    <s v="Interno"/>
    <n v="14"/>
    <d v="2025-03-31T00:00:00"/>
    <n v="19"/>
    <d v="2025-05-05T00:00:00"/>
    <n v="33.689486030089029"/>
    <n v="2025"/>
    <n v="2025"/>
    <s v="2025-03"/>
    <s v="2025-05"/>
  </r>
  <r>
    <s v="ESPC360-17513"/>
    <s v="[Cuentas] Solución  de relación contrato cuentas con contrato rel_contratos"/>
    <s v="Cuentas"/>
    <d v="2025-04-08T09:32:56"/>
    <d v="2025-07-23T11:43:03"/>
    <s v="OPERACIONAL"/>
    <s v="FUNCIONAL"/>
    <s v=""/>
    <s v="C360_Team_Mtto"/>
    <s v="Medium"/>
    <s v="CERRADO"/>
    <s v=""/>
    <x v="1"/>
    <x v="4"/>
    <d v="2025-04-08T09:32:56"/>
    <d v="2025-07-23T11:43:03"/>
    <s v="Interno"/>
    <n v="15"/>
    <d v="2025-04-07T00:00:00"/>
    <n v="30"/>
    <d v="2025-07-21T00:00:00"/>
    <n v="106.09035962962662"/>
    <n v="2025"/>
    <n v="2025"/>
    <s v="2025-04"/>
    <s v="2025-07"/>
  </r>
  <r>
    <s v="ESPC360-17522"/>
    <s v="[PRE] [Aggregations] INC054876772 - Field total cuando deberia ser Número total de contratos"/>
    <s v=""/>
    <d v="2025-04-08T10:10:31"/>
    <d v="2025-06-27T14:18:14"/>
    <s v="OPERACIONAL"/>
    <s v="DESARROLLO"/>
    <s v=""/>
    <s v="C360_Operacional_Team_1"/>
    <s v="Medium"/>
    <s v="CERRADO"/>
    <s v="C360_Operacional_Sprint 201"/>
    <x v="5"/>
    <x v="1"/>
    <d v="2025-04-08T10:10:31"/>
    <d v="2025-06-27T14:18:14"/>
    <s v="Interno"/>
    <n v="15"/>
    <d v="2025-04-07T00:00:00"/>
    <n v="26"/>
    <d v="2025-06-23T00:00:00"/>
    <n v="80.172031712958415"/>
    <n v="2025"/>
    <n v="2025"/>
    <s v="2025-04"/>
    <s v="2025-06"/>
  </r>
  <r>
    <s v="ESPC360-17590"/>
    <s v="[PRO] [FRONT] INC053368186 - Error Bizum en ADN360"/>
    <s v="Front ADN360"/>
    <d v="2025-04-09T16:25:49"/>
    <d v="2025-05-08T15:58:54"/>
    <s v="OPERACIONAL"/>
    <s v="DESARROLLO"/>
    <s v=""/>
    <s v="C360_Team_Mtto"/>
    <s v="Medium"/>
    <s v="CERRADO"/>
    <s v=""/>
    <x v="1"/>
    <x v="1"/>
    <d v="2025-04-09T16:25:49"/>
    <d v="2025-05-08T15:58:54"/>
    <s v="Interno"/>
    <n v="15"/>
    <d v="2025-04-07T00:00:00"/>
    <n v="19"/>
    <d v="2025-05-05T00:00:00"/>
    <n v="28.981308449074277"/>
    <n v="2025"/>
    <n v="2025"/>
    <s v="2025-04"/>
    <s v="2025-05"/>
  </r>
  <r>
    <s v="ESPC360-17597"/>
    <s v="[PRO] INC053378862 - Error en la descripción de un movimiento"/>
    <s v="Movimientos Cuentas"/>
    <d v="2025-04-10T09:52:21"/>
    <d v="2025-04-10T10:12:10"/>
    <s v="OPERACIONAL"/>
    <s v="SOPORTE"/>
    <s v=""/>
    <s v="C360_Team_Mtto"/>
    <s v="Medium"/>
    <s v="CERRADO"/>
    <s v=""/>
    <x v="1"/>
    <x v="2"/>
    <d v="2025-04-10T09:52:21"/>
    <d v="2025-04-10T10:12:10"/>
    <s v="Externo"/>
    <n v="15"/>
    <d v="2025-04-07T00:00:00"/>
    <n v="15"/>
    <d v="2025-04-07T00:00:00"/>
    <n v="1.3757384258497041E-2"/>
    <n v="2025"/>
    <n v="2025"/>
    <s v="2025-04"/>
    <s v="2025-04"/>
  </r>
  <r>
    <s v="ESPC360-17600"/>
    <s v="[PRO] [Valores] INC052939932 - No se muestra un contrato de valores"/>
    <s v="Carteras Gestionadas;Valores"/>
    <d v="2025-04-10T12:34:52"/>
    <d v="2025-05-08T09:24:09"/>
    <s v="OPERACIONAL"/>
    <s v="SOPORTE"/>
    <s v=""/>
    <s v="C360_Team_Mtto"/>
    <s v="Medium"/>
    <s v="CERRADO"/>
    <s v=""/>
    <x v="1"/>
    <x v="2"/>
    <d v="2025-04-10T12:34:52"/>
    <d v="2025-05-08T09:24:09"/>
    <s v="Externo"/>
    <n v="15"/>
    <d v="2025-04-07T00:00:00"/>
    <n v="19"/>
    <d v="2025-05-05T00:00:00"/>
    <n v="27.867557800927898"/>
    <n v="2025"/>
    <n v="2025"/>
    <s v="2025-04"/>
    <s v="2025-05"/>
  </r>
  <r>
    <s v="ESPC360-17601"/>
    <s v="[PRO] [Valores] INC053380917 - Error visualización rentabilidad valores"/>
    <s v="Valores"/>
    <d v="2025-04-10T15:47:55"/>
    <d v="2025-04-14T11:55:37"/>
    <s v="OPERACIONAL"/>
    <s v="SOPORTE"/>
    <s v=""/>
    <s v="C360_Team_Mtto"/>
    <s v="Medium"/>
    <s v="CERRADO"/>
    <s v=""/>
    <x v="1"/>
    <x v="2"/>
    <d v="2025-04-10T15:47:55"/>
    <d v="2025-04-14T11:55:37"/>
    <s v="Externo"/>
    <n v="15"/>
    <d v="2025-04-07T00:00:00"/>
    <n v="16"/>
    <d v="2025-04-14T00:00:00"/>
    <n v="3.8386829513910925"/>
    <n v="2025"/>
    <n v="2025"/>
    <s v="2025-04"/>
    <s v="2025-04"/>
  </r>
  <r>
    <s v="ESPC360-17658"/>
    <s v="[PRO] [Préstamos] INC053452332 - Descuadre de la deuda entre ADN360 y teleproceso. Adjuntamos imágenes con ejemplo"/>
    <s v="Préstamos"/>
    <d v="2025-04-11T09:54:21"/>
    <d v="2025-04-11T13:01:46"/>
    <s v="OPERACIONAL"/>
    <s v="DESARROLLO"/>
    <s v=""/>
    <s v="C360_Team_Mtto"/>
    <s v="Medium"/>
    <s v="CERRADO"/>
    <s v=""/>
    <x v="1"/>
    <x v="1"/>
    <d v="2025-04-11T09:54:21"/>
    <d v="2025-04-11T13:01:46"/>
    <s v="Interno"/>
    <n v="15"/>
    <d v="2025-04-07T00:00:00"/>
    <n v="15"/>
    <d v="2025-04-07T00:00:00"/>
    <n v="0.13015734953660285"/>
    <n v="2025"/>
    <n v="2025"/>
    <s v="2025-04"/>
    <s v="2025-04"/>
  </r>
  <r>
    <s v="ESPC360-17666"/>
    <s v="[PRO] [Cuentas-Créditos] INC053537096 - Fecha vencimiento del crédito errónea en ADN360"/>
    <s v="Cuentas"/>
    <d v="2025-04-14T11:29:48"/>
    <d v="2025-04-21T10:15:35"/>
    <s v="OPERACIONAL"/>
    <s v="SOPORTE"/>
    <s v=""/>
    <s v="C360_Team_Mtto"/>
    <s v="Medium"/>
    <s v="CERRADO"/>
    <s v=""/>
    <x v="1"/>
    <x v="2"/>
    <d v="2025-04-14T11:29:48"/>
    <d v="2025-04-21T10:15:35"/>
    <s v="Externo"/>
    <n v="16"/>
    <d v="2025-04-14T00:00:00"/>
    <n v="17"/>
    <d v="2025-04-21T00:00:00"/>
    <n v="6.9484664351839456"/>
    <n v="2025"/>
    <n v="2025"/>
    <s v="2025-04"/>
    <s v="2025-04"/>
  </r>
  <r>
    <s v="ESPC360-17667"/>
    <s v="[PRO] [Seguros] INC053542406 - No aparece la póliza en la posición del cliente"/>
    <s v="Seguros"/>
    <d v="2025-04-14T13:10:53"/>
    <d v="2025-04-23T14:32:24"/>
    <s v="OPERACIONAL"/>
    <s v="SOPORTE"/>
    <s v=""/>
    <s v="C360_Team_Mtto"/>
    <s v="Medium"/>
    <s v="CERRADO"/>
    <s v=""/>
    <x v="1"/>
    <x v="2"/>
    <d v="2025-04-14T13:10:53"/>
    <d v="2025-04-23T14:32:24"/>
    <s v="Externo"/>
    <n v="16"/>
    <d v="2025-04-14T00:00:00"/>
    <n v="17"/>
    <d v="2025-04-21T00:00:00"/>
    <n v="9.0566127430574852"/>
    <n v="2025"/>
    <n v="2025"/>
    <s v="2025-04"/>
    <s v="2025-04"/>
  </r>
  <r>
    <s v="ESPC360-17671"/>
    <s v="[PRO] [Depósitos] INC053551773 - Le aparecen en ADN dos nuevos PFE sin importe"/>
    <s v="PFEs"/>
    <d v="2025-04-14T18:07:53"/>
    <d v="2025-04-30T15:04:38"/>
    <s v="OPERACIONAL"/>
    <s v="SOPORTE"/>
    <s v=""/>
    <s v="C360_Team_Mtto"/>
    <s v="Medium"/>
    <s v="CERRADO"/>
    <s v=""/>
    <x v="1"/>
    <x v="2"/>
    <d v="2025-04-14T18:07:53"/>
    <d v="2025-04-30T15:04:38"/>
    <s v="Externo"/>
    <n v="16"/>
    <d v="2025-04-14T00:00:00"/>
    <n v="18"/>
    <d v="2025-04-28T00:00:00"/>
    <n v="15.872749143520196"/>
    <n v="2025"/>
    <n v="2025"/>
    <s v="2025-04"/>
    <s v="2025-04"/>
  </r>
  <r>
    <s v="ESPC360-17674"/>
    <s v="[PRO] [Seguros] INC053551404 - No aparece nueva póliza en ADN360"/>
    <s v="Seguros"/>
    <d v="2025-04-15T07:58:15"/>
    <d v="2025-04-23T14:34:15"/>
    <s v="OPERACIONAL"/>
    <s v="SOPORTE"/>
    <s v=""/>
    <s v="C360_Team_Mtto"/>
    <s v="Medium"/>
    <s v="CERRADO"/>
    <s v=""/>
    <x v="1"/>
    <x v="2"/>
    <d v="2025-04-15T07:58:15"/>
    <d v="2025-04-23T14:34:15"/>
    <s v="Externo"/>
    <n v="16"/>
    <d v="2025-04-14T00:00:00"/>
    <n v="17"/>
    <d v="2025-04-21T00:00:00"/>
    <n v="8.2749974537073285"/>
    <n v="2025"/>
    <n v="2025"/>
    <s v="2025-04"/>
    <s v="2025-04"/>
  </r>
  <r>
    <s v="ESPC360-17682"/>
    <s v="[Observabilidad] - No se visualizan eventos OK"/>
    <s v=""/>
    <d v="2025-04-16T10:46:02"/>
    <d v="2025-05-22T13:16:06"/>
    <s v="OPERACIONAL"/>
    <s v="DESARROLLO"/>
    <s v=""/>
    <s v="C360_Operacional_Team_2"/>
    <s v="Medium"/>
    <s v="CERRADO"/>
    <s v="C360_Operacional_Sprint 199"/>
    <x v="2"/>
    <x v="1"/>
    <d v="2025-04-16T10:46:02"/>
    <d v="2025-05-22T13:16:06"/>
    <s v="Interno"/>
    <n v="16"/>
    <d v="2025-04-14T00:00:00"/>
    <n v="21"/>
    <d v="2025-05-19T00:00:00"/>
    <n v="36.104214513892657"/>
    <n v="2025"/>
    <n v="2025"/>
    <s v="2025-04"/>
    <s v="2025-05"/>
  </r>
  <r>
    <s v="ESPC360-17684"/>
    <s v="[Observabilidad] - No se está obteniendo el customerId en la API al no ingestarse normalizado"/>
    <s v=""/>
    <d v="2025-04-16T10:47:21"/>
    <d v="2025-05-22T13:16:09"/>
    <s v="OPERACIONAL"/>
    <s v="DESARROLLO"/>
    <s v=""/>
    <s v="C360_Operacional_Team_2"/>
    <s v="Medium"/>
    <s v="CERRADO"/>
    <s v="C360_Operacional_Sprint 199"/>
    <x v="1"/>
    <x v="1"/>
    <d v="2025-04-16T10:47:21"/>
    <d v="2025-05-22T13:16:09"/>
    <s v="Interno"/>
    <n v="16"/>
    <d v="2025-04-14T00:00:00"/>
    <n v="21"/>
    <d v="2025-05-19T00:00:00"/>
    <n v="36.103329618061252"/>
    <n v="2025"/>
    <n v="2025"/>
    <s v="2025-04"/>
    <s v="2025-05"/>
  </r>
  <r>
    <s v="ESPC360-17699"/>
    <s v="[Dispositivo Seguro] [RT] - No se están eliminando los dispositivos en los eventos DLET"/>
    <s v=""/>
    <d v="2025-04-20T23:46:14"/>
    <d v="2025-05-07T02:40:39"/>
    <s v="OPERACIONAL"/>
    <s v="DESARROLLO"/>
    <s v=""/>
    <s v="C360_Operacional_Team_1"/>
    <s v="Medium"/>
    <s v="CERRADO"/>
    <s v="C360_Operacional_Sprint 200"/>
    <x v="1"/>
    <x v="1"/>
    <d v="2025-04-20T23:46:14"/>
    <d v="2025-05-07T02:40:39"/>
    <s v="Interno"/>
    <n v="17"/>
    <d v="2025-04-21T00:00:00"/>
    <n v="19"/>
    <d v="2025-05-05T00:00:00"/>
    <n v="16.121121030089853"/>
    <n v="2025"/>
    <n v="2025"/>
    <s v="2025-04"/>
    <s v="2025-05"/>
  </r>
  <r>
    <s v="ESPC360-17708"/>
    <s v="[PRO] [Cuentas]  INC053419855 - Error al llamar al detalle por cuenta local"/>
    <s v="Confidencialidad;Cuentas"/>
    <d v="2025-04-21T11:46:39"/>
    <d v="2025-05-05T09:01:11"/>
    <s v="OPERACIONAL"/>
    <s v="SOPORTE"/>
    <s v=""/>
    <s v="C360_Team_Mtto"/>
    <s v="Medium"/>
    <s v="CERRADO"/>
    <s v=""/>
    <x v="1"/>
    <x v="2"/>
    <d v="2025-04-21T11:46:39"/>
    <d v="2025-05-05T09:01:11"/>
    <s v="Externo"/>
    <n v="17"/>
    <d v="2025-04-21T00:00:00"/>
    <n v="19"/>
    <d v="2025-05-05T00:00:00"/>
    <n v="13.885097013888299"/>
    <n v="2025"/>
    <n v="2025"/>
    <s v="2025-04"/>
    <s v="2025-05"/>
  </r>
  <r>
    <s v="ESPC360-17712"/>
    <s v="[PRO] Fix para leer la última partición de la tabla de dispositivos seguros"/>
    <s v=""/>
    <d v="2025-04-21T13:59:24"/>
    <d v="2025-06-26T15:47:07"/>
    <s v="OPERACIONAL"/>
    <s v="TÉCNICO"/>
    <s v=""/>
    <s v="C360_Operacional_Team_2"/>
    <s v="Medium"/>
    <s v="CERRADO"/>
    <s v="C360_Operacional_Sprint 202"/>
    <x v="2"/>
    <x v="0"/>
    <d v="2025-04-21T13:59:24"/>
    <d v="2025-06-26T15:47:07"/>
    <s v="Interno"/>
    <n v="17"/>
    <d v="2025-04-21T00:00:00"/>
    <n v="26"/>
    <d v="2025-06-23T00:00:00"/>
    <n v="66.074800023146963"/>
    <n v="2025"/>
    <n v="2025"/>
    <s v="2025-04"/>
    <s v="2025-06"/>
  </r>
  <r>
    <s v="ESPC360-17721"/>
    <s v="[PRO] [PFEs] INC053778847 - No aparecen PFEs en posición del cliente"/>
    <s v="PFEs"/>
    <d v="2025-04-21T17:19:54"/>
    <d v="2025-04-23T14:35:37"/>
    <s v="OPERACIONAL"/>
    <s v="SOPORTE"/>
    <s v=""/>
    <s v="C360_Team_Mtto"/>
    <s v="Medium"/>
    <s v="CERRADO"/>
    <s v=""/>
    <x v="1"/>
    <x v="2"/>
    <d v="2025-04-21T17:19:54"/>
    <d v="2025-04-23T14:35:37"/>
    <s v="Externo"/>
    <n v="17"/>
    <d v="2025-04-21T00:00:00"/>
    <n v="17"/>
    <d v="2025-04-21T00:00:00"/>
    <n v="1.8859240277815843"/>
    <n v="2025"/>
    <n v="2025"/>
    <s v="2025-04"/>
    <s v="2025-04"/>
  </r>
  <r>
    <s v="ESPC360-17816"/>
    <s v="[PRO] [PMP] INC053847245 - Error en vencimiento en adn de la póliza de crédito"/>
    <s v="Póliza Multiproducto (PMP)"/>
    <d v="2025-04-23T16:47:30"/>
    <d v="2025-04-30T15:06:52"/>
    <s v="OPERACIONAL"/>
    <s v="SOPORTE"/>
    <s v=""/>
    <s v="C360_Team_Mtto"/>
    <s v="Medium"/>
    <s v="CERRADO"/>
    <s v=""/>
    <x v="1"/>
    <x v="2"/>
    <d v="2025-04-23T16:47:30"/>
    <d v="2025-04-30T15:06:52"/>
    <s v="Externo"/>
    <n v="17"/>
    <d v="2025-04-21T00:00:00"/>
    <n v="18"/>
    <d v="2025-04-28T00:00:00"/>
    <n v="6.9301104166661389"/>
    <n v="2025"/>
    <n v="2025"/>
    <s v="2025-04"/>
    <s v="2025-04"/>
  </r>
  <r>
    <s v="ESPC360-17821"/>
    <s v="[PRO] [Cuentas] INC053857963 - No se visualiza nueva cuenta del cliente"/>
    <s v="Cuentas"/>
    <d v="2025-04-24T08:57:34"/>
    <d v="2025-04-24T16:18:52"/>
    <s v="OPERACIONAL"/>
    <s v="TÉCNICO"/>
    <s v=""/>
    <s v="C360_Team_Mtto"/>
    <s v="Medium"/>
    <s v="CERRADO"/>
    <s v=""/>
    <x v="1"/>
    <x v="0"/>
    <d v="2025-04-24T08:57:34"/>
    <d v="2025-04-24T16:18:52"/>
    <s v="Interno"/>
    <n v="17"/>
    <d v="2025-04-21T00:00:00"/>
    <n v="17"/>
    <d v="2025-04-21T00:00:00"/>
    <n v="0.30646269676071825"/>
    <n v="2025"/>
    <n v="2025"/>
    <s v="2025-04"/>
    <s v="2025-04"/>
  </r>
  <r>
    <s v="ESPC360-17822"/>
    <s v="[PRO]  [Fondos]  INC053854041 - Api devuelve titulos disponibles a 0"/>
    <s v="Fondos"/>
    <d v="2025-04-24T09:15:39"/>
    <d v="2025-04-25T10:18:24"/>
    <s v="OPERACIONAL"/>
    <s v="SOPORTE"/>
    <s v=""/>
    <s v="C360_Team_Mtto"/>
    <s v="Medium"/>
    <s v="CERRADO"/>
    <s v=""/>
    <x v="1"/>
    <x v="2"/>
    <d v="2025-04-24T09:15:39"/>
    <d v="2025-04-25T10:18:24"/>
    <s v="Externo"/>
    <n v="17"/>
    <d v="2025-04-21T00:00:00"/>
    <n v="17"/>
    <d v="2025-04-21T00:00:00"/>
    <n v="1.0435754513891879"/>
    <n v="2025"/>
    <n v="2025"/>
    <s v="2025-04"/>
    <s v="2025-04"/>
  </r>
  <r>
    <s v="ESPC360-17833"/>
    <s v="[PRO] [Valores] INC053838458 - rentabilidad no cuiadradad"/>
    <s v="Valores"/>
    <d v="2025-04-24T12:59:49"/>
    <d v="2025-04-25T10:15:08"/>
    <s v="OPERACIONAL"/>
    <s v="SOPORTE"/>
    <s v=""/>
    <s v="C360_Team_Mtto"/>
    <s v="Medium"/>
    <s v="CERRADO"/>
    <s v=""/>
    <x v="2"/>
    <x v="2"/>
    <d v="2025-04-24T12:59:49"/>
    <d v="2025-04-25T10:15:08"/>
    <s v="Externo"/>
    <n v="17"/>
    <d v="2025-04-21T00:00:00"/>
    <n v="17"/>
    <d v="2025-04-21T00:00:00"/>
    <n v="0.88564653935463866"/>
    <n v="2025"/>
    <n v="2025"/>
    <s v="2025-04"/>
    <s v="2025-04"/>
  </r>
  <r>
    <s v="ESPC360-18006"/>
    <s v="[PRE] [Movimientos Tarjetas] No se muestra financiables movimientos que cumplen condiciones"/>
    <s v="Movimientos Tarjetas"/>
    <d v="2025-04-25T10:46:37"/>
    <d v="2025-05-28T14:52:09"/>
    <s v="OPERACIONAL"/>
    <s v="DESARROLLO"/>
    <s v=""/>
    <s v="C360_Team_Mtto"/>
    <s v="Medium"/>
    <s v="CERRADO"/>
    <s v=""/>
    <x v="0"/>
    <x v="1"/>
    <d v="2025-04-25T10:46:37"/>
    <d v="2025-05-28T14:52:09"/>
    <s v="Interno"/>
    <n v="17"/>
    <d v="2025-04-21T00:00:00"/>
    <n v="22"/>
    <d v="2025-05-26T00:00:00"/>
    <n v="33.170506215275964"/>
    <n v="2025"/>
    <n v="2025"/>
    <s v="2025-04"/>
    <s v="2025-05"/>
  </r>
  <r>
    <s v="ESPC360-18008"/>
    <s v="[PRE] [Valores] INC053459805 - Error en el front al desplegar contratos hijos no se ve el menú del contrato"/>
    <s v="Front ADN360;Valores"/>
    <d v="2025-04-28T10:38:42"/>
    <d v="2025-05-28T16:27:12"/>
    <s v="OPERACIONAL"/>
    <s v="DESARROLLO"/>
    <s v=""/>
    <s v="C360_Operacional_Team_2"/>
    <s v="Medium"/>
    <s v="CERRADO"/>
    <s v="C360_Operacional_Sprint 201"/>
    <x v="0"/>
    <x v="1"/>
    <d v="2025-04-28T10:38:42"/>
    <d v="2025-05-28T16:27:12"/>
    <s v="Interno"/>
    <n v="18"/>
    <d v="2025-04-28T00:00:00"/>
    <n v="22"/>
    <d v="2025-05-26T00:00:00"/>
    <n v="30.242008333334525"/>
    <n v="2025"/>
    <n v="2025"/>
    <s v="2025-04"/>
    <s v="2025-05"/>
  </r>
  <r>
    <s v="ESPC360-18009"/>
    <s v="[PRO] [Planeta Seguros] INC054015357 - Seguro cancelado aparece activo en adn360"/>
    <s v="Planeta Seguros"/>
    <d v="2025-04-28T11:44:04"/>
    <d v="2025-05-05T09:03:26"/>
    <s v="OPERACIONAL"/>
    <s v="SOPORTE"/>
    <s v=""/>
    <s v="C360_Team_Mtto"/>
    <s v="Medium"/>
    <s v="CERRADO"/>
    <s v=""/>
    <x v="1"/>
    <x v="2"/>
    <d v="2025-04-28T11:44:04"/>
    <d v="2025-05-05T09:03:26"/>
    <s v="Externo"/>
    <n v="18"/>
    <d v="2025-04-28T00:00:00"/>
    <n v="19"/>
    <d v="2025-05-05T00:00:00"/>
    <n v="6.8884425347205251"/>
    <n v="2025"/>
    <n v="2025"/>
    <s v="2025-04"/>
    <s v="2025-05"/>
  </r>
  <r>
    <s v="ESPC360-18144"/>
    <s v="[PRO] [Tarjetas] INC054166559 - Tarjeta bloqueada aparece en vigor en adn360"/>
    <s v="Tarjetas"/>
    <d v="2025-05-05T12:52:58"/>
    <d v="2025-05-08T15:58:46"/>
    <s v="OPERACIONAL"/>
    <s v="DESARROLLO"/>
    <s v=""/>
    <s v="C360_Team_Mtto"/>
    <s v="Medium"/>
    <s v="CERRADO"/>
    <s v=""/>
    <x v="1"/>
    <x v="1"/>
    <d v="2025-05-05T12:52:58"/>
    <d v="2025-05-08T15:58:46"/>
    <s v="Interno"/>
    <n v="19"/>
    <d v="2025-05-05T00:00:00"/>
    <n v="19"/>
    <d v="2025-05-05T00:00:00"/>
    <n v="3.1290257060245494"/>
    <n v="2025"/>
    <n v="2025"/>
    <s v="2025-05"/>
    <s v="2025-05"/>
  </r>
  <r>
    <s v="ESPC360-18150"/>
    <s v="[PRO] [Cuentas] INC054107597 - No se muestra la posición global al acceder con uno de los usuarios"/>
    <s v="Cuentas"/>
    <d v="2025-05-05T18:10:39"/>
    <d v="2025-05-08T08:53:35"/>
    <s v="OPERACIONAL"/>
    <s v="DESARROLLO"/>
    <s v=""/>
    <s v="C360_Team_Mtto"/>
    <s v="Medium"/>
    <s v="CERRADO"/>
    <s v=""/>
    <x v="1"/>
    <x v="1"/>
    <d v="2025-05-05T18:10:39"/>
    <d v="2025-05-08T08:53:35"/>
    <s v="Interno"/>
    <n v="19"/>
    <d v="2025-05-05T00:00:00"/>
    <n v="19"/>
    <d v="2025-05-05T00:00:00"/>
    <n v="2.6131508217586088"/>
    <n v="2025"/>
    <n v="2025"/>
    <s v="2025-05"/>
    <s v="2025-05"/>
  </r>
  <r>
    <s v="ESPC360-18167"/>
    <s v="[PRO] INC054272268  - Tarjeta contratada el 30.04.2025 que no figura en ADN cliente"/>
    <s v="Tarjetas"/>
    <d v="2025-05-06T18:47:42"/>
    <d v="2025-05-08T09:20:12"/>
    <s v="OPERACIONAL"/>
    <s v="DESARROLLO"/>
    <s v=""/>
    <s v="C360_Team_Mtto"/>
    <s v="Medium"/>
    <s v="CERRADO"/>
    <s v=""/>
    <x v="1"/>
    <x v="1"/>
    <d v="2025-05-06T18:47:42"/>
    <d v="2025-05-08T09:20:12"/>
    <s v="Interno"/>
    <n v="19"/>
    <d v="2025-05-05T00:00:00"/>
    <n v="19"/>
    <d v="2025-05-05T00:00:00"/>
    <n v="1.6059009606469772"/>
    <n v="2025"/>
    <n v="2025"/>
    <s v="2025-05"/>
    <s v="2025-05"/>
  </r>
  <r>
    <s v="ESPC360-18331"/>
    <s v="[PRO] [Seguros] INC054368331 - ADN360 no está recogiendo el importe correctamente"/>
    <s v="Seguros"/>
    <d v="2025-05-08T15:56:44"/>
    <d v="2025-05-12T09:02:22"/>
    <s v="OPERACIONAL"/>
    <s v="SOPORTE"/>
    <s v=""/>
    <s v="C360_Team_Mtto"/>
    <s v="Medium"/>
    <s v="CERRADO"/>
    <s v=""/>
    <x v="1"/>
    <x v="2"/>
    <d v="2025-05-08T15:56:44"/>
    <d v="2025-05-12T09:02:22"/>
    <s v="Externo"/>
    <n v="19"/>
    <d v="2025-05-05T00:00:00"/>
    <n v="20"/>
    <d v="2025-05-12T00:00:00"/>
    <n v="3.7122404629626544"/>
    <n v="2025"/>
    <n v="2025"/>
    <s v="2025-05"/>
    <s v="2025-05"/>
  </r>
  <r>
    <s v="ESPC360-18343"/>
    <s v="[PRO] [Valores] INC054282349 - No se muestran las rentabilidades por la app"/>
    <s v="Valores"/>
    <d v="2025-05-08T17:13:06"/>
    <d v="2025-05-12T09:03:08"/>
    <s v="OPERACIONAL"/>
    <s v="SOPORTE"/>
    <s v=""/>
    <s v="C360_Team_Mtto"/>
    <s v="Medium"/>
    <s v="CERRADO"/>
    <s v=""/>
    <x v="1"/>
    <x v="2"/>
    <d v="2025-05-08T17:13:06"/>
    <d v="2025-05-12T09:03:08"/>
    <s v="Externo"/>
    <n v="19"/>
    <d v="2025-05-05T00:00:00"/>
    <n v="20"/>
    <d v="2025-05-12T00:00:00"/>
    <n v="3.6597401041653939"/>
    <n v="2025"/>
    <n v="2025"/>
    <s v="2025-05"/>
    <s v="2025-05"/>
  </r>
  <r>
    <s v="ESPC360-18362"/>
    <s v="[PRO] [Valores] INC054404336 - No se muestra contrao por PGP"/>
    <s v="Valores"/>
    <d v="2025-05-12T08:47:44"/>
    <d v="2025-05-16T12:33:51"/>
    <s v="OPERACIONAL"/>
    <s v="SOPORTE"/>
    <s v=""/>
    <s v="C360_Team_Mtto"/>
    <s v="Medium"/>
    <s v="CERRADO"/>
    <s v=""/>
    <x v="1"/>
    <x v="2"/>
    <d v="2025-05-12T08:47:44"/>
    <d v="2025-05-16T12:33:51"/>
    <s v="Externo"/>
    <n v="20"/>
    <d v="2025-05-12T00:00:00"/>
    <n v="20"/>
    <d v="2025-05-12T00:00:00"/>
    <n v="4.1570263310204609"/>
    <n v="2025"/>
    <n v="2025"/>
    <s v="2025-05"/>
    <s v="2025-05"/>
  </r>
  <r>
    <s v="ESPC360-18420"/>
    <s v="[PRO] [Seguros] INC054601440 - no se ven dos contratos"/>
    <s v=""/>
    <d v="2025-05-16T09:21:37"/>
    <d v="2025-05-21T10:44:20"/>
    <s v="OPERACIONAL"/>
    <s v="SOPORTE"/>
    <s v=""/>
    <s v="C360_Team_Mtto"/>
    <s v="Medium"/>
    <s v="CERRADO"/>
    <s v=""/>
    <x v="1"/>
    <x v="2"/>
    <d v="2025-05-16T09:21:37"/>
    <d v="2025-05-21T10:44:20"/>
    <s v="Externo"/>
    <n v="20"/>
    <d v="2025-05-12T00:00:00"/>
    <n v="21"/>
    <d v="2025-05-19T00:00:00"/>
    <n v="5.0574424652804737"/>
    <n v="2025"/>
    <n v="2025"/>
    <s v="2025-05"/>
    <s v="2025-05"/>
  </r>
  <r>
    <s v="ESPC360-18422"/>
    <s v="[PRO]] [PFE] INC054605254 - imposición dada de baja se muestra en adn360 como alta"/>
    <s v="PFEs"/>
    <d v="2025-05-16T10:13:25"/>
    <d v="2025-05-19T16:38:55"/>
    <s v="OPERACIONAL"/>
    <s v="SOPORTE"/>
    <s v=""/>
    <s v="C360_Team_Mtto"/>
    <s v="Medium"/>
    <s v="CERRADO"/>
    <s v=""/>
    <x v="2"/>
    <x v="2"/>
    <d v="2025-05-16T10:13:25"/>
    <d v="2025-05-19T16:38:55"/>
    <s v="Externo"/>
    <n v="20"/>
    <d v="2025-05-12T00:00:00"/>
    <n v="21"/>
    <d v="2025-05-19T00:00:00"/>
    <n v="3.2677145486159134"/>
    <n v="2025"/>
    <n v="2025"/>
    <s v="2025-05"/>
    <s v="2025-05"/>
  </r>
  <r>
    <s v="ESPC360-18425"/>
    <s v="[PRO] [FRONT] INC053536658 - no pinta valores la impresion del PDF para el usuario F9326478"/>
    <s v="Front ADN360"/>
    <d v="2025-05-16T12:32:15"/>
    <d v="2025-05-28T11:53:19"/>
    <s v="OPERACIONAL"/>
    <s v="DESARROLLO"/>
    <s v=""/>
    <s v="C360_Team_Mtto"/>
    <s v="Medium"/>
    <s v="CERRADO"/>
    <s v=""/>
    <x v="1"/>
    <x v="1"/>
    <d v="2025-05-16T12:32:15"/>
    <d v="2025-05-28T11:53:19"/>
    <s v="Interno"/>
    <n v="20"/>
    <d v="2025-05-12T00:00:00"/>
    <n v="22"/>
    <d v="2025-05-26T00:00:00"/>
    <n v="11.972961770836264"/>
    <n v="2025"/>
    <n v="2025"/>
    <s v="2025-05"/>
    <s v="2025-05"/>
  </r>
  <r>
    <s v="ESPC360-18523"/>
    <s v="[PRO] [Mov. Cuentas] INC054721549 - cliente no ve movimeiento del dia 16/05"/>
    <s v="Movimientos Cuentas"/>
    <d v="2025-05-19T12:04:37"/>
    <d v="2025-05-21T10:41:45"/>
    <s v="OPERACIONAL"/>
    <s v="TÉCNICO"/>
    <s v=""/>
    <s v="C360_Team_Mtto"/>
    <s v="Medium"/>
    <s v="CERRADO"/>
    <s v=""/>
    <x v="1"/>
    <x v="0"/>
    <d v="2025-05-19T12:04:37"/>
    <d v="2025-05-21T10:41:45"/>
    <s v="Interno"/>
    <n v="21"/>
    <d v="2025-05-19T00:00:00"/>
    <n v="21"/>
    <d v="2025-05-19T00:00:00"/>
    <n v="1.9424481134265079"/>
    <n v="2025"/>
    <n v="2025"/>
    <s v="2025-05"/>
    <s v="2025-05"/>
  </r>
  <r>
    <s v="ESPC360-18524"/>
    <s v="[PRO] [Tarjetas] INC054722673 - No aparece el nombre del beneficiario de la tarjeta"/>
    <s v="Tarjetas"/>
    <d v="2025-05-19T12:55:50"/>
    <d v="2025-05-19T16:33:39"/>
    <s v="OPERACIONAL"/>
    <s v="SOPORTE"/>
    <s v=""/>
    <s v="C360_Team_Mtto"/>
    <s v="Medium"/>
    <s v="CERRADO"/>
    <s v=""/>
    <x v="1"/>
    <x v="2"/>
    <d v="2025-05-19T12:55:50"/>
    <d v="2025-05-19T16:33:39"/>
    <s v="Externo"/>
    <n v="21"/>
    <d v="2025-05-19T00:00:00"/>
    <n v="21"/>
    <d v="2025-05-19T00:00:00"/>
    <n v="0.15126025462814141"/>
    <n v="2025"/>
    <n v="2025"/>
    <s v="2025-05"/>
    <s v="2025-05"/>
  </r>
  <r>
    <s v="ESPC360-18525"/>
    <s v="[PRO] [Seguros] INC054727364 - Seguros de mediación con la prima a 0"/>
    <s v="Seguros"/>
    <d v="2025-05-19T14:16:09"/>
    <d v="2025-05-28T11:53:00"/>
    <s v="OPERACIONAL"/>
    <s v="SOPORTE"/>
    <s v=""/>
    <s v="C360_Team_Mtto"/>
    <s v="Medium"/>
    <s v="CERRADO"/>
    <s v=""/>
    <x v="1"/>
    <x v="2"/>
    <d v="2025-05-19T14:16:09"/>
    <d v="2025-05-28T11:53:00"/>
    <s v="Externo"/>
    <n v="21"/>
    <d v="2025-05-19T00:00:00"/>
    <n v="22"/>
    <d v="2025-05-26T00:00:00"/>
    <n v="8.900593831021979"/>
    <n v="2025"/>
    <n v="2025"/>
    <s v="2025-05"/>
    <s v="2025-05"/>
  </r>
  <r>
    <s v="ESPC360-18526"/>
    <s v="[PRO] [Seguros] INC054727595 - seguro no aparece en adn360"/>
    <s v="Seguros"/>
    <d v="2025-05-19T14:35:05"/>
    <d v="2025-05-21T10:39:07"/>
    <s v="OPERACIONAL"/>
    <s v="SOPORTE"/>
    <s v=""/>
    <s v="C360_Team_Mtto"/>
    <s v="Medium"/>
    <s v="CERRADO"/>
    <s v=""/>
    <x v="1"/>
    <x v="2"/>
    <d v="2025-05-19T14:35:05"/>
    <d v="2025-05-21T10:39:07"/>
    <s v="Externo"/>
    <n v="21"/>
    <d v="2025-05-19T00:00:00"/>
    <n v="21"/>
    <d v="2025-05-19T00:00:00"/>
    <n v="1.8361347222235054"/>
    <n v="2025"/>
    <n v="2025"/>
    <s v="2025-05"/>
    <s v="2025-05"/>
  </r>
  <r>
    <s v="ESPC360-18557"/>
    <s v="[Libreria Commons] Serialización objetos de cache"/>
    <s v=""/>
    <d v="2025-05-20T10:41:41"/>
    <s v=""/>
    <s v="OPERACIONAL"/>
    <s v="DESARROLLO"/>
    <s v=""/>
    <s v="C360_Operacional_Team_1"/>
    <s v="Medium"/>
    <s v="Ready to Develop"/>
    <s v=""/>
    <x v="2"/>
    <x v="1"/>
    <d v="2025-05-20T10:41:41"/>
    <s v=""/>
    <s v="Interno"/>
    <n v="21"/>
    <d v="2025-05-19T00:00:00"/>
    <e v="#VALUE!"/>
    <e v="#VALUE!"/>
    <e v="#VALUE!"/>
    <n v="2025"/>
    <e v="#VALUE!"/>
    <s v="2025-05"/>
    <e v="#VALUE!"/>
  </r>
  <r>
    <s v="ESPC360-18559"/>
    <s v="[PRO] [Cuentas] INC054644103 -  Usuario no ve cesta de cuentas ni cuenta asociada"/>
    <s v="Cuentas"/>
    <d v="2025-05-20T10:46:40"/>
    <d v="2025-05-21T10:43:20"/>
    <s v="OPERACIONAL"/>
    <s v="DESARROLLO"/>
    <s v=""/>
    <s v="C360_Team_Mtto"/>
    <s v="Medium"/>
    <s v="CERRADO"/>
    <s v=""/>
    <x v="1"/>
    <x v="1"/>
    <d v="2025-05-20T10:46:40"/>
    <d v="2025-05-21T10:43:20"/>
    <s v="Interno"/>
    <n v="21"/>
    <d v="2025-05-19T00:00:00"/>
    <n v="21"/>
    <d v="2025-05-19T00:00:00"/>
    <n v="0.99767932870599907"/>
    <n v="2025"/>
    <n v="2025"/>
    <s v="2025-05"/>
    <s v="2025-05"/>
  </r>
  <r>
    <s v="ESPC360-18567"/>
    <s v="[PRO] [Avales] No le aparece contrasto  al cliente en sus posiciones de ADN"/>
    <s v="Avales"/>
    <d v="2025-05-20T13:42:38"/>
    <d v="2025-05-23T10:27:52"/>
    <s v="OPERACIONAL"/>
    <s v="SOPORTE"/>
    <s v=""/>
    <s v="C360_Team_Mtto"/>
    <s v="Medium"/>
    <s v="CERRADO"/>
    <s v=""/>
    <x v="1"/>
    <x v="2"/>
    <d v="2025-05-20T13:42:38"/>
    <d v="2025-05-23T10:27:52"/>
    <s v="Externo"/>
    <n v="21"/>
    <d v="2025-05-19T00:00:00"/>
    <n v="21"/>
    <d v="2025-05-19T00:00:00"/>
    <n v="2.8647356250003213"/>
    <n v="2025"/>
    <n v="2025"/>
    <s v="2025-05"/>
    <s v="2025-05"/>
  </r>
  <r>
    <s v="ESPC360-18589"/>
    <s v="Restaurar el parámetro odate en batches de CDP360"/>
    <s v=""/>
    <d v="2025-05-21T09:00:31"/>
    <d v="2025-09-16T16:56:23"/>
    <s v="OPERACIONAL"/>
    <s v="TÉCNICO"/>
    <s v=""/>
    <s v="C360_Team_Mtto"/>
    <s v="Medium"/>
    <s v="CERRADO"/>
    <s v=""/>
    <x v="2"/>
    <x v="0"/>
    <d v="2025-05-21T09:00:31"/>
    <d v="2025-09-16T16:56:23"/>
    <s v="Interno"/>
    <n v="21"/>
    <d v="2025-05-19T00:00:00"/>
    <n v="38"/>
    <d v="2025-09-15T00:00:00"/>
    <n v="118.33046369213116"/>
    <n v="2025"/>
    <n v="2025"/>
    <s v="2025-05"/>
    <s v="2025-09"/>
  </r>
  <r>
    <s v="ESPC360-18621"/>
    <s v="[KSTREAM] Incluir campos de movimientos en la primera escritura de OB_MOVTOS"/>
    <s v=""/>
    <d v="2025-05-21T16:01:00"/>
    <d v="2025-06-25T17:49:10"/>
    <s v="OPERACIONAL"/>
    <s v="DESARROLLO"/>
    <s v=""/>
    <s v="C360_Operacional_Team_1"/>
    <s v="Medium"/>
    <s v="CERRADO"/>
    <s v="C360_Operacional_Sprint 203"/>
    <x v="2"/>
    <x v="1"/>
    <d v="2025-05-21T16:01:00"/>
    <d v="2025-06-25T17:49:10"/>
    <s v="Interno"/>
    <n v="21"/>
    <d v="2025-05-19T00:00:00"/>
    <n v="26"/>
    <d v="2025-06-23T00:00:00"/>
    <n v="35.075114062499779"/>
    <n v="2025"/>
    <n v="2025"/>
    <s v="2025-05"/>
    <s v="2025-06"/>
  </r>
  <r>
    <s v="ESPC360-18622"/>
    <s v="[PRO] [NO-CUSTOMER360] -  INC054813446 ADN-CLIENTE"/>
    <s v=""/>
    <d v="2025-05-21T16:27:58"/>
    <d v="2025-05-23T10:20:11"/>
    <s v="OPERACIONAL"/>
    <s v="SOPORTE"/>
    <s v="NO-CUSTOMER360"/>
    <s v="C360_Team_Mtto"/>
    <s v="Medium"/>
    <s v="CERRADO"/>
    <s v=""/>
    <x v="2"/>
    <x v="2"/>
    <d v="2025-05-21T16:27:58"/>
    <d v="2025-05-23T10:20:11"/>
    <s v="Externo"/>
    <n v="21"/>
    <d v="2025-05-19T00:00:00"/>
    <n v="21"/>
    <d v="2025-05-19T00:00:00"/>
    <n v="1.7445910648166318"/>
    <n v="2025"/>
    <n v="2025"/>
    <s v="2025-05"/>
    <s v="2025-05"/>
  </r>
  <r>
    <s v="ESPC360-18644"/>
    <s v="[PRO] [Creditos] INC054840112 - El GSI se debe actualizar para no tener el icono"/>
    <s v="Créditos"/>
    <d v="2025-05-22T11:53:44"/>
    <d v="2025-05-27T12:47:38"/>
    <s v="OPERACIONAL"/>
    <s v="SOPORTE"/>
    <s v=""/>
    <s v="C360_Team_Mtto"/>
    <s v="Medium"/>
    <s v="CERRADO"/>
    <s v=""/>
    <x v="1"/>
    <x v="2"/>
    <d v="2025-05-22T11:53:44"/>
    <d v="2025-05-27T12:47:38"/>
    <s v="Externo"/>
    <n v="21"/>
    <d v="2025-05-19T00:00:00"/>
    <n v="22"/>
    <d v="2025-05-26T00:00:00"/>
    <n v="5.0374357754626544"/>
    <n v="2025"/>
    <n v="2025"/>
    <s v="2025-05"/>
    <s v="2025-05"/>
  </r>
  <r>
    <s v="ESPC360-18767"/>
    <s v="[PRO] [Valores] INC049602001 - No aparece la rentabilidad en valores."/>
    <s v="Valores"/>
    <d v="2025-05-26T12:34:02"/>
    <d v="2025-05-26T12:56:44"/>
    <s v="OPERACIONAL"/>
    <s v="SOPORTE"/>
    <s v=""/>
    <s v="C360_Team_Mtto"/>
    <s v="Medium"/>
    <s v="CERRADO"/>
    <s v=""/>
    <x v="1"/>
    <x v="2"/>
    <d v="2025-05-26T12:34:02"/>
    <d v="2025-05-26T12:56:44"/>
    <s v="Externo"/>
    <n v="22"/>
    <d v="2025-05-26T00:00:00"/>
    <n v="22"/>
    <d v="2025-05-26T00:00:00"/>
    <n v="1.5762615737912711E-2"/>
    <n v="2025"/>
    <n v="2025"/>
    <s v="2025-05"/>
    <s v="2025-05"/>
  </r>
  <r>
    <s v="ESPC360-18768"/>
    <s v="[PRO] [Mov. Cuentas] INC054947727 - No se actualizan los movimientos en la web"/>
    <s v=""/>
    <d v="2025-05-26T12:49:39"/>
    <d v="2025-06-10T11:08:23"/>
    <s v="OPERACIONAL"/>
    <s v="SOPORTE"/>
    <s v=""/>
    <s v="C360_Team_Mtto"/>
    <s v="Medium"/>
    <s v="CERRADO"/>
    <s v=""/>
    <x v="1"/>
    <x v="2"/>
    <d v="2025-05-26T12:49:39"/>
    <d v="2025-06-10T11:08:23"/>
    <s v="Externo"/>
    <n v="22"/>
    <d v="2025-05-26T00:00:00"/>
    <n v="24"/>
    <d v="2025-06-09T00:00:00"/>
    <n v="14.929673101847584"/>
    <n v="2025"/>
    <n v="2025"/>
    <s v="2025-05"/>
    <s v="2025-06"/>
  </r>
  <r>
    <s v="ESPC360-18774"/>
    <s v="Corrección coste fondeo y subvención en Préstamos ICO"/>
    <s v=""/>
    <d v="2025-05-26T15:59:04"/>
    <d v="2025-07-23T10:11:17"/>
    <s v="OPERACIONAL"/>
    <s v="DEFINICIÓN"/>
    <s v=""/>
    <s v="C360_Operacional_Team_2"/>
    <s v="Medium"/>
    <s v="CERRADO"/>
    <s v="C360_Operacional_Sprint 203"/>
    <x v="2"/>
    <x v="3"/>
    <d v="2025-05-26T15:59:04"/>
    <d v="2025-07-23T10:11:17"/>
    <s v="Externo"/>
    <n v="22"/>
    <d v="2025-05-26T00:00:00"/>
    <n v="30"/>
    <d v="2025-07-21T00:00:00"/>
    <n v="57.758483784724376"/>
    <n v="2025"/>
    <n v="2025"/>
    <s v="2025-05"/>
    <s v="2025-07"/>
  </r>
  <r>
    <s v="ESPC360-18782"/>
    <s v="Configurar la opción auto.register.schemas en los Serde"/>
    <s v=""/>
    <d v="2025-05-27T23:15:48"/>
    <d v="2025-06-27T10:43:31"/>
    <s v="OPERACIONAL"/>
    <s v="TÉCNICO"/>
    <s v=""/>
    <s v="C360_Operacional_Team_2"/>
    <s v="Medium"/>
    <s v="CERRADO"/>
    <s v="C360_Operacional_Sprint 203"/>
    <x v="2"/>
    <x v="0"/>
    <d v="2025-05-27T23:15:48"/>
    <d v="2025-06-27T10:43:31"/>
    <s v="Interno"/>
    <n v="22"/>
    <d v="2025-05-26T00:00:00"/>
    <n v="26"/>
    <d v="2025-06-23T00:00:00"/>
    <n v="30.47757079861185"/>
    <n v="2025"/>
    <n v="2025"/>
    <s v="2025-05"/>
    <s v="2025-06"/>
  </r>
  <r>
    <s v="ESPC360-18790"/>
    <s v="[PRO] [NO-CUSTOMER360] INC055020087 - no me funciona la base del ordenador , es urgente"/>
    <s v=""/>
    <d v="2025-05-28T10:37:03"/>
    <d v="2025-05-28T11:47:49"/>
    <s v="OPERACIONAL"/>
    <s v="SOPORTE"/>
    <s v=" NO-CUSTOMER360"/>
    <s v="C360_Team_Mtto"/>
    <s v="Medium"/>
    <s v="CERRADO"/>
    <s v=""/>
    <x v="1"/>
    <x v="2"/>
    <d v="2025-05-28T10:37:03"/>
    <d v="2025-05-28T11:47:49"/>
    <s v="Externo"/>
    <n v="22"/>
    <d v="2025-05-26T00:00:00"/>
    <n v="22"/>
    <d v="2025-05-26T00:00:00"/>
    <n v="4.9145185184897855E-2"/>
    <n v="2025"/>
    <n v="2025"/>
    <s v="2025-05"/>
    <s v="2025-05"/>
  </r>
  <r>
    <s v="ESPC360-18791"/>
    <s v="[PRO] [Procesos] INC054994421 - Fallos al obtener la  configuración"/>
    <s v="Movimientos Cuentas"/>
    <d v="2025-05-28T10:48:41"/>
    <d v="2025-05-28T10:55:05"/>
    <s v="OPERACIONAL"/>
    <s v="TÉCNICO"/>
    <s v="PROCESOS"/>
    <s v="C360_Team_Mtto"/>
    <s v="Medium"/>
    <s v="CERRADO"/>
    <s v=""/>
    <x v="2"/>
    <x v="0"/>
    <d v="2025-05-28T10:48:41"/>
    <d v="2025-05-28T10:55:05"/>
    <s v="Interno"/>
    <n v="22"/>
    <d v="2025-05-26T00:00:00"/>
    <n v="22"/>
    <d v="2025-05-26T00:00:00"/>
    <n v="4.4396527810022235E-3"/>
    <n v="2025"/>
    <n v="2025"/>
    <s v="2025-05"/>
    <s v="2025-05"/>
  </r>
  <r>
    <s v="ESPC360-18792"/>
    <s v="[PRO] [Valores] INC054812048 - No ve rentabilidad de acciones"/>
    <s v="Valores"/>
    <d v="2025-05-28T10:49:33"/>
    <d v="2025-05-28T11:51:24"/>
    <s v="OPERACIONAL"/>
    <s v="SOPORTE"/>
    <s v=""/>
    <s v="C360_Team_Mtto"/>
    <s v="Medium"/>
    <s v="CERRADO"/>
    <s v=""/>
    <x v="1"/>
    <x v="2"/>
    <d v="2025-05-28T10:49:33"/>
    <d v="2025-05-28T11:51:24"/>
    <s v="Externo"/>
    <n v="22"/>
    <d v="2025-05-26T00:00:00"/>
    <n v="22"/>
    <d v="2025-05-26T00:00:00"/>
    <n v="4.2954571756126825E-2"/>
    <n v="2025"/>
    <n v="2025"/>
    <s v="2025-05"/>
    <s v="2025-05"/>
  </r>
  <r>
    <s v="ESPC360-18793"/>
    <s v="[PRO][Avales] INC054768507 - No le aparece al cliente en sus posiciones de ADN"/>
    <s v="Avales"/>
    <d v="2025-05-28T10:50:20"/>
    <d v="2025-05-28T11:42:37"/>
    <s v="OPERACIONAL"/>
    <s v="SOPORTE"/>
    <s v="CONSULTA_OPERATIVA"/>
    <s v="C360_Team_Mtto"/>
    <s v="Medium"/>
    <s v="CERRADO"/>
    <s v=""/>
    <x v="1"/>
    <x v="2"/>
    <d v="2025-05-28T10:50:20"/>
    <d v="2025-05-28T11:42:37"/>
    <s v="Externo"/>
    <n v="22"/>
    <d v="2025-05-26T00:00:00"/>
    <n v="22"/>
    <d v="2025-05-26T00:00:00"/>
    <n v="3.6304178240243345E-2"/>
    <n v="2025"/>
    <n v="2025"/>
    <s v="2025-05"/>
    <s v="2025-05"/>
  </r>
  <r>
    <s v="ESPC360-18796"/>
    <s v="[PRO] [FRONT]  no pinta ultima cesta la impresion del PDF para el usuario F9326478"/>
    <s v="Front ADN360"/>
    <d v="2025-05-28T11:53:59"/>
    <s v=""/>
    <s v="OPERACIONAL"/>
    <s v="DESARROLLO"/>
    <s v=""/>
    <s v="C360_Team_Mtto"/>
    <s v="Medium"/>
    <s v="BACKLOG"/>
    <s v=""/>
    <x v="1"/>
    <x v="1"/>
    <d v="2025-05-28T11:53:59"/>
    <s v=""/>
    <s v="Interno"/>
    <n v="22"/>
    <d v="2025-05-26T00:00:00"/>
    <e v="#VALUE!"/>
    <e v="#VALUE!"/>
    <e v="#VALUE!"/>
    <n v="2025"/>
    <e v="#VALUE!"/>
    <s v="2025-05"/>
    <e v="#VALUE!"/>
  </r>
  <r>
    <s v="ESPC360-18797"/>
    <s v="PEX_0036786737 F9326478"/>
    <s v=""/>
    <d v="2025-05-28T12:52:19"/>
    <d v="2025-05-28T15:43:05"/>
    <s v="OPERACIONAL"/>
    <s v="DESARROLLO"/>
    <s v=""/>
    <s v=""/>
    <s v="Medium"/>
    <s v="CANCELADO"/>
    <s v=""/>
    <x v="2"/>
    <x v="1"/>
    <d v="2025-05-28T12:52:19"/>
    <d v="2025-05-28T15:43:05"/>
    <s v="Interno"/>
    <n v="22"/>
    <d v="2025-05-26T00:00:00"/>
    <n v="22"/>
    <d v="2025-05-26T00:00:00"/>
    <n v="0.11858664351893822"/>
    <n v="2025"/>
    <n v="2025"/>
    <s v="2025-05"/>
    <s v="2025-05"/>
  </r>
  <r>
    <s v="ESPC360-18800"/>
    <s v="[PRO] [Planes Pensiones] INC055018165 - No se muestra el contrato"/>
    <s v="Planes de Pensiones"/>
    <d v="2025-05-28T13:51:00"/>
    <d v="2025-05-30T10:46:59"/>
    <s v="OPERACIONAL"/>
    <s v="SOPORTE"/>
    <s v=""/>
    <s v="C360_Team_Mtto"/>
    <s v="Medium"/>
    <s v="CERRADO"/>
    <s v=""/>
    <x v="1"/>
    <x v="2"/>
    <d v="2025-05-28T13:51:00"/>
    <d v="2025-05-30T10:46:59"/>
    <s v="Externo"/>
    <n v="22"/>
    <d v="2025-05-26T00:00:00"/>
    <n v="22"/>
    <d v="2025-05-26T00:00:00"/>
    <n v="1.8722081249943585"/>
    <n v="2025"/>
    <n v="2025"/>
    <s v="2025-05"/>
    <s v="2025-05"/>
  </r>
  <r>
    <s v="ESPC360-18803"/>
    <s v="[PRO] [Movimientos] INC054994767 - Discrepancias entre certificados de saldo"/>
    <s v="Buscador Global de Movimientos"/>
    <d v="2025-05-28T15:41:58"/>
    <d v="2025-05-29T15:59:00"/>
    <s v="OPERACIONAL"/>
    <s v="SOPORTE"/>
    <s v="NO-CUSTOMER360"/>
    <s v="C360_Team_Mtto"/>
    <s v="Medium"/>
    <s v="CERRADO"/>
    <s v=""/>
    <x v="2"/>
    <x v="2"/>
    <d v="2025-05-28T15:41:58"/>
    <d v="2025-05-29T15:59:00"/>
    <s v="Externo"/>
    <n v="22"/>
    <d v="2025-05-26T00:00:00"/>
    <n v="22"/>
    <d v="2025-05-26T00:00:00"/>
    <n v="1.0118222569435602"/>
    <n v="2025"/>
    <n v="2025"/>
    <s v="2025-05"/>
    <s v="2025-05"/>
  </r>
  <r>
    <s v="ESPC360-18804"/>
    <s v="[PRE] [Seguros] INC055027113 - ERROR APIS POSICIÓN GLOBAL"/>
    <s v="Seguros"/>
    <d v="2025-05-28T15:45:23"/>
    <d v="2025-05-28T16:07:49"/>
    <s v="OPERACIONAL"/>
    <s v="SOPORTE"/>
    <s v=""/>
    <s v="C360_Team_Mtto"/>
    <s v="Medium"/>
    <s v="CERRADO"/>
    <s v=""/>
    <x v="0"/>
    <x v="2"/>
    <d v="2025-05-28T15:45:23"/>
    <d v="2025-05-28T16:07:49"/>
    <s v="Externo"/>
    <n v="22"/>
    <d v="2025-05-26T00:00:00"/>
    <n v="22"/>
    <d v="2025-05-26T00:00:00"/>
    <n v="1.558255786949303E-2"/>
    <n v="2025"/>
    <n v="2025"/>
    <s v="2025-05"/>
    <s v="2025-05"/>
  </r>
  <r>
    <s v="ESPC360-18817"/>
    <s v="[PRO] INC055063514 - Problemas de acceso ADN"/>
    <s v=""/>
    <d v="2025-05-29T13:35:54"/>
    <d v="2025-05-29T15:56:52"/>
    <s v="OPERACIONAL"/>
    <s v="SOPORTE"/>
    <s v="NO-CUSTOMER"/>
    <s v="C360_Team_Mtto"/>
    <s v="Medium"/>
    <s v="CERRADO"/>
    <s v=""/>
    <x v="1"/>
    <x v="2"/>
    <d v="2025-05-29T13:35:54"/>
    <d v="2025-05-29T15:56:52"/>
    <s v="Externo"/>
    <n v="22"/>
    <d v="2025-05-26T00:00:00"/>
    <n v="22"/>
    <d v="2025-05-26T00:00:00"/>
    <n v="9.7883043978072237E-2"/>
    <n v="2025"/>
    <n v="2025"/>
    <s v="2025-05"/>
    <s v="2025-05"/>
  </r>
  <r>
    <s v="ESPC360-18906"/>
    <s v="Corrección coste fondeo y subvención en Préstamos ICO [Real Time]"/>
    <s v=""/>
    <d v="2025-05-29T17:14:30"/>
    <d v="2025-07-23T10:11:17"/>
    <s v="OPERACIONAL"/>
    <s v="DEFINICIÓN"/>
    <s v=""/>
    <s v="C360_Operacional_Team_2"/>
    <s v="Medium"/>
    <s v="CERRADO"/>
    <s v="C360_Operacional_Sprint 203"/>
    <x v="2"/>
    <x v="3"/>
    <d v="2025-05-29T17:14:30"/>
    <d v="2025-07-23T10:11:17"/>
    <s v="Externo"/>
    <n v="22"/>
    <d v="2025-05-26T00:00:00"/>
    <n v="30"/>
    <d v="2025-07-21T00:00:00"/>
    <n v="54.706100636569317"/>
    <n v="2025"/>
    <n v="2025"/>
    <s v="2025-05"/>
    <s v="2025-07"/>
  </r>
  <r>
    <s v="ESPC360-18927"/>
    <s v="[PRE] [Descuentos] INC055094820 - Servicio de descuentos da error"/>
    <s v="Descuento Comercial"/>
    <d v="2025-05-30T10:16:44"/>
    <d v="2025-05-30T10:23:25"/>
    <s v="OPERACIONAL"/>
    <s v="TÉCNICO"/>
    <s v=""/>
    <s v="C360_Team_Mtto"/>
    <s v="Medium"/>
    <s v="CERRADO"/>
    <s v=""/>
    <x v="0"/>
    <x v="0"/>
    <d v="2025-05-30T10:16:44"/>
    <d v="2025-05-30T10:23:25"/>
    <s v="Interno"/>
    <n v="22"/>
    <d v="2025-05-26T00:00:00"/>
    <n v="22"/>
    <d v="2025-05-26T00:00:00"/>
    <n v="4.6482407415169291E-3"/>
    <n v="2025"/>
    <n v="2025"/>
    <s v="2025-05"/>
    <s v="2025-05"/>
  </r>
  <r>
    <s v="ESPC360-18959"/>
    <s v="[PRO] [Préstamos] El préstamo 004949081030607791 tiene descuadre y está desactualizado"/>
    <s v="Préstamos"/>
    <d v="2025-06-02T11:58:55"/>
    <d v="2025-06-03T12:41:20"/>
    <s v="OPERACIONAL"/>
    <s v="SOPORTE"/>
    <s v=""/>
    <s v="C360_Team_Mtto"/>
    <s v="Medium"/>
    <s v="CERRADO"/>
    <s v=""/>
    <x v="1"/>
    <x v="2"/>
    <d v="2025-06-02T11:58:55"/>
    <d v="2025-06-03T12:41:20"/>
    <s v="Externo"/>
    <n v="23"/>
    <d v="2025-06-02T00:00:00"/>
    <n v="23"/>
    <d v="2025-06-02T00:00:00"/>
    <n v="1.0294503240729682"/>
    <n v="2025"/>
    <n v="2025"/>
    <s v="2025-06"/>
    <s v="2025-06"/>
  </r>
  <r>
    <s v="ESPC360-18961"/>
    <s v="[PRO] [Cuentas] INC055100406 - han desaparecido las cuentas"/>
    <s v="Cuentas"/>
    <d v="2025-06-02T12:14:24"/>
    <d v="2025-06-03T10:52:53"/>
    <s v="OPERACIONAL"/>
    <s v="SOPORTE"/>
    <s v="NO-CUSTOMER360"/>
    <s v="C360_Team_Mtto"/>
    <s v="Medium"/>
    <s v="CERRADO"/>
    <s v=""/>
    <x v="1"/>
    <x v="2"/>
    <d v="2025-06-02T12:14:24"/>
    <d v="2025-06-03T10:52:53"/>
    <s v="Externo"/>
    <n v="23"/>
    <d v="2025-06-02T00:00:00"/>
    <n v="23"/>
    <d v="2025-06-02T00:00:00"/>
    <n v="0.94339837963343598"/>
    <n v="2025"/>
    <n v="2025"/>
    <s v="2025-06"/>
    <s v="2025-06"/>
  </r>
  <r>
    <s v="ESPC360-18982"/>
    <s v="[PRO] INC055192942 - FTP_PHDPSCRM0254D / B-SANES-P-HDP.INGESTA-800030677 error odate 06/02"/>
    <s v=""/>
    <d v="2025-06-03T10:05:23"/>
    <d v="2025-06-06T09:49:09"/>
    <s v="OPERACIONAL"/>
    <s v="SOPORTE"/>
    <s v="NO-CUSTOMER360"/>
    <s v="C360_Team_Mtto"/>
    <s v="Medium"/>
    <s v="CERRADO"/>
    <s v=""/>
    <x v="1"/>
    <x v="2"/>
    <d v="2025-06-03T10:05:23"/>
    <d v="2025-06-06T09:49:09"/>
    <s v="Externo"/>
    <n v="23"/>
    <d v="2025-06-02T00:00:00"/>
    <n v="23"/>
    <d v="2025-06-02T00:00:00"/>
    <n v="2.9887231365719344"/>
    <n v="2025"/>
    <n v="2025"/>
    <s v="2025-06"/>
    <s v="2025-06"/>
  </r>
  <r>
    <s v="ESPC360-18983"/>
    <s v="[PRO] INC055192986 - FTP_PHDPSPASV1119D / B-SANES-P-HDP.INGESTA-800030677 error odate 06/02"/>
    <s v=""/>
    <d v="2025-06-03T10:05:53"/>
    <d v="2025-06-06T09:52:04"/>
    <s v="OPERACIONAL"/>
    <s v="SOPORTE"/>
    <s v="NO-CUSTOMER360"/>
    <s v="C360_Team_Mtto"/>
    <s v="Medium"/>
    <s v="CERRADO"/>
    <s v=""/>
    <x v="1"/>
    <x v="2"/>
    <d v="2025-06-03T10:05:53"/>
    <d v="2025-06-06T09:52:04"/>
    <s v="Externo"/>
    <n v="23"/>
    <d v="2025-06-02T00:00:00"/>
    <n v="23"/>
    <d v="2025-06-02T00:00:00"/>
    <n v="2.9904061458291835"/>
    <n v="2025"/>
    <n v="2025"/>
    <s v="2025-06"/>
    <s v="2025-06"/>
  </r>
  <r>
    <s v="ESPC360-18987"/>
    <s v="[PRO] [Cuentas] INC055210765 - No se muestra la cuenta"/>
    <s v="Cuentas"/>
    <d v="2025-06-03T12:40:05"/>
    <d v="2025-06-04T16:06:39"/>
    <s v="OPERACIONAL"/>
    <s v="DESARROLLO"/>
    <s v=""/>
    <s v="C360_Team_Mtto"/>
    <s v="Medium"/>
    <s v="CERRADO"/>
    <s v=""/>
    <x v="1"/>
    <x v="1"/>
    <d v="2025-06-03T12:40:05"/>
    <d v="2025-06-04T16:06:39"/>
    <s v="Interno"/>
    <n v="23"/>
    <d v="2025-06-02T00:00:00"/>
    <n v="23"/>
    <d v="2025-06-02T00:00:00"/>
    <n v="1.14345090277493"/>
    <n v="2025"/>
    <n v="2025"/>
    <s v="2025-06"/>
    <s v="2025-06"/>
  </r>
  <r>
    <s v="ESPC360-18990"/>
    <s v="[PRO] INC055216859 - Portal Cliente - Error Acceso ADN360"/>
    <s v=""/>
    <d v="2025-06-03T13:47:03"/>
    <d v="2025-06-04T15:30:00"/>
    <s v="OPERACIONAL"/>
    <s v="SOPORTE"/>
    <s v="NO-CUSTOMER360"/>
    <s v="C360_Team_Mtto"/>
    <s v="Medium"/>
    <s v="CERRADO"/>
    <s v=""/>
    <x v="2"/>
    <x v="2"/>
    <d v="2025-06-03T13:47:03"/>
    <d v="2025-06-04T15:30:00"/>
    <s v="Externo"/>
    <n v="23"/>
    <d v="2025-06-02T00:00:00"/>
    <n v="23"/>
    <d v="2025-06-02T00:00:00"/>
    <n v="1.0714931249967776"/>
    <n v="2025"/>
    <n v="2025"/>
    <s v="2025-06"/>
    <s v="2025-06"/>
  </r>
  <r>
    <s v="ESPC360-18994"/>
    <s v="[PRO] [Planeta Seguros] INC055223338 - Contrato dado de baja sale activo en adn360"/>
    <s v="Planeta Seguros"/>
    <d v="2025-06-03T16:44:56"/>
    <d v="2025-06-05T09:37:23"/>
    <s v="OPERACIONAL"/>
    <s v="SOPORTE"/>
    <s v=""/>
    <s v="C360_Team_Mtto"/>
    <s v="Medium"/>
    <s v="CERRADO"/>
    <s v=""/>
    <x v="1"/>
    <x v="2"/>
    <d v="2025-06-03T16:44:56"/>
    <d v="2025-06-05T09:37:23"/>
    <s v="Externo"/>
    <n v="23"/>
    <d v="2025-06-02T00:00:00"/>
    <n v="23"/>
    <d v="2025-06-02T00:00:00"/>
    <n v="1.7031016550972709"/>
    <n v="2025"/>
    <n v="2025"/>
    <s v="2025-06"/>
    <s v="2025-06"/>
  </r>
  <r>
    <s v="ESPC360-19002"/>
    <s v="[PRO] [PFEs] Modificar lógica depósitos estructurados."/>
    <s v="PFEs"/>
    <d v="2025-06-04T13:24:19"/>
    <d v="2025-07-23T10:11:17"/>
    <s v="OPERACIONAL"/>
    <s v="DESARROLLO"/>
    <s v=""/>
    <s v="C360_Team_Mtto"/>
    <s v="Medium"/>
    <s v="CERRADO"/>
    <s v=""/>
    <x v="1"/>
    <x v="1"/>
    <d v="2025-06-04T13:24:19"/>
    <d v="2025-07-23T10:11:17"/>
    <s v="Interno"/>
    <n v="23"/>
    <d v="2025-06-02T00:00:00"/>
    <n v="30"/>
    <d v="2025-07-21T00:00:00"/>
    <n v="48.86594313657406"/>
    <n v="2025"/>
    <n v="2025"/>
    <s v="2025-06"/>
    <s v="2025-07"/>
  </r>
  <r>
    <s v="ESPC360-19005"/>
    <s v="[PRO] [Mov. Cuentas] INC055210375 - La descripción de los movimientos se muestra mal."/>
    <s v="Movimientos Cuentas"/>
    <d v="2025-06-04T16:08:52"/>
    <d v="2025-06-04T16:12:32"/>
    <s v="OPERACIONAL"/>
    <s v="DESARROLLO"/>
    <s v=""/>
    <s v="C360_Team_Mtto"/>
    <s v="Medium"/>
    <s v="CERRADO"/>
    <s v=""/>
    <x v="1"/>
    <x v="1"/>
    <d v="2025-06-04T16:08:52"/>
    <d v="2025-06-04T16:12:32"/>
    <s v="Interno"/>
    <n v="23"/>
    <d v="2025-06-02T00:00:00"/>
    <n v="23"/>
    <d v="2025-06-02T00:00:00"/>
    <n v="2.5417013894184493E-3"/>
    <n v="2025"/>
    <n v="2025"/>
    <s v="2025-06"/>
    <s v="2025-06"/>
  </r>
  <r>
    <s v="ESPC360-19017"/>
    <s v="[PRO] [Cuentas] INC055169114 - Error al ver el detalle de una cuenta"/>
    <s v="Confidencialidad;Cuentas"/>
    <d v="2025-06-05T09:36:12"/>
    <d v="2025-06-10T11:09:20"/>
    <s v="OPERACIONAL"/>
    <s v="SOPORTE"/>
    <s v=""/>
    <s v="C360_Team_Mtto"/>
    <s v="Medium"/>
    <s v="CERRADO"/>
    <s v=""/>
    <x v="1"/>
    <x v="2"/>
    <d v="2025-06-05T09:36:12"/>
    <d v="2025-06-10T11:09:20"/>
    <s v="Externo"/>
    <n v="23"/>
    <d v="2025-06-02T00:00:00"/>
    <n v="24"/>
    <d v="2025-06-09T00:00:00"/>
    <n v="5.0646765624987893"/>
    <n v="2025"/>
    <n v="2025"/>
    <s v="2025-06"/>
    <s v="2025-06"/>
  </r>
  <r>
    <s v="ESPC360-19035"/>
    <s v="[PRO] [ADN Cliente] INC055299640 - No se muestra seguro"/>
    <s v="Seguros"/>
    <d v="2025-06-05T12:15:18"/>
    <d v="2025-06-19T08:29:52"/>
    <s v="OPERACIONAL"/>
    <s v="SOPORTE"/>
    <s v="NO-CUSTOMER360"/>
    <s v="C360_Team_Mtto"/>
    <s v="Medium"/>
    <s v="CERRADO"/>
    <s v=""/>
    <x v="1"/>
    <x v="2"/>
    <d v="2025-06-05T12:15:18"/>
    <d v="2025-06-19T08:29:52"/>
    <s v="Externo"/>
    <n v="23"/>
    <d v="2025-06-02T00:00:00"/>
    <n v="25"/>
    <d v="2025-06-16T00:00:00"/>
    <n v="13.843446736114856"/>
    <n v="2025"/>
    <n v="2025"/>
    <s v="2025-06"/>
    <s v="2025-06"/>
  </r>
  <r>
    <s v="ESPC360-19110"/>
    <s v="[PRO] [Planeta Seguros] INC055340185 - contrato cancelado aparece activo"/>
    <s v="Planeta Seguros"/>
    <d v="2025-06-06T09:15:12"/>
    <d v="2025-06-10T11:29:27"/>
    <s v="OPERACIONAL"/>
    <s v="SOPORTE"/>
    <s v=""/>
    <s v="ADN_Team_Mtto"/>
    <s v="Medium"/>
    <s v="CERRADO"/>
    <s v=""/>
    <x v="1"/>
    <x v="2"/>
    <d v="2025-06-06T09:15:12"/>
    <d v="2025-06-10T11:29:27"/>
    <s v="Externo"/>
    <n v="23"/>
    <d v="2025-06-02T00:00:00"/>
    <n v="24"/>
    <d v="2025-06-09T00:00:00"/>
    <n v="4.0932244791692938"/>
    <n v="2025"/>
    <n v="2025"/>
    <s v="2025-06"/>
    <s v="2025-06"/>
  </r>
  <r>
    <s v="ESPC360-19117"/>
    <s v="[Securities-Market] En su agregado muestra información incorrecta"/>
    <s v=""/>
    <d v="2025-06-06T13:28:58"/>
    <d v="2025-06-26T15:49:18"/>
    <s v="OPERACIONAL"/>
    <s v="TÉCNICO"/>
    <s v=""/>
    <s v="C360_Operacional_Team_1"/>
    <s v="Medium"/>
    <s v="CERRADO"/>
    <s v="C360_Operacional_Sprint 203"/>
    <x v="2"/>
    <x v="0"/>
    <d v="2025-06-06T13:28:58"/>
    <d v="2025-06-26T15:49:18"/>
    <s v="Interno"/>
    <n v="23"/>
    <d v="2025-06-02T00:00:00"/>
    <n v="26"/>
    <d v="2025-06-23T00:00:00"/>
    <n v="20.097456759256602"/>
    <n v="2025"/>
    <n v="2025"/>
    <s v="2025-06"/>
    <s v="2025-06"/>
  </r>
  <r>
    <s v="ESPC360-19122"/>
    <s v="[PRO] [Préstamos] INC055099259 - Contratación prestamo online: modificación de condiciones"/>
    <s v="Detalle Prestamos"/>
    <d v="2025-06-06T15:14:01"/>
    <d v="2025-06-06T15:30:54"/>
    <s v="OPERACIONAL"/>
    <s v="TÉCNICO"/>
    <s v=""/>
    <s v="C360_Team_Mtto"/>
    <s v="Medium"/>
    <s v="CANCELADO"/>
    <s v=""/>
    <x v="2"/>
    <x v="0"/>
    <d v="2025-06-06T15:14:01"/>
    <d v="2025-06-06T15:30:54"/>
    <s v="Interno"/>
    <n v="23"/>
    <d v="2025-06-02T00:00:00"/>
    <n v="23"/>
    <d v="2025-06-02T00:00:00"/>
    <n v="1.172149305784842E-2"/>
    <n v="2025"/>
    <n v="2025"/>
    <s v="2025-06"/>
    <s v="2025-06"/>
  </r>
  <r>
    <s v="ESPC360-19135"/>
    <s v="[PRO] [Créditos] INC055442299 - Se muestra limite incorrecto"/>
    <s v="Cuentas"/>
    <d v="2025-06-10T08:13:48"/>
    <d v="2025-06-10T08:18:30"/>
    <s v="OPERACIONAL"/>
    <s v="SOPORTE"/>
    <s v=""/>
    <s v="C360_Team_Mtto"/>
    <s v="Medium"/>
    <s v="CERRADO"/>
    <s v=""/>
    <x v="2"/>
    <x v="2"/>
    <d v="2025-06-10T08:13:48"/>
    <d v="2025-06-10T08:18:30"/>
    <s v="Externo"/>
    <n v="24"/>
    <d v="2025-06-09T00:00:00"/>
    <n v="24"/>
    <d v="2025-06-09T00:00:00"/>
    <n v="3.2585416629444808E-3"/>
    <n v="2025"/>
    <n v="2025"/>
    <s v="2025-06"/>
    <s v="2025-06"/>
  </r>
  <r>
    <s v="ESPC360-19138"/>
    <s v="[PRO] [PFES] INC055449201 - IPF cancelada sale activa"/>
    <s v="PFEs"/>
    <d v="2025-06-10T11:31:36"/>
    <d v="2025-06-12T13:40:50"/>
    <s v="OPERACIONAL"/>
    <s v="SOPORTE"/>
    <s v=""/>
    <s v="C360_Team_Mtto"/>
    <s v="Medium"/>
    <s v="CERRADO"/>
    <s v=""/>
    <x v="1"/>
    <x v="2"/>
    <d v="2025-06-10T11:31:36"/>
    <d v="2025-06-12T13:40:50"/>
    <s v="Externo"/>
    <n v="24"/>
    <d v="2025-06-09T00:00:00"/>
    <n v="24"/>
    <d v="2025-06-09T00:00:00"/>
    <n v="2.0897496180550661"/>
    <n v="2025"/>
    <n v="2025"/>
    <s v="2025-06"/>
    <s v="2025-06"/>
  </r>
  <r>
    <s v="ESPC360-19141"/>
    <s v="[PRO] [SP2TXT] INC055465824 - PADN164D/B-SANES-P-HDP.ADN360-800012122 - Odate: 2025/06/09"/>
    <s v=""/>
    <d v="2025-06-10T13:41:16"/>
    <d v="2025-06-10T13:51:33"/>
    <s v="OPERACIONAL"/>
    <s v="TÉCNICO"/>
    <s v=""/>
    <s v="C360_Team_Mtto"/>
    <s v="Medium"/>
    <s v="CERRADO"/>
    <s v=""/>
    <x v="2"/>
    <x v="0"/>
    <d v="2025-06-10T13:41:16"/>
    <d v="2025-06-10T13:51:33"/>
    <s v="Interno"/>
    <n v="24"/>
    <d v="2025-06-09T00:00:00"/>
    <n v="24"/>
    <d v="2025-06-09T00:00:00"/>
    <n v="7.1357754641212523E-3"/>
    <n v="2025"/>
    <n v="2025"/>
    <s v="2025-06"/>
    <s v="2025-06"/>
  </r>
  <r>
    <s v="ESPC360-19153"/>
    <s v="[PRO] [Valores] INC055490999 - Rentabilidad incorrecta"/>
    <s v="Valores"/>
    <d v="2025-06-11T12:24:11"/>
    <d v="2025-06-12T13:39:58"/>
    <s v="OPERACIONAL"/>
    <s v="SOPORTE"/>
    <s v=""/>
    <s v="C360_Team_Mtto"/>
    <s v="Medium"/>
    <s v="CERRADO"/>
    <s v=""/>
    <x v="1"/>
    <x v="2"/>
    <d v="2025-06-11T12:24:11"/>
    <d v="2025-06-12T13:39:58"/>
    <s v="Externo"/>
    <n v="24"/>
    <d v="2025-06-09T00:00:00"/>
    <n v="24"/>
    <d v="2025-06-09T00:00:00"/>
    <n v="1.0526281249985914"/>
    <n v="2025"/>
    <n v="2025"/>
    <s v="2025-06"/>
    <s v="2025-06"/>
  </r>
  <r>
    <s v="ESPC360-19159"/>
    <s v="[Customer-Position] En accounts y creditAccounts en lugar de availableAuthorized hay que mapear authorizedDiscoveredBalance"/>
    <s v="Cuentas"/>
    <d v="2025-06-11T18:39:07"/>
    <d v="2025-06-26T15:50:15"/>
    <s v="OPERACIONAL"/>
    <s v="DESARROLLO"/>
    <s v=""/>
    <s v="C360_Operacional_Team_1"/>
    <s v="Medium"/>
    <s v="CERRADO"/>
    <s v="C360_Operacional_Sprint 204"/>
    <x v="2"/>
    <x v="1"/>
    <d v="2025-06-11T18:39:07"/>
    <d v="2025-06-26T15:50:15"/>
    <s v="Interno"/>
    <n v="24"/>
    <d v="2025-06-09T00:00:00"/>
    <n v="26"/>
    <d v="2025-06-23T00:00:00"/>
    <n v="14.88274015046045"/>
    <n v="2025"/>
    <n v="2025"/>
    <s v="2025-06"/>
    <s v="2025-06"/>
  </r>
  <r>
    <s v="ESPC360-19169"/>
    <s v="[PRO] [ADN Cliente] INC055564492 - No aparece cuenta en adn cliente"/>
    <s v="Cuentas"/>
    <d v="2025-06-12T13:28:17"/>
    <d v="2025-06-16T12:26:30"/>
    <s v="OPERACIONAL"/>
    <s v="SOPORTE"/>
    <s v="NO-CUSTOMER360"/>
    <s v="C360_Team_Mtto"/>
    <s v="Medium"/>
    <s v="CERRADO"/>
    <s v=""/>
    <x v="1"/>
    <x v="2"/>
    <d v="2025-06-12T13:28:17"/>
    <d v="2025-06-16T12:26:30"/>
    <s v="Externo"/>
    <n v="24"/>
    <d v="2025-06-09T00:00:00"/>
    <n v="25"/>
    <d v="2025-06-16T00:00:00"/>
    <n v="3.9571008333296049"/>
    <n v="2025"/>
    <n v="2025"/>
    <s v="2025-06"/>
    <s v="2025-06"/>
  </r>
  <r>
    <s v="ESPC360-19170"/>
    <s v="[PRO] [ADN Cliente] INC055565288- No aparece cartera en adn cliente"/>
    <s v=""/>
    <d v="2025-06-12T13:35:13"/>
    <d v="2025-06-16T12:27:14"/>
    <s v="OPERACIONAL"/>
    <s v="SOPORTE"/>
    <s v="NO-CUSTOMER360"/>
    <s v="C360_Team_Mtto"/>
    <s v="Medium"/>
    <s v="CERRADO"/>
    <s v=""/>
    <x v="1"/>
    <x v="2"/>
    <d v="2025-06-12T13:35:13"/>
    <d v="2025-06-16T12:27:14"/>
    <s v="Externo"/>
    <n v="24"/>
    <d v="2025-06-09T00:00:00"/>
    <n v="25"/>
    <d v="2025-06-16T00:00:00"/>
    <n v="3.952790023147827"/>
    <n v="2025"/>
    <n v="2025"/>
    <s v="2025-06"/>
    <s v="2025-06"/>
  </r>
  <r>
    <s v="ESPC360-19171"/>
    <s v="[PRO] [Fondos] INC055479264 - Se muestran 2 fondos que no deberian en web particulares"/>
    <s v="Fondos"/>
    <d v="2025-06-12T16:07:38"/>
    <d v="2025-07-23T11:38:53"/>
    <s v="OPERACIONAL"/>
    <s v="DESARROLLO"/>
    <s v=""/>
    <s v="C360_Team_Mtto"/>
    <s v="Medium"/>
    <s v="CERRADO"/>
    <s v="C360_Operacional_Sprint 206"/>
    <x v="1"/>
    <x v="1"/>
    <d v="2025-06-12T16:07:38"/>
    <d v="2025-07-23T11:38:53"/>
    <s v="Interno"/>
    <n v="24"/>
    <d v="2025-06-09T00:00:00"/>
    <n v="30"/>
    <d v="2025-07-21T00:00:00"/>
    <n v="40.813374328703503"/>
    <n v="2025"/>
    <n v="2025"/>
    <s v="2025-06"/>
    <s v="2025-07"/>
  </r>
  <r>
    <s v="ESPC360-19249"/>
    <s v="[PRO] [Cuentas] INC055600469 - No se ve cuenta"/>
    <s v="Cuentas"/>
    <d v="2025-06-13T12:16:05"/>
    <d v="2025-06-23T10:17:31"/>
    <s v="OPERACIONAL"/>
    <s v="DESARROLLO"/>
    <s v=""/>
    <s v="C360_Team_Mtto"/>
    <s v="Medium"/>
    <s v="CERRADO"/>
    <s v=""/>
    <x v="1"/>
    <x v="1"/>
    <d v="2025-06-13T12:16:05"/>
    <d v="2025-06-23T10:17:31"/>
    <s v="Interno"/>
    <n v="24"/>
    <d v="2025-06-09T00:00:00"/>
    <n v="26"/>
    <d v="2025-06-23T00:00:00"/>
    <n v="9.91766917824134"/>
    <n v="2025"/>
    <n v="2025"/>
    <s v="2025-06"/>
    <s v="2025-06"/>
  </r>
  <r>
    <s v="ESPC360-19254"/>
    <s v="[PRO] Resolución errónea de descripciones de movimientos de cuentas"/>
    <s v=""/>
    <d v="2025-06-15T15:59:07"/>
    <s v=""/>
    <s v="OPERACIONAL"/>
    <s v="TÉCNICO"/>
    <s v=""/>
    <s v="C360_Team_Mtto"/>
    <s v="Medium"/>
    <s v="BACKLOG"/>
    <s v=""/>
    <x v="2"/>
    <x v="0"/>
    <d v="2025-06-15T15:59:07"/>
    <s v=""/>
    <s v="Interno"/>
    <n v="25"/>
    <d v="2025-06-16T00:00:00"/>
    <e v="#VALUE!"/>
    <e v="#VALUE!"/>
    <e v="#VALUE!"/>
    <n v="2025"/>
    <e v="#VALUE!"/>
    <s v="2025-06"/>
    <e v="#VALUE!"/>
  </r>
  <r>
    <s v="ESPC360-19264"/>
    <s v="[PRO] no funciona el emulador 3270,  solicitar instalación de PRO-GRAVITY"/>
    <s v=""/>
    <d v="2025-06-16T12:24:27"/>
    <d v="2025-06-16T13:54:59"/>
    <s v="OPERACIONAL"/>
    <s v="SOPORTE"/>
    <s v="NO-CUSTOMER360"/>
    <s v="C360_Team_Mtto"/>
    <s v="Medium"/>
    <s v="CERRADO"/>
    <s v=""/>
    <x v="2"/>
    <x v="2"/>
    <d v="2025-06-16T12:24:27"/>
    <d v="2025-06-16T13:54:59"/>
    <s v="Externo"/>
    <n v="25"/>
    <d v="2025-06-16T00:00:00"/>
    <n v="25"/>
    <d v="2025-06-16T00:00:00"/>
    <n v="6.2861365746357478E-2"/>
    <n v="2025"/>
    <n v="2025"/>
    <s v="2025-06"/>
    <s v="2025-06"/>
  </r>
  <r>
    <s v="ESPC360-19265"/>
    <s v="[PRO] [Créditos] INC055688802 - No se muestra el limite de crédito renovado"/>
    <s v="Créditos"/>
    <d v="2025-06-16T12:28:53"/>
    <d v="2025-06-19T08:20:08"/>
    <s v="OPERACIONAL"/>
    <s v="SOPORTE"/>
    <s v=""/>
    <s v="C360_Team_Mtto"/>
    <s v="Medium"/>
    <s v="CERRADO"/>
    <s v=""/>
    <x v="1"/>
    <x v="2"/>
    <d v="2025-06-16T12:28:53"/>
    <d v="2025-06-19T08:20:08"/>
    <s v="Externo"/>
    <n v="25"/>
    <d v="2025-06-16T00:00:00"/>
    <n v="25"/>
    <d v="2025-06-16T00:00:00"/>
    <n v="2.8272603356454056"/>
    <n v="2025"/>
    <n v="2025"/>
    <s v="2025-06"/>
    <s v="2025-06"/>
  </r>
  <r>
    <s v="ESPC360-19267"/>
    <s v="[PRO] [Movimientos] INC055686174 - Nexus- Santander España BSP - IATA - Timeout en peticiones a api ESPAÑA"/>
    <s v="Movimientos Cuentas"/>
    <d v="2025-06-16T13:47:30"/>
    <d v="2025-06-16T14:12:54"/>
    <s v="OPERACIONAL"/>
    <s v="SOPORTE"/>
    <s v=""/>
    <s v="C360_Team_Mtto"/>
    <s v="Medium"/>
    <s v="CERRADO"/>
    <s v=""/>
    <x v="2"/>
    <x v="2"/>
    <d v="2025-06-16T13:47:30"/>
    <d v="2025-06-16T14:12:54"/>
    <s v="Externo"/>
    <n v="25"/>
    <d v="2025-06-16T00:00:00"/>
    <n v="25"/>
    <d v="2025-06-16T00:00:00"/>
    <n v="1.7634224539506249E-2"/>
    <n v="2025"/>
    <n v="2025"/>
    <s v="2025-06"/>
    <s v="2025-06"/>
  </r>
  <r>
    <s v="ESPC360-19268"/>
    <s v="[PRO] [Créditos] INC055690473 - Se muestra limite incorrecto"/>
    <s v="Créditos"/>
    <d v="2025-06-16T13:59:29"/>
    <d v="2025-06-19T08:21:02"/>
    <s v="OPERACIONAL"/>
    <s v="SOPORTE"/>
    <s v=""/>
    <s v="C360_Team_Mtto"/>
    <s v="Medium"/>
    <s v="CERRADO"/>
    <s v=""/>
    <x v="1"/>
    <x v="2"/>
    <d v="2025-06-16T13:59:29"/>
    <d v="2025-06-19T08:21:02"/>
    <s v="Externo"/>
    <n v="25"/>
    <d v="2025-06-16T00:00:00"/>
    <n v="25"/>
    <d v="2025-06-16T00:00:00"/>
    <n v="2.7649566203690483"/>
    <n v="2025"/>
    <n v="2025"/>
    <s v="2025-06"/>
    <s v="2025-06"/>
  </r>
  <r>
    <s v="ESPC360-19273"/>
    <s v="[PRO] [Seguros] INC055691537 - PEX_0038371095 - 40308049C Número de póliza: 250420334082"/>
    <s v="Seguros"/>
    <d v="2025-06-16T14:40:18"/>
    <d v="2025-06-25T09:34:32"/>
    <s v="OPERACIONAL"/>
    <s v="SOPORTE"/>
    <s v="GRAVITY"/>
    <s v="C360_Team_Mtto"/>
    <s v="Medium"/>
    <s v="CERRADO"/>
    <s v=""/>
    <x v="1"/>
    <x v="2"/>
    <d v="2025-06-16T14:40:18"/>
    <d v="2025-06-25T09:34:32"/>
    <s v="Externo"/>
    <n v="25"/>
    <d v="2025-06-16T00:00:00"/>
    <n v="26"/>
    <d v="2025-06-23T00:00:00"/>
    <n v="8.7876637615772779"/>
    <n v="2025"/>
    <n v="2025"/>
    <s v="2025-06"/>
    <s v="2025-06"/>
  </r>
  <r>
    <s v="ESPC360-19276"/>
    <s v="[PRO] [Cuentas] INC055692286 -  ERROR VENCIMIENTO ADN 0049 3166 0922 1470 1538"/>
    <s v=""/>
    <d v="2025-06-16T16:22:45"/>
    <d v="2025-06-17T19:20:21"/>
    <s v="OPERACIONAL"/>
    <s v="SOPORTE"/>
    <s v=""/>
    <s v="C360_Team_Mtto"/>
    <s v="Medium"/>
    <s v="CERRADO"/>
    <s v=""/>
    <x v="1"/>
    <x v="2"/>
    <d v="2025-06-16T16:22:45"/>
    <d v="2025-06-17T19:20:21"/>
    <s v="Externo"/>
    <n v="25"/>
    <d v="2025-06-16T00:00:00"/>
    <n v="25"/>
    <d v="2025-06-16T00:00:00"/>
    <n v="1.1233343055573641"/>
    <n v="2025"/>
    <n v="2025"/>
    <s v="2025-06"/>
    <s v="2025-06"/>
  </r>
  <r>
    <s v="ESPC360-19277"/>
    <s v="[PRO] [Préstamos] -  INC055689732 APERTURA INCIDENCIA VISUALIZACION DE POSICIONES"/>
    <s v="Préstamos"/>
    <d v="2025-06-17T08:41:57"/>
    <d v="2025-06-26T10:53:06"/>
    <s v="OPERACIONAL"/>
    <s v="SOPORTE"/>
    <s v="GRAVITY"/>
    <s v="C360_Team_Mtto"/>
    <s v="Medium"/>
    <s v="CERRADO"/>
    <s v=""/>
    <x v="2"/>
    <x v="2"/>
    <d v="2025-06-17T08:41:57"/>
    <d v="2025-06-26T10:53:06"/>
    <s v="Externo"/>
    <n v="25"/>
    <d v="2025-06-16T00:00:00"/>
    <n v="26"/>
    <d v="2025-06-23T00:00:00"/>
    <n v="9.0910808912012726"/>
    <n v="2025"/>
    <n v="2025"/>
    <s v="2025-06"/>
    <s v="2025-06"/>
  </r>
  <r>
    <s v="ESPC360-19279"/>
    <s v="[PRO] [PMP] INC055693024 - no se muestra saldo de confirming para el cliente J255431"/>
    <s v="Póliza Multiproducto (PMP)"/>
    <d v="2025-06-17T10:21:20"/>
    <d v="2025-06-26T10:53:37"/>
    <s v="OPERACIONAL"/>
    <s v="SOPORTE"/>
    <s v="NO-CUSTOMER360"/>
    <s v="C360_Team_Mtto"/>
    <s v="Medium"/>
    <s v="CERRADO"/>
    <s v=""/>
    <x v="1"/>
    <x v="2"/>
    <d v="2025-06-17T10:21:20"/>
    <d v="2025-06-26T10:53:37"/>
    <s v="Externo"/>
    <n v="25"/>
    <d v="2025-06-16T00:00:00"/>
    <n v="26"/>
    <d v="2025-06-23T00:00:00"/>
    <n v="9.022424687500461"/>
    <n v="2025"/>
    <n v="2025"/>
    <s v="2025-06"/>
    <s v="2025-06"/>
  </r>
  <r>
    <s v="ESPC360-19280"/>
    <s v="[PRO] [Mov. cuentas] INC055721407 - No se ven movimientos del fin de semana"/>
    <s v="Movimientos Cuentas"/>
    <d v="2025-06-17T10:22:41"/>
    <d v="2025-06-18T11:06:48"/>
    <s v="OPERACIONAL"/>
    <s v="SOPORTE"/>
    <s v="GRAVITY"/>
    <s v="C360_Team_Mtto"/>
    <s v="Medium"/>
    <s v="CERRADO"/>
    <s v=""/>
    <x v="1"/>
    <x v="2"/>
    <d v="2025-06-17T10:22:41"/>
    <d v="2025-06-18T11:06:48"/>
    <s v="Externo"/>
    <n v="25"/>
    <d v="2025-06-16T00:00:00"/>
    <n v="25"/>
    <d v="2025-06-16T00:00:00"/>
    <n v="1.0306354282438406"/>
    <n v="2025"/>
    <n v="2025"/>
    <s v="2025-06"/>
    <s v="2025-06"/>
  </r>
  <r>
    <s v="ESPC360-19282"/>
    <s v="[PRO] INC055061896 - PEX_0037927410 le sale como pdtes mvtos"/>
    <s v=""/>
    <d v="2025-06-17T12:19:53"/>
    <d v="2025-07-18T11:49:44"/>
    <s v="OPERACIONAL"/>
    <s v="SOPORTE"/>
    <s v="NO-CUSTOMER360"/>
    <s v="C360_Team_Mtto"/>
    <s v="Medium"/>
    <s v="CERRADO"/>
    <s v=""/>
    <x v="2"/>
    <x v="2"/>
    <d v="2025-06-17T12:19:53"/>
    <d v="2025-07-18T11:49:44"/>
    <s v="Externo"/>
    <n v="25"/>
    <d v="2025-06-16T00:00:00"/>
    <n v="29"/>
    <d v="2025-07-14T00:00:00"/>
    <n v="30.979061238431314"/>
    <n v="2025"/>
    <n v="2025"/>
    <s v="2025-06"/>
    <s v="2025-07"/>
  </r>
  <r>
    <s v="ESPC360-19285"/>
    <s v="[PRO] [Depósitos] INC055728440 - Error en los precios de las IPFs contratadas"/>
    <s v="Depósitos"/>
    <d v="2025-06-17T15:29:11"/>
    <d v="2025-06-26T10:54:13"/>
    <s v="OPERACIONAL"/>
    <s v="SOPORTE"/>
    <s v="GRAVITY"/>
    <s v="C360_Team_Mtto"/>
    <s v="Medium"/>
    <s v="CERRADO"/>
    <s v=""/>
    <x v="1"/>
    <x v="2"/>
    <d v="2025-06-17T15:29:11"/>
    <d v="2025-06-26T10:54:13"/>
    <s v="Externo"/>
    <n v="25"/>
    <d v="2025-06-16T00:00:00"/>
    <n v="26"/>
    <d v="2025-06-23T00:00:00"/>
    <n v="8.8090576967588277"/>
    <n v="2025"/>
    <n v="2025"/>
    <s v="2025-06"/>
    <s v="2025-06"/>
  </r>
  <r>
    <s v="ESPC360-19286"/>
    <s v="[PRO] [Seguros] INC055732618 - PEX_0038384197 - B82268327 - poliza 0782555022268 no aparece en posiciones"/>
    <s v="Seguros"/>
    <d v="2025-06-17T17:05:27"/>
    <d v="2025-06-19T09:09:58"/>
    <s v="OPERACIONAL"/>
    <s v="SOPORTE"/>
    <s v="NO-CUSTOMER360"/>
    <s v="C360_Team_Mtto"/>
    <s v="Medium"/>
    <s v="CERRADO"/>
    <s v=""/>
    <x v="1"/>
    <x v="2"/>
    <d v="2025-06-17T17:05:27"/>
    <d v="2025-06-19T09:09:58"/>
    <s v="Externo"/>
    <n v="25"/>
    <d v="2025-06-16T00:00:00"/>
    <n v="25"/>
    <d v="2025-06-16T00:00:00"/>
    <n v="1.6698047106474405"/>
    <n v="2025"/>
    <n v="2025"/>
    <s v="2025-06"/>
    <s v="2025-06"/>
  </r>
  <r>
    <s v="ESPC360-19287"/>
    <s v="[PRO] [Seguros] INC055727943 - Número de póliza: 051492935888"/>
    <s v="Seguros"/>
    <d v="2025-06-17T17:49:49"/>
    <d v="2025-06-19T09:10:44"/>
    <s v="OPERACIONAL"/>
    <s v="SOPORTE"/>
    <s v=""/>
    <s v="C360_Team_Mtto"/>
    <s v="Medium"/>
    <s v="CERRADO"/>
    <s v=""/>
    <x v="1"/>
    <x v="2"/>
    <d v="2025-06-17T17:49:49"/>
    <d v="2025-06-19T09:10:44"/>
    <s v="Externo"/>
    <n v="25"/>
    <d v="2025-06-16T00:00:00"/>
    <n v="25"/>
    <d v="2025-06-16T00:00:00"/>
    <n v="1.6395268634223612"/>
    <n v="2025"/>
    <n v="2025"/>
    <s v="2025-06"/>
    <s v="2025-06"/>
  </r>
  <r>
    <s v="ESPC360-19288"/>
    <s v="[PRO] [Seguros] INC055737426 - contratacion seguro de vida"/>
    <s v="Seguros"/>
    <d v="2025-06-17T17:53:32"/>
    <d v="2025-06-19T09:11:15"/>
    <s v="OPERACIONAL"/>
    <s v="SOPORTE"/>
    <s v="NO-CUSTOMER360"/>
    <s v="C360_Team_Mtto"/>
    <s v="Medium"/>
    <s v="CERRADO"/>
    <s v=""/>
    <x v="1"/>
    <x v="2"/>
    <d v="2025-06-17T17:53:32"/>
    <d v="2025-06-19T09:11:15"/>
    <s v="Externo"/>
    <n v="25"/>
    <d v="2025-06-16T00:00:00"/>
    <n v="25"/>
    <d v="2025-06-16T00:00:00"/>
    <n v="1.6373114699090365"/>
    <n v="2025"/>
    <n v="2025"/>
    <s v="2025-06"/>
    <s v="2025-06"/>
  </r>
  <r>
    <s v="ESPC360-19292"/>
    <s v="[PRO] [NO-CUSTOMER360] INC055746517 - El usuario no tiene acceso completo a ADN MERCADOS"/>
    <s v=""/>
    <d v="2025-06-17T19:06:54"/>
    <d v="2025-06-19T08:31:34"/>
    <s v="OPERACIONAL"/>
    <s v="SOPORTE"/>
    <s v="NO-CUSTOMER360"/>
    <s v="C360_Team_Mtto"/>
    <s v="Medium"/>
    <s v="CERRADO"/>
    <s v=""/>
    <x v="1"/>
    <x v="2"/>
    <d v="2025-06-17T19:06:54"/>
    <d v="2025-06-19T08:31:34"/>
    <s v="Externo"/>
    <n v="25"/>
    <d v="2025-06-16T00:00:00"/>
    <n v="25"/>
    <d v="2025-06-16T00:00:00"/>
    <n v="1.5587980671261903"/>
    <n v="2025"/>
    <n v="2025"/>
    <s v="2025-06"/>
    <s v="2025-06"/>
  </r>
  <r>
    <s v="ESPC360-19295"/>
    <s v="[PRO] [Cuentas] INC055765346 - Fecha de vencimiento incorrecto"/>
    <s v="Cuentas"/>
    <d v="2025-06-18T08:49:10"/>
    <d v="2025-06-26T10:55:11"/>
    <s v="OPERACIONAL"/>
    <s v="SOPORTE"/>
    <s v=""/>
    <s v="C360_Team_Mtto"/>
    <s v="Medium"/>
    <s v="CERRADO"/>
    <s v=""/>
    <x v="1"/>
    <x v="2"/>
    <d v="2025-06-18T08:49:10"/>
    <d v="2025-06-26T10:55:11"/>
    <s v="Externo"/>
    <n v="25"/>
    <d v="2025-06-16T00:00:00"/>
    <n v="26"/>
    <d v="2025-06-23T00:00:00"/>
    <n v="8.0875125694437884"/>
    <n v="2025"/>
    <n v="2025"/>
    <s v="2025-06"/>
    <s v="2025-06"/>
  </r>
  <r>
    <s v="ESPC360-19296"/>
    <s v="[PRO] [NO-CUSTOMER360] INC055729803 - INCIDENCIA GRAVITY CONSULTA RESOLUCION PROPUESTAS"/>
    <s v=""/>
    <d v="2025-06-18T09:38:34"/>
    <d v="2025-06-19T08:29:42"/>
    <s v="OPERACIONAL"/>
    <s v="SOPORTE"/>
    <s v="NO-CUSTOMER360"/>
    <s v=""/>
    <s v="Medium"/>
    <s v="CERRADO"/>
    <s v=""/>
    <x v="1"/>
    <x v="2"/>
    <d v="2025-06-18T09:38:34"/>
    <d v="2025-06-19T08:29:42"/>
    <s v="Externo"/>
    <n v="25"/>
    <d v="2025-06-16T00:00:00"/>
    <n v="25"/>
    <d v="2025-06-16T00:00:00"/>
    <n v="0.95216744213394122"/>
    <n v="2025"/>
    <n v="2025"/>
    <s v="2025-06"/>
    <s v="2025-06"/>
  </r>
  <r>
    <s v="ESPC360-19297"/>
    <s v="[PRO] [Créditos] INC055769025 - El crédito sale en adn con límite 0 y en tp límite de 297.000"/>
    <s v="Créditos"/>
    <d v="2025-06-18T10:06:30"/>
    <d v="2025-06-23T10:16:46"/>
    <s v="OPERACIONAL"/>
    <s v="DESARROLLO"/>
    <s v=""/>
    <s v="C360_Team_Mtto"/>
    <s v="Medium"/>
    <s v="CERRADO"/>
    <s v=""/>
    <x v="1"/>
    <x v="1"/>
    <d v="2025-06-18T10:06:30"/>
    <d v="2025-06-23T10:16:46"/>
    <s v="Interno"/>
    <n v="25"/>
    <d v="2025-06-16T00:00:00"/>
    <n v="26"/>
    <d v="2025-06-23T00:00:00"/>
    <n v="5.0071359606517944"/>
    <n v="2025"/>
    <n v="2025"/>
    <s v="2025-06"/>
    <s v="2025-06"/>
  </r>
  <r>
    <s v="ESPC360-19299"/>
    <s v="[PRO] [Seguros] INC055769329 - No aparece seguro"/>
    <s v="Seguros"/>
    <d v="2025-06-18T10:20:02"/>
    <d v="2025-06-19T09:12:15"/>
    <s v="OPERACIONAL"/>
    <s v="SOPORTE"/>
    <s v=""/>
    <s v="C360_Team_Mtto"/>
    <s v="Medium"/>
    <s v="CERRADO"/>
    <s v=""/>
    <x v="1"/>
    <x v="2"/>
    <d v="2025-06-18T10:20:02"/>
    <d v="2025-06-19T09:12:15"/>
    <s v="Externo"/>
    <n v="25"/>
    <d v="2025-06-16T00:00:00"/>
    <n v="25"/>
    <d v="2025-06-16T00:00:00"/>
    <n v="0.95292997685464798"/>
    <n v="2025"/>
    <n v="2025"/>
    <s v="2025-06"/>
    <s v="2025-06"/>
  </r>
  <r>
    <s v="ESPC360-19300"/>
    <s v="[PRO] [Movimientos] INC055771390 - No se ven movimientos de transferencias/bizums"/>
    <s v="Movimientos Cuentas"/>
    <d v="2025-06-18T11:45:40"/>
    <d v="2025-06-25T14:44:19"/>
    <s v="OPERACIONAL"/>
    <s v="SOPORTE"/>
    <s v="GRAVITY"/>
    <s v="C360_Team_Mtto"/>
    <s v="Medium"/>
    <s v="CERRADO"/>
    <s v=""/>
    <x v="2"/>
    <x v="2"/>
    <d v="2025-06-18T11:45:40"/>
    <d v="2025-06-25T14:44:19"/>
    <s v="Externo"/>
    <n v="25"/>
    <d v="2025-06-16T00:00:00"/>
    <n v="26"/>
    <d v="2025-06-23T00:00:00"/>
    <n v="7.1240573379618581"/>
    <n v="2025"/>
    <n v="2025"/>
    <s v="2025-06"/>
    <s v="2025-06"/>
  </r>
  <r>
    <s v="ESPC360-19309"/>
    <s v="[PRO] [Descuentos] INC055807178 - Fecha de vencimiento incorrecta"/>
    <s v="Descuento Comercial"/>
    <d v="2025-06-19T08:33:08"/>
    <d v="2025-06-26T10:55:45"/>
    <s v="OPERACIONAL"/>
    <s v="SOPORTE"/>
    <s v="GRAVITY"/>
    <s v="C360_Team_Mtto"/>
    <s v="Medium"/>
    <s v="CERRADO"/>
    <s v=""/>
    <x v="1"/>
    <x v="2"/>
    <d v="2025-06-19T08:33:08"/>
    <d v="2025-06-26T10:55:45"/>
    <s v="Externo"/>
    <n v="25"/>
    <d v="2025-06-16T00:00:00"/>
    <n v="26"/>
    <d v="2025-06-23T00:00:00"/>
    <n v="7.0990372453743475"/>
    <n v="2025"/>
    <n v="2025"/>
    <s v="2025-06"/>
    <s v="2025-06"/>
  </r>
  <r>
    <s v="ESPC360-19326"/>
    <s v="[PRE] [Descuentos] INC055811773 -  Error llamada ADN discounts"/>
    <s v="Descuento Comercial"/>
    <d v="2025-06-19T12:12:32"/>
    <d v="2025-06-19T12:26:20"/>
    <s v="OPERACIONAL"/>
    <s v="TÉCNICO"/>
    <s v=""/>
    <s v="C360_Team_Mtto"/>
    <s v="Medium"/>
    <s v="CERRADO"/>
    <s v=""/>
    <x v="0"/>
    <x v="0"/>
    <d v="2025-06-19T12:12:32"/>
    <d v="2025-06-19T12:26:20"/>
    <s v="Interno"/>
    <n v="25"/>
    <d v="2025-06-16T00:00:00"/>
    <n v="25"/>
    <d v="2025-06-16T00:00:00"/>
    <n v="9.5805092641967349E-3"/>
    <n v="2025"/>
    <n v="2025"/>
    <s v="2025-06"/>
    <s v="2025-06"/>
  </r>
  <r>
    <s v="ESPC360-19370"/>
    <s v="[PRO] [ADN Cliente] INC055839625 - No se muiestra una cuenta en adn cliente"/>
    <s v="Cuentas"/>
    <d v="2025-06-23T08:33:23"/>
    <d v="2025-06-24T13:13:38"/>
    <s v="OPERACIONAL"/>
    <s v="SOPORTE"/>
    <s v="NO-CUSTOMER360"/>
    <s v="C360_Team_Mtto"/>
    <s v="Medium"/>
    <s v="CERRADO"/>
    <s v=""/>
    <x v="1"/>
    <x v="2"/>
    <d v="2025-06-23T08:33:23"/>
    <d v="2025-06-24T13:13:38"/>
    <s v="Externo"/>
    <n v="26"/>
    <d v="2025-06-23T00:00:00"/>
    <n v="26"/>
    <d v="2025-06-23T00:00:00"/>
    <n v="1.1946158912032843"/>
    <n v="2025"/>
    <n v="2025"/>
    <s v="2025-06"/>
    <s v="2025-06"/>
  </r>
  <r>
    <s v="ESPC360-19378"/>
    <s v="Corrección marca PMP en el front"/>
    <s v=""/>
    <d v="2025-06-23T17:52:57"/>
    <d v="2025-07-23T11:41:26"/>
    <s v="OPERACIONAL"/>
    <s v="DESARROLLO"/>
    <s v=""/>
    <s v="C360_Operacional_Team_1"/>
    <s v="Medium"/>
    <s v="CERRADO"/>
    <s v="C360_Operacional_Sprint 205"/>
    <x v="2"/>
    <x v="1"/>
    <d v="2025-06-23T17:52:57"/>
    <d v="2025-07-23T11:41:26"/>
    <s v="Interno"/>
    <n v="26"/>
    <d v="2025-06-23T00:00:00"/>
    <n v="30"/>
    <d v="2025-07-21T00:00:00"/>
    <n v="29.742002141203557"/>
    <n v="2025"/>
    <n v="2025"/>
    <s v="2025-06"/>
    <s v="2025-07"/>
  </r>
  <r>
    <s v="ESPC360-19379"/>
    <s v="[PRO] No se devuelven seguros con estado PS en global-position/customer-position"/>
    <s v=""/>
    <d v="2025-06-23T17:54:47"/>
    <d v="2025-07-23T11:41:46"/>
    <s v="OPERACIONAL"/>
    <s v="DEFINICIÓN"/>
    <s v=""/>
    <s v="C360_Operacional_Team_1"/>
    <s v="Medium"/>
    <s v="CERRADO"/>
    <s v="C360_Operacional_Sprint 205"/>
    <x v="2"/>
    <x v="3"/>
    <d v="2025-06-23T17:54:47"/>
    <d v="2025-07-23T11:41:46"/>
    <s v="Externo"/>
    <n v="26"/>
    <d v="2025-06-23T00:00:00"/>
    <n v="30"/>
    <d v="2025-07-21T00:00:00"/>
    <n v="29.740957719906874"/>
    <n v="2025"/>
    <n v="2025"/>
    <s v="2025-06"/>
    <s v="2025-07"/>
  </r>
  <r>
    <s v="ESPC360-19381"/>
    <s v="[PRO] [Cuentas] INC055924752 - Error en llamada a detalle de cuenta"/>
    <s v="Cuentas"/>
    <d v="2025-06-24T10:14:41"/>
    <d v="2025-06-26T10:59:30"/>
    <s v="OPERACIONAL"/>
    <s v="SOPORTE"/>
    <s v="NO-CUSTOMER360"/>
    <s v="C360_Team_Mtto"/>
    <s v="Medium"/>
    <s v="CERRADO"/>
    <s v=""/>
    <x v="1"/>
    <x v="2"/>
    <d v="2025-06-24T10:14:41"/>
    <d v="2025-06-26T10:59:30"/>
    <s v="Externo"/>
    <n v="26"/>
    <d v="2025-06-23T00:00:00"/>
    <n v="26"/>
    <d v="2025-06-23T00:00:00"/>
    <n v="2.0311220833318657"/>
    <n v="2025"/>
    <n v="2025"/>
    <s v="2025-06"/>
    <s v="2025-06"/>
  </r>
  <r>
    <s v="ESPC360-19386"/>
    <s v="[PRO] [SMART-PRICING] INC055820369 -  Necesitamos actualizar los datos productivos relativos a la API de Smartpricing expuesta en la aplicación de ADN360. Se trata de un proceso crítico que afecta a"/>
    <s v="smart-pricing"/>
    <d v="2025-06-24T16:32:54"/>
    <d v="2025-06-24T16:42:02"/>
    <s v="OPERACIONAL"/>
    <s v="TÉCNICO"/>
    <s v=""/>
    <s v="C360_Team_Mtto"/>
    <s v="Medium"/>
    <s v="CERRADO"/>
    <s v=""/>
    <x v="2"/>
    <x v="0"/>
    <d v="2025-06-24T16:32:54"/>
    <d v="2025-06-24T16:42:02"/>
    <s v="Interno"/>
    <n v="26"/>
    <d v="2025-06-23T00:00:00"/>
    <n v="26"/>
    <d v="2025-06-23T00:00:00"/>
    <n v="6.3373726807185449E-3"/>
    <n v="2025"/>
    <n v="2025"/>
    <s v="2025-06"/>
    <s v="2025-06"/>
  </r>
  <r>
    <s v="ESPC360-19388"/>
    <s v="[PRO] [ADN OPERATIVO] INC055995702 - Actualización libreta"/>
    <s v=""/>
    <d v="2025-06-25T09:29:06"/>
    <d v="2025-06-25T09:34:49"/>
    <s v="OPERACIONAL"/>
    <s v="SOPORTE"/>
    <s v="NO-CUSTOMER360"/>
    <s v="C360_Team_Mtto"/>
    <s v="Medium"/>
    <s v="CERRADO"/>
    <s v=""/>
    <x v="1"/>
    <x v="2"/>
    <d v="2025-06-25T09:29:06"/>
    <d v="2025-06-25T09:34:49"/>
    <s v="Externo"/>
    <n v="26"/>
    <d v="2025-06-23T00:00:00"/>
    <n v="26"/>
    <d v="2025-06-23T00:00:00"/>
    <n v="3.9630324099562131E-3"/>
    <n v="2025"/>
    <n v="2025"/>
    <s v="2025-06"/>
    <s v="2025-06"/>
  </r>
  <r>
    <s v="ESPC360-19391"/>
    <s v="[PRO] [Tarjetas] INC055913133 - Ve tarjeta de persona física no asociada"/>
    <s v="Tarjetas"/>
    <d v="2025-06-25T10:38:40"/>
    <d v="2025-06-26T10:56:59"/>
    <s v="OPERACIONAL"/>
    <s v="SOPORTE"/>
    <s v="NO-CUSTOMER360"/>
    <s v="C360_Team_Mtto"/>
    <s v="Medium"/>
    <s v="CERRADO"/>
    <s v=""/>
    <x v="1"/>
    <x v="2"/>
    <d v="2025-06-25T10:38:40"/>
    <d v="2025-06-26T10:56:59"/>
    <s v="Externo"/>
    <n v="26"/>
    <d v="2025-06-23T00:00:00"/>
    <n v="26"/>
    <d v="2025-06-23T00:00:00"/>
    <n v="1.0127227314806078"/>
    <n v="2025"/>
    <n v="2025"/>
    <s v="2025-06"/>
    <s v="2025-06"/>
  </r>
  <r>
    <s v="ESPC360-19398"/>
    <s v="Corrección de ks-globalktables para poder desplegar en PRO"/>
    <s v=""/>
    <d v="2025-06-25T13:52:40"/>
    <d v="2025-10-29T14:44:44"/>
    <s v="OPERACIONAL"/>
    <s v="TÉCNICO"/>
    <s v=""/>
    <s v="C360_Operacional_Team_1"/>
    <s v="Medium"/>
    <s v="CERRADO"/>
    <s v="C360_Operacional_Sprint 205"/>
    <x v="2"/>
    <x v="0"/>
    <d v="2025-06-25T13:52:40"/>
    <d v="2025-10-29T14:44:44"/>
    <s v="Interno"/>
    <n v="26"/>
    <d v="2025-06-23T00:00:00"/>
    <n v="44"/>
    <d v="2025-10-27T00:00:00"/>
    <n v="126.03614947916503"/>
    <n v="2025"/>
    <n v="2025"/>
    <s v="2025-06"/>
    <s v="2025-10"/>
  </r>
  <r>
    <s v="ESPC360-19402"/>
    <s v="[PRO] [ADN CLIENTE] INC056005482 - Dar de baja Alarmas de cliente 40401615E"/>
    <s v=""/>
    <d v="2025-06-25T14:37:03"/>
    <d v="2025-06-25T14:39:15"/>
    <s v="OPERACIONAL"/>
    <s v="SOPORTE"/>
    <s v="NO-CUSTOMER360"/>
    <s v="C360_Team_Mtto"/>
    <s v="Medium"/>
    <s v="CERRADO"/>
    <s v=""/>
    <x v="1"/>
    <x v="2"/>
    <d v="2025-06-25T14:37:03"/>
    <d v="2025-06-25T14:39:15"/>
    <s v="Externo"/>
    <n v="26"/>
    <d v="2025-06-23T00:00:00"/>
    <n v="26"/>
    <d v="2025-06-23T00:00:00"/>
    <n v="1.5270254589268006E-3"/>
    <n v="2025"/>
    <n v="2025"/>
    <s v="2025-06"/>
    <s v="2025-06"/>
  </r>
  <r>
    <s v="ESPC360-19405"/>
    <s v="[PRO] [ADN-CLIENTE] INC056032954 - Error 500 cuando accedo a ver estado de campaña de cliente"/>
    <s v=""/>
    <d v="2025-06-26T10:09:44"/>
    <d v="2025-06-26T10:13:22"/>
    <s v="OPERACIONAL"/>
    <s v="SOPORTE"/>
    <s v="NO-CUSTOMER360"/>
    <s v="C360_Team_Mtto"/>
    <s v="Medium"/>
    <s v="CERRADO"/>
    <s v=""/>
    <x v="1"/>
    <x v="2"/>
    <d v="2025-06-26T10:09:44"/>
    <d v="2025-06-26T10:13:22"/>
    <s v="Externo"/>
    <n v="26"/>
    <d v="2025-06-23T00:00:00"/>
    <n v="26"/>
    <d v="2025-06-23T00:00:00"/>
    <n v="2.5329745330964215E-3"/>
    <n v="2025"/>
    <n v="2025"/>
    <s v="2025-06"/>
    <s v="2025-06"/>
  </r>
  <r>
    <s v="ESPC360-19406"/>
    <s v="[PRO] [Cuentas] INC056012492 - Incidencia actualización de saldos"/>
    <s v="Cuentas"/>
    <d v="2025-06-26T10:46:19"/>
    <d v="2025-06-26T10:52:21"/>
    <s v="OPERACIONAL"/>
    <s v="SOPORTE"/>
    <s v=""/>
    <s v="C360_Team_Mtto"/>
    <s v="Medium"/>
    <s v="CERRADO"/>
    <s v=""/>
    <x v="1"/>
    <x v="2"/>
    <d v="2025-06-26T10:46:19"/>
    <d v="2025-06-26T10:52:21"/>
    <s v="Externo"/>
    <n v="26"/>
    <d v="2025-06-23T00:00:00"/>
    <n v="26"/>
    <d v="2025-06-23T00:00:00"/>
    <n v="4.1822685234365053E-3"/>
    <n v="2025"/>
    <n v="2025"/>
    <s v="2025-06"/>
    <s v="2025-06"/>
  </r>
  <r>
    <s v="ESPC360-19491"/>
    <s v="[PRO] Recargar Movimientos de Cuentas en Atlas para el odate 20250616"/>
    <s v=""/>
    <d v="2025-06-27T08:55:26"/>
    <d v="2025-06-30T10:11:08"/>
    <s v="OPERACIONAL"/>
    <s v="TÉCNICO"/>
    <s v=""/>
    <s v=""/>
    <s v="Medium"/>
    <s v="CANCELADO"/>
    <s v=""/>
    <x v="2"/>
    <x v="0"/>
    <d v="2025-06-27T08:55:26"/>
    <d v="2025-06-30T10:11:08"/>
    <s v="Interno"/>
    <n v="26"/>
    <d v="2025-06-23T00:00:00"/>
    <n v="27"/>
    <d v="2025-06-30T00:00:00"/>
    <n v="3.0525653009244706"/>
    <n v="2025"/>
    <n v="2025"/>
    <s v="2025-06"/>
    <s v="2025-06"/>
  </r>
  <r>
    <s v="ESPC360-19499"/>
    <s v="[PRO] [Seguros] INC056140943 - La póliza 250420245432 está anulada pero aun aparece en ADN 360"/>
    <s v="Seguros"/>
    <d v="2025-06-30T09:16:02"/>
    <d v="2025-07-01T10:38:33"/>
    <s v="OPERACIONAL"/>
    <s v="SOPORTE"/>
    <s v="NO_CUSTOMER360"/>
    <s v="C360_Team_Mtto"/>
    <s v="Medium"/>
    <s v="CERRADO"/>
    <s v=""/>
    <x v="1"/>
    <x v="2"/>
    <d v="2025-06-30T09:16:02"/>
    <d v="2025-07-01T10:38:33"/>
    <s v="Externo"/>
    <n v="27"/>
    <d v="2025-06-30T00:00:00"/>
    <n v="27"/>
    <d v="2025-06-30T00:00:00"/>
    <n v="1.0572994097237824"/>
    <n v="2025"/>
    <n v="2025"/>
    <s v="2025-06"/>
    <s v="2025-06"/>
  </r>
  <r>
    <s v="ESPC360-19521"/>
    <s v="[PRO] [Créditos] INC056144723 - Fecha de vencimeneto incorrecto"/>
    <s v="Créditos"/>
    <d v="2025-06-30T12:19:37"/>
    <d v="2025-07-01T13:45:04"/>
    <s v="OPERACIONAL"/>
    <s v="SOPORTE"/>
    <s v=""/>
    <s v="C360_Team_Mtto"/>
    <s v="Medium"/>
    <s v="CERRADO"/>
    <s v=""/>
    <x v="1"/>
    <x v="2"/>
    <d v="2025-06-30T12:19:37"/>
    <d v="2025-07-01T13:45:04"/>
    <s v="Externo"/>
    <n v="27"/>
    <d v="2025-06-30T00:00:00"/>
    <n v="27"/>
    <d v="2025-06-30T00:00:00"/>
    <n v="1.0593406944462913"/>
    <n v="2025"/>
    <n v="2025"/>
    <s v="2025-06"/>
    <s v="2025-06"/>
  </r>
  <r>
    <s v="ESPC360-19524"/>
    <s v="[PRO] [Cuentas] INC056037354 PEX_0038636335 no ve una cuenta"/>
    <s v="Cuentas"/>
    <d v="2025-06-30T14:45:02"/>
    <d v="2025-06-30T15:25:30"/>
    <s v="OPERACIONAL"/>
    <s v="SOPORTE"/>
    <s v="GRAVITY"/>
    <s v="C360_Team_Mtto"/>
    <s v="Medium"/>
    <s v="CERRADO"/>
    <s v=""/>
    <x v="2"/>
    <x v="2"/>
    <d v="2025-06-30T14:45:02"/>
    <d v="2025-06-30T15:25:30"/>
    <s v="Externo"/>
    <n v="27"/>
    <d v="2025-06-30T00:00:00"/>
    <n v="27"/>
    <d v="2025-06-30T00:00:00"/>
    <n v="2.8097303242248017E-2"/>
    <n v="2025"/>
    <n v="2025"/>
    <s v="2025-06"/>
    <s v="2025-06"/>
  </r>
  <r>
    <s v="ESPC360-19528"/>
    <s v="[PRO] INCIDENCIA ACCESO APP"/>
    <s v=""/>
    <d v="2025-06-30T15:26:15"/>
    <d v="2025-07-07T09:35:19"/>
    <s v="OPERACIONAL"/>
    <s v="SOPORTE"/>
    <s v="NO-CUSTOMER360"/>
    <s v="C360_Team_Mtto"/>
    <s v="Medium"/>
    <s v="CERRADO"/>
    <s v=""/>
    <x v="1"/>
    <x v="2"/>
    <d v="2025-06-30T15:26:15"/>
    <d v="2025-07-07T09:35:19"/>
    <s v="Externo"/>
    <n v="27"/>
    <d v="2025-06-30T00:00:00"/>
    <n v="28"/>
    <d v="2025-07-07T00:00:00"/>
    <n v="6.75629546296841"/>
    <n v="2025"/>
    <n v="2025"/>
    <s v="2025-06"/>
    <s v="2025-07"/>
  </r>
  <r>
    <s v="ESPC360-19529"/>
    <s v="[PRO] [SMART-PRICING]  INC055921174 Necesitamos actualizar los precios personalizados que se cargan a nivel cliente en ADN 360. Se trata de un proceso crítico."/>
    <s v="smart-pricing"/>
    <d v="2025-06-30T15:29:42"/>
    <d v="2025-06-30T15:32:42"/>
    <s v="OPERACIONAL"/>
    <s v="TÉCNICO"/>
    <s v=""/>
    <s v="C360_Team_Mtto"/>
    <s v="Medium"/>
    <s v="CERRADO"/>
    <s v=""/>
    <x v="2"/>
    <x v="0"/>
    <d v="2025-06-30T15:29:42"/>
    <d v="2025-06-30T15:32:42"/>
    <s v="Interno"/>
    <n v="27"/>
    <d v="2025-06-30T00:00:00"/>
    <n v="27"/>
    <d v="2025-06-30T00:00:00"/>
    <n v="2.0849537031608634E-3"/>
    <n v="2025"/>
    <n v="2025"/>
    <s v="2025-06"/>
    <s v="2025-06"/>
  </r>
  <r>
    <s v="ESPC360-19530"/>
    <s v="[PRO] INC056141216 Contrato digitalizado"/>
    <s v=""/>
    <d v="2025-06-30T15:33:35"/>
    <d v="2025-07-07T09:36:20"/>
    <s v="OPERACIONAL"/>
    <s v="SOPORTE"/>
    <s v="NO-CUSTOMER360"/>
    <s v="C360_Team_Mtto"/>
    <s v="Medium"/>
    <s v="CERRADO"/>
    <s v=""/>
    <x v="1"/>
    <x v="2"/>
    <d v="2025-06-30T15:33:35"/>
    <d v="2025-07-07T09:36:20"/>
    <s v="Externo"/>
    <n v="27"/>
    <d v="2025-06-30T00:00:00"/>
    <n v="28"/>
    <d v="2025-07-07T00:00:00"/>
    <n v="6.7519175462948624"/>
    <n v="2025"/>
    <n v="2025"/>
    <s v="2025-06"/>
    <s v="2025-07"/>
  </r>
  <r>
    <s v="ESPC360-19532"/>
    <s v="[PRO] [ADN-Cliente] INC056052288 - Aparece relación en fondo dado de baja"/>
    <s v="Fondos"/>
    <d v="2025-06-30T16:54:51"/>
    <d v="2025-07-01T10:34:53"/>
    <s v="OPERACIONAL"/>
    <s v="SOPORTE"/>
    <s v="NO-CUSTOMER360"/>
    <s v="C360_Team_Mtto"/>
    <s v="Medium"/>
    <s v="CERRADO"/>
    <s v=""/>
    <x v="1"/>
    <x v="2"/>
    <d v="2025-06-30T16:54:51"/>
    <d v="2025-07-01T10:34:53"/>
    <s v="Externo"/>
    <n v="27"/>
    <d v="2025-06-30T00:00:00"/>
    <n v="27"/>
    <d v="2025-06-30T00:00:00"/>
    <n v="0.73614334490412148"/>
    <n v="2025"/>
    <n v="2025"/>
    <s v="2025-06"/>
    <s v="2025-06"/>
  </r>
  <r>
    <s v="ESPC360-19542"/>
    <s v="[PRO] [Seguros] INC056187888 - No se muestra Póliza: 710510023397"/>
    <s v="Seguros"/>
    <d v="2025-07-01T13:56:22"/>
    <d v="2025-07-07T09:31:49"/>
    <s v="OPERACIONAL"/>
    <s v="SOPORTE"/>
    <s v="NO-CUSTOMER360"/>
    <s v="C360_Team_Mtto"/>
    <s v="Medium"/>
    <s v="CERRADO"/>
    <s v=""/>
    <x v="1"/>
    <x v="2"/>
    <d v="2025-07-01T13:56:22"/>
    <d v="2025-07-07T09:31:49"/>
    <s v="Externo"/>
    <n v="27"/>
    <d v="2025-06-30T00:00:00"/>
    <n v="28"/>
    <d v="2025-07-07T00:00:00"/>
    <n v="5.8162854050897295"/>
    <n v="2025"/>
    <n v="2025"/>
    <s v="2025-06"/>
    <s v="2025-07"/>
  </r>
  <r>
    <s v="ESPC360-19546"/>
    <s v="[PRO] [Mov. Cuentas] INC056200081 - No se visualizan ingreso"/>
    <s v="Movimientos Cuentas"/>
    <d v="2025-07-02T08:31:04"/>
    <d v="2025-07-02T11:31:56"/>
    <s v="OPERACIONAL"/>
    <s v="SOPORTE"/>
    <s v=""/>
    <s v="C360_Team_Mtto"/>
    <s v="Medium"/>
    <s v="CERRADO"/>
    <s v=""/>
    <x v="1"/>
    <x v="2"/>
    <d v="2025-07-02T08:31:04"/>
    <d v="2025-07-02T11:31:56"/>
    <s v="Externo"/>
    <n v="27"/>
    <d v="2025-06-30T00:00:00"/>
    <n v="27"/>
    <d v="2025-06-30T00:00:00"/>
    <n v="0.12559813657571794"/>
    <n v="2025"/>
    <n v="2025"/>
    <s v="2025-06"/>
    <s v="2025-06"/>
  </r>
  <r>
    <s v="ESPC360-19547"/>
    <s v="[PRO] [Préstamos] La tabla de opening tiene una estructura diferente a la que indicaron"/>
    <s v=""/>
    <d v="2025-07-02T08:54:13"/>
    <d v="2025-08-06T12:08:55"/>
    <s v="OPERACIONAL"/>
    <s v="DEFINICIÓN"/>
    <s v=""/>
    <s v="C360_Team_Mtto"/>
    <s v="Medium"/>
    <s v="CERRADO"/>
    <s v=""/>
    <x v="2"/>
    <x v="3"/>
    <d v="2025-07-02T08:54:13"/>
    <d v="2025-08-06T12:08:55"/>
    <s v="Externo"/>
    <n v="27"/>
    <d v="2025-06-30T00:00:00"/>
    <n v="32"/>
    <d v="2025-08-04T00:00:00"/>
    <n v="35.135206168983132"/>
    <n v="2025"/>
    <n v="2025"/>
    <s v="2025-06"/>
    <s v="2025-08"/>
  </r>
  <r>
    <s v="ESPC360-19549"/>
    <s v="[PRO] [Fondos] INC056222137 - NO APARECE EL FONDO EUROCRÉDITO 0049 4684    0010431 823"/>
    <s v="Fondos"/>
    <d v="2025-07-02T11:58:04"/>
    <d v="2025-07-02T12:10:04"/>
    <s v="OPERACIONAL"/>
    <s v="TÉCNICO"/>
    <s v=""/>
    <s v="C360_Team_Mtto"/>
    <s v="Medium"/>
    <s v="CERRADO"/>
    <s v=""/>
    <x v="1"/>
    <x v="0"/>
    <d v="2025-07-02T11:58:04"/>
    <d v="2025-07-02T12:10:04"/>
    <s v="Interno"/>
    <n v="27"/>
    <d v="2025-06-30T00:00:00"/>
    <n v="27"/>
    <d v="2025-06-30T00:00:00"/>
    <n v="8.3262037005624734E-3"/>
    <n v="2025"/>
    <n v="2025"/>
    <s v="2025-06"/>
    <s v="2025-06"/>
  </r>
  <r>
    <s v="ESPC360-19552"/>
    <s v="[PRO] [Depósitos] INC056192814 - Saldo duplicado en ADN"/>
    <s v="Depósitos"/>
    <d v="2025-07-02T13:45:48"/>
    <d v="2025-07-07T09:37:21"/>
    <s v="OPERACIONAL"/>
    <s v="TÉCNICO"/>
    <s v=""/>
    <s v="C360_Team_Mtto"/>
    <s v="Medium"/>
    <s v="CERRADO"/>
    <s v=""/>
    <x v="1"/>
    <x v="0"/>
    <d v="2025-07-02T13:45:48"/>
    <d v="2025-07-07T09:37:21"/>
    <s v="Interno"/>
    <n v="27"/>
    <d v="2025-06-30T00:00:00"/>
    <n v="28"/>
    <d v="2025-07-07T00:00:00"/>
    <n v="4.8274628819417558"/>
    <n v="2025"/>
    <n v="2025"/>
    <s v="2025-06"/>
    <s v="2025-07"/>
  </r>
  <r>
    <s v="ESPC360-19565"/>
    <s v="[PRO] [Mov. Cuentas] INC056274778 - Descripción errónea"/>
    <s v="Movimientos Cuentas"/>
    <d v="2025-07-03T12:30:31"/>
    <d v="2025-07-07T09:38:12"/>
    <s v="OPERACIONAL"/>
    <s v="TÉCNICO"/>
    <s v=""/>
    <s v="C360_Team_Mtto"/>
    <s v="Medium"/>
    <s v="CERRADO"/>
    <s v=""/>
    <x v="1"/>
    <x v="0"/>
    <d v="2025-07-03T12:30:31"/>
    <d v="2025-07-07T09:38:12"/>
    <s v="Interno"/>
    <n v="27"/>
    <d v="2025-06-30T00:00:00"/>
    <n v="28"/>
    <d v="2025-07-07T00:00:00"/>
    <n v="3.8803311458323151"/>
    <n v="2025"/>
    <n v="2025"/>
    <s v="2025-06"/>
    <s v="2025-07"/>
  </r>
  <r>
    <s v="ESPC360-19566"/>
    <s v="[PRO] [Fondos] INC056275762 - Cliente visualiza más fondos de los que ha suscrito"/>
    <s v=""/>
    <d v="2025-07-03T13:44:44"/>
    <d v="2025-07-10T10:03:53"/>
    <s v="OPERACIONAL"/>
    <s v="SOPORTE"/>
    <s v=""/>
    <s v=""/>
    <s v="Medium"/>
    <s v="CERRADO"/>
    <s v=""/>
    <x v="1"/>
    <x v="2"/>
    <d v="2025-07-03T13:44:44"/>
    <d v="2025-07-10T10:03:53"/>
    <s v="Externo"/>
    <n v="27"/>
    <d v="2025-06-30T00:00:00"/>
    <n v="28"/>
    <d v="2025-07-07T00:00:00"/>
    <n v="6.8466356828721473"/>
    <n v="2025"/>
    <n v="2025"/>
    <s v="2025-06"/>
    <s v="2025-07"/>
  </r>
  <r>
    <s v="ESPC360-19604"/>
    <s v="[PRO] [Fondos] INC056277755 - Contratos con estado Pg en lugar de AC"/>
    <s v="Fondos"/>
    <d v="2025-07-04T09:49:39"/>
    <d v="2025-07-07T09:39:24"/>
    <s v="OPERACIONAL"/>
    <s v="TÉCNICO"/>
    <s v="GRAVITY"/>
    <s v="C360_Team_Mtto"/>
    <s v="Medium"/>
    <s v="CERRADO"/>
    <s v=""/>
    <x v="1"/>
    <x v="0"/>
    <d v="2025-07-04T09:49:39"/>
    <d v="2025-07-07T09:39:24"/>
    <s v="Interno"/>
    <n v="27"/>
    <d v="2025-06-30T00:00:00"/>
    <n v="28"/>
    <d v="2025-07-07T00:00:00"/>
    <n v="2.9928766435186844"/>
    <n v="2025"/>
    <n v="2025"/>
    <s v="2025-06"/>
    <s v="2025-07"/>
  </r>
  <r>
    <s v="ESPC360-19606"/>
    <s v="[PRO] [Valores] Error en llamadas a la TRX V6C2'-'L'- de securities-market en la version 1"/>
    <s v="Valores"/>
    <d v="2025-07-04T10:02:36"/>
    <d v="2025-07-23T11:47:24"/>
    <s v="OPERACIONAL"/>
    <s v="DESARROLLO"/>
    <s v=""/>
    <s v="C360_Operacional_Team_1"/>
    <s v="Medium"/>
    <s v="CERRADO"/>
    <s v="C360_Operacional_Sprint 205"/>
    <x v="1"/>
    <x v="1"/>
    <d v="2025-07-04T10:02:36"/>
    <d v="2025-07-23T11:47:24"/>
    <s v="Interno"/>
    <n v="27"/>
    <d v="2025-06-30T00:00:00"/>
    <n v="30"/>
    <d v="2025-07-21T00:00:00"/>
    <n v="19.072779340276611"/>
    <n v="2025"/>
    <n v="2025"/>
    <s v="2025-06"/>
    <s v="2025-07"/>
  </r>
  <r>
    <s v="ESPC360-19629"/>
    <s v="[PRO] [ADN-CLIENTE] INC056371875 - Contrato no se muestra"/>
    <s v="Planes de Pensiones"/>
    <d v="2025-07-07T09:25:13"/>
    <d v="2025-07-09T15:03:45"/>
    <s v="OPERACIONAL"/>
    <s v="SOPORTE"/>
    <s v="NO-CUSTOMER360"/>
    <s v="C360_Team_Mtto"/>
    <s v="Medium"/>
    <s v="CERRADO"/>
    <s v=""/>
    <x v="1"/>
    <x v="2"/>
    <d v="2025-07-07T09:25:13"/>
    <d v="2025-07-09T15:03:45"/>
    <s v="Externo"/>
    <n v="28"/>
    <d v="2025-07-07T00:00:00"/>
    <n v="28"/>
    <d v="2025-07-07T00:00:00"/>
    <n v="2.235091539354471"/>
    <n v="2025"/>
    <n v="2025"/>
    <s v="2025-07"/>
    <s v="2025-07"/>
  </r>
  <r>
    <s v="ESPC360-19639"/>
    <s v="[PRO] [Mov. Cuentas] INC056375109 - Errores 500 esporádicos tras llamada a API de movimientos de ADN360 en PRO"/>
    <s v="Movimientos Cuentas"/>
    <d v="2025-07-07T13:13:33"/>
    <d v="2025-07-07T13:18:13"/>
    <s v="OPERACIONAL"/>
    <s v="SOPORTE"/>
    <s v=""/>
    <s v="C360_Team_Mtto"/>
    <s v="Medium"/>
    <s v="CERRADO"/>
    <s v=""/>
    <x v="1"/>
    <x v="2"/>
    <d v="2025-07-07T13:13:33"/>
    <d v="2025-07-07T13:18:13"/>
    <s v="Externo"/>
    <n v="28"/>
    <d v="2025-07-07T00:00:00"/>
    <n v="28"/>
    <d v="2025-07-07T00:00:00"/>
    <n v="3.2449999998789281E-3"/>
    <n v="2025"/>
    <n v="2025"/>
    <s v="2025-07"/>
    <s v="2025-07"/>
  </r>
  <r>
    <s v="ESPC360-19648"/>
    <s v="[PRO] [Seguros] INC056407190 -  No aparece contrato de rentas"/>
    <s v="Seguros"/>
    <d v="2025-07-08T09:59:50"/>
    <d v="2025-07-17T09:41:26"/>
    <s v="OPERACIONAL"/>
    <s v="SOPORTE"/>
    <s v="NO_CUSTOMER360"/>
    <s v="C360_Team_Mtto"/>
    <s v="Medium"/>
    <s v="CERRADO"/>
    <s v=""/>
    <x v="1"/>
    <x v="2"/>
    <d v="2025-07-08T09:59:50"/>
    <d v="2025-07-17T09:41:26"/>
    <s v="Externo"/>
    <n v="28"/>
    <d v="2025-07-07T00:00:00"/>
    <n v="29"/>
    <d v="2025-07-14T00:00:00"/>
    <n v="8.9872192476832424"/>
    <n v="2025"/>
    <n v="2025"/>
    <s v="2025-07"/>
    <s v="2025-07"/>
  </r>
  <r>
    <s v="ESPC360-19661"/>
    <s v="[PRO] [DERIVADOS] - INC056306826 INCIDENCIA POSICION DERIVADOS EN ADN - FRUTAS IBEROS S.L. (J-004244079)"/>
    <s v="Derivados"/>
    <d v="2025-07-09T10:53:43"/>
    <d v="2025-07-15T12:13:52"/>
    <s v="OPERACIONAL"/>
    <s v="SOPORTE"/>
    <s v="NO_CUSTOMER360"/>
    <s v="C360_Team_Mtto"/>
    <s v="Medium"/>
    <s v="CERRADO"/>
    <s v=""/>
    <x v="1"/>
    <x v="2"/>
    <d v="2025-07-09T10:53:43"/>
    <d v="2025-07-15T12:13:52"/>
    <s v="Externo"/>
    <n v="28"/>
    <d v="2025-07-07T00:00:00"/>
    <n v="29"/>
    <d v="2025-07-14T00:00:00"/>
    <n v="6.0556563888894743"/>
    <n v="2025"/>
    <n v="2025"/>
    <s v="2025-07"/>
    <s v="2025-07"/>
  </r>
  <r>
    <s v="ESPC360-19662"/>
    <s v="[PRO] [Cuentas] El KStream de relcontratos está apuntando a la colección cuentas_creditos_contratos_v199_0"/>
    <s v=""/>
    <d v="2025-07-09T11:02:12"/>
    <d v="2025-07-23T11:47:29"/>
    <s v="OPERACIONAL"/>
    <s v="DESARROLLO"/>
    <s v=""/>
    <s v="C360_Operacional_Team_1"/>
    <s v="Medium"/>
    <s v="CERRADO"/>
    <s v="C360_Operacional_Sprint 206"/>
    <x v="2"/>
    <x v="1"/>
    <d v="2025-07-09T11:02:12"/>
    <d v="2025-07-23T11:47:29"/>
    <s v="Interno"/>
    <n v="28"/>
    <d v="2025-07-07T00:00:00"/>
    <n v="30"/>
    <d v="2025-07-21T00:00:00"/>
    <n v="14.031448576388357"/>
    <n v="2025"/>
    <n v="2025"/>
    <s v="2025-07"/>
    <s v="2025-07"/>
  </r>
  <r>
    <s v="ESPC360-19663"/>
    <s v="[PRO][RENTING] INC056235393 - PEX_0038766593 F-26155742 le sale una exclamación"/>
    <s v="Renting"/>
    <d v="2025-07-09T11:05:48"/>
    <d v="2025-07-09T11:08:46"/>
    <s v="OPERACIONAL"/>
    <s v="SOPORTE"/>
    <s v="NO_CUSTOMER360"/>
    <s v="C360_Team_Mtto"/>
    <s v="Medium"/>
    <s v="CERRADO"/>
    <s v=""/>
    <x v="1"/>
    <x v="2"/>
    <d v="2025-07-09T11:05:48"/>
    <d v="2025-07-09T11:08:46"/>
    <s v="Externo"/>
    <n v="28"/>
    <d v="2025-07-07T00:00:00"/>
    <n v="28"/>
    <d v="2025-07-07T00:00:00"/>
    <n v="2.0554398142849095E-3"/>
    <n v="2025"/>
    <n v="2025"/>
    <s v="2025-07"/>
    <s v="2025-07"/>
  </r>
  <r>
    <s v="ESPC360-19686"/>
    <s v="[PRO] [ADN-CLIENTE] INC056478477 - Error de Confidencialidad"/>
    <s v="Confidencialidad"/>
    <d v="2025-07-10T11:55:31"/>
    <d v="2025-07-11T14:13:49"/>
    <s v="OPERACIONAL"/>
    <s v="SOPORTE"/>
    <s v="NO-CUSTOMER360"/>
    <s v="C360_Team_Mtto"/>
    <s v="Medium"/>
    <s v="CERRADO"/>
    <s v=""/>
    <x v="1"/>
    <x v="2"/>
    <d v="2025-07-10T11:55:31"/>
    <d v="2025-07-11T14:13:49"/>
    <s v="Externo"/>
    <n v="28"/>
    <d v="2025-07-07T00:00:00"/>
    <n v="28"/>
    <d v="2025-07-07T00:00:00"/>
    <n v="1.0960479282439337"/>
    <n v="2025"/>
    <n v="2025"/>
    <s v="2025-07"/>
    <s v="2025-07"/>
  </r>
  <r>
    <s v="ESPC360-19771"/>
    <s v="[PRO] [Comex] INC056509952 - Aparecen créditos documentarios que están pagados"/>
    <s v="Comex"/>
    <d v="2025-07-14T09:12:57"/>
    <d v="2025-07-29T12:17:51"/>
    <s v="OPERACIONAL"/>
    <s v="SOPORTE"/>
    <s v=""/>
    <s v="C360_Team_Mtto"/>
    <s v="Medium"/>
    <s v="CERRADO"/>
    <s v=""/>
    <x v="1"/>
    <x v="2"/>
    <d v="2025-07-14T09:12:57"/>
    <d v="2025-07-29T12:17:51"/>
    <s v="Externo"/>
    <n v="29"/>
    <d v="2025-07-14T00:00:00"/>
    <n v="31"/>
    <d v="2025-07-28T00:00:00"/>
    <n v="15.128399513887416"/>
    <n v="2025"/>
    <n v="2025"/>
    <s v="2025-07"/>
    <s v="2025-07"/>
  </r>
  <r>
    <s v="ESPC360-19772"/>
    <s v="[PRE] [PMP] [Consultas] Consulta a la hora de llamar a la cesta de aval comercial de una PMP"/>
    <s v="Póliza Multiproducto (PMP)"/>
    <d v="2025-07-14T10:47:15"/>
    <d v="2025-08-06T12:08:55"/>
    <s v="OPERACIONAL"/>
    <s v="DESARROLLO"/>
    <s v=""/>
    <s v="C360_Team_Mtto"/>
    <s v="Medium"/>
    <s v="CERRADO"/>
    <s v=""/>
    <x v="0"/>
    <x v="1"/>
    <d v="2025-07-14T10:47:15"/>
    <d v="2025-08-06T12:08:55"/>
    <s v="Interno"/>
    <n v="29"/>
    <d v="2025-07-14T00:00:00"/>
    <n v="32"/>
    <d v="2025-08-04T00:00:00"/>
    <n v="23.056710162032687"/>
    <n v="2025"/>
    <n v="2025"/>
    <s v="2025-07"/>
    <s v="2025-08"/>
  </r>
  <r>
    <s v="ESPC360-19773"/>
    <s v="[PRO] [Seguros] INC056579901 - póliza anulada esta renovada"/>
    <s v="Seguros"/>
    <d v="2025-07-14T11:28:21"/>
    <d v="2025-07-29T12:18:35"/>
    <s v="OPERACIONAL"/>
    <s v="SOPORTE"/>
    <s v=""/>
    <s v="C360_Team_Mtto"/>
    <s v="Medium"/>
    <s v="CERRADO"/>
    <s v=""/>
    <x v="1"/>
    <x v="2"/>
    <d v="2025-07-14T11:28:21"/>
    <d v="2025-07-29T12:18:35"/>
    <s v="Externo"/>
    <n v="29"/>
    <d v="2025-07-14T00:00:00"/>
    <n v="31"/>
    <d v="2025-07-28T00:00:00"/>
    <n v="15.034890486109362"/>
    <n v="2025"/>
    <n v="2025"/>
    <s v="2025-07"/>
    <s v="2025-07"/>
  </r>
  <r>
    <s v="ESPC360-19775"/>
    <s v="0265cle0000001  han desaparecido las cuentas"/>
    <s v=""/>
    <d v="2025-07-14T14:50:00"/>
    <d v="2025-07-15T14:42:17"/>
    <s v="OPERACIONAL"/>
    <s v="SOPORTE"/>
    <s v=""/>
    <s v=""/>
    <s v="Medium"/>
    <s v="CANCELADO"/>
    <s v=""/>
    <x v="2"/>
    <x v="2"/>
    <d v="2025-07-14T14:50:00"/>
    <d v="2025-07-15T14:42:17"/>
    <s v="Externo"/>
    <n v="29"/>
    <d v="2025-07-14T00:00:00"/>
    <n v="29"/>
    <d v="2025-07-14T00:00:00"/>
    <n v="0.99463606481003808"/>
    <n v="2025"/>
    <n v="2025"/>
    <s v="2025-07"/>
    <s v="2025-07"/>
  </r>
  <r>
    <s v="ESPC360-19776"/>
    <s v="[Consulta] Comparativa de incidencias entre primer semestre de 2024 y 2025"/>
    <s v=""/>
    <d v="2025-07-15T07:52:42"/>
    <d v="2025-07-24T08:31:12"/>
    <s v="OPERACIONAL"/>
    <s v="SOPORTE"/>
    <s v=""/>
    <s v="C360_Team_Mtto"/>
    <s v="Medium"/>
    <s v="CERRADO"/>
    <s v=""/>
    <x v="2"/>
    <x v="2"/>
    <d v="2025-07-15T07:52:42"/>
    <d v="2025-07-24T08:31:12"/>
    <s v="Externo"/>
    <n v="29"/>
    <d v="2025-07-14T00:00:00"/>
    <n v="30"/>
    <d v="2025-07-21T00:00:00"/>
    <n v="9.0267397800926119"/>
    <n v="2025"/>
    <n v="2025"/>
    <s v="2025-07"/>
    <s v="2025-07"/>
  </r>
  <r>
    <s v="ESPC360-19780"/>
    <s v="[PRO] [NWE] INC056277343 - ¿PODÉIS REVISAR LA INCIDENCIA DEL MAIL ADJUNTO?"/>
    <s v=""/>
    <d v="2025-07-15T10:30:02"/>
    <d v="2025-07-21T08:36:34"/>
    <s v="OPERACIONAL"/>
    <s v="SOPORTE"/>
    <s v="NO-CUSTOMER360"/>
    <s v="C360_Team_Mtto"/>
    <s v="Medium"/>
    <s v="CERRADO"/>
    <s v=""/>
    <x v="1"/>
    <x v="2"/>
    <d v="2025-07-15T10:30:02"/>
    <d v="2025-07-21T08:36:34"/>
    <s v="Externo"/>
    <n v="29"/>
    <d v="2025-07-14T00:00:00"/>
    <n v="30"/>
    <d v="2025-07-21T00:00:00"/>
    <n v="5.9212104861144326"/>
    <n v="2025"/>
    <n v="2025"/>
    <s v="2025-07"/>
    <s v="2025-07"/>
  </r>
  <r>
    <s v="ESPC360-19788"/>
    <s v="[PRO] [Depósitos] INC056615851 - Saldo incorrecto"/>
    <s v="Depósitos"/>
    <d v="2025-07-15T11:45:43"/>
    <d v="2025-07-18T13:44:52"/>
    <s v="OPERACIONAL"/>
    <s v="DESARROLLO"/>
    <s v=""/>
    <s v="C360_Team_Mtto"/>
    <s v="Medium"/>
    <s v="CERRADO"/>
    <s v=""/>
    <x v="1"/>
    <x v="1"/>
    <d v="2025-07-15T11:45:43"/>
    <d v="2025-07-18T13:44:52"/>
    <s v="Interno"/>
    <n v="29"/>
    <d v="2025-07-14T00:00:00"/>
    <n v="29"/>
    <d v="2025-07-14T00:00:00"/>
    <n v="3.082734479168721"/>
    <n v="2025"/>
    <n v="2025"/>
    <s v="2025-07"/>
    <s v="2025-07"/>
  </r>
  <r>
    <s v="ESPC360-19802"/>
    <s v="0265cle0000001  han desaparecido las cuentas"/>
    <s v=""/>
    <d v="2025-07-15T14:32:53"/>
    <d v="2025-07-15T14:40:48"/>
    <s v="OPERACIONAL"/>
    <s v="SOPORTE"/>
    <s v=""/>
    <s v=""/>
    <s v="Medium"/>
    <s v="CANCELADO"/>
    <s v=""/>
    <x v="2"/>
    <x v="2"/>
    <d v="2025-07-15T14:32:53"/>
    <d v="2025-07-15T14:40:48"/>
    <s v="Externo"/>
    <n v="29"/>
    <d v="2025-07-14T00:00:00"/>
    <n v="29"/>
    <d v="2025-07-14T00:00:00"/>
    <n v="5.490208335686475E-3"/>
    <n v="2025"/>
    <n v="2025"/>
    <s v="2025-07"/>
    <s v="2025-07"/>
  </r>
  <r>
    <s v="ESPC360-19817"/>
    <s v="[PRO] [Cuentas] INC056611570 - Error al traspasar el bizum"/>
    <s v=""/>
    <d v="2025-07-16T08:47:37"/>
    <d v="2025-07-16T11:28:30"/>
    <s v="OPERACIONAL"/>
    <s v="SOPORTE"/>
    <s v=""/>
    <s v=""/>
    <s v="Medium"/>
    <s v="CANCELADO"/>
    <s v=""/>
    <x v="2"/>
    <x v="2"/>
    <d v="2025-07-16T08:47:37"/>
    <d v="2025-07-16T11:28:30"/>
    <s v="Externo"/>
    <n v="29"/>
    <d v="2025-07-14T00:00:00"/>
    <n v="29"/>
    <d v="2025-07-14T00:00:00"/>
    <n v="0.11171667824237375"/>
    <n v="2025"/>
    <n v="2025"/>
    <s v="2025-07"/>
    <s v="2025-07"/>
  </r>
  <r>
    <s v="ESPC360-19822"/>
    <s v="[PRO] [Cuentas] INC056611570 - APP/ Error &quot;Lo sentimos no se puede completar la operación&quot; al intentar modificar la cuenta vinculada a Bizum"/>
    <s v="Cuentas"/>
    <d v="2025-07-16T09:57:35"/>
    <d v="2025-07-21T13:03:37"/>
    <s v="OPERACIONAL"/>
    <s v="SOPORTE"/>
    <s v=""/>
    <s v="C360_Team_Mtto"/>
    <s v="Medium"/>
    <s v="CERRADO"/>
    <s v=""/>
    <x v="1"/>
    <x v="2"/>
    <d v="2025-07-16T09:57:35"/>
    <d v="2025-07-21T13:03:37"/>
    <s v="Externo"/>
    <n v="29"/>
    <d v="2025-07-14T00:00:00"/>
    <n v="30"/>
    <d v="2025-07-21T00:00:00"/>
    <n v="5.1291918055503629"/>
    <n v="2025"/>
    <n v="2025"/>
    <s v="2025-07"/>
    <s v="2025-07"/>
  </r>
  <r>
    <s v="ESPC360-19833"/>
    <s v="[PRO] [Tarjetas] INC056658335 - El saldo dispuesto en adn no es es 0 y no es correcto ."/>
    <s v="Tarjetas"/>
    <d v="2025-07-17T09:45:26"/>
    <d v="2025-07-29T12:19:45"/>
    <s v="OPERACIONAL"/>
    <s v="SOPORTE"/>
    <s v=""/>
    <s v="C360_Team_Mtto"/>
    <s v="Medium"/>
    <s v="CERRADO"/>
    <s v=""/>
    <x v="1"/>
    <x v="2"/>
    <d v="2025-07-17T09:45:26"/>
    <d v="2025-07-29T12:19:45"/>
    <s v="Externo"/>
    <n v="29"/>
    <d v="2025-07-14T00:00:00"/>
    <n v="31"/>
    <d v="2025-07-28T00:00:00"/>
    <n v="12.107173715281533"/>
    <n v="2025"/>
    <n v="2025"/>
    <s v="2025-07"/>
    <s v="2025-07"/>
  </r>
  <r>
    <s v="ESPC360-19834"/>
    <s v="[PRO] [Cuentas] INC056626210 - No aparece cuenta para contratar fondo"/>
    <s v="Cuentas"/>
    <d v="2025-07-17T10:34:45"/>
    <d v="2025-07-22T12:04:17"/>
    <s v="OPERACIONAL"/>
    <s v="SOPORTE"/>
    <s v=""/>
    <s v="C360_Team_Mtto"/>
    <s v="Medium"/>
    <s v="CERRADO"/>
    <s v=""/>
    <x v="1"/>
    <x v="2"/>
    <d v="2025-07-17T10:34:45"/>
    <d v="2025-07-22T12:04:17"/>
    <s v="Externo"/>
    <n v="29"/>
    <d v="2025-07-14T00:00:00"/>
    <n v="30"/>
    <d v="2025-07-21T00:00:00"/>
    <n v="5.0621804166657967"/>
    <n v="2025"/>
    <n v="2025"/>
    <s v="2025-07"/>
    <s v="2025-07"/>
  </r>
  <r>
    <s v="ESPC360-19835"/>
    <s v="[PRO] [Procesos] INC056674780 - Ha fallado el proceso PADN164D"/>
    <s v=""/>
    <d v="2025-07-17T11:26:54"/>
    <d v="2025-07-18T10:22:34"/>
    <s v="OPERACIONAL"/>
    <s v="SOPORTE"/>
    <s v="PROCESOS"/>
    <s v="C360_Team_Mtto"/>
    <s v="Medium"/>
    <s v="CERRADO"/>
    <s v=""/>
    <x v="1"/>
    <x v="2"/>
    <d v="2025-07-17T11:26:54"/>
    <d v="2025-07-18T10:22:34"/>
    <s v="Externo"/>
    <n v="29"/>
    <d v="2025-07-14T00:00:00"/>
    <n v="29"/>
    <d v="2025-07-14T00:00:00"/>
    <n v="0.95532101851858897"/>
    <n v="2025"/>
    <n v="2025"/>
    <s v="2025-07"/>
    <s v="2025-07"/>
  </r>
  <r>
    <s v="ESPC360-19887"/>
    <s v="[Customer Position] - Corrección typeCode en tarjetas de débito"/>
    <s v=""/>
    <d v="2025-07-17T14:36:07"/>
    <d v="2025-07-31T12:02:47"/>
    <s v="OPERACIONAL"/>
    <s v="DESARROLLO"/>
    <s v=""/>
    <s v="C360_Operacional_Team_1"/>
    <s v="Medium"/>
    <s v="CERRADO"/>
    <s v="C360_Operacional_Sprint 207"/>
    <x v="2"/>
    <x v="1"/>
    <d v="2025-07-17T14:36:07"/>
    <d v="2025-07-31T12:02:47"/>
    <s v="Interno"/>
    <n v="29"/>
    <d v="2025-07-14T00:00:00"/>
    <n v="31"/>
    <d v="2025-07-28T00:00:00"/>
    <n v="13.893521168982261"/>
    <n v="2025"/>
    <n v="2025"/>
    <s v="2025-07"/>
    <s v="2025-07"/>
  </r>
  <r>
    <s v="ESPC360-19911"/>
    <s v="[PRO] [ADN-Cliente]  INC056729068 - Baja adn redes"/>
    <s v=""/>
    <d v="2025-07-18T11:45:04"/>
    <d v="2025-07-18T11:53:40"/>
    <s v="OPERACIONAL"/>
    <s v="SOPORTE"/>
    <s v="NO-CUSTOMER360"/>
    <s v="C360_Team_Mtto"/>
    <s v="Medium"/>
    <s v="CERRADO"/>
    <s v=""/>
    <x v="1"/>
    <x v="2"/>
    <d v="2025-07-18T11:45:04"/>
    <d v="2025-07-18T11:53:40"/>
    <s v="Externo"/>
    <n v="29"/>
    <d v="2025-07-14T00:00:00"/>
    <n v="29"/>
    <d v="2025-07-14T00:00:00"/>
    <n v="5.9707523178076372E-3"/>
    <n v="2025"/>
    <n v="2025"/>
    <s v="2025-07"/>
    <s v="2025-07"/>
  </r>
  <r>
    <s v="ESPC360-19913"/>
    <s v="[PRO] [Préstamos] INC056730117 - Fecha de vencimiento errónea"/>
    <s v="Préstamos"/>
    <d v="2025-07-18T13:26:57"/>
    <d v="2025-07-29T12:20:18"/>
    <s v="OPERACIONAL"/>
    <s v="SOPORTE"/>
    <s v=""/>
    <s v="C360_Team_Mtto"/>
    <s v="Medium"/>
    <s v="CERRADO"/>
    <s v=""/>
    <x v="1"/>
    <x v="2"/>
    <d v="2025-07-18T13:26:57"/>
    <d v="2025-07-29T12:20:18"/>
    <s v="Externo"/>
    <n v="29"/>
    <d v="2025-07-14T00:00:00"/>
    <n v="31"/>
    <d v="2025-07-28T00:00:00"/>
    <n v="10.953720659716055"/>
    <n v="2025"/>
    <n v="2025"/>
    <s v="2025-07"/>
    <s v="2025-07"/>
  </r>
  <r>
    <s v="ESPC360-19914"/>
    <s v="[PRO][Cuentas] INC056733427 - Cuentas Con saldo 0"/>
    <s v="Cuentas"/>
    <d v="2025-07-21T08:34:58"/>
    <d v="2025-07-22T12:02:12"/>
    <s v="OPERACIONAL"/>
    <s v="SOPORTE"/>
    <s v=""/>
    <s v="C360_Team_Mtto"/>
    <s v="Medium"/>
    <s v="CERRADO"/>
    <s v=""/>
    <x v="1"/>
    <x v="2"/>
    <d v="2025-07-21T08:34:58"/>
    <d v="2025-07-22T12:02:12"/>
    <s v="Externo"/>
    <n v="30"/>
    <d v="2025-07-21T00:00:00"/>
    <n v="30"/>
    <d v="2025-07-21T00:00:00"/>
    <n v="1.1439116319452296"/>
    <n v="2025"/>
    <n v="2025"/>
    <s v="2025-07"/>
    <s v="2025-07"/>
  </r>
  <r>
    <s v="ESPC360-19919"/>
    <s v="PRO [Seguros] INC056813177 - Póliza no activa en ADN360"/>
    <s v="Seguros"/>
    <d v="2025-07-21T11:50:31"/>
    <d v="2025-07-22T11:59:48"/>
    <s v="OPERACIONAL"/>
    <s v="SOPORTE"/>
    <s v="NO-CUSTOMER360"/>
    <s v="C360_Team_Mtto"/>
    <s v="Medium"/>
    <s v="CERRADO"/>
    <s v=""/>
    <x v="1"/>
    <x v="2"/>
    <d v="2025-07-21T11:50:31"/>
    <d v="2025-07-22T11:59:48"/>
    <s v="Externo"/>
    <n v="30"/>
    <d v="2025-07-21T00:00:00"/>
    <n v="30"/>
    <d v="2025-07-21T00:00:00"/>
    <n v="1.0064358564777649"/>
    <n v="2025"/>
    <n v="2025"/>
    <s v="2025-07"/>
    <s v="2025-07"/>
  </r>
  <r>
    <s v="ESPC360-19921"/>
    <s v="Titulo de prueba para BUG desde API 2"/>
    <s v=""/>
    <d v="2025-07-21T14:44:40"/>
    <d v="2025-07-21T14:57:20"/>
    <s v="OPERACIONAL"/>
    <s v="SOPORTE"/>
    <s v=""/>
    <s v=""/>
    <s v="Medium"/>
    <s v="CANCELADO"/>
    <s v=""/>
    <x v="2"/>
    <x v="2"/>
    <d v="2025-07-21T14:44:40"/>
    <d v="2025-07-21T14:57:20"/>
    <s v="Externo"/>
    <n v="30"/>
    <d v="2025-07-21T00:00:00"/>
    <n v="30"/>
    <d v="2025-07-21T00:00:00"/>
    <n v="8.7979050949797966E-3"/>
    <n v="2025"/>
    <n v="2025"/>
    <s v="2025-07"/>
    <s v="2025-07"/>
  </r>
  <r>
    <s v="ESPC360-19922"/>
    <s v="[PRO][SEGUROS] [INC056817268] - PEX_0039131146  kibot nif 01176646N"/>
    <s v="Seguros"/>
    <d v="2025-07-21T14:48:21"/>
    <d v="2025-07-23T10:03:26"/>
    <s v="OPERACIONAL"/>
    <s v="SOPORTE"/>
    <s v=""/>
    <s v="C360_Team_Mtto"/>
    <s v="Medium"/>
    <s v="CERRADO"/>
    <s v=""/>
    <x v="1"/>
    <x v="2"/>
    <d v="2025-07-21T14:48:21"/>
    <d v="2025-07-23T10:03:26"/>
    <s v="Externo"/>
    <n v="30"/>
    <d v="2025-07-21T00:00:00"/>
    <n v="30"/>
    <d v="2025-07-21T00:00:00"/>
    <n v="1.8021411805530079"/>
    <n v="2025"/>
    <n v="2025"/>
    <s v="2025-07"/>
    <s v="2025-07"/>
  </r>
  <r>
    <s v="ESPC360-19928"/>
    <s v="[Customer Position] - Corrección saldo tarjetas prepago"/>
    <s v=""/>
    <d v="2025-07-22T14:36:55"/>
    <d v="2025-08-06T12:11:02"/>
    <s v="OPERACIONAL"/>
    <s v="DESARROLLO"/>
    <s v=""/>
    <s v="C360_Operacional_Team_1"/>
    <s v="Medium"/>
    <s v="CERRADO"/>
    <s v="C360_Operacional_Sprint 207"/>
    <x v="2"/>
    <x v="1"/>
    <d v="2025-07-22T14:36:55"/>
    <d v="2025-08-06T12:11:02"/>
    <s v="Interno"/>
    <n v="30"/>
    <d v="2025-07-21T00:00:00"/>
    <n v="32"/>
    <d v="2025-08-04T00:00:00"/>
    <n v="14.898695555551967"/>
    <n v="2025"/>
    <n v="2025"/>
    <s v="2025-07"/>
    <s v="2025-08"/>
  </r>
  <r>
    <s v="ESPC360-19938"/>
    <s v="[PRO] [Cuentas] INC056879485 - No se muestra el ccc"/>
    <s v="Cuentas"/>
    <d v="2025-07-23T10:06:03"/>
    <d v="2025-07-24T10:20:48"/>
    <s v="OPERACIONAL"/>
    <s v="SOPORTE"/>
    <s v=""/>
    <s v="C360_Team_Mtto"/>
    <s v="Medium"/>
    <s v="CERRADO"/>
    <s v=""/>
    <x v="1"/>
    <x v="2"/>
    <d v="2025-07-23T10:06:03"/>
    <d v="2025-07-24T10:20:48"/>
    <s v="Externo"/>
    <n v="30"/>
    <d v="2025-07-21T00:00:00"/>
    <n v="30"/>
    <d v="2025-07-21T00:00:00"/>
    <n v="1.0102466666648979"/>
    <n v="2025"/>
    <n v="2025"/>
    <s v="2025-07"/>
    <s v="2025-07"/>
  </r>
  <r>
    <s v="ESPC360-19939"/>
    <s v="PRO [PMP] - INC056884368 - No se traspasa el saldo a ADN360"/>
    <s v="Créditos;Póliza Multiproducto (PMP)"/>
    <d v="2025-07-23T12:27:42"/>
    <d v="2025-07-23T12:40:56"/>
    <s v="OPERACIONAL"/>
    <s v="SOPORTE"/>
    <s v=""/>
    <s v="C360_Team_Mtto"/>
    <s v="Medium"/>
    <s v="CERRADO"/>
    <s v=""/>
    <x v="1"/>
    <x v="2"/>
    <d v="2025-07-23T12:27:42"/>
    <d v="2025-07-23T12:40:56"/>
    <s v="Externo"/>
    <n v="30"/>
    <d v="2025-07-21T00:00:00"/>
    <n v="30"/>
    <d v="2025-07-21T00:00:00"/>
    <n v="9.1971527799614705E-3"/>
    <n v="2025"/>
    <n v="2025"/>
    <s v="2025-07"/>
    <s v="2025-07"/>
  </r>
  <r>
    <s v="ESPC360-19942"/>
    <s v="[Customer Position] - Corrección de los saldos de cuentas/créditos"/>
    <s v=""/>
    <d v="2025-07-24T08:32:18"/>
    <d v="2025-07-31T12:02:51"/>
    <s v="OPERACIONAL"/>
    <s v="DEFINICIÓN"/>
    <s v=""/>
    <s v="C360_Operacional_Team_1"/>
    <s v="Medium"/>
    <s v="CERRADO"/>
    <s v="C360_Operacional_Sprint 207"/>
    <x v="2"/>
    <x v="3"/>
    <d v="2025-07-24T08:32:18"/>
    <d v="2025-07-31T12:02:51"/>
    <s v="Externo"/>
    <n v="30"/>
    <d v="2025-07-21T00:00:00"/>
    <n v="31"/>
    <d v="2025-07-28T00:00:00"/>
    <n v="7.1462159953734954"/>
    <n v="2025"/>
    <n v="2025"/>
    <s v="2025-07"/>
    <s v="2025-07"/>
  </r>
  <r>
    <s v="ESPC360-20030"/>
    <s v="[PRO] [Cuentas] INC056953650 - No aparece cuenta en adn360"/>
    <s v="Cuentas"/>
    <d v="2025-07-28T09:01:44"/>
    <d v="2025-07-28T09:15:18"/>
    <s v="OPERACIONAL"/>
    <s v="SOPORTE"/>
    <s v=""/>
    <s v="C360_Team_Mtto"/>
    <s v="Medium"/>
    <s v="CERRADO"/>
    <s v=""/>
    <x v="1"/>
    <x v="2"/>
    <d v="2025-07-28T09:01:44"/>
    <d v="2025-07-28T09:15:18"/>
    <s v="Externo"/>
    <n v="31"/>
    <d v="2025-07-28T00:00:00"/>
    <n v="31"/>
    <d v="2025-07-28T00:00:00"/>
    <n v="9.4239467580337077E-3"/>
    <n v="2025"/>
    <n v="2025"/>
    <s v="2025-07"/>
    <s v="2025-07"/>
  </r>
  <r>
    <s v="ESPC360-20031"/>
    <s v="[PRO] [Procesos] INC056964003 - Han fallado los procesos de categorización con odate del día 24/07"/>
    <s v=""/>
    <d v="2025-07-28T09:19:32"/>
    <d v="2025-07-30T17:48:44"/>
    <s v="OPERACIONAL"/>
    <s v="REPROCESO"/>
    <s v=""/>
    <s v="C360_Team_Mtto"/>
    <s v="Medium"/>
    <s v="CERRADO"/>
    <s v=""/>
    <x v="1"/>
    <x v="5"/>
    <d v="2025-07-28T09:19:32"/>
    <d v="2025-07-30T17:48:44"/>
    <s v="Interno"/>
    <n v="31"/>
    <d v="2025-07-28T00:00:00"/>
    <n v="31"/>
    <d v="2025-07-28T00:00:00"/>
    <n v="2.3536109606502578"/>
    <n v="2025"/>
    <n v="2025"/>
    <s v="2025-07"/>
    <s v="2025-07"/>
  </r>
  <r>
    <s v="ESPC360-20033"/>
    <s v="[PRO] [ADNCliente] INC056928300  EN ADN Cliente no se muestra rating"/>
    <s v=""/>
    <d v="2025-07-28T09:33:14"/>
    <d v="2025-07-30T13:55:52"/>
    <s v="OPERACIONAL"/>
    <s v="SOPORTE"/>
    <s v="NO-CUSTOMER360"/>
    <s v="C360_Team_Mtto"/>
    <s v="Medium"/>
    <s v="CERRADO"/>
    <s v=""/>
    <x v="1"/>
    <x v="2"/>
    <d v="2025-07-28T09:33:14"/>
    <d v="2025-07-30T13:55:52"/>
    <s v="Externo"/>
    <n v="31"/>
    <d v="2025-07-28T00:00:00"/>
    <n v="31"/>
    <d v="2025-07-28T00:00:00"/>
    <n v="2.1823840277720592"/>
    <n v="2025"/>
    <n v="2025"/>
    <s v="2025-07"/>
    <s v="2025-07"/>
  </r>
  <r>
    <s v="ESPC360-20034"/>
    <s v="[PRO] [Seguros] INC056957061 - Póliza anulada se muestra en ADN360"/>
    <s v="Seguros"/>
    <d v="2025-07-28T09:38:22"/>
    <d v="2025-07-30T09:12:40"/>
    <s v="OPERACIONAL"/>
    <s v="SOPORTE"/>
    <s v="NO-CUSTOMER360"/>
    <s v="C360_Team_Mtto"/>
    <s v="Medium"/>
    <s v="CERRADO"/>
    <s v=""/>
    <x v="1"/>
    <x v="2"/>
    <d v="2025-07-28T09:38:22"/>
    <d v="2025-07-30T09:12:40"/>
    <s v="Externo"/>
    <n v="31"/>
    <d v="2025-07-28T00:00:00"/>
    <n v="31"/>
    <d v="2025-07-28T00:00:00"/>
    <n v="1.9821482638872112"/>
    <n v="2025"/>
    <n v="2025"/>
    <s v="2025-07"/>
    <s v="2025-07"/>
  </r>
  <r>
    <s v="ESPC360-20035"/>
    <s v="[PRO] [Mov. Cuentas] INC057018845 - No se están mostrando todos los movimientos online"/>
    <s v="Recibos"/>
    <d v="2025-07-28T10:40:13"/>
    <d v="2025-07-29T12:20:35"/>
    <s v="OPERACIONAL"/>
    <s v="SOPORTE"/>
    <s v=""/>
    <s v="C360_Team_Mtto"/>
    <s v="Medium"/>
    <s v="CERRADO"/>
    <s v=""/>
    <x v="1"/>
    <x v="2"/>
    <d v="2025-07-28T10:40:13"/>
    <d v="2025-07-29T12:20:35"/>
    <s v="Externo"/>
    <n v="31"/>
    <d v="2025-07-28T00:00:00"/>
    <n v="31"/>
    <d v="2025-07-28T00:00:00"/>
    <n v="1.0697011689844658"/>
    <n v="2025"/>
    <n v="2025"/>
    <s v="2025-07"/>
    <s v="2025-07"/>
  </r>
  <r>
    <s v="ESPC360-20038"/>
    <s v="[PRO] [Valores] Se sigue dando error en llamadas a la TRX V6C2'-'L'- de securities-market en la version 1"/>
    <s v=""/>
    <d v="2025-07-28T13:40:36"/>
    <s v=""/>
    <s v="OPERACIONAL"/>
    <s v="DESARROLLO"/>
    <s v=""/>
    <s v="C360_Operacional_Team_1"/>
    <s v="Medium"/>
    <s v="Ready to Develop"/>
    <s v=""/>
    <x v="2"/>
    <x v="1"/>
    <d v="2025-07-28T13:40:36"/>
    <s v=""/>
    <s v="Interno"/>
    <n v="31"/>
    <d v="2025-07-28T00:00:00"/>
    <e v="#VALUE!"/>
    <e v="#VALUE!"/>
    <e v="#VALUE!"/>
    <n v="2025"/>
    <e v="#VALUE!"/>
    <s v="2025-07"/>
    <e v="#VALUE!"/>
  </r>
  <r>
    <s v="ESPC360-20039"/>
    <s v="[PRO] [Planeta Seguros] INC057022594 Póliza en vigor no aparece en posiciones ADN360"/>
    <s v="Planeta Seguros"/>
    <d v="2025-07-28T14:40:18"/>
    <d v="2025-07-30T15:37:14"/>
    <s v="OPERACIONAL"/>
    <s v="TÉCNICO"/>
    <s v=""/>
    <s v="C360_Team_Mtto"/>
    <s v="Medium"/>
    <s v="CERRADO"/>
    <s v=""/>
    <x v="1"/>
    <x v="0"/>
    <d v="2025-07-28T14:40:18"/>
    <d v="2025-07-30T15:37:14"/>
    <s v="Interno"/>
    <n v="31"/>
    <d v="2025-07-28T00:00:00"/>
    <n v="31"/>
    <d v="2025-07-28T00:00:00"/>
    <n v="2.0395396643507411"/>
    <n v="2025"/>
    <n v="2025"/>
    <s v="2025-07"/>
    <s v="2025-07"/>
  </r>
  <r>
    <s v="ESPC360-20054"/>
    <s v="[PRO] [Tarjetas] INC057025566 - No puede sacar dinero con código"/>
    <s v="Tarjetas"/>
    <d v="2025-07-29T12:15:12"/>
    <d v="2025-07-29T14:53:52"/>
    <s v="OPERACIONAL"/>
    <s v="SOPORTE"/>
    <s v=""/>
    <s v="C360_Team_Mtto"/>
    <s v="Medium"/>
    <s v="CERRADO"/>
    <s v=""/>
    <x v="1"/>
    <x v="2"/>
    <d v="2025-07-29T12:15:12"/>
    <d v="2025-07-29T14:53:52"/>
    <s v="Externo"/>
    <n v="31"/>
    <d v="2025-07-28T00:00:00"/>
    <n v="31"/>
    <d v="2025-07-28T00:00:00"/>
    <n v="0.11018319443974178"/>
    <n v="2025"/>
    <n v="2025"/>
    <s v="2025-07"/>
    <s v="2025-07"/>
  </r>
  <r>
    <s v="ESPC360-20056"/>
    <s v="[PRO][Tarjetas] INC057032091 - Incidencia visualización tarjeta."/>
    <s v="Tarjetas"/>
    <d v="2025-07-29T12:37:25"/>
    <d v="2025-07-30T09:10:24"/>
    <s v="OPERACIONAL"/>
    <s v="SOPORTE"/>
    <s v=" NO-CUSTOMER360"/>
    <s v="C360_Team_Mtto"/>
    <s v="Medium"/>
    <s v="CERRADO"/>
    <s v=""/>
    <x v="2"/>
    <x v="2"/>
    <d v="2025-07-29T12:37:25"/>
    <d v="2025-07-30T09:10:24"/>
    <s v="Externo"/>
    <n v="31"/>
    <d v="2025-07-28T00:00:00"/>
    <n v="31"/>
    <d v="2025-07-28T00:00:00"/>
    <n v="0.85623315972043201"/>
    <n v="2025"/>
    <n v="2025"/>
    <s v="2025-07"/>
    <s v="2025-07"/>
  </r>
  <r>
    <s v="ESPC360-20071"/>
    <s v="[PRO] [Mov. Cuentas] INC056608575 - Descripciones de movimientos online  distintas a cosnolidados"/>
    <s v="Movimientos Cuentas"/>
    <d v="2025-07-29T14:29:46"/>
    <d v="2025-07-29T14:53:24"/>
    <s v="OPERACIONAL"/>
    <s v="SOPORTE"/>
    <s v=""/>
    <s v="C360_Team_Mtto"/>
    <s v="Medium"/>
    <s v="CERRADO"/>
    <s v=""/>
    <x v="1"/>
    <x v="2"/>
    <d v="2025-07-29T14:29:46"/>
    <d v="2025-07-29T14:53:24"/>
    <s v="Externo"/>
    <n v="31"/>
    <d v="2025-07-28T00:00:00"/>
    <n v="31"/>
    <d v="2025-07-28T00:00:00"/>
    <n v="1.6421157408331055E-2"/>
    <n v="2025"/>
    <n v="2025"/>
    <s v="2025-07"/>
    <s v="2025-07"/>
  </r>
  <r>
    <s v="ESPC360-20083"/>
    <s v="Error java.lang.NumberFormatException fix-hismo-resto ODATE 2023-10-10"/>
    <s v=""/>
    <d v="2025-07-30T13:57:26"/>
    <d v="2025-08-08T10:26:38"/>
    <s v="OPERACIONAL"/>
    <s v="TÉCNICO"/>
    <s v=""/>
    <s v="C360_Team_Mtto"/>
    <s v="Medium"/>
    <s v="CERRADO"/>
    <s v=""/>
    <x v="1"/>
    <x v="0"/>
    <d v="2025-07-30T13:57:26"/>
    <d v="2025-08-08T10:26:38"/>
    <s v="Interno"/>
    <n v="31"/>
    <d v="2025-07-28T00:00:00"/>
    <n v="32"/>
    <d v="2025-08-04T00:00:00"/>
    <n v="8.853602662034973"/>
    <n v="2025"/>
    <n v="2025"/>
    <s v="2025-07"/>
    <s v="2025-08"/>
  </r>
  <r>
    <s v="ESPC360-20157"/>
    <s v="[PRO] [Tarjetas] INC057137420 - Error en operativa tarjeta prepago"/>
    <s v="Tarjetas"/>
    <d v="2025-08-01T10:04:53"/>
    <d v="2025-08-05T09:46:47"/>
    <s v="OPERACIONAL"/>
    <s v="SOPORTE"/>
    <s v="NO-CUSTOMER360"/>
    <s v="C360_Team_Mtto"/>
    <s v="Medium"/>
    <s v="CERRADO"/>
    <s v=""/>
    <x v="1"/>
    <x v="2"/>
    <d v="2025-08-01T10:04:53"/>
    <d v="2025-08-05T09:46:47"/>
    <s v="Externo"/>
    <n v="31"/>
    <d v="2025-07-28T00:00:00"/>
    <n v="32"/>
    <d v="2025-08-04T00:00:00"/>
    <n v="3.9874240624994854"/>
    <n v="2025"/>
    <n v="2025"/>
    <s v="2025-07"/>
    <s v="2025-08"/>
  </r>
  <r>
    <s v="ESPC360-20162"/>
    <s v="[PRO] [Movimientos Cuentas]  INC057089296 - Problemas al ver los movimientos de cuenta"/>
    <s v="Movimientos Cuentas"/>
    <d v="2025-08-01T10:29:58"/>
    <d v="2025-09-04T08:58:26"/>
    <s v="OPERACIONAL"/>
    <s v="SOPORTE"/>
    <s v=""/>
    <s v="C360_Team_Mtto"/>
    <s v="Medium"/>
    <s v="CERRADO"/>
    <s v=""/>
    <x v="1"/>
    <x v="2"/>
    <d v="2025-08-01T10:29:58"/>
    <d v="2025-09-04T08:58:26"/>
    <s v="Externo"/>
    <n v="31"/>
    <d v="2025-07-28T00:00:00"/>
    <n v="36"/>
    <d v="2025-09-01T00:00:00"/>
    <n v="33.936434444440238"/>
    <n v="2025"/>
    <n v="2025"/>
    <s v="2025-07"/>
    <s v="2025-09"/>
  </r>
  <r>
    <s v="ESPC360-20163"/>
    <s v="[PRO] [NO-CUSTOMER360] A4JMCPAT"/>
    <s v=""/>
    <d v="2025-08-01T10:40:24"/>
    <d v="2025-08-04T10:54:31"/>
    <s v="OPERACIONAL"/>
    <s v="SOPORTE"/>
    <s v="NO-CUSTOMER360"/>
    <s v="C360_Team_Mtto"/>
    <s v="Medium"/>
    <s v="CERRADO"/>
    <s v=""/>
    <x v="1"/>
    <x v="2"/>
    <d v="2025-08-01T10:40:24"/>
    <d v="2025-08-04T10:54:31"/>
    <s v="Externo"/>
    <n v="31"/>
    <d v="2025-07-28T00:00:00"/>
    <n v="32"/>
    <d v="2025-08-04T00:00:00"/>
    <n v="3.0098013425958925"/>
    <n v="2025"/>
    <n v="2025"/>
    <s v="2025-07"/>
    <s v="2025-08"/>
  </r>
  <r>
    <s v="ESPC360-20166"/>
    <s v="[Customer Position] - Modificar uri en la configuración de structure_deposits"/>
    <s v=""/>
    <d v="2025-08-01T11:51:18"/>
    <d v="2025-09-03T01:13:09"/>
    <s v="OPERACIONAL"/>
    <s v="DEFINICIÓN"/>
    <s v=""/>
    <s v="C360_Operacional_Team_1"/>
    <s v="Medium"/>
    <s v="CERRADO"/>
    <s v="C360_Operacional_Sprint 208"/>
    <x v="2"/>
    <x v="3"/>
    <d v="2025-08-01T11:51:18"/>
    <d v="2025-09-03T01:13:09"/>
    <s v="Externo"/>
    <n v="31"/>
    <d v="2025-07-28T00:00:00"/>
    <n v="36"/>
    <d v="2025-09-01T00:00:00"/>
    <n v="32.556840682867914"/>
    <n v="2025"/>
    <n v="2025"/>
    <s v="2025-07"/>
    <s v="2025-09"/>
  </r>
  <r>
    <s v="ESPC360-20171"/>
    <s v="[PRO] [PFEs] INC057158562 - Error vision saldos ipfs"/>
    <s v="PFEs"/>
    <d v="2025-08-01T12:38:48"/>
    <d v="2025-08-06T08:32:54"/>
    <s v="OPERACIONAL"/>
    <s v="SOPORTE"/>
    <s v="NO-CUSTOMER360"/>
    <s v="C360_Team_Mtto"/>
    <s v="Medium"/>
    <s v="CERRADO"/>
    <s v=""/>
    <x v="1"/>
    <x v="2"/>
    <d v="2025-08-01T12:38:48"/>
    <d v="2025-08-06T08:32:54"/>
    <s v="Externo"/>
    <n v="31"/>
    <d v="2025-07-28T00:00:00"/>
    <n v="32"/>
    <d v="2025-08-04T00:00:00"/>
    <n v="4.8292425925901625"/>
    <n v="2025"/>
    <n v="2025"/>
    <s v="2025-07"/>
    <s v="2025-08"/>
  </r>
  <r>
    <s v="ESPC360-20172"/>
    <s v="[PRO][PRESTAMOS] [INC057158008] - PEX_0039302658 - ADN360 no actualiza la posición del cliente, no aparece préstamo dispuesto el 27/07/2025"/>
    <s v="Préstamos"/>
    <d v="2025-08-01T13:56:24"/>
    <d v="2025-08-06T09:11:00"/>
    <s v="OPERACIONAL"/>
    <s v="TÉCNICO"/>
    <s v="NO-CUSTOMER360"/>
    <s v="C360_Team_Mtto"/>
    <s v="Medium"/>
    <s v="CERRADO"/>
    <s v=""/>
    <x v="1"/>
    <x v="0"/>
    <d v="2025-08-01T13:56:24"/>
    <d v="2025-08-06T09:11:00"/>
    <s v="Interno"/>
    <n v="31"/>
    <d v="2025-07-28T00:00:00"/>
    <n v="32"/>
    <d v="2025-08-04T00:00:00"/>
    <n v="4.8018012962929788"/>
    <n v="2025"/>
    <n v="2025"/>
    <s v="2025-07"/>
    <s v="2025-08"/>
  </r>
  <r>
    <s v="ESPC360-20176"/>
    <s v="[PRO] [Jobs] INC057131604 - PADN360125D/B-SANES-P-HDP.ADN360-800012122 - Odate: 2025/07/29"/>
    <s v=""/>
    <d v="2025-08-04T09:29:50"/>
    <d v="2025-08-04T09:45:53"/>
    <s v="OPERACIONAL"/>
    <s v="SOPORTE"/>
    <s v="PROCESOS"/>
    <s v="C360_Team_Mtto"/>
    <s v="Medium"/>
    <s v="CERRADO"/>
    <s v=""/>
    <x v="1"/>
    <x v="2"/>
    <d v="2025-08-04T09:29:50"/>
    <d v="2025-08-04T09:45:53"/>
    <s v="Externo"/>
    <n v="32"/>
    <d v="2025-08-04T00:00:00"/>
    <n v="32"/>
    <d v="2025-08-04T00:00:00"/>
    <n v="1.1139444439322688E-2"/>
    <n v="2025"/>
    <n v="2025"/>
    <s v="2025-08"/>
    <s v="2025-08"/>
  </r>
  <r>
    <s v="ESPC360-20186"/>
    <s v="[PRO] [NO-CUSTOMER360] INC057223324 -  En intranet corporativo no me sale la opción de poder acceder al AIS."/>
    <s v=""/>
    <d v="2025-08-04T11:29:35"/>
    <d v="2025-08-05T13:11:46"/>
    <s v="OPERACIONAL"/>
    <s v="SOPORTE"/>
    <s v="NO-CUSTOMER360"/>
    <s v="C360_Team_Mtto"/>
    <s v="Medium"/>
    <s v="CERRADO"/>
    <s v=""/>
    <x v="1"/>
    <x v="2"/>
    <d v="2025-08-04T11:29:35"/>
    <d v="2025-08-05T13:11:46"/>
    <s v="Externo"/>
    <n v="32"/>
    <d v="2025-08-04T00:00:00"/>
    <n v="32"/>
    <d v="2025-08-04T00:00:00"/>
    <n v="1.0709692824093509"/>
    <n v="2025"/>
    <n v="2025"/>
    <s v="2025-08"/>
    <s v="2025-08"/>
  </r>
  <r>
    <s v="ESPC360-20189"/>
    <s v="[PRO] [Portal Deudor] No se contabilizan los créditos en aggregations"/>
    <s v=""/>
    <d v="2025-08-04T11:49:56"/>
    <d v="2025-09-16T16:56:33"/>
    <s v="OPERACIONAL"/>
    <s v="TÉCNICO"/>
    <s v=""/>
    <s v="C360_Operacional_Team_1"/>
    <s v="Medium"/>
    <s v="CERRADO"/>
    <s v="C360_Operacional_Sprint 208"/>
    <x v="2"/>
    <x v="0"/>
    <d v="2025-08-04T11:49:56"/>
    <d v="2025-09-16T16:56:33"/>
    <s v="Interno"/>
    <n v="32"/>
    <d v="2025-08-04T00:00:00"/>
    <n v="38"/>
    <d v="2025-09-15T00:00:00"/>
    <n v="43.212924814812141"/>
    <n v="2025"/>
    <n v="2025"/>
    <s v="2025-08"/>
    <s v="2025-09"/>
  </r>
  <r>
    <s v="ESPC360-20193"/>
    <s v="[PRO] [NO-CUSTOMER360] INC057226804 - Usuarios con problemas al realizar operativas desde ADN abierto desde Citrix"/>
    <s v=""/>
    <d v="2025-08-05T08:03:16"/>
    <d v="2025-08-05T13:11:56"/>
    <s v="OPERACIONAL"/>
    <s v="SOPORTE"/>
    <s v="NO-CUSTOMER360"/>
    <s v="C360_Team_Mtto"/>
    <s v="Medium"/>
    <s v="CERRADO"/>
    <s v=""/>
    <x v="1"/>
    <x v="2"/>
    <d v="2025-08-05T08:03:16"/>
    <d v="2025-08-05T13:11:56"/>
    <s v="Externo"/>
    <n v="32"/>
    <d v="2025-08-04T00:00:00"/>
    <n v="32"/>
    <d v="2025-08-04T00:00:00"/>
    <n v="0.21436297453328734"/>
    <n v="2025"/>
    <n v="2025"/>
    <s v="2025-08"/>
    <s v="2025-08"/>
  </r>
  <r>
    <s v="ESPC360-20194"/>
    <s v="[PRO] [Movimientos Cuentas] No se muestran los movimientos de Julio ni en ADN nien la banca online del cliente"/>
    <s v="Movimientos Cuentas"/>
    <d v="2025-08-05T08:12:10"/>
    <d v="2025-08-06T15:38:37"/>
    <s v="OPERACIONAL"/>
    <s v="SOPORTE"/>
    <s v=""/>
    <s v="C360_Team_Mtto"/>
    <s v="Medium"/>
    <s v="CERRADO"/>
    <s v=""/>
    <x v="1"/>
    <x v="2"/>
    <d v="2025-08-05T08:12:10"/>
    <d v="2025-08-06T15:38:37"/>
    <s v="Externo"/>
    <n v="32"/>
    <d v="2025-08-04T00:00:00"/>
    <n v="32"/>
    <d v="2025-08-04T00:00:00"/>
    <n v="1.3100347569416044"/>
    <n v="2025"/>
    <n v="2025"/>
    <s v="2025-08"/>
    <s v="2025-08"/>
  </r>
  <r>
    <s v="ESPC360-20195"/>
    <s v="[PRE] [NO-CUSTOMER360] INC057255766 - Usuario PRE sin acceso ADN Cliente: X901103"/>
    <s v=""/>
    <d v="2025-08-05T09:04:22"/>
    <d v="2025-08-05T13:12:08"/>
    <s v="OPERACIONAL"/>
    <s v="SOPORTE"/>
    <s v="NO-CUSTOMER360"/>
    <s v="C360_Team_Mtto"/>
    <s v="Medium"/>
    <s v="CERRADO"/>
    <s v=""/>
    <x v="0"/>
    <x v="2"/>
    <d v="2025-08-05T09:04:22"/>
    <d v="2025-08-05T13:12:08"/>
    <s v="Externo"/>
    <n v="32"/>
    <d v="2025-08-04T00:00:00"/>
    <n v="32"/>
    <d v="2025-08-04T00:00:00"/>
    <n v="0.17205997685232433"/>
    <n v="2025"/>
    <n v="2025"/>
    <s v="2025-08"/>
    <s v="2025-08"/>
  </r>
  <r>
    <s v="ESPC360-20197"/>
    <s v="[PRO] [Depósitos] INC057096037- HELPY 14800568 error valoración depósito entre web y app"/>
    <s v="PFEs"/>
    <d v="2025-08-05T09:42:50"/>
    <d v="2025-09-03T15:04:29"/>
    <s v="OPERACIONAL"/>
    <s v="SOPORTE"/>
    <s v=""/>
    <s v="C360_Team_Mtto"/>
    <s v="Medium"/>
    <s v="CERRADO"/>
    <s v=""/>
    <x v="1"/>
    <x v="2"/>
    <d v="2025-08-05T09:42:50"/>
    <d v="2025-09-03T15:04:29"/>
    <s v="Externo"/>
    <n v="32"/>
    <d v="2025-08-04T00:00:00"/>
    <n v="36"/>
    <d v="2025-09-01T00:00:00"/>
    <n v="29.223376979163731"/>
    <n v="2025"/>
    <n v="2025"/>
    <s v="2025-08"/>
    <s v="2025-09"/>
  </r>
  <r>
    <s v="ESPC360-20198"/>
    <s v="[PRO] [Créditos] El límite del crédito es erróneo en ADN360"/>
    <s v="Créditos"/>
    <d v="2025-08-05T10:37:45"/>
    <d v="2025-08-06T08:37:10"/>
    <s v="OPERACIONAL"/>
    <s v="SOPORTE"/>
    <s v="NO-CUSTOMER360"/>
    <s v="C360_Team_Mtto"/>
    <s v="Medium"/>
    <s v="CERRADO"/>
    <s v=""/>
    <x v="1"/>
    <x v="2"/>
    <d v="2025-08-05T10:37:45"/>
    <d v="2025-08-06T08:37:10"/>
    <s v="Externo"/>
    <n v="32"/>
    <d v="2025-08-04T00:00:00"/>
    <n v="32"/>
    <d v="2025-08-04T00:00:00"/>
    <n v="0.91625626157474471"/>
    <n v="2025"/>
    <n v="2025"/>
    <s v="2025-08"/>
    <s v="2025-08"/>
  </r>
  <r>
    <s v="ESPC360-20200"/>
    <s v="[PRO] [Movimientos Cuentas] INC057265237 - No se visualizan los movimientos de los ayuntamientos"/>
    <s v="Movimientos Cuentas"/>
    <d v="2025-08-05T15:12:13"/>
    <d v="2025-08-06T15:38:26"/>
    <s v="OPERACIONAL"/>
    <s v="SOPORTE"/>
    <s v=""/>
    <s v="C360_Team_Mtto"/>
    <s v="Medium"/>
    <s v="CERRADO"/>
    <s v=""/>
    <x v="1"/>
    <x v="2"/>
    <d v="2025-08-05T15:12:13"/>
    <d v="2025-08-06T15:38:26"/>
    <s v="Externo"/>
    <n v="32"/>
    <d v="2025-08-04T00:00:00"/>
    <n v="32"/>
    <d v="2025-08-04T00:00:00"/>
    <n v="1.0182054629622144"/>
    <n v="2025"/>
    <n v="2025"/>
    <s v="2025-08"/>
    <s v="2025-08"/>
  </r>
  <r>
    <s v="ESPC360-20201"/>
    <s v="[PRO][SEGUROS] [INC057265077] - PEX_0039409573**KIBOT**46341403Z"/>
    <s v="Seguros"/>
    <d v="2025-08-05T15:47:42"/>
    <d v="2025-08-13T12:47:06"/>
    <s v="OPERACIONAL"/>
    <s v="SOPORTE"/>
    <s v=""/>
    <s v="C360_Team_Mtto"/>
    <s v="Medium"/>
    <s v="CERRADO"/>
    <s v=""/>
    <x v="1"/>
    <x v="2"/>
    <d v="2025-08-05T15:47:42"/>
    <d v="2025-08-13T12:47:06"/>
    <s v="Externo"/>
    <n v="32"/>
    <d v="2025-08-04T00:00:00"/>
    <n v="33"/>
    <d v="2025-08-11T00:00:00"/>
    <n v="7.8745839930561488"/>
    <n v="2025"/>
    <n v="2025"/>
    <s v="2025-08"/>
    <s v="2025-08"/>
  </r>
  <r>
    <s v="ESPC360-20202"/>
    <s v="[PRO] [Cuentas] INC057266714 - El usuario no ve una de sus cuentas en ADN360"/>
    <s v="Cuentas"/>
    <d v="2025-08-06T08:21:39"/>
    <d v="2025-08-06T15:20:51"/>
    <s v="OPERACIONAL"/>
    <s v="DESARROLLO"/>
    <s v=""/>
    <s v="C360_Team_Mtto"/>
    <s v="Medium"/>
    <s v="CERRADO"/>
    <s v=""/>
    <x v="2"/>
    <x v="1"/>
    <d v="2025-08-06T08:21:39"/>
    <d v="2025-08-06T15:20:51"/>
    <s v="Interno"/>
    <n v="32"/>
    <d v="2025-08-04T00:00:00"/>
    <n v="32"/>
    <d v="2025-08-04T00:00:00"/>
    <n v="0.29111549768276745"/>
    <n v="2025"/>
    <n v="2025"/>
    <s v="2025-08"/>
    <s v="2025-08"/>
  </r>
  <r>
    <s v="ESPC360-20203"/>
    <s v="[PRO] Fallos al desplegar ks-globalktables"/>
    <s v=""/>
    <d v="2025-08-06T09:33:16"/>
    <s v=""/>
    <s v="OPERACIONAL"/>
    <s v="TÉCNICO"/>
    <s v=""/>
    <s v="C360_Operacional_Team_1"/>
    <s v="Medium"/>
    <s v="Upstream Generic State 06"/>
    <s v=""/>
    <x v="2"/>
    <x v="0"/>
    <d v="2025-08-06T09:33:16"/>
    <s v=""/>
    <s v="Interno"/>
    <n v="32"/>
    <d v="2025-08-04T00:00:00"/>
    <e v="#VALUE!"/>
    <e v="#VALUE!"/>
    <e v="#VALUE!"/>
    <n v="2025"/>
    <e v="#VALUE!"/>
    <s v="2025-08"/>
    <e v="#VALUE!"/>
  </r>
  <r>
    <s v="ESPC360-20205"/>
    <s v="[Customer Position] Corrección saldos tarjetas débido"/>
    <s v=""/>
    <d v="2025-08-06T11:08:06"/>
    <d v="2025-09-03T01:13:10"/>
    <s v="OPERACIONAL"/>
    <s v="TÉCNICO"/>
    <s v=""/>
    <s v="C360_Operacional_Team_1"/>
    <s v="Medium"/>
    <s v="CERRADO"/>
    <s v="C360_Operacional_Sprint 208"/>
    <x v="2"/>
    <x v="0"/>
    <d v="2025-08-06T11:08:06"/>
    <d v="2025-09-03T01:13:10"/>
    <s v="Interno"/>
    <n v="32"/>
    <d v="2025-08-04T00:00:00"/>
    <n v="36"/>
    <d v="2025-09-01T00:00:00"/>
    <n v="27.586842152777535"/>
    <n v="2025"/>
    <n v="2025"/>
    <s v="2025-08"/>
    <s v="2025-09"/>
  </r>
  <r>
    <s v="ESPC360-20211"/>
    <s v="[PRO] [Movimientos Cuentas]  INC057307410 - NO VEN MOVIMIENTOS EN CUENTA RECAUDACION AYTO"/>
    <s v="Movimientos Cuentas"/>
    <d v="2025-08-07T08:17:58"/>
    <d v="2025-08-07T08:36:50"/>
    <s v="OPERACIONAL"/>
    <s v="SOPORTE"/>
    <s v=""/>
    <s v="C360_Team_Mtto"/>
    <s v="Medium"/>
    <s v="CERRADO"/>
    <s v=""/>
    <x v="1"/>
    <x v="2"/>
    <d v="2025-08-07T08:17:58"/>
    <d v="2025-08-07T08:36:50"/>
    <s v="Externo"/>
    <n v="32"/>
    <d v="2025-08-04T00:00:00"/>
    <n v="32"/>
    <d v="2025-08-04T00:00:00"/>
    <n v="1.3102592594805174E-2"/>
    <n v="2025"/>
    <n v="2025"/>
    <s v="2025-08"/>
    <s v="2025-08"/>
  </r>
  <r>
    <s v="ESPC360-20212"/>
    <s v="[PRO] [Procesos] PADN164D fallido con Odate: 2025/08/06"/>
    <s v=""/>
    <d v="2025-08-07T08:38:48"/>
    <d v="2025-08-07T11:57:48"/>
    <s v="OPERACIONAL"/>
    <s v="SOPORTE"/>
    <s v="PROCESOS"/>
    <s v="C360_Team_Mtto"/>
    <s v="Medium"/>
    <s v="CERRADO"/>
    <s v=""/>
    <x v="1"/>
    <x v="2"/>
    <d v="2025-08-07T08:38:48"/>
    <d v="2025-08-07T11:57:48"/>
    <s v="Externo"/>
    <n v="32"/>
    <d v="2025-08-04T00:00:00"/>
    <n v="32"/>
    <d v="2025-08-04T00:00:00"/>
    <n v="0.13819039351801621"/>
    <n v="2025"/>
    <n v="2025"/>
    <s v="2025-08"/>
    <s v="2025-08"/>
  </r>
  <r>
    <s v="ESPC360-20213"/>
    <s v="[PRO][CUENTAS] [INC057335594] - PEX_0039434124_ vencimiento  0049 1809 26 2110018160"/>
    <s v="Cuentas"/>
    <d v="2025-08-07T09:33:35"/>
    <d v="2025-08-13T12:48:54"/>
    <s v="OPERACIONAL"/>
    <s v="SOPORTE"/>
    <s v=""/>
    <s v="C360_Team_Mtto"/>
    <s v="Medium"/>
    <s v="CERRADO"/>
    <s v=""/>
    <x v="1"/>
    <x v="2"/>
    <d v="2025-08-07T09:33:35"/>
    <d v="2025-08-13T12:48:54"/>
    <s v="Externo"/>
    <n v="32"/>
    <d v="2025-08-04T00:00:00"/>
    <n v="33"/>
    <d v="2025-08-11T00:00:00"/>
    <n v="6.1356427314822213"/>
    <n v="2025"/>
    <n v="2025"/>
    <s v="2025-08"/>
    <s v="2025-08"/>
  </r>
  <r>
    <s v="ESPC360-20214"/>
    <s v="[PRO] [NO-CUSTOMER360] INC057336947 - Error en las liquidaciones ADN Operativo"/>
    <s v=""/>
    <d v="2025-08-07T09:43:31"/>
    <d v="2025-08-08T11:26:24"/>
    <s v="OPERACIONAL"/>
    <s v="SOPORTE"/>
    <s v="NO-CUSTOMER360"/>
    <s v="C360_Team_Mtto"/>
    <s v="Medium"/>
    <s v="CERRADO"/>
    <s v=""/>
    <x v="2"/>
    <x v="2"/>
    <d v="2025-08-07T09:43:31"/>
    <d v="2025-08-08T11:26:24"/>
    <s v="Externo"/>
    <n v="32"/>
    <d v="2025-08-04T00:00:00"/>
    <n v="32"/>
    <d v="2025-08-04T00:00:00"/>
    <n v="1.0714383101876592"/>
    <n v="2025"/>
    <n v="2025"/>
    <s v="2025-08"/>
    <s v="2025-08"/>
  </r>
  <r>
    <s v="ESPC360-20279"/>
    <s v="[PRO] [Procesos] PADN164D Fallido con Odate: 2025/08/07"/>
    <s v=""/>
    <d v="2025-08-08T09:21:39"/>
    <d v="2025-08-08T11:24:40"/>
    <s v="OPERACIONAL"/>
    <s v="SOPORTE"/>
    <s v="PROCESOS"/>
    <s v="C360_Team_Mtto"/>
    <s v="Medium"/>
    <s v="CERRADO"/>
    <s v=""/>
    <x v="1"/>
    <x v="2"/>
    <d v="2025-08-08T09:21:39"/>
    <d v="2025-08-08T11:24:40"/>
    <s v="Externo"/>
    <n v="32"/>
    <d v="2025-08-04T00:00:00"/>
    <n v="32"/>
    <d v="2025-08-04T00:00:00"/>
    <n v="8.5424733799300157E-2"/>
    <n v="2025"/>
    <n v="2025"/>
    <s v="2025-08"/>
    <s v="2025-08"/>
  </r>
  <r>
    <s v="ESPC360-20283"/>
    <s v="[PRO] [Procesos] PADNGPI004D Fallido Odate: 2025/08/02"/>
    <s v=""/>
    <d v="2025-08-08T11:00:26"/>
    <d v="2025-08-08T13:58:40"/>
    <s v="OPERACIONAL"/>
    <s v="SOPORTE"/>
    <s v="PROCESOS"/>
    <s v="C360_Team_Mtto"/>
    <s v="Medium"/>
    <s v="CERRADO"/>
    <s v=""/>
    <x v="1"/>
    <x v="2"/>
    <d v="2025-08-08T11:00:26"/>
    <d v="2025-08-08T13:58:40"/>
    <s v="Externo"/>
    <n v="32"/>
    <d v="2025-08-04T00:00:00"/>
    <n v="32"/>
    <d v="2025-08-04T00:00:00"/>
    <n v="0.12377469907369232"/>
    <n v="2025"/>
    <n v="2025"/>
    <s v="2025-08"/>
    <s v="2025-08"/>
  </r>
  <r>
    <s v="ESPC360-20284"/>
    <s v="[PRO] [Préstamos] No actualizar cuentaAsociada si no se encuentra"/>
    <s v=""/>
    <d v="2025-08-08T11:18:10"/>
    <d v="2025-09-29T15:50:11"/>
    <s v="OPERACIONAL"/>
    <s v="TÉCNICO"/>
    <s v=""/>
    <s v="C360_Team_Mtto"/>
    <s v="Medium"/>
    <s v="CERRADO"/>
    <s v=""/>
    <x v="2"/>
    <x v="0"/>
    <d v="2025-08-08T11:18:10"/>
    <d v="2025-09-29T15:50:11"/>
    <s v="Interno"/>
    <n v="32"/>
    <d v="2025-08-04T00:00:00"/>
    <n v="40"/>
    <d v="2025-09-29T00:00:00"/>
    <n v="52.188902314810548"/>
    <n v="2025"/>
    <n v="2025"/>
    <s v="2025-08"/>
    <s v="2025-09"/>
  </r>
  <r>
    <s v="ESPC360-20290"/>
    <s v="[PRO] [PFEs] INC057338033 - WEB/ Cliente visualiza dos depósitos en sus posiciones y nos indica que no llegó a finalizar al contratación"/>
    <s v="PFEs"/>
    <d v="2025-08-11T12:38:01"/>
    <d v="2025-08-21T11:09:46"/>
    <s v="OPERACIONAL"/>
    <s v="SOPORTE"/>
    <s v="NO-CUSTOMER360"/>
    <s v="C360_Team_Mtto"/>
    <s v="Medium"/>
    <s v="CERRADO"/>
    <s v=""/>
    <x v="1"/>
    <x v="2"/>
    <d v="2025-08-11T12:38:01"/>
    <d v="2025-08-21T11:09:46"/>
    <s v="Externo"/>
    <n v="33"/>
    <d v="2025-08-11T00:00:00"/>
    <n v="34"/>
    <d v="2025-08-18T00:00:00"/>
    <n v="9.9387159838006482"/>
    <n v="2025"/>
    <n v="2025"/>
    <s v="2025-08"/>
    <s v="2025-08"/>
  </r>
  <r>
    <s v="ESPC360-20296"/>
    <s v="[PRO] [Valores] INC056689439 - Indican que ADN360 no esta devolviendo ciertos campos"/>
    <s v="Valores"/>
    <d v="2025-08-11T14:57:17"/>
    <d v="2025-09-26T11:36:52"/>
    <s v="OPERACIONAL"/>
    <s v="TÉCNICO"/>
    <s v=""/>
    <s v="C360_Team_Mtto"/>
    <s v="Medium"/>
    <s v="CERRADO"/>
    <s v=""/>
    <x v="1"/>
    <x v="0"/>
    <d v="2025-08-11T14:57:17"/>
    <d v="2025-09-26T11:36:52"/>
    <s v="Interno"/>
    <n v="33"/>
    <d v="2025-08-11T00:00:00"/>
    <n v="39"/>
    <d v="2025-09-22T00:00:00"/>
    <n v="45.86082399305451"/>
    <n v="2025"/>
    <n v="2025"/>
    <s v="2025-08"/>
    <s v="2025-09"/>
  </r>
  <r>
    <s v="ESPC360-20305"/>
    <s v="[PRO] [Procesos] INC057465637 -  Proceso Fallido PADN360112D Odate: 2025/08/11"/>
    <s v=""/>
    <d v="2025-08-12T11:57:13"/>
    <d v="2025-08-13T13:40:50"/>
    <s v="OPERACIONAL"/>
    <s v="SOPORTE"/>
    <s v="NO-CUSTOMER360"/>
    <s v="C360_Team_Mtto"/>
    <s v="Medium"/>
    <s v="CERRADO"/>
    <s v=""/>
    <x v="1"/>
    <x v="2"/>
    <d v="2025-08-12T11:57:13"/>
    <d v="2025-08-13T13:40:50"/>
    <s v="Externo"/>
    <n v="33"/>
    <d v="2025-08-11T00:00:00"/>
    <n v="33"/>
    <d v="2025-08-11T00:00:00"/>
    <n v="1.0719623263867106"/>
    <n v="2025"/>
    <n v="2025"/>
    <s v="2025-08"/>
    <s v="2025-08"/>
  </r>
  <r>
    <s v="ESPC360-20306"/>
    <s v="[PRO] [Procesos]  INC057463531 - Proceso fallido PADN164D  Odate: 2025/08/11"/>
    <s v=""/>
    <d v="2025-08-12T12:02:58"/>
    <d v="2025-08-13T13:41:11"/>
    <s v="OPERACIONAL"/>
    <s v="SOPORTE"/>
    <s v="NO-CUSTOMER360"/>
    <s v="C360_Team_Mtto"/>
    <s v="Medium"/>
    <s v="CERRADO"/>
    <s v=""/>
    <x v="1"/>
    <x v="2"/>
    <d v="2025-08-12T12:02:58"/>
    <d v="2025-08-13T13:41:11"/>
    <s v="Externo"/>
    <n v="33"/>
    <d v="2025-08-11T00:00:00"/>
    <n v="33"/>
    <d v="2025-08-11T00:00:00"/>
    <n v="1.0681997916617547"/>
    <n v="2025"/>
    <n v="2025"/>
    <s v="2025-08"/>
    <s v="2025-08"/>
  </r>
  <r>
    <s v="ESPC360-20316"/>
    <s v="[PRO] [Procesos] INC057498220 - Proceso fallido PADN360045D con Odate: 2025/08/12"/>
    <s v=""/>
    <d v="2025-08-13T09:25:20"/>
    <d v="2025-08-13T13:43:56"/>
    <s v="OPERACIONAL"/>
    <s v="SOPORTE"/>
    <s v="PROCESOS"/>
    <s v="C360_Team_Mtto"/>
    <s v="Medium"/>
    <s v="CERRADO"/>
    <s v=""/>
    <x v="1"/>
    <x v="2"/>
    <d v="2025-08-13T09:25:20"/>
    <d v="2025-08-13T13:43:56"/>
    <s v="Externo"/>
    <n v="33"/>
    <d v="2025-08-11T00:00:00"/>
    <n v="33"/>
    <d v="2025-08-11T00:00:00"/>
    <n v="0.17958079861273291"/>
    <n v="2025"/>
    <n v="2025"/>
    <s v="2025-08"/>
    <s v="2025-08"/>
  </r>
  <r>
    <s v="ESPC360-20317"/>
    <s v="[PRO] [Procesos] INC057503347 - Proceso PADN166D con Odate: 2025/08/12"/>
    <s v=""/>
    <d v="2025-08-13T09:32:55"/>
    <d v="2025-08-13T13:43:35"/>
    <s v="OPERACIONAL"/>
    <s v="SOPORTE"/>
    <s v="PROCESOS"/>
    <s v="C360_Team_Mtto"/>
    <s v="Medium"/>
    <s v="CERRADO"/>
    <s v=""/>
    <x v="1"/>
    <x v="2"/>
    <d v="2025-08-13T09:32:55"/>
    <d v="2025-08-13T13:43:35"/>
    <s v="Externo"/>
    <n v="33"/>
    <d v="2025-08-11T00:00:00"/>
    <n v="33"/>
    <d v="2025-08-11T00:00:00"/>
    <n v="0.17407177083077841"/>
    <n v="2025"/>
    <n v="2025"/>
    <s v="2025-08"/>
    <s v="2025-08"/>
  </r>
  <r>
    <s v="ESPC360-20333"/>
    <s v="[PRO] [Planes Pensiones] Corrección operaciones en vuelo planes"/>
    <s v="Planes de Pensiones"/>
    <d v="2025-08-14T10:05:20"/>
    <d v="2025-09-10T12:41:16"/>
    <s v="OPERACIONAL"/>
    <s v="DESARROLLO"/>
    <s v=""/>
    <s v="C360_Team_Mtto"/>
    <s v="Medium"/>
    <s v="CERRADO"/>
    <s v="C360_Operacional_Sprint 209"/>
    <x v="1"/>
    <x v="1"/>
    <d v="2025-08-14T10:05:20"/>
    <d v="2025-09-10T12:41:16"/>
    <s v="Interno"/>
    <n v="33"/>
    <d v="2025-08-11T00:00:00"/>
    <n v="37"/>
    <d v="2025-09-08T00:00:00"/>
    <n v="27.108285879628966"/>
    <n v="2025"/>
    <n v="2025"/>
    <s v="2025-08"/>
    <s v="2025-09"/>
  </r>
  <r>
    <s v="ESPC360-20397"/>
    <s v="[PRO] [Tarjetas] INC057562295 - No hay cuenta asociada a la tarjeta en adn 360"/>
    <s v="Tarjetas"/>
    <d v="2025-08-14T14:33:22"/>
    <d v="2025-08-18T11:40:55"/>
    <s v="OPERACIONAL"/>
    <s v="TÉCNICO"/>
    <s v=""/>
    <s v="C360_Team_Mtto"/>
    <s v="Medium"/>
    <s v="CERRADO"/>
    <s v=""/>
    <x v="1"/>
    <x v="0"/>
    <d v="2025-08-14T14:33:22"/>
    <d v="2025-08-18T11:40:55"/>
    <s v="Interno"/>
    <n v="33"/>
    <d v="2025-08-11T00:00:00"/>
    <n v="34"/>
    <d v="2025-08-18T00:00:00"/>
    <n v="3.8802484490734059"/>
    <n v="2025"/>
    <n v="2025"/>
    <s v="2025-08"/>
    <s v="2025-08"/>
  </r>
  <r>
    <s v="ESPC360-20399"/>
    <s v="[PRO] [NO-CUSTOMER360] INC057657900 -  Contraseña Nimbus"/>
    <s v=""/>
    <d v="2025-08-18T10:35:07"/>
    <d v="2025-08-21T11:11:41"/>
    <s v="OPERACIONAL"/>
    <s v="SOPORTE"/>
    <s v="NO-CUSTOMER360"/>
    <s v="C360_Team_Mtto"/>
    <s v="Medium"/>
    <s v="CERRADO"/>
    <s v=""/>
    <x v="1"/>
    <x v="2"/>
    <d v="2025-08-18T10:35:07"/>
    <d v="2025-08-21T11:11:41"/>
    <s v="Externo"/>
    <n v="34"/>
    <d v="2025-08-18T00:00:00"/>
    <n v="34"/>
    <d v="2025-08-18T00:00:00"/>
    <n v="3.0253899768504198"/>
    <n v="2025"/>
    <n v="2025"/>
    <s v="2025-08"/>
    <s v="2025-08"/>
  </r>
  <r>
    <s v="ESPC360-20400"/>
    <s v="[PRO] [Procesos] INC057565909 - Procesos fallidos PADN360128D con Odate: 2025/08/13"/>
    <s v=""/>
    <d v="2025-08-18T10:42:02"/>
    <d v="2025-08-19T11:44:51"/>
    <s v="OPERACIONAL"/>
    <s v="SOPORTE"/>
    <s v="PROCESOS"/>
    <s v="C360_Team_Mtto"/>
    <s v="Medium"/>
    <s v="CERRADO"/>
    <s v=""/>
    <x v="1"/>
    <x v="2"/>
    <d v="2025-08-18T10:42:02"/>
    <d v="2025-08-19T11:44:51"/>
    <s v="Externo"/>
    <n v="34"/>
    <d v="2025-08-18T00:00:00"/>
    <n v="34"/>
    <d v="2025-08-18T00:00:00"/>
    <n v="1.0436208449100377"/>
    <n v="2025"/>
    <n v="2025"/>
    <s v="2025-08"/>
    <s v="2025-08"/>
  </r>
  <r>
    <s v="ESPC360-20401"/>
    <s v="[PRO] [Procesos] INC057565912 - Proceso fallido PADN360126D con Odate: 2025/08/12"/>
    <s v=""/>
    <d v="2025-08-18T10:44:56"/>
    <d v="2025-08-19T11:45:06"/>
    <s v="OPERACIONAL"/>
    <s v="SOPORTE"/>
    <s v="PROCESOS"/>
    <s v="C360_Team_Mtto"/>
    <s v="Medium"/>
    <s v="CERRADO"/>
    <s v=""/>
    <x v="1"/>
    <x v="2"/>
    <d v="2025-08-18T10:44:56"/>
    <d v="2025-08-19T11:45:06"/>
    <s v="Externo"/>
    <n v="34"/>
    <d v="2025-08-18T00:00:00"/>
    <n v="34"/>
    <d v="2025-08-18T00:00:00"/>
    <n v="1.0417899768581265"/>
    <n v="2025"/>
    <n v="2025"/>
    <s v="2025-08"/>
    <s v="2025-08"/>
  </r>
  <r>
    <s v="ESPC360-20418"/>
    <s v="[PRO] [Fondos] INC057734558 - Saldos títulos disponibles incorretos"/>
    <s v="Fondos"/>
    <d v="2025-08-20T13:58:09"/>
    <d v="2025-08-21T11:17:57"/>
    <s v="OPERACIONAL"/>
    <s v="SOPORTE"/>
    <s v=""/>
    <s v="C360_Team_Mtto"/>
    <s v="Medium"/>
    <s v="CERRADO"/>
    <s v=""/>
    <x v="1"/>
    <x v="2"/>
    <d v="2025-08-20T13:58:09"/>
    <d v="2025-08-21T11:17:57"/>
    <s v="Externo"/>
    <n v="34"/>
    <d v="2025-08-18T00:00:00"/>
    <n v="34"/>
    <d v="2025-08-18T00:00:00"/>
    <n v="0.88874856481561437"/>
    <n v="2025"/>
    <n v="2025"/>
    <s v="2025-08"/>
    <s v="2025-08"/>
  </r>
  <r>
    <s v="ESPC360-20489"/>
    <s v="[PRO] [Mov. cuentas] INC057836292 - No se visualizan movimientos"/>
    <s v="Movimientos Cuentas"/>
    <d v="2025-08-25T11:39:55"/>
    <d v="2025-08-25T11:50:23"/>
    <s v="OPERACIONAL"/>
    <s v="SOPORTE"/>
    <s v=""/>
    <s v="C360_Team_Mtto"/>
    <s v="Medium"/>
    <s v="CERRADO"/>
    <s v=""/>
    <x v="1"/>
    <x v="2"/>
    <d v="2025-08-25T11:39:55"/>
    <d v="2025-08-25T11:50:23"/>
    <s v="Externo"/>
    <n v="35"/>
    <d v="2025-08-25T00:00:00"/>
    <n v="35"/>
    <d v="2025-08-25T00:00:00"/>
    <n v="7.2642129598534666E-3"/>
    <n v="2025"/>
    <n v="2025"/>
    <s v="2025-08"/>
    <s v="2025-08"/>
  </r>
  <r>
    <s v="ESPC360-20490"/>
    <s v="[PRO] [JOB] INC057825080 - Ha fallado el proceso PAND164D con odate del dia 22/08"/>
    <s v=""/>
    <d v="2025-08-25T11:41:55"/>
    <d v="2025-08-25T11:56:44"/>
    <s v="OPERACIONAL"/>
    <s v="SOPORTE"/>
    <s v=""/>
    <s v="C360_Team_Mtto"/>
    <s v="Medium"/>
    <s v="CERRADO"/>
    <s v=""/>
    <x v="1"/>
    <x v="2"/>
    <d v="2025-08-25T11:41:55"/>
    <d v="2025-08-25T11:56:44"/>
    <s v="Externo"/>
    <n v="35"/>
    <d v="2025-08-25T00:00:00"/>
    <n v="35"/>
    <d v="2025-08-25T00:00:00"/>
    <n v="1.0288344907166902E-2"/>
    <n v="2025"/>
    <n v="2025"/>
    <s v="2025-08"/>
    <s v="2025-08"/>
  </r>
  <r>
    <s v="ESPC360-20491"/>
    <s v="[PRO] [ADN] INC057870395 - No puede abrir ADN"/>
    <s v=""/>
    <d v="2025-08-25T11:59:28"/>
    <d v="2025-09-03T09:31:50"/>
    <s v="OPERACIONAL"/>
    <s v="SOPORTE"/>
    <s v="NO-CUSTOMER360"/>
    <s v="C360_Team_Mtto"/>
    <s v="Medium"/>
    <s v="CERRADO"/>
    <s v=""/>
    <x v="1"/>
    <x v="2"/>
    <d v="2025-08-25T11:59:28"/>
    <d v="2025-09-03T09:31:50"/>
    <s v="Externo"/>
    <n v="35"/>
    <d v="2025-08-25T00:00:00"/>
    <n v="36"/>
    <d v="2025-09-01T00:00:00"/>
    <n v="8.897466828704637"/>
    <n v="2025"/>
    <n v="2025"/>
    <s v="2025-08"/>
    <s v="2025-09"/>
  </r>
  <r>
    <s v="ESPC360-20522"/>
    <s v="[PRO] [NO-CUSTOMER360] INC057914017- En la aplicacion TEAMS me ha desaparecido el apartado de CHATS"/>
    <s v=""/>
    <d v="2025-08-27T08:30:37"/>
    <d v="2025-09-03T15:22:34"/>
    <s v="OPERACIONAL"/>
    <s v="SOPORTE"/>
    <s v="NO-CUSTOMER360"/>
    <s v="C360_Team_Mtto"/>
    <s v="Medium"/>
    <s v="CERRADO"/>
    <s v=""/>
    <x v="1"/>
    <x v="2"/>
    <d v="2025-08-27T08:30:37"/>
    <d v="2025-09-03T15:22:34"/>
    <s v="Externo"/>
    <n v="35"/>
    <d v="2025-08-25T00:00:00"/>
    <n v="36"/>
    <d v="2025-09-01T00:00:00"/>
    <n v="7.2860809027770301"/>
    <n v="2025"/>
    <n v="2025"/>
    <s v="2025-08"/>
    <s v="2025-09"/>
  </r>
  <r>
    <s v="ESPC360-20524"/>
    <s v="[PRO] [JOBS] INC057936928 - PADN190D/B-SANES-P-HDP.ADN360-100058456 - Odate: 2025/08/26"/>
    <s v=""/>
    <d v="2025-08-27T09:18:16"/>
    <d v="2025-09-02T09:17:32"/>
    <s v="OPERACIONAL"/>
    <s v="SOPORTE"/>
    <s v="JOBS"/>
    <s v="C360_Team_Mtto"/>
    <s v="Medium"/>
    <s v="CERRADO"/>
    <s v=""/>
    <x v="1"/>
    <x v="2"/>
    <d v="2025-08-27T09:18:16"/>
    <d v="2025-09-02T09:17:32"/>
    <s v="Externo"/>
    <n v="35"/>
    <d v="2025-08-25T00:00:00"/>
    <n v="36"/>
    <d v="2025-09-01T00:00:00"/>
    <n v="5.9994885879568756"/>
    <n v="2025"/>
    <n v="2025"/>
    <s v="2025-08"/>
    <s v="2025-09"/>
  </r>
  <r>
    <s v="ESPC360-20525"/>
    <s v="[PRO] [JOBS] INC057930290 - PADN164D/B-SANES-P-HDP.ADN360-800012122 - Odate: 2025/08/26"/>
    <s v=""/>
    <d v="2025-08-27T09:19:26"/>
    <d v="2025-09-01T14:04:54"/>
    <s v="OPERACIONAL"/>
    <s v="SOPORTE"/>
    <s v="JOBS"/>
    <s v=""/>
    <s v="Medium"/>
    <s v="CERRADO"/>
    <s v=""/>
    <x v="1"/>
    <x v="2"/>
    <d v="2025-08-27T09:19:26"/>
    <d v="2025-09-01T14:04:54"/>
    <s v="Externo"/>
    <n v="35"/>
    <d v="2025-08-25T00:00:00"/>
    <n v="36"/>
    <d v="2025-09-01T00:00:00"/>
    <n v="5.1982395370359882"/>
    <n v="2025"/>
    <n v="2025"/>
    <s v="2025-08"/>
    <s v="2025-09"/>
  </r>
  <r>
    <s v="ESPC360-20527"/>
    <s v="[PRO] [ADN Cliente] INC057871409 - La póliza 305492990793 ya se encuentra anulada"/>
    <s v=""/>
    <d v="2025-08-27T09:52:12"/>
    <d v="2025-09-04T10:11:13"/>
    <s v="OPERACIONAL"/>
    <s v="SOPORTE"/>
    <s v="NO_CUSTOMER360"/>
    <s v="C360_Team_Mtto"/>
    <s v="Medium"/>
    <s v="CERRADO"/>
    <s v=""/>
    <x v="1"/>
    <x v="2"/>
    <d v="2025-08-27T09:52:12"/>
    <d v="2025-09-04T10:11:13"/>
    <s v="Externo"/>
    <n v="35"/>
    <d v="2025-08-25T00:00:00"/>
    <n v="36"/>
    <d v="2025-09-01T00:00:00"/>
    <n v="8.0132045370410196"/>
    <n v="2025"/>
    <n v="2025"/>
    <s v="2025-08"/>
    <s v="2025-09"/>
  </r>
  <r>
    <s v="ESPC360-20534"/>
    <s v="Movimientos - Ajustar idMov de cuentas en movimientos provisionales"/>
    <s v=""/>
    <d v="2025-08-27T13:24:55"/>
    <d v="2025-10-02T10:40:04"/>
    <s v="OPERACIONAL"/>
    <s v="DEFINICIÓN"/>
    <s v=""/>
    <s v="C360_Operacional_Team_1"/>
    <s v="Medium"/>
    <s v="CERRADO"/>
    <s v="C360_Operacional_Sprint 210"/>
    <x v="2"/>
    <x v="3"/>
    <d v="2025-08-27T13:24:55"/>
    <d v="2025-10-02T10:40:04"/>
    <s v="Externo"/>
    <n v="35"/>
    <d v="2025-08-25T00:00:00"/>
    <n v="40"/>
    <d v="2025-09-29T00:00:00"/>
    <n v="35.88552118055668"/>
    <n v="2025"/>
    <n v="2025"/>
    <s v="2025-08"/>
    <s v="2025-09"/>
  </r>
  <r>
    <s v="ESPC360-20538"/>
    <s v="[Customer Position] - Devolver el siga en las carteras no gestionadas"/>
    <s v=""/>
    <d v="2025-08-28T08:19:53"/>
    <d v="2025-09-24T11:36:31"/>
    <s v="OPERACIONAL"/>
    <s v="DEFINICIÓN"/>
    <s v=""/>
    <s v="C360_Operacional_Team_1"/>
    <s v="Medium"/>
    <s v="CERRADO"/>
    <s v="C360_Operacional_Sprint 209"/>
    <x v="2"/>
    <x v="3"/>
    <d v="2025-08-28T08:19:53"/>
    <d v="2025-09-24T11:36:31"/>
    <s v="Externo"/>
    <n v="35"/>
    <d v="2025-08-25T00:00:00"/>
    <n v="39"/>
    <d v="2025-09-22T00:00:00"/>
    <n v="27.136549421302334"/>
    <n v="2025"/>
    <n v="2025"/>
    <s v="2025-08"/>
    <s v="2025-09"/>
  </r>
  <r>
    <s v="ESPC360-20620"/>
    <s v="[PRO] [Cuentas] INC057875631 -  intentar operar en cuenta  0049 0011 21 2810851767 "/>
    <s v="Cuentas"/>
    <d v="2025-09-01T14:04:21"/>
    <d v="2025-09-17T16:24:22"/>
    <s v="OPERACIONAL"/>
    <s v="SOPORTE"/>
    <s v=""/>
    <s v="C360_Team_Mtto"/>
    <s v="Medium"/>
    <s v="CERRADO"/>
    <s v=""/>
    <x v="1"/>
    <x v="2"/>
    <d v="2025-09-01T14:04:21"/>
    <d v="2025-09-17T16:24:22"/>
    <s v="Externo"/>
    <n v="36"/>
    <d v="2025-09-01T00:00:00"/>
    <n v="38"/>
    <d v="2025-09-15T00:00:00"/>
    <n v="16.097235439810902"/>
    <n v="2025"/>
    <n v="2025"/>
    <s v="2025-09"/>
    <s v="2025-09"/>
  </r>
  <r>
    <s v="ESPC360-20621"/>
    <s v="[PRO] [Mov. Cuentas] INC058063236 - Petición se ha ido de tiempos"/>
    <s v="Movimientos Cuentas"/>
    <d v="2025-09-01T14:24:42"/>
    <d v="2025-09-03T15:26:13"/>
    <s v="OPERACIONAL"/>
    <s v="SOPORTE"/>
    <s v=""/>
    <s v="C360_Team_Mtto"/>
    <s v="Medium"/>
    <s v="CERRADO"/>
    <s v=""/>
    <x v="1"/>
    <x v="2"/>
    <d v="2025-09-01T14:24:42"/>
    <d v="2025-09-03T15:26:13"/>
    <s v="Externo"/>
    <n v="36"/>
    <d v="2025-09-01T00:00:00"/>
    <n v="36"/>
    <d v="2025-09-01T00:00:00"/>
    <n v="2.0427218402764993"/>
    <n v="2025"/>
    <n v="2025"/>
    <s v="2025-09"/>
    <s v="2025-09"/>
  </r>
  <r>
    <s v="ESPC360-20625"/>
    <s v="[PRO] [Renting] INC058066427 - Por mis funciones necesito poder ver los contratos de Renting de mis clientes"/>
    <s v="Renting"/>
    <d v="2025-09-02T08:32:20"/>
    <d v="2025-09-04T10:12:05"/>
    <s v="OPERACIONAL"/>
    <s v="SOPORTE"/>
    <s v=""/>
    <s v="C360_Team_Mtto"/>
    <s v="Medium"/>
    <s v="CERRADO"/>
    <s v=""/>
    <x v="1"/>
    <x v="2"/>
    <d v="2025-09-02T08:32:20"/>
    <d v="2025-09-04T10:12:05"/>
    <s v="Externo"/>
    <n v="36"/>
    <d v="2025-09-01T00:00:00"/>
    <n v="36"/>
    <d v="2025-09-01T00:00:00"/>
    <n v="2.0692642939757206"/>
    <n v="2025"/>
    <n v="2025"/>
    <s v="2025-09"/>
    <s v="2025-09"/>
  </r>
  <r>
    <s v="ESPC360-20627"/>
    <s v="[PRO] [Valores] INC058074705 - No permite subir contrato de valores para firma web"/>
    <s v="Valores"/>
    <d v="2025-09-02T09:26:51"/>
    <d v="2025-09-08T09:51:19"/>
    <s v="OPERACIONAL"/>
    <s v="SOPORTE"/>
    <s v="NO-CUSTOMER360"/>
    <s v="C360_Team_Mtto"/>
    <s v="Medium"/>
    <s v="CERRADO"/>
    <s v=""/>
    <x v="1"/>
    <x v="2"/>
    <d v="2025-09-02T09:26:51"/>
    <d v="2025-09-08T09:51:19"/>
    <s v="Externo"/>
    <n v="36"/>
    <d v="2025-09-01T00:00:00"/>
    <n v="37"/>
    <d v="2025-09-08T00:00:00"/>
    <n v="6.0169998032361036"/>
    <n v="2025"/>
    <n v="2025"/>
    <s v="2025-09"/>
    <s v="2025-09"/>
  </r>
  <r>
    <s v="ESPC360-20628"/>
    <s v="[PRO] [Tarjetas] INC057945974 - No se esta mostrando el contrato por ADN360"/>
    <s v="Tarjetas"/>
    <d v="2025-09-02T09:55:52"/>
    <d v="2025-09-05T15:31:11"/>
    <s v="OPERACIONAL"/>
    <s v="TÉCNICO"/>
    <s v=""/>
    <s v="C360_Team_Mtto"/>
    <s v="Medium"/>
    <s v="CERRADO"/>
    <s v=""/>
    <x v="1"/>
    <x v="0"/>
    <d v="2025-09-02T09:55:52"/>
    <d v="2025-09-05T15:31:11"/>
    <s v="Interno"/>
    <n v="36"/>
    <d v="2025-09-01T00:00:00"/>
    <n v="36"/>
    <d v="2025-09-01T00:00:00"/>
    <n v="3.2328621990745887"/>
    <n v="2025"/>
    <n v="2025"/>
    <s v="2025-09"/>
    <s v="2025-09"/>
  </r>
  <r>
    <s v="ESPC360-20629"/>
    <s v="[PRO] [Timeline] Problemas en las descripciones de movimientos"/>
    <s v=""/>
    <d v="2025-09-02T10:07:23"/>
    <d v="2025-09-10T08:36:42"/>
    <s v="OPERACIONAL"/>
    <s v="TÉCNICO"/>
    <s v=""/>
    <s v="C360_Team_Mtto"/>
    <s v="Medium"/>
    <s v="CERRADO"/>
    <s v=""/>
    <x v="1"/>
    <x v="0"/>
    <d v="2025-09-02T10:07:23"/>
    <d v="2025-09-10T08:36:42"/>
    <s v="Interno"/>
    <n v="36"/>
    <d v="2025-09-01T00:00:00"/>
    <n v="37"/>
    <d v="2025-09-08T00:00:00"/>
    <n v="7.9370326504576951"/>
    <n v="2025"/>
    <n v="2025"/>
    <s v="2025-09"/>
    <s v="2025-09"/>
  </r>
  <r>
    <s v="ESPC360-20630"/>
    <s v="[PRO] [JOBS] INC058094545 - Fallo en proceso PADN091D"/>
    <s v=""/>
    <d v="2025-09-02T10:18:25"/>
    <d v="2025-09-02T11:34:31"/>
    <s v="OPERACIONAL"/>
    <s v="SOPORTE"/>
    <s v="JOBS"/>
    <s v="C360_Team_Mtto"/>
    <s v="Medium"/>
    <s v="CERRADO"/>
    <s v=""/>
    <x v="1"/>
    <x v="2"/>
    <d v="2025-09-02T10:18:25"/>
    <d v="2025-09-02T11:34:31"/>
    <s v="Externo"/>
    <n v="36"/>
    <d v="2025-09-01T00:00:00"/>
    <n v="36"/>
    <d v="2025-09-01T00:00:00"/>
    <n v="5.2848611114313826E-2"/>
    <n v="2025"/>
    <n v="2025"/>
    <s v="2025-09"/>
    <s v="2025-09"/>
  </r>
  <r>
    <s v="ESPC360-20637"/>
    <s v="[PRO] [Cuentas] INC058100154 -  visualiza cuenta que no reconoce como suya"/>
    <s v="Cuentas"/>
    <d v="2025-09-02T14:52:38"/>
    <d v="2025-09-08T08:23:42"/>
    <s v="OPERACIONAL"/>
    <s v="SOPORTE"/>
    <s v="NO-CUSTOMER360"/>
    <s v="C360_Team_Mtto"/>
    <s v="Medium"/>
    <s v="CERRADO"/>
    <s v=""/>
    <x v="1"/>
    <x v="2"/>
    <d v="2025-09-02T14:52:38"/>
    <d v="2025-09-08T08:23:42"/>
    <s v="Externo"/>
    <n v="36"/>
    <d v="2025-09-01T00:00:00"/>
    <n v="37"/>
    <d v="2025-09-08T00:00:00"/>
    <n v="5.7299114583365736"/>
    <n v="2025"/>
    <n v="2025"/>
    <s v="2025-09"/>
    <s v="2025-09"/>
  </r>
  <r>
    <s v="ESPC360-20641"/>
    <s v="[PRO] [Seguros] INC058134682 - Solicitan dar de baja un seguro en ADN"/>
    <s v="Seguros"/>
    <d v="2025-09-03T11:05:12"/>
    <d v="2025-09-04T09:03:37"/>
    <s v="OPERACIONAL"/>
    <s v="SOPORTE"/>
    <s v="NO-CUSTOMER360"/>
    <s v="C360_Team_Mtto"/>
    <s v="Medium"/>
    <s v="CERRADO"/>
    <s v=""/>
    <x v="1"/>
    <x v="2"/>
    <d v="2025-09-03T11:05:12"/>
    <d v="2025-09-04T09:03:37"/>
    <s v="Externo"/>
    <n v="36"/>
    <d v="2025-09-01T00:00:00"/>
    <n v="36"/>
    <d v="2025-09-01T00:00:00"/>
    <n v="0.91557203703268897"/>
    <n v="2025"/>
    <n v="2025"/>
    <s v="2025-09"/>
    <s v="2025-09"/>
  </r>
  <r>
    <s v="ESPC360-20649"/>
    <s v="[PRO] [Préstamos]  INC058168745 - No coincide saldo de demora en refinanciación "/>
    <s v="Préstamos"/>
    <d v="2025-09-04T08:33:34"/>
    <d v="2025-09-04T11:06:56"/>
    <s v="OPERACIONAL"/>
    <s v="TÉCNICO"/>
    <s v=""/>
    <s v="C360_Team_Mtto"/>
    <s v="Medium"/>
    <s v="CERRADO"/>
    <s v=""/>
    <x v="1"/>
    <x v="0"/>
    <d v="2025-09-04T08:33:34"/>
    <d v="2025-09-04T11:06:56"/>
    <s v="Interno"/>
    <n v="36"/>
    <d v="2025-09-01T00:00:00"/>
    <n v="36"/>
    <d v="2025-09-01T00:00:00"/>
    <n v="0.10650704861473059"/>
    <n v="2025"/>
    <n v="2025"/>
    <s v="2025-09"/>
    <s v="2025-09"/>
  </r>
  <r>
    <s v="ESPC360-20650"/>
    <s v="[PG Inversión] - Ajuste de saldos en depósitos estructurados"/>
    <s v=""/>
    <d v="2025-09-04T08:50:12"/>
    <d v="2025-10-02T12:13:10"/>
    <s v="OPERACIONAL"/>
    <s v="TÉCNICO"/>
    <s v=""/>
    <s v="C360_Operacional_Team_1"/>
    <s v="Medium"/>
    <s v="CERRADO"/>
    <s v="C360_Operacional_Sprint 210"/>
    <x v="2"/>
    <x v="0"/>
    <d v="2025-09-04T08:50:12"/>
    <d v="2025-10-02T12:13:10"/>
    <s v="Interno"/>
    <n v="36"/>
    <d v="2025-09-01T00:00:00"/>
    <n v="40"/>
    <d v="2025-09-29T00:00:00"/>
    <n v="28.14095317129977"/>
    <n v="2025"/>
    <n v="2025"/>
    <s v="2025-09"/>
    <s v="2025-09"/>
  </r>
  <r>
    <s v="ESPC360-20652"/>
    <s v="[PRO] [ADN-Cliente] INC058169357 - Acceso adn cliente"/>
    <s v=""/>
    <d v="2025-09-04T10:05:27"/>
    <d v="2025-09-11T15:03:03"/>
    <s v="OPERACIONAL"/>
    <s v="SOPORTE"/>
    <s v="NO-CUSTOMER360"/>
    <s v="C360_Team_Mtto"/>
    <s v="Medium"/>
    <s v="CERRADO"/>
    <s v=""/>
    <x v="1"/>
    <x v="2"/>
    <d v="2025-09-04T10:05:27"/>
    <d v="2025-09-11T15:03:03"/>
    <s v="Externo"/>
    <n v="36"/>
    <d v="2025-09-01T00:00:00"/>
    <n v="37"/>
    <d v="2025-09-08T00:00:00"/>
    <n v="7.2066634490765864"/>
    <n v="2025"/>
    <n v="2025"/>
    <s v="2025-09"/>
    <s v="2025-09"/>
  </r>
  <r>
    <s v="ESPC360-20656"/>
    <s v="[PRO] [Tarjetas] INC058172414 - ADN 360 no nos devuelve el campo Contract HolderId"/>
    <s v="Tarjetas"/>
    <d v="2025-09-04T12:12:41"/>
    <d v="2025-09-04T14:06:31"/>
    <s v="OPERACIONAL"/>
    <s v="SOPORTE"/>
    <s v=""/>
    <s v="C360_Team_Mtto"/>
    <s v="Medium"/>
    <s v="CERRADO"/>
    <s v=""/>
    <x v="1"/>
    <x v="2"/>
    <d v="2025-09-04T12:12:41"/>
    <d v="2025-09-04T14:06:31"/>
    <s v="Externo"/>
    <n v="36"/>
    <d v="2025-09-01T00:00:00"/>
    <n v="36"/>
    <d v="2025-09-01T00:00:00"/>
    <n v="7.9054988425923511E-2"/>
    <n v="2025"/>
    <n v="2025"/>
    <s v="2025-09"/>
    <s v="2025-09"/>
  </r>
  <r>
    <s v="ESPC360-20748"/>
    <s v="[PRO] [Agregados] INC058176731 - KIBOT Remesa de transferencias internacional en estado Pendiente de aceptación cuando ya está procesada"/>
    <s v=""/>
    <d v="2025-09-04T15:15:54"/>
    <d v="2025-09-08T08:28:22"/>
    <s v="OPERACIONAL"/>
    <s v="SOPORTE"/>
    <s v="NO-CUSTOMER360"/>
    <s v="C360_Team_Mtto"/>
    <s v="Medium"/>
    <s v="CERRADO"/>
    <s v=""/>
    <x v="1"/>
    <x v="2"/>
    <d v="2025-09-04T15:15:54"/>
    <d v="2025-09-08T08:28:22"/>
    <s v="Externo"/>
    <n v="36"/>
    <d v="2025-09-01T00:00:00"/>
    <n v="37"/>
    <d v="2025-09-08T00:00:00"/>
    <n v="3.7169969675960601"/>
    <n v="2025"/>
    <n v="2025"/>
    <s v="2025-09"/>
    <s v="2025-09"/>
  </r>
  <r>
    <s v="ESPC360-20758"/>
    <s v="[PRE] [Cuentas] El listado para TODOS de EMPMARZO tarda mucho en responder"/>
    <s v="Cuentas"/>
    <d v="2025-09-08T09:29:08"/>
    <s v=""/>
    <s v="OPERACIONAL"/>
    <s v="TÉCNICO"/>
    <s v=""/>
    <s v="C360_Team_Mtto"/>
    <s v="Medium"/>
    <s v="Tested PRE"/>
    <s v=""/>
    <x v="0"/>
    <x v="0"/>
    <d v="2025-09-08T09:29:08"/>
    <s v=""/>
    <s v="Interno"/>
    <n v="37"/>
    <d v="2025-09-08T00:00:00"/>
    <e v="#VALUE!"/>
    <e v="#VALUE!"/>
    <e v="#VALUE!"/>
    <n v="2025"/>
    <e v="#VALUE!"/>
    <s v="2025-09"/>
    <e v="#VALUE!"/>
  </r>
  <r>
    <s v="ESPC360-20759"/>
    <s v="[PRO] [PG Inversión] [Planes Pensiones] Ajustar conteo de operaciones en vuelo"/>
    <s v="Planes de Pensiones"/>
    <d v="2025-09-08T11:10:57"/>
    <d v="2025-09-29T15:50:46"/>
    <s v="OPERACIONAL"/>
    <s v="DESARROLLO"/>
    <s v=""/>
    <s v="C360_Team_Mtto"/>
    <s v="Medium"/>
    <s v="CERRADO"/>
    <s v=""/>
    <x v="2"/>
    <x v="1"/>
    <d v="2025-09-08T11:10:57"/>
    <d v="2025-09-29T15:50:46"/>
    <s v="Interno"/>
    <n v="37"/>
    <d v="2025-09-08T00:00:00"/>
    <n v="40"/>
    <d v="2025-09-29T00:00:00"/>
    <n v="21.19431112267921"/>
    <n v="2025"/>
    <n v="2025"/>
    <s v="2025-09"/>
    <s v="2025-09"/>
  </r>
  <r>
    <s v="ESPC360-20762"/>
    <s v="[PRO] [Préstamos] INC058286300 - No aparece el contrato de préstamos en la posición del cliente "/>
    <s v="Préstamos"/>
    <d v="2025-09-08T12:47:29"/>
    <d v="2025-09-08T15:23:08"/>
    <s v="OPERACIONAL"/>
    <s v="DESARROLLO"/>
    <s v=""/>
    <s v="C360_Team_Mtto"/>
    <s v="Medium"/>
    <s v="CERRADO"/>
    <s v=""/>
    <x v="1"/>
    <x v="1"/>
    <d v="2025-09-08T12:47:29"/>
    <d v="2025-09-08T15:23:08"/>
    <s v="Interno"/>
    <n v="37"/>
    <d v="2025-09-08T00:00:00"/>
    <n v="37"/>
    <d v="2025-09-08T00:00:00"/>
    <n v="0.10808633101987652"/>
    <n v="2025"/>
    <n v="2025"/>
    <s v="2025-09"/>
    <s v="2025-09"/>
  </r>
  <r>
    <s v="ESPC360-20791"/>
    <s v="[PRO] [Préstamos] INC058298119 - No aparece el préstamo en las posiciones de ADN360"/>
    <s v="Préstamos"/>
    <d v="2025-09-09T13:50:07"/>
    <d v="2025-09-09T14:12:23"/>
    <s v="OPERACIONAL"/>
    <s v="SOPORTE"/>
    <s v=""/>
    <s v="C360_Team_Mtto"/>
    <s v="Medium"/>
    <s v="CERRADO"/>
    <s v=""/>
    <x v="1"/>
    <x v="2"/>
    <d v="2025-09-09T13:50:07"/>
    <d v="2025-09-09T14:12:23"/>
    <s v="Externo"/>
    <n v="37"/>
    <d v="2025-09-08T00:00:00"/>
    <n v="37"/>
    <d v="2025-09-08T00:00:00"/>
    <n v="1.5463437499420252E-2"/>
    <n v="2025"/>
    <n v="2025"/>
    <s v="2025-09"/>
    <s v="2025-09"/>
  </r>
  <r>
    <s v="ESPC360-20792"/>
    <s v="[PRO] [ADN-Cliente] INC058329936 - ERROR ACCESO APP ADN"/>
    <s v=""/>
    <d v="2025-09-09T15:13:47"/>
    <d v="2025-09-11T15:05:04"/>
    <s v="OPERACIONAL"/>
    <s v="SOPORTE"/>
    <s v="NO-CUSTOMER360"/>
    <s v="C360_Team_Mtto"/>
    <s v="Medium"/>
    <s v="CERRADO"/>
    <s v=""/>
    <x v="1"/>
    <x v="2"/>
    <d v="2025-09-09T15:13:47"/>
    <d v="2025-09-11T15:05:04"/>
    <s v="Externo"/>
    <n v="37"/>
    <d v="2025-09-08T00:00:00"/>
    <n v="37"/>
    <d v="2025-09-08T00:00:00"/>
    <n v="1.993943773151841"/>
    <n v="2025"/>
    <n v="2025"/>
    <s v="2025-09"/>
    <s v="2025-09"/>
  </r>
  <r>
    <s v="ESPC360-20796"/>
    <s v="[PRO] [SRE] [TOP DE ALERTAS] INC058353127 - Alertados por consumos de memoria alta ks-java-50061916-pmp-mark"/>
    <s v="Póliza Multiproducto (PMP)"/>
    <d v="2025-09-10T09:57:04"/>
    <s v=""/>
    <s v="OPERACIONAL"/>
    <s v="TÉCNICO"/>
    <s v=""/>
    <s v="C360_Team_Mtto"/>
    <s v="Medium"/>
    <s v="BACKLOG"/>
    <s v=""/>
    <x v="1"/>
    <x v="0"/>
    <d v="2025-09-10T09:57:04"/>
    <s v=""/>
    <s v="Interno"/>
    <n v="37"/>
    <d v="2025-09-08T00:00:00"/>
    <e v="#VALUE!"/>
    <e v="#VALUE!"/>
    <e v="#VALUE!"/>
    <n v="2025"/>
    <e v="#VALUE!"/>
    <s v="2025-09"/>
    <e v="#VALUE!"/>
  </r>
  <r>
    <s v="ESPC360-20804"/>
    <s v="[PRO][Préstamos] INC058315958 - Indican que la tasa mostrada en ADN360 es errónea"/>
    <s v="Préstamos"/>
    <d v="2025-09-10T14:02:19"/>
    <d v="2025-10-14T15:57:06"/>
    <s v="OPERACIONAL"/>
    <s v="SOPORTE"/>
    <s v="NO-CUSTOMER360"/>
    <s v="C360_Team_Mtto"/>
    <s v="Medium"/>
    <s v="CERRADO"/>
    <s v=""/>
    <x v="1"/>
    <x v="2"/>
    <d v="2025-09-10T14:02:19"/>
    <d v="2025-10-14T15:57:06"/>
    <s v="Externo"/>
    <n v="37"/>
    <d v="2025-09-08T00:00:00"/>
    <n v="42"/>
    <d v="2025-10-13T00:00:00"/>
    <n v="34.079713113431353"/>
    <n v="2025"/>
    <n v="2025"/>
    <s v="2025-09"/>
    <s v="2025-10"/>
  </r>
  <r>
    <s v="ESPC360-20806"/>
    <s v="[PRO][Préstamos] INC058359056 - HELPY 15040466 error al solicitar certificado de cancelación registral"/>
    <s v="Préstamos"/>
    <d v="2025-09-11T08:14:25"/>
    <d v="2025-09-22T10:33:12"/>
    <s v="OPERACIONAL"/>
    <s v="SOPORTE"/>
    <s v="NO-CUSTOMER360"/>
    <s v="C360_Team_Mtto"/>
    <s v="Medium"/>
    <s v="CERRADO"/>
    <s v=""/>
    <x v="1"/>
    <x v="2"/>
    <d v="2025-09-11T08:14:25"/>
    <d v="2025-09-22T10:33:12"/>
    <s v="Externo"/>
    <n v="37"/>
    <d v="2025-09-08T00:00:00"/>
    <n v="39"/>
    <d v="2025-09-22T00:00:00"/>
    <n v="11.096382476847793"/>
    <n v="2025"/>
    <n v="2025"/>
    <s v="2025-09"/>
    <s v="2025-09"/>
  </r>
  <r>
    <s v="ESPC360-20808"/>
    <s v="[PRO][Mov. Tarjetas] INC058211676 - No visualiza todas sus financiaciones de tarjeta en la web"/>
    <s v="Movimientos Tarjetas;Tarjetas"/>
    <d v="2025-09-11T09:04:43"/>
    <d v="2025-10-01T09:47:42"/>
    <s v="OPERACIONAL"/>
    <s v="DESARROLLO"/>
    <s v=""/>
    <s v="C360_Team_Mtto"/>
    <s v="Medium"/>
    <s v="CERRADO"/>
    <s v=""/>
    <x v="1"/>
    <x v="1"/>
    <d v="2025-09-11T09:04:43"/>
    <d v="2025-10-01T09:47:42"/>
    <s v="Interno"/>
    <n v="37"/>
    <d v="2025-09-08T00:00:00"/>
    <n v="40"/>
    <d v="2025-09-29T00:00:00"/>
    <n v="20.029855925924494"/>
    <n v="2025"/>
    <n v="2025"/>
    <s v="2025-09"/>
    <s v="2025-09"/>
  </r>
  <r>
    <s v="ESPC360-20870"/>
    <s v="[PRO][Seguros] INC058403509 - Solicitan eliminar un seguro de ADN360 que esta de baja."/>
    <s v="Seguros"/>
    <d v="2025-09-11T14:29:16"/>
    <d v="2025-09-15T10:38:05"/>
    <s v="OPERACIONAL"/>
    <s v="SOPORTE"/>
    <s v="NO-CUSTOMER360"/>
    <s v="C360_Team_Mtto"/>
    <s v="Medium"/>
    <s v="CERRADO"/>
    <s v=""/>
    <x v="1"/>
    <x v="2"/>
    <d v="2025-09-11T14:29:16"/>
    <d v="2025-09-15T10:38:05"/>
    <s v="Externo"/>
    <n v="37"/>
    <d v="2025-09-08T00:00:00"/>
    <n v="38"/>
    <d v="2025-09-15T00:00:00"/>
    <n v="3.8394629745380371"/>
    <n v="2025"/>
    <n v="2025"/>
    <s v="2025-09"/>
    <s v="2025-09"/>
  </r>
  <r>
    <s v="ESPC360-20874"/>
    <s v="[PRO][ADN-Operativo] INC058432110 - Al acceder a ADN Operativo, hemos dejado de tener acceso en la aplicación de AVALES, TRADENXT, ORBE, HISTORICO DE SWIFT, SEPA"/>
    <s v=""/>
    <d v="2025-09-12T09:07:56"/>
    <d v="2025-09-17T10:22:46"/>
    <s v="OPERACIONAL"/>
    <s v="SOPORTE"/>
    <s v="NO-CUSTOMER360"/>
    <s v="C360_Team_Mtto"/>
    <s v="Medium"/>
    <s v="CERRADO"/>
    <s v=""/>
    <x v="1"/>
    <x v="2"/>
    <d v="2025-09-12T09:07:56"/>
    <d v="2025-09-17T10:22:46"/>
    <s v="Externo"/>
    <n v="37"/>
    <d v="2025-09-08T00:00:00"/>
    <n v="38"/>
    <d v="2025-09-15T00:00:00"/>
    <n v="5.0519767245350522"/>
    <n v="2025"/>
    <n v="2025"/>
    <s v="2025-09"/>
    <s v="2025-09"/>
  </r>
  <r>
    <s v="ESPC360-20877"/>
    <s v="[PRO][Cuentas] INC058368384 -   Indican que tienen cuentas en las que no pueden operar"/>
    <s v="Cuentas"/>
    <d v="2025-09-12T10:37:41"/>
    <d v="2025-09-30T10:34:09"/>
    <s v="OPERACIONAL"/>
    <s v="SOPORTE"/>
    <s v=""/>
    <s v="C360_Team_Mtto"/>
    <s v="Medium"/>
    <s v="CERRADO"/>
    <s v=""/>
    <x v="1"/>
    <x v="2"/>
    <d v="2025-09-12T10:37:41"/>
    <d v="2025-09-30T10:34:09"/>
    <s v="Externo"/>
    <n v="37"/>
    <d v="2025-09-08T00:00:00"/>
    <n v="40"/>
    <d v="2025-09-29T00:00:00"/>
    <n v="17.997547060185752"/>
    <n v="2025"/>
    <n v="2025"/>
    <s v="2025-09"/>
    <s v="2025-09"/>
  </r>
  <r>
    <s v="ESPC360-20898"/>
    <s v="[PRO] [Fondos] INC058532827 - Rentablidad errónea"/>
    <s v="Fondos"/>
    <d v="2025-09-15T14:06:08"/>
    <d v="2025-09-17T16:23:03"/>
    <s v="OPERACIONAL"/>
    <s v="SOPORTE"/>
    <s v=""/>
    <s v="C360_Team_Mtto"/>
    <s v="Medium"/>
    <s v="CERRADO"/>
    <s v=""/>
    <x v="1"/>
    <x v="2"/>
    <d v="2025-09-15T14:06:08"/>
    <d v="2025-09-17T16:23:03"/>
    <s v="Externo"/>
    <n v="38"/>
    <d v="2025-09-15T00:00:00"/>
    <n v="38"/>
    <d v="2025-09-15T00:00:00"/>
    <n v="2.0950822222221177"/>
    <n v="2025"/>
    <n v="2025"/>
    <s v="2025-09"/>
    <s v="2025-09"/>
  </r>
  <r>
    <s v="ESPC360-20909"/>
    <s v="[PRO][Cuentas] INC058172461 - No le aparece en el canal el descubierto que tiene asignado la cuenta"/>
    <s v="Cuentas"/>
    <d v="2025-09-16T11:09:31"/>
    <d v="2025-10-29T08:55:21"/>
    <s v="OPERACIONAL"/>
    <s v="SOPORTE"/>
    <s v="NO-CUSTOMER360"/>
    <s v="C360_Team_Mtto"/>
    <s v="Medium"/>
    <s v="CERRADO"/>
    <s v=""/>
    <x v="1"/>
    <x v="2"/>
    <d v="2025-09-16T11:09:31"/>
    <d v="2025-10-29T08:55:21"/>
    <s v="Externo"/>
    <n v="38"/>
    <d v="2025-09-15T00:00:00"/>
    <n v="44"/>
    <d v="2025-10-27T00:00:00"/>
    <n v="42.906827766200877"/>
    <n v="2025"/>
    <n v="2025"/>
    <s v="2025-09"/>
    <s v="2025-10"/>
  </r>
  <r>
    <s v="ESPC360-20912"/>
    <s v="[PRO] [Fondos] INC058533961 - Rentabilidad en proceso de cálculo"/>
    <s v="Fondos"/>
    <d v="2025-09-16T12:27:11"/>
    <d v="2025-09-17T16:23:35"/>
    <s v="OPERACIONAL"/>
    <s v="SOPORTE"/>
    <s v=""/>
    <s v="C360_Team_Mtto"/>
    <s v="Medium"/>
    <s v="CERRADO"/>
    <s v=""/>
    <x v="1"/>
    <x v="2"/>
    <d v="2025-09-16T12:27:11"/>
    <d v="2025-09-17T16:23:35"/>
    <s v="Externo"/>
    <n v="38"/>
    <d v="2025-09-15T00:00:00"/>
    <n v="38"/>
    <d v="2025-09-15T00:00:00"/>
    <n v="1.1641746643508668"/>
    <n v="2025"/>
    <n v="2025"/>
    <s v="2025-09"/>
    <s v="2025-09"/>
  </r>
  <r>
    <s v="ESPC360-20913"/>
    <s v="[PRO][Mov. Cuentas] INC058438267 - consulta sucursal texto erroneo"/>
    <s v="Movimientos Cuentas"/>
    <d v="2025-09-16T12:33:49"/>
    <d v="2025-09-22T16:31:06"/>
    <s v="OPERACIONAL"/>
    <s v="DESARROLLO"/>
    <s v=""/>
    <s v="C360_Team_Mtto"/>
    <s v="Medium"/>
    <s v="CERRADO"/>
    <s v=""/>
    <x v="1"/>
    <x v="1"/>
    <d v="2025-09-16T12:33:49"/>
    <d v="2025-09-22T16:31:06"/>
    <s v="Interno"/>
    <n v="38"/>
    <d v="2025-09-15T00:00:00"/>
    <n v="39"/>
    <d v="2025-09-22T00:00:00"/>
    <n v="6.1647812615774455"/>
    <n v="2025"/>
    <n v="2025"/>
    <s v="2025-09"/>
    <s v="2025-09"/>
  </r>
  <r>
    <s v="ESPC360-20925"/>
    <s v="[PRO][Valores] INC058578561 - No se muestra un contrato de valores en ADN360"/>
    <s v="Valores"/>
    <d v="2025-09-17T11:53:04"/>
    <s v=""/>
    <s v="OPERACIONAL"/>
    <s v="SOPORTE"/>
    <s v="NO-CUSTOMER360"/>
    <s v="C360_Team_Mtto"/>
    <s v="Medium"/>
    <s v="Blocked"/>
    <s v=""/>
    <x v="1"/>
    <x v="2"/>
    <d v="2025-09-17T11:53:04"/>
    <s v=""/>
    <s v="Externo"/>
    <n v="38"/>
    <d v="2025-09-15T00:00:00"/>
    <e v="#VALUE!"/>
    <e v="#VALUE!"/>
    <e v="#VALUE!"/>
    <n v="2025"/>
    <e v="#VALUE!"/>
    <s v="2025-09"/>
    <e v="#VALUE!"/>
  </r>
  <r>
    <s v="ESPC360-20926"/>
    <s v="[PRO][Alertado-SRE] INC058601589 - [SRE CoE DevSecOps] [TOP DE ALERTAS] [Failure Rate Increase] [sanes-portaladn360-pro] [s-java-50059982-customers y s-java-50059982-accounts]"/>
    <s v=""/>
    <d v="2025-09-17T13:18:09"/>
    <s v=""/>
    <s v="OPERACIONAL"/>
    <s v="SOPORTE"/>
    <s v="ALERTADO"/>
    <s v="C360_Team_Mtto"/>
    <s v="Medium"/>
    <s v="Blocked"/>
    <s v=""/>
    <x v="1"/>
    <x v="2"/>
    <d v="2025-09-17T13:18:09"/>
    <s v=""/>
    <s v="Externo"/>
    <n v="38"/>
    <d v="2025-09-15T00:00:00"/>
    <e v="#VALUE!"/>
    <e v="#VALUE!"/>
    <e v="#VALUE!"/>
    <n v="2025"/>
    <e v="#VALUE!"/>
    <s v="2025-09"/>
    <e v="#VALUE!"/>
  </r>
  <r>
    <s v="ESPC360-20928"/>
    <s v="[PRO][Cuentas] INC058560867 - PEX_0040078118 - [NHB] KIBOT No puede contratar fondo de inversión con un titular y un representante legal"/>
    <s v="Cuentas"/>
    <d v="2025-09-17T15:17:26"/>
    <d v="2025-09-30T10:35:47"/>
    <s v="OPERACIONAL"/>
    <s v="SOPORTE"/>
    <s v="NO-CUSTOMER360"/>
    <s v="C360_Team_Mtto"/>
    <s v="Medium"/>
    <s v="CERRADO"/>
    <s v=""/>
    <x v="1"/>
    <x v="2"/>
    <d v="2025-09-17T15:17:26"/>
    <d v="2025-09-30T10:35:47"/>
    <s v="Externo"/>
    <n v="38"/>
    <d v="2025-09-15T00:00:00"/>
    <n v="40"/>
    <d v="2025-09-29T00:00:00"/>
    <n v="12.804407233794336"/>
    <n v="2025"/>
    <n v="2025"/>
    <s v="2025-09"/>
    <s v="2025-09"/>
  </r>
  <r>
    <s v="ESPC360-21026"/>
    <s v="[PRO][Cuentas] INC058670428 - No devolvemos una cuenta en ADN360"/>
    <s v="Cuentas"/>
    <d v="2025-09-19T10:04:37"/>
    <d v="2025-09-23T12:33:41"/>
    <s v="OPERACIONAL"/>
    <s v="SOPORTE"/>
    <s v="NO-CUSTOMER360"/>
    <s v="C360_Team_Mtto"/>
    <s v="Medium"/>
    <s v="CERRADO"/>
    <s v=""/>
    <x v="1"/>
    <x v="2"/>
    <d v="2025-09-19T10:04:37"/>
    <d v="2025-09-23T12:33:41"/>
    <s v="Externo"/>
    <n v="38"/>
    <d v="2025-09-15T00:00:00"/>
    <n v="39"/>
    <d v="2025-09-22T00:00:00"/>
    <n v="4.103512268520717"/>
    <n v="2025"/>
    <n v="2025"/>
    <s v="2025-09"/>
    <s v="2025-09"/>
  </r>
  <r>
    <s v="ESPC360-21029"/>
    <s v="[PRO] [Valores] INC058678240 - No visualiza el porcentaje de AC.ZOOM VIDEO COM USD"/>
    <s v="Valores"/>
    <d v="2025-09-22T08:45:46"/>
    <d v="2025-09-23T16:27:23"/>
    <s v="OPERACIONAL"/>
    <s v="SOPORTE"/>
    <s v=""/>
    <s v="C360_Team_Mtto"/>
    <s v="Medium"/>
    <s v="CERRADO"/>
    <s v=""/>
    <x v="1"/>
    <x v="2"/>
    <d v="2025-09-22T08:45:46"/>
    <d v="2025-09-23T16:27:23"/>
    <s v="Externo"/>
    <n v="39"/>
    <d v="2025-09-22T00:00:00"/>
    <n v="39"/>
    <d v="2025-09-22T00:00:00"/>
    <n v="1.3205713194474811"/>
    <n v="2025"/>
    <n v="2025"/>
    <s v="2025-09"/>
    <s v="2025-09"/>
  </r>
  <r>
    <s v="ESPC360-21030"/>
    <s v="[PRO] [GPI] INC058727380 - Proceso fallido"/>
    <s v=""/>
    <d v="2025-09-22T09:55:56"/>
    <d v="2025-09-22T09:57:59"/>
    <s v="OPERACIONAL"/>
    <s v="SOPORTE"/>
    <s v=""/>
    <s v="C360_Team_Mtto"/>
    <s v="Medium"/>
    <s v="CERRADO"/>
    <s v=""/>
    <x v="1"/>
    <x v="2"/>
    <d v="2025-09-22T09:55:56"/>
    <d v="2025-09-22T09:57:59"/>
    <s v="Externo"/>
    <n v="39"/>
    <d v="2025-09-22T00:00:00"/>
    <n v="39"/>
    <d v="2025-09-22T00:00:00"/>
    <n v="1.4248032384784892E-3"/>
    <n v="2025"/>
    <n v="2025"/>
    <s v="2025-09"/>
    <s v="2025-09"/>
  </r>
  <r>
    <s v="ESPC360-21044"/>
    <s v="[PRO][Seguros] INC058755795 - CLIENTE B67604751. NO SE VISUALIZAN SEGUROS DE WILLIS EN ADN 360"/>
    <s v="Seguros"/>
    <d v="2025-09-22T16:12:20"/>
    <d v="2025-09-22T17:04:43"/>
    <s v="OPERACIONAL"/>
    <s v="FUNCIONAL"/>
    <s v=""/>
    <s v="C360_Team_Mtto"/>
    <s v="Medium"/>
    <s v="CERRADO"/>
    <s v=""/>
    <x v="1"/>
    <x v="4"/>
    <d v="2025-09-22T16:12:20"/>
    <d v="2025-09-22T17:04:43"/>
    <s v="Interno"/>
    <n v="39"/>
    <d v="2025-09-22T00:00:00"/>
    <n v="39"/>
    <d v="2025-09-22T00:00:00"/>
    <n v="3.6373831018863712E-2"/>
    <n v="2025"/>
    <n v="2025"/>
    <s v="2025-09"/>
    <s v="2025-09"/>
  </r>
  <r>
    <s v="ESPC360-21050"/>
    <s v="[PRO][Seguros] INC058789596 - PEX_0040229693 KIBOT  nif 10496516Y"/>
    <s v="Seguros"/>
    <d v="2025-09-23T11:42:43"/>
    <d v="2025-09-24T10:48:01"/>
    <s v="OPERACIONAL"/>
    <s v="SOPORTE"/>
    <s v="NO-CUSTOMER360"/>
    <s v="C360_Team_Mtto"/>
    <s v="Medium"/>
    <s v="CERRADO"/>
    <s v=""/>
    <x v="1"/>
    <x v="2"/>
    <d v="2025-09-23T11:42:43"/>
    <d v="2025-09-24T10:48:01"/>
    <s v="Externo"/>
    <n v="39"/>
    <d v="2025-09-22T00:00:00"/>
    <n v="39"/>
    <d v="2025-09-22T00:00:00"/>
    <n v="0.96200630787643604"/>
    <n v="2025"/>
    <n v="2025"/>
    <s v="2025-09"/>
    <s v="2025-09"/>
  </r>
  <r>
    <s v="ESPC360-21056"/>
    <s v="[PRO] [Front] Incluir la marca de PMP en los contratos de línea de avales"/>
    <s v=""/>
    <d v="2025-09-23T15:30:37"/>
    <d v="2025-10-02T12:17:04"/>
    <s v="OPERACIONAL"/>
    <s v="TÉCNICO"/>
    <s v=""/>
    <s v="C360_Team_Mtto"/>
    <s v="Medium"/>
    <s v="CERRADO"/>
    <s v=""/>
    <x v="1"/>
    <x v="0"/>
    <d v="2025-09-23T15:30:37"/>
    <d v="2025-10-02T12:17:04"/>
    <s v="Interno"/>
    <n v="39"/>
    <d v="2025-09-22T00:00:00"/>
    <n v="40"/>
    <d v="2025-09-29T00:00:00"/>
    <n v="8.8655918055519578"/>
    <n v="2025"/>
    <n v="2025"/>
    <s v="2025-09"/>
    <s v="2025-09"/>
  </r>
  <r>
    <s v="ESPC360-21062"/>
    <s v="[PRO] [NO-CUSTOMER360] INC058742371 - Recibe comunicaciones que no corresponde "/>
    <s v=""/>
    <d v="2025-09-24T10:14:03"/>
    <d v="2025-10-01T09:41:29"/>
    <s v="OPERACIONAL"/>
    <s v="SOPORTE"/>
    <s v="NO_CUSTOMER360"/>
    <s v="C360_Team_Mtto"/>
    <s v="Medium"/>
    <s v="CERRADO"/>
    <s v=""/>
    <x v="1"/>
    <x v="2"/>
    <d v="2025-09-24T10:14:03"/>
    <d v="2025-10-01T09:41:29"/>
    <s v="Externo"/>
    <n v="39"/>
    <d v="2025-09-22T00:00:00"/>
    <n v="40"/>
    <d v="2025-09-29T00:00:00"/>
    <n v="6.9773848726908909"/>
    <n v="2025"/>
    <n v="2025"/>
    <s v="2025-09"/>
    <s v="2025-09"/>
  </r>
  <r>
    <s v="ESPC360-21067"/>
    <s v="[PRO][NO-CUSTOMER360] INC058742371 - PEX_0040178289 Recibe comunicaciones que no corresponde"/>
    <s v=""/>
    <d v="2025-09-24T12:19:12"/>
    <s v=""/>
    <s v="OPERACIONAL"/>
    <s v="SOPORTE"/>
    <s v="NO-CUSTOMER360"/>
    <s v="C360_Team_Mtto"/>
    <s v="Medium"/>
    <s v="Blocked"/>
    <s v=""/>
    <x v="1"/>
    <x v="2"/>
    <d v="2025-09-24T12:19:12"/>
    <s v=""/>
    <s v="Externo"/>
    <n v="39"/>
    <d v="2025-09-22T00:00:00"/>
    <e v="#VALUE!"/>
    <e v="#VALUE!"/>
    <e v="#VALUE!"/>
    <n v="2025"/>
    <e v="#VALUE!"/>
    <s v="2025-09"/>
    <e v="#VALUE!"/>
  </r>
  <r>
    <s v="ESPC360-21073"/>
    <s v="[PRO][Movimientos] INC058834997 - Faltan movimientos en ADN360"/>
    <s v="Movimientos Cuentas;Movimientos Tarjetas"/>
    <d v="2025-09-24T14:51:07"/>
    <d v="2025-09-25T11:52:27"/>
    <s v="OPERACIONAL"/>
    <s v="SOPORTE"/>
    <s v="NO-CUSTOMER360"/>
    <s v="C360_Team_Mtto"/>
    <s v="Medium"/>
    <s v="CERRADO"/>
    <s v=""/>
    <x v="1"/>
    <x v="2"/>
    <d v="2025-09-24T14:51:07"/>
    <d v="2025-09-25T11:52:27"/>
    <s v="Externo"/>
    <n v="39"/>
    <d v="2025-09-22T00:00:00"/>
    <n v="39"/>
    <d v="2025-09-22T00:00:00"/>
    <n v="0.87592724536807509"/>
    <n v="2025"/>
    <n v="2025"/>
    <s v="2025-09"/>
    <s v="2025-09"/>
  </r>
  <r>
    <s v="ESPC360-21074"/>
    <s v="[PRO][Cuentas] INC058835762 - Empresa no ve una cuenta que tiene asociada por la web ni por la app "/>
    <s v="Cuentas"/>
    <d v="2025-09-24T15:06:56"/>
    <d v="2025-09-24T17:17:29"/>
    <s v="OPERACIONAL"/>
    <s v="DESARROLLO"/>
    <s v=""/>
    <s v="C360_Team_Mtto"/>
    <s v="Medium"/>
    <s v="CERRADO"/>
    <s v=""/>
    <x v="1"/>
    <x v="1"/>
    <d v="2025-09-24T15:06:56"/>
    <d v="2025-09-24T17:17:29"/>
    <s v="Interno"/>
    <n v="39"/>
    <d v="2025-09-22T00:00:00"/>
    <n v="39"/>
    <d v="2025-09-22T00:00:00"/>
    <n v="9.0662361115391832E-2"/>
    <n v="2025"/>
    <n v="2025"/>
    <s v="2025-09"/>
    <s v="2025-09"/>
  </r>
  <r>
    <s v="ESPC360-21141"/>
    <s v="[PRO][ADN-Cliente] INC058870185 - No ve el Margen bruto del cliente"/>
    <s v=""/>
    <d v="2025-09-25T13:19:22"/>
    <d v="2025-09-26T11:07:54"/>
    <s v="OPERACIONAL"/>
    <s v="SOPORTE"/>
    <s v="NO-CUSTOMER360"/>
    <s v="C360_Team_Mtto"/>
    <s v="Medium"/>
    <s v="CERRADO"/>
    <s v=""/>
    <x v="1"/>
    <x v="2"/>
    <d v="2025-09-25T13:19:22"/>
    <d v="2025-09-26T11:07:54"/>
    <s v="Externo"/>
    <n v="39"/>
    <d v="2025-09-22T00:00:00"/>
    <n v="39"/>
    <d v="2025-09-22T00:00:00"/>
    <n v="0.90870299767993856"/>
    <n v="2025"/>
    <n v="2025"/>
    <s v="2025-09"/>
    <s v="2025-09"/>
  </r>
  <r>
    <s v="ESPC360-21142"/>
    <s v="[PRO][ADN-OPERATIVO] INC058874722 - PEX_0040229483"/>
    <s v=""/>
    <d v="2025-09-25T15:14:31"/>
    <d v="2025-09-26T12:57:33"/>
    <s v="OPERACIONAL"/>
    <s v="SOPORTE"/>
    <s v="NO-CUSTOMER360"/>
    <s v="C360_Team_Mtto"/>
    <s v="Medium"/>
    <s v="CERRADO"/>
    <s v=""/>
    <x v="1"/>
    <x v="2"/>
    <d v="2025-09-25T15:14:31"/>
    <d v="2025-09-26T12:57:33"/>
    <s v="Externo"/>
    <n v="39"/>
    <d v="2025-09-22T00:00:00"/>
    <n v="39"/>
    <d v="2025-09-22T00:00:00"/>
    <n v="0.9048891898128204"/>
    <n v="2025"/>
    <n v="2025"/>
    <s v="2025-09"/>
    <s v="2025-09"/>
  </r>
  <r>
    <s v="ESPC360-21144"/>
    <s v="[PRO][NO-CUSTOMER360] INC058875674 - NO SE GRABAN NUESTRAS AGENDAS DESDE NIMBUS"/>
    <s v=""/>
    <d v="2025-09-26T09:58:09"/>
    <d v="2025-09-30T10:37:06"/>
    <s v="OPERACIONAL"/>
    <s v="SOPORTE"/>
    <s v=""/>
    <s v="C360_Team_Mtto"/>
    <s v="Medium"/>
    <s v="CERRADO"/>
    <s v=""/>
    <x v="1"/>
    <x v="2"/>
    <d v="2025-09-26T09:58:09"/>
    <d v="2025-09-30T10:37:06"/>
    <s v="Externo"/>
    <n v="39"/>
    <d v="2025-09-22T00:00:00"/>
    <n v="40"/>
    <d v="2025-09-29T00:00:00"/>
    <n v="4.0270533101793262"/>
    <n v="2025"/>
    <n v="2025"/>
    <s v="2025-09"/>
    <s v="2025-09"/>
  </r>
  <r>
    <s v="ESPC360-21145"/>
    <s v="[PRO] [ADN-CLIENTE]  INC058873723 - Error a la hora de intentar subir la documentación"/>
    <s v=""/>
    <d v="2025-09-26T10:01:45"/>
    <d v="2025-09-30T10:37:56"/>
    <s v="OPERACIONAL"/>
    <s v="SOPORTE"/>
    <s v="NO_CUSTOMER360"/>
    <s v="C360_Team_Mtto"/>
    <s v="Medium"/>
    <s v="CERRADO"/>
    <s v=""/>
    <x v="1"/>
    <x v="2"/>
    <d v="2025-09-26T10:01:45"/>
    <d v="2025-09-30T10:37:56"/>
    <s v="Externo"/>
    <n v="39"/>
    <d v="2025-09-22T00:00:00"/>
    <n v="40"/>
    <d v="2025-09-29T00:00:00"/>
    <n v="4.0251277430579648"/>
    <n v="2025"/>
    <n v="2025"/>
    <s v="2025-09"/>
    <s v="2025-09"/>
  </r>
  <r>
    <s v="ESPC360-21148"/>
    <s v="[PRO][ADN-CLIENTE] INC058906716 - preconcedidos en ADN"/>
    <s v=""/>
    <d v="2025-09-26T11:09:13"/>
    <d v="2025-09-30T10:38:42"/>
    <s v="OPERACIONAL"/>
    <s v="SOPORTE"/>
    <s v="NO-CUSTOMER360"/>
    <s v="C360_Team_Mtto"/>
    <s v="Medium"/>
    <s v="CERRADO"/>
    <s v=""/>
    <x v="1"/>
    <x v="2"/>
    <d v="2025-09-26T11:09:13"/>
    <d v="2025-09-30T10:38:42"/>
    <s v="Externo"/>
    <n v="39"/>
    <d v="2025-09-22T00:00:00"/>
    <n v="40"/>
    <d v="2025-09-29T00:00:00"/>
    <n v="3.9788095023104688"/>
    <n v="2025"/>
    <n v="2025"/>
    <s v="2025-09"/>
    <s v="2025-09"/>
  </r>
  <r>
    <s v="ESPC360-21149"/>
    <s v="[PRO][NO-CUSTOMER360] INC058907539 - Incidencia Alertas precon en ADN"/>
    <s v=""/>
    <d v="2025-09-26T11:26:47"/>
    <d v="2025-10-06T11:43:53"/>
    <s v="OPERACIONAL"/>
    <s v="SOPORTE"/>
    <s v="NO-CUSTOMER360"/>
    <s v="C360_Team_Mtto"/>
    <s v="Medium"/>
    <s v="CERRADO"/>
    <s v=""/>
    <x v="1"/>
    <x v="2"/>
    <d v="2025-09-26T11:26:47"/>
    <d v="2025-10-06T11:43:53"/>
    <s v="Externo"/>
    <n v="39"/>
    <d v="2025-09-22T00:00:00"/>
    <n v="41"/>
    <d v="2025-10-06T00:00:00"/>
    <n v="10.011869861111336"/>
    <n v="2025"/>
    <n v="2025"/>
    <s v="2025-09"/>
    <s v="2025-10"/>
  </r>
  <r>
    <s v="ESPC360-21150"/>
    <s v="[PRO][NO-CUSTOMER360] INC058907558 - NO APARECEN LOS RIESGOS PRECONCEDIDOS NI EN ADN NI EN GO "/>
    <s v=""/>
    <d v="2025-09-26T11:29:03"/>
    <d v="2025-09-30T10:40:47"/>
    <s v="OPERACIONAL"/>
    <s v="SOPORTE"/>
    <s v="NO-CUSTOMER360"/>
    <s v="C360_Team_Mtto"/>
    <s v="Medium"/>
    <s v="CERRADO"/>
    <s v=""/>
    <x v="1"/>
    <x v="2"/>
    <d v="2025-09-26T11:29:03"/>
    <d v="2025-09-30T10:40:47"/>
    <s v="Externo"/>
    <n v="39"/>
    <d v="2025-09-22T00:00:00"/>
    <n v="40"/>
    <d v="2025-09-29T00:00:00"/>
    <n v="3.9664847337917308"/>
    <n v="2025"/>
    <n v="2025"/>
    <s v="2025-09"/>
    <s v="2025-09"/>
  </r>
  <r>
    <s v="ESPC360-21151"/>
    <s v="[PRO][Seguros] INC058868103 - QUE NO SALE LA PRIMA CORRECTAMENTE EN ADN CLIENTE"/>
    <s v="Seguros"/>
    <d v="2025-09-26T11:31:52"/>
    <d v="2025-10-06T11:45:36"/>
    <s v="OPERACIONAL"/>
    <s v="SOPORTE"/>
    <s v="NO-CUSTOMER360"/>
    <s v="C360_Team_Mtto"/>
    <s v="Medium"/>
    <s v="CERRADO"/>
    <s v=""/>
    <x v="1"/>
    <x v="2"/>
    <d v="2025-09-26T11:31:52"/>
    <d v="2025-10-06T11:45:36"/>
    <s v="Externo"/>
    <n v="39"/>
    <d v="2025-09-22T00:00:00"/>
    <n v="41"/>
    <d v="2025-10-06T00:00:00"/>
    <n v="10.009527974536468"/>
    <n v="2025"/>
    <n v="2025"/>
    <s v="2025-09"/>
    <s v="2025-10"/>
  </r>
  <r>
    <s v="ESPC360-21155"/>
    <s v="[PRO] [Tarjetas] INC058912756 - NO informa cuenta en adn 360"/>
    <s v="Tarjetas"/>
    <d v="2025-09-26T14:36:58"/>
    <d v="2025-09-30T10:42:15"/>
    <s v="OPERACIONAL"/>
    <s v="SOPORTE"/>
    <s v=""/>
    <s v="C360_Team_Mtto"/>
    <s v="Medium"/>
    <s v="CERRADO"/>
    <s v=""/>
    <x v="1"/>
    <x v="2"/>
    <d v="2025-09-26T14:36:58"/>
    <d v="2025-09-30T10:42:15"/>
    <s v="Externo"/>
    <n v="39"/>
    <d v="2025-09-22T00:00:00"/>
    <n v="40"/>
    <d v="2025-09-29T00:00:00"/>
    <n v="3.8369992129591992"/>
    <n v="2025"/>
    <n v="2025"/>
    <s v="2025-09"/>
    <s v="2025-09"/>
  </r>
  <r>
    <s v="ESPC360-21167"/>
    <s v="[PRO] [Tarjetas] INC058912756 - Tarjeta no tiene cuenta asociada débito"/>
    <s v="Tarjetas"/>
    <d v="2025-09-29T15:21:50"/>
    <d v="2025-09-29T15:47:14"/>
    <s v="OPERACIONAL"/>
    <s v="DESARROLLO"/>
    <s v=""/>
    <s v="C360_Team_Mtto"/>
    <s v="Medium"/>
    <s v="CERRADO"/>
    <s v=""/>
    <x v="1"/>
    <x v="1"/>
    <d v="2025-09-29T15:21:50"/>
    <d v="2025-09-29T15:47:14"/>
    <s v="Interno"/>
    <n v="40"/>
    <d v="2025-09-29T00:00:00"/>
    <n v="40"/>
    <d v="2025-09-29T00:00:00"/>
    <n v="1.7633854171435814E-2"/>
    <n v="2025"/>
    <n v="2025"/>
    <s v="2025-09"/>
    <s v="2025-09"/>
  </r>
  <r>
    <s v="ESPC360-21170"/>
    <s v="[PRO][Tarjetas] INC058988400 - ADN360 no esta devolviendo el IBAN de la tarjeta"/>
    <s v="Tarjetas"/>
    <d v="2025-09-30T09:07:43"/>
    <d v="2025-09-30T16:13:46"/>
    <s v="OPERACIONAL"/>
    <s v="DESARROLLO"/>
    <s v=""/>
    <s v="C360_Team_Mtto"/>
    <s v="Medium"/>
    <s v="CERRADO"/>
    <s v=""/>
    <x v="1"/>
    <x v="1"/>
    <d v="2025-09-30T09:07:43"/>
    <d v="2025-09-30T16:13:46"/>
    <s v="Interno"/>
    <n v="40"/>
    <d v="2025-09-29T00:00:00"/>
    <n v="40"/>
    <d v="2025-09-29T00:00:00"/>
    <n v="0.29586913194361841"/>
    <n v="2025"/>
    <n v="2025"/>
    <s v="2025-09"/>
    <s v="2025-09"/>
  </r>
  <r>
    <s v="ESPC360-21171"/>
    <s v="[PRO] [Customers] INC059021930 - Cliente aparece como banca privada en el api de customers."/>
    <s v=""/>
    <d v="2025-09-30T11:55:44"/>
    <d v="2025-09-30T15:48:23"/>
    <s v="OPERACIONAL"/>
    <s v="DESARROLLO"/>
    <s v=""/>
    <s v="C360_Team_Mtto"/>
    <s v="Medium"/>
    <s v="CERRADO"/>
    <s v=""/>
    <x v="1"/>
    <x v="1"/>
    <d v="2025-09-30T11:55:44"/>
    <d v="2025-09-30T15:48:23"/>
    <s v="Interno"/>
    <n v="40"/>
    <d v="2025-09-29T00:00:00"/>
    <n v="40"/>
    <d v="2025-09-29T00:00:00"/>
    <n v="0.16156394675635966"/>
    <n v="2025"/>
    <n v="2025"/>
    <s v="2025-09"/>
    <s v="2025-09"/>
  </r>
  <r>
    <s v="ESPC360-21175"/>
    <s v="[PRO] [Fondos] INC059001170 -  Fondo carterizado aparece duplicado"/>
    <s v="Fondos"/>
    <d v="2025-09-30T13:38:27"/>
    <d v="2025-10-03T08:54:26"/>
    <s v="OPERACIONAL"/>
    <s v="SOPORTE"/>
    <s v=""/>
    <s v="C360_Team_Mtto"/>
    <s v="Medium"/>
    <s v="CERRADO"/>
    <s v=""/>
    <x v="1"/>
    <x v="2"/>
    <d v="2025-09-30T13:38:27"/>
    <d v="2025-10-03T08:54:26"/>
    <s v="Externo"/>
    <n v="40"/>
    <d v="2025-09-29T00:00:00"/>
    <n v="40"/>
    <d v="2025-09-29T00:00:00"/>
    <n v="2.8027695023120032"/>
    <n v="2025"/>
    <n v="2025"/>
    <s v="2025-09"/>
    <s v="2025-09"/>
  </r>
  <r>
    <s v="ESPC360-21178"/>
    <s v="[PRO][Mov. Cuentas] INC059023774 - Remesa de transferencias: Al consultar los movimientos están intercaladas  / 004918685200000623 / B40162224 / EL PINAR BERRIES SLU "/>
    <s v="Movimientos Cuentas"/>
    <d v="2025-09-30T14:57:11"/>
    <d v="2025-10-06T11:47:43"/>
    <s v="OPERACIONAL"/>
    <s v="SOPORTE"/>
    <s v="NO-CUSTOMER360"/>
    <s v="C360_Team_Mtto"/>
    <s v="Medium"/>
    <s v="CERRADO"/>
    <s v=""/>
    <x v="1"/>
    <x v="2"/>
    <d v="2025-09-30T14:57:11"/>
    <d v="2025-10-06T11:47:43"/>
    <s v="Externo"/>
    <n v="40"/>
    <d v="2025-09-29T00:00:00"/>
    <n v="41"/>
    <d v="2025-10-06T00:00:00"/>
    <n v="5.8684321759210434"/>
    <n v="2025"/>
    <n v="2025"/>
    <s v="2025-09"/>
    <s v="2025-10"/>
  </r>
  <r>
    <s v="ESPC360-21180"/>
    <s v="[PRO][Cuentas] INC059032875 - Cuenta con saldo pendiente de consolidar por Web que no es correcto"/>
    <s v="Cuentas"/>
    <d v="2025-10-01T08:52:52"/>
    <d v="2025-10-16T16:51:07"/>
    <s v="OPERACIONAL"/>
    <s v="SOPORTE"/>
    <s v=""/>
    <s v="C360_Team_Mtto"/>
    <s v="Medium"/>
    <s v="CERRADO"/>
    <s v=""/>
    <x v="1"/>
    <x v="2"/>
    <d v="2025-10-01T08:52:52"/>
    <d v="2025-10-16T16:51:07"/>
    <s v="Externo"/>
    <n v="40"/>
    <d v="2025-09-29T00:00:00"/>
    <n v="42"/>
    <d v="2025-10-13T00:00:00"/>
    <n v="15.332122650463134"/>
    <n v="2025"/>
    <n v="2025"/>
    <s v="2025-09"/>
    <s v="2025-10"/>
  </r>
  <r>
    <s v="ESPC360-21181"/>
    <s v="[PRO] [Créditos] INC059062808 - Fecha vencimiento errónea"/>
    <s v="Créditos"/>
    <d v="2025-10-01T09:22:15"/>
    <d v="2025-10-03T08:55:00"/>
    <s v="OPERACIONAL"/>
    <s v="SOPORTE"/>
    <s v=""/>
    <s v="C360_Team_Mtto"/>
    <s v="Medium"/>
    <s v="CERRADO"/>
    <s v=""/>
    <x v="1"/>
    <x v="2"/>
    <d v="2025-10-01T09:22:15"/>
    <d v="2025-10-03T08:55:00"/>
    <s v="Externo"/>
    <n v="40"/>
    <d v="2025-09-29T00:00:00"/>
    <n v="40"/>
    <d v="2025-09-29T00:00:00"/>
    <n v="1.9810798379621701"/>
    <n v="2025"/>
    <n v="2025"/>
    <s v="2025-09"/>
    <s v="2025-09"/>
  </r>
  <r>
    <s v="ESPC360-21182"/>
    <s v="[PRO][Cuentas] INC059070581 - PEX_0040411533 No se visualiza cuenta Hucha vigente y con saldo desde ADN y si en los canales"/>
    <s v="Cuentas"/>
    <d v="2025-10-01T12:42:01"/>
    <d v="2025-10-06T11:50:10"/>
    <s v="OPERACIONAL"/>
    <s v="SOPORTE"/>
    <s v="NO-CUSTOMER360"/>
    <s v="C360_Team_Mtto"/>
    <s v="Medium"/>
    <s v="CERRADO"/>
    <s v=""/>
    <x v="1"/>
    <x v="2"/>
    <d v="2025-10-01T12:42:01"/>
    <d v="2025-10-06T11:50:10"/>
    <s v="Externo"/>
    <n v="40"/>
    <d v="2025-09-29T00:00:00"/>
    <n v="41"/>
    <d v="2025-10-06T00:00:00"/>
    <n v="4.9639991782387369"/>
    <n v="2025"/>
    <n v="2025"/>
    <s v="2025-09"/>
    <s v="2025-10"/>
  </r>
  <r>
    <s v="ESPC360-21188"/>
    <s v="[PRO] [Leasing] INC059074445 - Contrato marcado como dudoso"/>
    <s v="Leasing"/>
    <d v="2025-10-01T17:48:03"/>
    <d v="2025-10-06T15:42:36"/>
    <s v="OPERACIONAL"/>
    <s v="SOPORTE"/>
    <s v="NO-CUSTOMER360"/>
    <s v="C360_Team_Mtto"/>
    <s v="Medium"/>
    <s v="CERRADO"/>
    <s v=""/>
    <x v="1"/>
    <x v="2"/>
    <d v="2025-10-01T17:48:03"/>
    <d v="2025-10-06T15:42:36"/>
    <s v="Externo"/>
    <n v="40"/>
    <d v="2025-09-29T00:00:00"/>
    <n v="41"/>
    <d v="2025-10-06T00:00:00"/>
    <n v="4.9128820717596682"/>
    <n v="2025"/>
    <n v="2025"/>
    <s v="2025-09"/>
    <s v="2025-10"/>
  </r>
  <r>
    <s v="ESPC360-21193"/>
    <s v="[PRO] [Comex] INC059070592 - Alertado errores 400"/>
    <s v="Comex"/>
    <d v="2025-10-02T10:08:40"/>
    <d v="2025-10-16T16:53:29"/>
    <s v="OPERACIONAL"/>
    <s v="SOPORTE"/>
    <s v="NO-CUSTOMER360"/>
    <s v="C360_Team_Mtto"/>
    <s v="Medium"/>
    <s v="CERRADO"/>
    <s v=""/>
    <x v="1"/>
    <x v="2"/>
    <d v="2025-10-02T10:08:40"/>
    <d v="2025-10-16T16:53:29"/>
    <s v="Externo"/>
    <n v="40"/>
    <d v="2025-09-29T00:00:00"/>
    <n v="42"/>
    <d v="2025-10-13T00:00:00"/>
    <n v="14.281121782412811"/>
    <n v="2025"/>
    <n v="2025"/>
    <s v="2025-09"/>
    <s v="2025-10"/>
  </r>
  <r>
    <s v="ESPC360-21194"/>
    <s v="[PRO] [Agenda Financiera] INC059103026 - Alertado errores 400"/>
    <s v="agenda financiera"/>
    <d v="2025-10-02T10:09:54"/>
    <d v="2025-10-16T16:54:41"/>
    <s v="OPERACIONAL"/>
    <s v="SOPORTE"/>
    <s v="NO-CUSTOMER360"/>
    <s v="C360_Team_Mtto"/>
    <s v="Medium"/>
    <s v="CERRADO"/>
    <s v=""/>
    <x v="1"/>
    <x v="2"/>
    <d v="2025-10-02T10:09:54"/>
    <d v="2025-10-16T16:54:41"/>
    <s v="Externo"/>
    <n v="40"/>
    <d v="2025-09-29T00:00:00"/>
    <n v="42"/>
    <d v="2025-10-13T00:00:00"/>
    <n v="14.281104178240639"/>
    <n v="2025"/>
    <n v="2025"/>
    <s v="2025-09"/>
    <s v="2025-10"/>
  </r>
  <r>
    <s v="ESPC360-21195"/>
    <s v="[PRO] [Cuentas] INC059079019 - Alertados errores 400"/>
    <s v="Cuentas"/>
    <d v="2025-10-02T10:17:38"/>
    <d v="2025-10-20T10:19:43"/>
    <s v="OPERACIONAL"/>
    <s v="SOPORTE"/>
    <s v="ALERTADO"/>
    <s v="C360_Team_Mtto"/>
    <s v="Medium"/>
    <s v="CERRADO"/>
    <s v=""/>
    <x v="1"/>
    <x v="2"/>
    <d v="2025-10-02T10:17:38"/>
    <d v="2025-10-20T10:19:43"/>
    <s v="Externo"/>
    <n v="40"/>
    <d v="2025-09-29T00:00:00"/>
    <n v="43"/>
    <d v="2025-10-20T00:00:00"/>
    <n v="18.001452754630009"/>
    <n v="2025"/>
    <n v="2025"/>
    <s v="2025-09"/>
    <s v="2025-10"/>
  </r>
  <r>
    <s v="ESPC360-21203"/>
    <s v="[PRO] [FRONT] Error puntual en el front de adn360"/>
    <s v="Front ADN360"/>
    <d v="2025-10-02T12:20:15"/>
    <d v="2025-10-15T12:19:40"/>
    <s v="OPERACIONAL"/>
    <s v="SOPORTE"/>
    <s v=""/>
    <s v="C360_Team_Mtto"/>
    <s v="Medium"/>
    <s v="CERRADO"/>
    <s v=""/>
    <x v="1"/>
    <x v="2"/>
    <d v="2025-10-02T12:20:15"/>
    <d v="2025-10-15T12:19:40"/>
    <s v="Externo"/>
    <n v="40"/>
    <d v="2025-09-29T00:00:00"/>
    <n v="42"/>
    <d v="2025-10-13T00:00:00"/>
    <n v="12.999591979161778"/>
    <n v="2025"/>
    <n v="2025"/>
    <s v="2025-09"/>
    <s v="2025-10"/>
  </r>
  <r>
    <s v="ESPC360-21205"/>
    <s v="[PRO] [Tarjetas] INC059104726 - No se muestra la cuenta cargo"/>
    <s v="Tarjetas"/>
    <d v="2025-10-02T13:21:05"/>
    <d v="2025-10-02T15:50:26"/>
    <s v="OPERACIONAL"/>
    <s v="DESARROLLO"/>
    <s v=""/>
    <s v="C360_Team_Mtto"/>
    <s v="Medium"/>
    <s v="CERRADO"/>
    <s v=""/>
    <x v="1"/>
    <x v="1"/>
    <d v="2025-10-02T13:21:05"/>
    <d v="2025-10-02T15:50:26"/>
    <s v="Interno"/>
    <n v="40"/>
    <d v="2025-09-29T00:00:00"/>
    <n v="40"/>
    <d v="2025-09-29T00:00:00"/>
    <n v="0.10372077546344372"/>
    <n v="2025"/>
    <n v="2025"/>
    <s v="2025-09"/>
    <s v="2025-09"/>
  </r>
  <r>
    <s v="ESPC360-21277"/>
    <s v="[PRO] [Fondos] INC059111714 - No se muestra fondo"/>
    <s v="Fondos"/>
    <d v="2025-10-02T15:55:16"/>
    <d v="2025-10-08T09:35:03"/>
    <s v="OPERACIONAL"/>
    <s v="SOPORTE"/>
    <s v="NO-CUSTOMER360"/>
    <s v="C360_Team_Mtto"/>
    <s v="Medium"/>
    <s v="CERRADO"/>
    <s v=""/>
    <x v="1"/>
    <x v="2"/>
    <d v="2025-10-02T15:55:16"/>
    <d v="2025-10-08T09:35:03"/>
    <s v="Externo"/>
    <n v="40"/>
    <d v="2025-09-29T00:00:00"/>
    <n v="41"/>
    <d v="2025-10-06T00:00:00"/>
    <n v="5.7359610069470364"/>
    <n v="2025"/>
    <n v="2025"/>
    <s v="2025-09"/>
    <s v="2025-10"/>
  </r>
  <r>
    <s v="ESPC360-21278"/>
    <s v="[PRO][ADN-OPERATIVO] INC058654472 - INCIDENCIA EN ADN OPERATIVO"/>
    <s v=""/>
    <d v="2025-10-02T15:58:51"/>
    <d v="2025-10-20T12:28:58"/>
    <s v="OPERACIONAL"/>
    <s v="SOPORTE"/>
    <s v="NO-CUSTOMER360"/>
    <s v="C360_Team_Mtto"/>
    <s v="Medium"/>
    <s v="CERRADO"/>
    <s v=""/>
    <x v="1"/>
    <x v="2"/>
    <d v="2025-10-02T15:58:51"/>
    <d v="2025-10-20T12:28:58"/>
    <s v="Externo"/>
    <n v="40"/>
    <d v="2025-09-29T00:00:00"/>
    <n v="43"/>
    <d v="2025-10-20T00:00:00"/>
    <n v="17.854251736112928"/>
    <n v="2025"/>
    <n v="2025"/>
    <s v="2025-09"/>
    <s v="2025-10"/>
  </r>
  <r>
    <s v="ESPC360-21280"/>
    <s v="[PRO] [Cuentas] INC059118322 - Cuenta Local no es correcta"/>
    <s v="Cuentas"/>
    <d v="2025-10-03T08:40:40"/>
    <d v="2025-10-03T14:38:41"/>
    <s v="OPERACIONAL"/>
    <s v="DESARROLLO"/>
    <s v=""/>
    <s v="C360_Team_Mtto"/>
    <s v="Medium"/>
    <s v="CERRADO"/>
    <s v=""/>
    <x v="1"/>
    <x v="1"/>
    <d v="2025-10-03T08:40:40"/>
    <d v="2025-10-03T14:38:41"/>
    <s v="Interno"/>
    <n v="40"/>
    <d v="2025-09-29T00:00:00"/>
    <n v="40"/>
    <d v="2025-09-29T00:00:00"/>
    <n v="0.24861629629594972"/>
    <n v="2025"/>
    <n v="2025"/>
    <s v="2025-09"/>
    <s v="2025-09"/>
  </r>
  <r>
    <s v="ESPC360-21294"/>
    <s v="[PRO] [Cuentas] INC059176977 - Alertados errores 400"/>
    <s v="Cuentas"/>
    <d v="2025-10-06T09:32:01"/>
    <d v="2025-10-15T12:20:10"/>
    <s v="OPERACIONAL"/>
    <s v="SOPORTE"/>
    <s v="ALERTADO"/>
    <s v="C360_Team_Mtto"/>
    <s v="Medium"/>
    <s v="CERRADO"/>
    <s v=""/>
    <x v="1"/>
    <x v="2"/>
    <d v="2025-10-06T09:32:01"/>
    <d v="2025-10-15T12:20:10"/>
    <s v="Externo"/>
    <n v="41"/>
    <d v="2025-10-06T00:00:00"/>
    <n v="42"/>
    <d v="2025-10-13T00:00:00"/>
    <n v="9.1167660416685976"/>
    <n v="2025"/>
    <n v="2025"/>
    <s v="2025-10"/>
    <s v="2025-10"/>
  </r>
  <r>
    <s v="ESPC360-21295"/>
    <s v="[PRO][Cuentas] INC059146688 - Alertado errores 400"/>
    <s v="Cuentas"/>
    <d v="2025-10-06T10:11:43"/>
    <d v="2025-10-21T15:47:23"/>
    <s v="OPERACIONAL"/>
    <s v="SOPORTE"/>
    <s v="NO-CUSTOMER360"/>
    <s v="C360_Team_Mtto"/>
    <s v="Medium"/>
    <s v="CANCELADO"/>
    <s v=""/>
    <x v="1"/>
    <x v="2"/>
    <d v="2025-10-06T10:11:43"/>
    <d v="2025-10-21T15:47:23"/>
    <s v="Externo"/>
    <n v="41"/>
    <d v="2025-10-06T00:00:00"/>
    <n v="43"/>
    <d v="2025-10-20T00:00:00"/>
    <n v="15.233097627315146"/>
    <n v="2025"/>
    <n v="2025"/>
    <s v="2025-10"/>
    <s v="2025-10"/>
  </r>
  <r>
    <s v="ESPC360-21305"/>
    <s v="[PRO] [Mov. Cuentas] INC059226600 - Alertado errores 400"/>
    <s v="Movimientos Cuentas"/>
    <d v="2025-10-07T08:40:52"/>
    <d v="2025-10-16T16:57:40"/>
    <s v="OPERACIONAL"/>
    <s v="SOPORTE"/>
    <s v="NO-CUSTOMER360"/>
    <s v="C360_Team_Mtto"/>
    <s v="Medium"/>
    <s v="CERRADO"/>
    <s v=""/>
    <x v="1"/>
    <x v="2"/>
    <d v="2025-10-07T08:40:52"/>
    <d v="2025-10-16T16:57:40"/>
    <s v="Externo"/>
    <n v="41"/>
    <d v="2025-10-06T00:00:00"/>
    <n v="42"/>
    <d v="2025-10-13T00:00:00"/>
    <n v="9.3450019328738563"/>
    <n v="2025"/>
    <n v="2025"/>
    <s v="2025-10"/>
    <s v="2025-10"/>
  </r>
  <r>
    <s v="ESPC360-21306"/>
    <s v="[PRO] [Recibos] INC059239561 - Alertado errores 400"/>
    <s v="Recibos"/>
    <d v="2025-10-07T09:34:23"/>
    <d v="2025-10-16T16:59:28"/>
    <s v="OPERACIONAL"/>
    <s v="SOPORTE"/>
    <s v="NO-CUSTOMER360"/>
    <s v="C360_Team_Mtto"/>
    <s v="Medium"/>
    <s v="CERRADO"/>
    <s v=""/>
    <x v="1"/>
    <x v="2"/>
    <d v="2025-10-07T09:34:23"/>
    <d v="2025-10-16T16:59:28"/>
    <s v="Externo"/>
    <n v="41"/>
    <d v="2025-10-06T00:00:00"/>
    <n v="42"/>
    <d v="2025-10-13T00:00:00"/>
    <n v="9.3090866666607326"/>
    <n v="2025"/>
    <n v="2025"/>
    <s v="2025-10"/>
    <s v="2025-10"/>
  </r>
  <r>
    <s v="ESPC360-21308"/>
    <s v="[PRO] [Comex] INC059234916 - Alertado errores 400"/>
    <s v="Comex"/>
    <d v="2025-10-07T09:39:04"/>
    <d v="2025-10-16T17:00:45"/>
    <s v="OPERACIONAL"/>
    <s v="SOPORTE"/>
    <s v="NO-CUSTOMER360"/>
    <s v="C360_Team_Mtto"/>
    <s v="Medium"/>
    <s v="CERRADO"/>
    <s v=""/>
    <x v="1"/>
    <x v="2"/>
    <d v="2025-10-07T09:39:04"/>
    <d v="2025-10-16T17:00:45"/>
    <s v="Externo"/>
    <n v="41"/>
    <d v="2025-10-06T00:00:00"/>
    <n v="42"/>
    <d v="2025-10-13T00:00:00"/>
    <n v="9.3067198495409684"/>
    <n v="2025"/>
    <n v="2025"/>
    <s v="2025-10"/>
    <s v="2025-10"/>
  </r>
  <r>
    <s v="ESPC360-21311"/>
    <s v="[PRO][Tarjetas] INC059248583 - KIBOTPEX0040496713 Error información ADN 360"/>
    <s v="Tarjetas"/>
    <d v="2025-10-07T09:56:12"/>
    <d v="2025-10-09T15:22:28"/>
    <s v="OPERACIONAL"/>
    <s v="SOPORTE"/>
    <s v="NO-CUSTOMER360"/>
    <s v="C360_Team_Mtto"/>
    <s v="Medium"/>
    <s v="CERRADO"/>
    <s v=""/>
    <x v="1"/>
    <x v="2"/>
    <d v="2025-10-07T09:56:12"/>
    <d v="2025-10-09T15:22:28"/>
    <s v="Externo"/>
    <n v="41"/>
    <d v="2025-10-06T00:00:00"/>
    <n v="41"/>
    <d v="2025-10-06T00:00:00"/>
    <n v="2.2265803819464054"/>
    <n v="2025"/>
    <n v="2025"/>
    <s v="2025-10"/>
    <s v="2025-10"/>
  </r>
  <r>
    <s v="ESPC360-21312"/>
    <s v="[PRO] [Tarjetas] INC059214438 - No se muestra iban"/>
    <s v="Tarjetas"/>
    <d v="2025-10-07T10:03:39"/>
    <s v=""/>
    <s v="OPERACIONAL"/>
    <s v="SOPORTE"/>
    <s v=""/>
    <s v="C360_Team_Mtto"/>
    <s v="Medium"/>
    <s v="Blocked"/>
    <s v=""/>
    <x v="1"/>
    <x v="2"/>
    <d v="2025-10-07T10:03:39"/>
    <s v=""/>
    <s v="Externo"/>
    <n v="41"/>
    <d v="2025-10-06T00:00:00"/>
    <e v="#VALUE!"/>
    <e v="#VALUE!"/>
    <e v="#VALUE!"/>
    <n v="2025"/>
    <e v="#VALUE!"/>
    <s v="2025-10"/>
    <e v="#VALUE!"/>
  </r>
  <r>
    <s v="ESPC360-21319"/>
    <s v="[PRO][Comex] INC056509952 - PEX_0038946340 kibot aparecen creditos documentarios que estan pagados"/>
    <s v="Comex"/>
    <d v="2025-10-07T17:05:34"/>
    <d v="2025-10-16T17:02:20"/>
    <s v="OPERACIONAL"/>
    <s v="SOPORTE"/>
    <s v="NO-CUSTOMER360"/>
    <s v="C360_Team_Mtto"/>
    <s v="Medium"/>
    <s v="CERRADO"/>
    <s v=""/>
    <x v="1"/>
    <x v="2"/>
    <d v="2025-10-07T17:05:34"/>
    <d v="2025-10-16T17:02:20"/>
    <s v="Externo"/>
    <n v="41"/>
    <d v="2025-10-06T00:00:00"/>
    <n v="42"/>
    <d v="2025-10-13T00:00:00"/>
    <n v="8.9977544328721706"/>
    <n v="2025"/>
    <n v="2025"/>
    <s v="2025-10"/>
    <s v="2025-10"/>
  </r>
  <r>
    <s v="ESPC360-21321"/>
    <s v="[PRO][Fondos] INC059251300 - PEX_0040523288 [NWE] No puede ver detalle ni rentabilidad correcta"/>
    <s v="Fondos"/>
    <d v="2025-10-07T17:20:14"/>
    <d v="2025-10-08T09:24:40"/>
    <s v="OPERACIONAL"/>
    <s v="SOPORTE"/>
    <s v=""/>
    <s v="C360_Team_Mtto"/>
    <s v="Medium"/>
    <s v="CERRADO"/>
    <s v=""/>
    <x v="1"/>
    <x v="2"/>
    <d v="2025-10-07T17:20:14"/>
    <d v="2025-10-08T09:24:40"/>
    <s v="Externo"/>
    <n v="41"/>
    <d v="2025-10-06T00:00:00"/>
    <n v="41"/>
    <d v="2025-10-06T00:00:00"/>
    <n v="0.66975248842936708"/>
    <n v="2025"/>
    <n v="2025"/>
    <s v="2025-10"/>
    <s v="2025-10"/>
  </r>
  <r>
    <s v="ESPC360-21326"/>
    <s v="[PRO][Cuentas] INC059085408 - PEX_0040332255 [NHB] Representante Legal no puede comprar un fondo de terceros para su hijo. "/>
    <s v="Cuentas"/>
    <d v="2025-10-08T09:41:14"/>
    <d v="2025-10-20T12:31:04"/>
    <s v="OPERACIONAL"/>
    <s v="SOPORTE"/>
    <s v="NO-CUSTOMER360"/>
    <s v="C360_Team_Mtto"/>
    <s v="Medium"/>
    <s v="CERRADO"/>
    <s v=""/>
    <x v="1"/>
    <x v="2"/>
    <d v="2025-10-08T09:41:14"/>
    <d v="2025-10-20T12:31:04"/>
    <s v="Externo"/>
    <n v="41"/>
    <d v="2025-10-06T00:00:00"/>
    <n v="43"/>
    <d v="2025-10-20T00:00:00"/>
    <n v="12.117935046291677"/>
    <n v="2025"/>
    <n v="2025"/>
    <s v="2025-10"/>
    <s v="2025-10"/>
  </r>
  <r>
    <s v="ESPC360-21328"/>
    <s v="[PRO][Fondos] INC059301877 - PEX_0040567946 - descuadre  adn 360 de contrato de fondos de inversión - G20057840"/>
    <s v="Fondos"/>
    <d v="2025-10-08T16:17:36"/>
    <d v="2025-10-09T12:18:58"/>
    <s v="OPERACIONAL"/>
    <s v="DESARROLLO"/>
    <s v=""/>
    <s v="C360_Team_Mtto"/>
    <s v="Medium"/>
    <s v="CERRADO"/>
    <s v=""/>
    <x v="1"/>
    <x v="1"/>
    <d v="2025-10-08T16:17:36"/>
    <d v="2025-10-09T12:18:58"/>
    <s v="Interno"/>
    <n v="41"/>
    <d v="2025-10-06T00:00:00"/>
    <n v="41"/>
    <d v="2025-10-06T00:00:00"/>
    <n v="0.83427968750038417"/>
    <n v="2025"/>
    <n v="2025"/>
    <s v="2025-10"/>
    <s v="2025-10"/>
  </r>
  <r>
    <s v="ESPC360-21372"/>
    <s v="[PRO] [Recibos] INC059319587 - Alertado errores 400"/>
    <s v="Recibos"/>
    <d v="2025-10-09T11:06:24"/>
    <d v="2025-10-20T12:32:41"/>
    <s v="OPERACIONAL"/>
    <s v="SOPORTE"/>
    <s v="NO-CUSTOMER360"/>
    <s v="C360_Team_Mtto"/>
    <s v="Medium"/>
    <s v="CERRADO"/>
    <s v=""/>
    <x v="1"/>
    <x v="2"/>
    <d v="2025-10-09T11:06:24"/>
    <d v="2025-10-20T12:32:41"/>
    <s v="Externo"/>
    <n v="41"/>
    <d v="2025-10-06T00:00:00"/>
    <n v="43"/>
    <d v="2025-10-20T00:00:00"/>
    <n v="11.059918993058091"/>
    <n v="2025"/>
    <n v="2025"/>
    <s v="2025-10"/>
    <s v="2025-10"/>
  </r>
  <r>
    <s v="ESPC360-21378"/>
    <s v="[PRO][Recibos] INC059356665 - Alertado errores 400"/>
    <s v="Recibos"/>
    <d v="2025-10-10T08:31:11"/>
    <d v="2025-10-20T12:24:26"/>
    <s v="OPERACIONAL"/>
    <s v="SOPORTE"/>
    <s v="ALERTADO"/>
    <s v="C360_Team_Mtto"/>
    <s v="Medium"/>
    <s v="CERRADO"/>
    <s v=""/>
    <x v="1"/>
    <x v="2"/>
    <d v="2025-10-10T08:31:11"/>
    <d v="2025-10-20T12:24:26"/>
    <s v="Externo"/>
    <n v="41"/>
    <d v="2025-10-06T00:00:00"/>
    <n v="43"/>
    <d v="2025-10-20T00:00:00"/>
    <n v="10.161978391202865"/>
    <n v="2025"/>
    <n v="2025"/>
    <s v="2025-10"/>
    <s v="2025-10"/>
  </r>
  <r>
    <s v="ESPC360-21379"/>
    <s v="[PRO][Cuentas] INC059372286 - Saldo diferente en ADN360"/>
    <s v="Cuentas"/>
    <d v="2025-10-10T11:35:24"/>
    <d v="2025-10-20T12:23:15"/>
    <s v="OPERACIONAL"/>
    <s v="SOPORTE"/>
    <s v="NO-CUSTOMER360"/>
    <s v="C360_Team_Mtto"/>
    <s v="Medium"/>
    <s v="CERRADO"/>
    <s v=""/>
    <x v="1"/>
    <x v="2"/>
    <d v="2025-10-10T11:35:24"/>
    <d v="2025-10-20T12:23:15"/>
    <s v="Externo"/>
    <n v="41"/>
    <d v="2025-10-06T00:00:00"/>
    <n v="43"/>
    <d v="2025-10-20T00:00:00"/>
    <n v="10.033231423614779"/>
    <n v="2025"/>
    <n v="2025"/>
    <s v="2025-10"/>
    <s v="2025-10"/>
  </r>
  <r>
    <s v="ESPC360-21382"/>
    <s v="[PRO] [Recibos]  INC059417216 -  Alertados  s-java-50059982-bills-1"/>
    <s v="Cuentas"/>
    <d v="2025-10-13T09:11:01"/>
    <d v="2025-10-15T12:20:40"/>
    <s v="OPERACIONAL"/>
    <s v="SOPORTE"/>
    <s v="ALERTADO"/>
    <s v="C360_Team_Mtto"/>
    <s v="Medium"/>
    <s v="CERRADO"/>
    <s v=""/>
    <x v="1"/>
    <x v="2"/>
    <d v="2025-10-13T09:11:01"/>
    <d v="2025-10-15T12:20:40"/>
    <s v="Externo"/>
    <n v="42"/>
    <d v="2025-10-13T00:00:00"/>
    <n v="42"/>
    <d v="2025-10-13T00:00:00"/>
    <n v="2.1316953356508748"/>
    <n v="2025"/>
    <n v="2025"/>
    <s v="2025-10"/>
    <s v="2025-10"/>
  </r>
  <r>
    <s v="ESPC360-21383"/>
    <s v="[PRO] [Procesos]  INC059416395- Fallo procesos por conexión con el GIT"/>
    <s v="Fondos;Póliza Multiproducto (PMP)"/>
    <d v="2025-10-13T09:33:08"/>
    <d v="2025-10-15T12:20:52"/>
    <s v="OPERACIONAL"/>
    <s v="SOPORTE"/>
    <s v="PROCESOS"/>
    <s v="C360_Team_Mtto"/>
    <s v="Medium"/>
    <s v="CERRADO"/>
    <s v=""/>
    <x v="1"/>
    <x v="2"/>
    <d v="2025-10-13T09:33:08"/>
    <d v="2025-10-15T12:20:52"/>
    <s v="Externo"/>
    <n v="42"/>
    <d v="2025-10-13T00:00:00"/>
    <n v="42"/>
    <d v="2025-10-13T00:00:00"/>
    <n v="2.1164771990734152"/>
    <n v="2025"/>
    <n v="2025"/>
    <s v="2025-10"/>
    <s v="2025-10"/>
  </r>
  <r>
    <s v="ESPC360-21405"/>
    <s v="[PRO][Mov. Cuentas] INC059474673 - PEX_0040640372 kibot valores"/>
    <s v="Cuentas"/>
    <d v="2025-10-14T12:41:12"/>
    <d v="2025-10-14T16:55:56"/>
    <s v="OPERACIONAL"/>
    <s v="SOPORTE"/>
    <s v=""/>
    <s v="C360_Team_Mtto"/>
    <s v="Medium"/>
    <s v="CERRADO"/>
    <s v=""/>
    <x v="1"/>
    <x v="2"/>
    <d v="2025-10-14T12:41:12"/>
    <d v="2025-10-14T16:55:56"/>
    <s v="Externo"/>
    <n v="42"/>
    <d v="2025-10-13T00:00:00"/>
    <n v="42"/>
    <d v="2025-10-13T00:00:00"/>
    <n v="0.17690053240221459"/>
    <n v="2025"/>
    <n v="2025"/>
    <s v="2025-10"/>
    <s v="2025-10"/>
  </r>
  <r>
    <s v="ESPC360-21410"/>
    <s v="[PRO] [Descuentos] El batch update-fico-balance borra el saldo impagado"/>
    <s v=""/>
    <d v="2025-10-14T17:04:14"/>
    <s v=""/>
    <s v="OPERACIONAL"/>
    <s v="FUNCIONAL"/>
    <s v=""/>
    <s v="C360_Team_Mtto"/>
    <s v="Medium"/>
    <s v="Upstream Generic State 01"/>
    <s v=""/>
    <x v="2"/>
    <x v="4"/>
    <d v="2025-10-14T17:04:14"/>
    <s v=""/>
    <s v="Interno"/>
    <n v="42"/>
    <d v="2025-10-13T00:00:00"/>
    <e v="#VALUE!"/>
    <e v="#VALUE!"/>
    <e v="#VALUE!"/>
    <n v="2025"/>
    <e v="#VALUE!"/>
    <s v="2025-10"/>
    <e v="#VALUE!"/>
  </r>
  <r>
    <s v="ESPC360-21412"/>
    <s v="[PRO] [Carteras] Correcciones por el uso de APIs externos"/>
    <s v=""/>
    <d v="2025-10-15T08:30:47"/>
    <d v="2025-10-15T08:33:13"/>
    <s v="OPERACIONAL"/>
    <s v="TÉCNICO"/>
    <s v=""/>
    <s v="C360_Operacional_Team_1"/>
    <s v="Medium"/>
    <s v="CANCELADO"/>
    <s v=""/>
    <x v="2"/>
    <x v="0"/>
    <d v="2025-10-15T08:30:47"/>
    <d v="2025-10-15T08:33:13"/>
    <s v="Interno"/>
    <n v="42"/>
    <d v="2025-10-13T00:00:00"/>
    <n v="42"/>
    <d v="2025-10-13T00:00:00"/>
    <n v="1.6874884240678512E-3"/>
    <n v="2025"/>
    <n v="2025"/>
    <s v="2025-10"/>
    <s v="2025-10"/>
  </r>
  <r>
    <s v="ESPC360-21413"/>
    <s v="[PRO] [Carteras] Correcciones por el uso de APIs externos"/>
    <s v=""/>
    <d v="2025-10-15T08:33:30"/>
    <d v="2025-10-29T14:45:51"/>
    <s v="OPERACIONAL"/>
    <s v="TÉCNICO"/>
    <s v=""/>
    <s v="C360_Operacional_Team_1"/>
    <s v="Medium"/>
    <s v="CERRADO"/>
    <s v="C360_Operacional_Sprint 213"/>
    <x v="2"/>
    <x v="0"/>
    <d v="2025-10-15T08:33:30"/>
    <d v="2025-10-29T14:45:51"/>
    <s v="Interno"/>
    <n v="42"/>
    <d v="2025-10-13T00:00:00"/>
    <n v="44"/>
    <d v="2025-10-27T00:00:00"/>
    <n v="14.258569085650379"/>
    <n v="2025"/>
    <n v="2025"/>
    <s v="2025-10"/>
    <s v="2025-10"/>
  </r>
  <r>
    <s v="ESPC360-21414"/>
    <s v="[PRO] [Cuentas] INC059344010 - Error por confidencialidad"/>
    <s v="Confidencialidad;Cuentas"/>
    <d v="2025-10-15T12:17:46"/>
    <d v="2025-10-20T10:23:50"/>
    <s v="OPERACIONAL"/>
    <s v="SOPORTE"/>
    <s v=""/>
    <s v="C360_Team_Mtto"/>
    <s v="Medium"/>
    <s v="CERRADO"/>
    <s v=""/>
    <x v="1"/>
    <x v="2"/>
    <d v="2025-10-15T12:17:46"/>
    <d v="2025-10-20T10:23:50"/>
    <s v="Externo"/>
    <n v="42"/>
    <d v="2025-10-13T00:00:00"/>
    <n v="43"/>
    <d v="2025-10-20T00:00:00"/>
    <n v="4.9208825347159291"/>
    <n v="2025"/>
    <n v="2025"/>
    <s v="2025-10"/>
    <s v="2025-10"/>
  </r>
  <r>
    <s v="ESPC360-21415"/>
    <s v="[PRO][Cuentas] INC059472291 - PEX_0040645467 [NHB] No permite seleccionar cuenta menor contratación fondo por la web (Representante+Menor)"/>
    <s v="Cuentas"/>
    <d v="2025-10-15T12:27:47"/>
    <d v="2025-10-29T09:43:52"/>
    <s v="OPERACIONAL"/>
    <s v="SOPORTE"/>
    <s v="NO-CUSTOMER360"/>
    <s v="C360_Team_Mtto"/>
    <s v="Medium"/>
    <s v="CERRADO"/>
    <s v=""/>
    <x v="1"/>
    <x v="2"/>
    <d v="2025-10-15T12:27:47"/>
    <d v="2025-10-29T09:43:52"/>
    <s v="Externo"/>
    <n v="42"/>
    <d v="2025-10-13T00:00:00"/>
    <n v="44"/>
    <d v="2025-10-27T00:00:00"/>
    <n v="13.886167685188411"/>
    <n v="2025"/>
    <n v="2025"/>
    <s v="2025-10"/>
    <s v="2025-10"/>
  </r>
  <r>
    <s v="ESPC360-21416"/>
    <s v="[PRO] [CERTO] Añadir URL de OCU en certo"/>
    <s v="Santanger GO"/>
    <d v="2025-10-15T12:45:19"/>
    <d v="2025-10-29T14:45:30"/>
    <s v="OPERACIONAL"/>
    <s v="DESARROLLO"/>
    <s v=""/>
    <s v="C360_Team_Mtto"/>
    <s v="Medium"/>
    <s v="CERRADO"/>
    <s v=""/>
    <x v="1"/>
    <x v="1"/>
    <d v="2025-10-15T12:45:19"/>
    <d v="2025-10-29T14:45:30"/>
    <s v="Interno"/>
    <n v="42"/>
    <d v="2025-10-13T00:00:00"/>
    <n v="44"/>
    <d v="2025-10-27T00:00:00"/>
    <n v="14.083457754633855"/>
    <n v="2025"/>
    <n v="2025"/>
    <s v="2025-10"/>
    <s v="2025-10"/>
  </r>
  <r>
    <s v="ESPC360-21422"/>
    <s v="[PRO][Mov. Cuentas] INC059511806 - HELPY 15249736 no visualiza cuenta en app"/>
    <s v="Movimientos Cuentas"/>
    <d v="2025-10-15T16:21:24"/>
    <s v=""/>
    <s v="OPERACIONAL"/>
    <s v="SOPORTE"/>
    <s v=""/>
    <s v="C360_Team_Mtto"/>
    <s v="Medium"/>
    <s v="Upstream Generic State 00"/>
    <s v=""/>
    <x v="1"/>
    <x v="2"/>
    <d v="2025-10-15T16:21:24"/>
    <s v=""/>
    <s v="Externo"/>
    <n v="42"/>
    <d v="2025-10-13T00:00:00"/>
    <e v="#VALUE!"/>
    <e v="#VALUE!"/>
    <e v="#VALUE!"/>
    <n v="2025"/>
    <e v="#VALUE!"/>
    <s v="2025-10"/>
    <e v="#VALUE!"/>
  </r>
  <r>
    <s v="ESPC360-21424"/>
    <s v="[PRO][sp2txt] INC059542249 - Error in job PADN190D, application B-SANES-P-HDP.ADN360-100058456"/>
    <s v=""/>
    <d v="2025-10-16T08:48:46"/>
    <d v="2025-10-20T09:29:46"/>
    <s v="OPERACIONAL"/>
    <s v="DESARROLLO"/>
    <s v="SP2TXT"/>
    <s v="C360_Team_Mtto"/>
    <s v="Medium"/>
    <s v="CERRADO"/>
    <s v=""/>
    <x v="1"/>
    <x v="1"/>
    <d v="2025-10-16T08:48:46"/>
    <d v="2025-10-20T09:29:46"/>
    <s v="Interno"/>
    <n v="42"/>
    <d v="2025-10-13T00:00:00"/>
    <n v="43"/>
    <d v="2025-10-20T00:00:00"/>
    <n v="4.0284661342593608"/>
    <n v="2025"/>
    <n v="2025"/>
    <s v="2025-10"/>
    <s v="2025-10"/>
  </r>
  <r>
    <s v="ESPC360-21425"/>
    <s v="[PRO][Créditos] INC059513136 - Reducción de limite en cuenta de credito que no se refleja en la información de ADN."/>
    <s v="Créditos"/>
    <d v="2025-10-16T09:01:28"/>
    <d v="2025-10-16T11:36:14"/>
    <s v="OPERACIONAL"/>
    <s v="DESARROLLO"/>
    <s v=""/>
    <s v="C360_Team_Mtto"/>
    <s v="Medium"/>
    <s v="CERRADO"/>
    <s v=""/>
    <x v="1"/>
    <x v="1"/>
    <d v="2025-10-16T09:01:28"/>
    <d v="2025-10-16T11:36:14"/>
    <s v="Interno"/>
    <n v="42"/>
    <d v="2025-10-13T00:00:00"/>
    <n v="42"/>
    <d v="2025-10-13T00:00:00"/>
    <n v="0.10746883101819549"/>
    <n v="2025"/>
    <n v="2025"/>
    <s v="2025-10"/>
    <s v="2025-10"/>
  </r>
  <r>
    <s v="ESPC360-21484"/>
    <s v="[PRO][Procesos] INC059571936 - Error in job PADN360122D, application B-SANES-P-HDP.ADN360-800012122"/>
    <s v=""/>
    <d v="2025-10-16T23:41:15"/>
    <d v="2025-10-16T23:45:58"/>
    <s v="OPERACIONAL"/>
    <s v="SOPORTE"/>
    <s v="NO-CUSTOMER360"/>
    <s v="C360_Team_Mtto"/>
    <s v="Medium"/>
    <s v="CERRADO"/>
    <s v=""/>
    <x v="1"/>
    <x v="2"/>
    <d v="2025-10-16T23:41:15"/>
    <d v="2025-10-16T23:45:58"/>
    <s v="Externo"/>
    <n v="42"/>
    <d v="2025-10-13T00:00:00"/>
    <n v="42"/>
    <d v="2025-10-13T00:00:00"/>
    <n v="3.2678240750101395E-3"/>
    <n v="2025"/>
    <n v="2025"/>
    <s v="2025-10"/>
    <s v="2025-10"/>
  </r>
  <r>
    <s v="ESPC360-21493"/>
    <s v="[PRO][Santander Go] INC059587709 - No puedo acceder a la aplicación de clientes"/>
    <s v="Santanger GO"/>
    <d v="2025-10-17T11:55:08"/>
    <d v="2025-10-29T09:53:47"/>
    <s v="OPERACIONAL"/>
    <s v="SOPORTE"/>
    <s v="NO-CUSTOMER360"/>
    <s v="C360_Team_Mtto"/>
    <s v="Medium"/>
    <s v="CERRADO"/>
    <s v=""/>
    <x v="1"/>
    <x v="2"/>
    <d v="2025-10-17T11:55:08"/>
    <d v="2025-10-29T09:53:47"/>
    <s v="Externo"/>
    <n v="42"/>
    <d v="2025-10-13T00:00:00"/>
    <n v="44"/>
    <d v="2025-10-27T00:00:00"/>
    <n v="11.915728530089837"/>
    <n v="2025"/>
    <n v="2025"/>
    <s v="2025-10"/>
    <s v="2025-10"/>
  </r>
  <r>
    <s v="ESPC360-21498"/>
    <s v="[PRO][Cuentas] INC059589766 - PEX_0040749574 elevada doble consulta a kibot"/>
    <s v=""/>
    <d v="2025-10-17T12:56:55"/>
    <s v=""/>
    <s v="OPERACIONAL"/>
    <s v=""/>
    <s v=""/>
    <s v=""/>
    <s v="Medium"/>
    <s v="BACKLOG"/>
    <s v=""/>
    <x v="2"/>
    <x v="6"/>
    <d v="2025-10-17T12:56:55"/>
    <s v=""/>
    <s v="Pendiente clasificar"/>
    <n v="42"/>
    <d v="2025-10-13T00:00:00"/>
    <e v="#VALUE!"/>
    <e v="#VALUE!"/>
    <e v="#VALUE!"/>
    <n v="2025"/>
    <e v="#VALUE!"/>
    <s v="2025-10"/>
    <e v="#VALUE!"/>
  </r>
  <r>
    <s v="ESPC360-21499"/>
    <s v="[PRO] [Cuentas] INC059589766 - No se muestra cuentas "/>
    <s v="Carteras Gestionadas;Cuentas"/>
    <d v="2025-10-17T14:21:45"/>
    <d v="2025-10-27T17:47:07"/>
    <s v="OPERACIONAL"/>
    <s v="SOPORTE"/>
    <s v=""/>
    <s v="C360_Team_Mtto"/>
    <s v="Medium"/>
    <s v="CERRADO"/>
    <s v=""/>
    <x v="1"/>
    <x v="2"/>
    <d v="2025-10-17T14:21:45"/>
    <d v="2025-10-27T17:47:07"/>
    <s v="Externo"/>
    <n v="42"/>
    <d v="2025-10-13T00:00:00"/>
    <n v="44"/>
    <d v="2025-10-27T00:00:00"/>
    <n v="10.142623101848585"/>
    <n v="2025"/>
    <n v="2025"/>
    <s v="2025-10"/>
    <s v="2025-10"/>
  </r>
  <r>
    <s v="ESPC360-21500"/>
    <s v="[PRO][Créditos] INC059591592 - PEX_0040753332_ Poliza 004948812416620283 limite incorrecto en ADN"/>
    <s v="Créditos"/>
    <d v="2025-10-17T14:32:06"/>
    <d v="2025-10-29T09:56:25"/>
    <s v="OPERACIONAL"/>
    <s v="SOPORTE"/>
    <s v="NO-CUSTOMER360"/>
    <s v="C360_Team_Mtto"/>
    <s v="Medium"/>
    <s v="CERRADO"/>
    <s v=""/>
    <x v="1"/>
    <x v="2"/>
    <d v="2025-10-17T14:32:06"/>
    <d v="2025-10-29T09:56:25"/>
    <s v="Externo"/>
    <n v="42"/>
    <d v="2025-10-13T00:00:00"/>
    <n v="44"/>
    <d v="2025-10-27T00:00:00"/>
    <n v="11.808554733790515"/>
    <n v="2025"/>
    <n v="2025"/>
    <s v="2025-10"/>
    <s v="2025-10"/>
  </r>
  <r>
    <s v="ESPC360-21501"/>
    <s v="[PRO][Cuentas] INC059592267 - PEX_0040379689 - KIBOT Ve saldo pendiente de consolidar por Web que no es correcto"/>
    <s v="Cuentas"/>
    <d v="2025-10-17T14:51:48"/>
    <d v="2025-10-17T14:54:40"/>
    <s v="OPERACIONAL"/>
    <s v="SOPORTE"/>
    <s v=""/>
    <s v="C360_Team_Mtto"/>
    <s v="Medium"/>
    <s v="CERRADO"/>
    <s v=""/>
    <x v="1"/>
    <x v="2"/>
    <d v="2025-10-17T14:51:48"/>
    <d v="2025-10-17T14:54:40"/>
    <s v="Externo"/>
    <n v="42"/>
    <d v="2025-10-13T00:00:00"/>
    <n v="42"/>
    <d v="2025-10-13T00:00:00"/>
    <n v="1.9927430548705161E-3"/>
    <n v="2025"/>
    <n v="2025"/>
    <s v="2025-10"/>
    <s v="2025-10"/>
  </r>
  <r>
    <s v="ESPC360-21503"/>
    <s v="[PRO][Alertado] INC059613062 - [LE][DYN] CPU saturation"/>
    <s v="Recibos"/>
    <d v="2025-10-20T09:18:43"/>
    <d v="2025-10-20T09:22:45"/>
    <s v="OPERACIONAL"/>
    <s v="TÉCNICO"/>
    <s v=""/>
    <s v="C360_Team_Mtto"/>
    <s v="Medium"/>
    <s v="CERRADO"/>
    <s v=""/>
    <x v="1"/>
    <x v="0"/>
    <d v="2025-10-20T09:18:43"/>
    <d v="2025-10-20T09:22:45"/>
    <s v="Interno"/>
    <n v="43"/>
    <d v="2025-10-20T00:00:00"/>
    <n v="43"/>
    <d v="2025-10-20T00:00:00"/>
    <n v="2.8026273212162778E-3"/>
    <n v="2025"/>
    <n v="2025"/>
    <s v="2025-10"/>
    <s v="2025-10"/>
  </r>
  <r>
    <s v="ESPC360-21504"/>
    <s v="[PRO][Santander Go] INC059662105 - Cliente sin permisos en Santander Go"/>
    <s v="Santanger GO"/>
    <d v="2025-10-20T09:23:16"/>
    <s v=""/>
    <s v="OPERACIONAL"/>
    <s v="SOPORTE"/>
    <s v="NO-CUSTOMER360"/>
    <s v="C360_Team_Mtto"/>
    <s v="Medium"/>
    <s v="Blocked"/>
    <s v=""/>
    <x v="1"/>
    <x v="2"/>
    <d v="2025-10-20T09:23:16"/>
    <s v=""/>
    <s v="Externo"/>
    <n v="43"/>
    <d v="2025-10-20T00:00:00"/>
    <e v="#VALUE!"/>
    <e v="#VALUE!"/>
    <e v="#VALUE!"/>
    <n v="2025"/>
    <e v="#VALUE!"/>
    <s v="2025-10"/>
    <e v="#VALUE!"/>
  </r>
  <r>
    <s v="ESPC360-21506"/>
    <s v="[PRO][PMP] INC059552011 - PEX_0040701237_0049 6755 2025 04702 PMP en estado aprobada , al iniciar la subyacente ya directamente sale la pantalla adjunta."/>
    <s v="Póliza Multiproducto (PMP)"/>
    <d v="2025-10-20T12:11:53"/>
    <d v="2025-10-21T15:52:17"/>
    <s v="OPERACIONAL"/>
    <s v="SOPORTE"/>
    <s v="NO-CUSTOMER360"/>
    <s v="C360_Team_Mtto"/>
    <s v="Medium"/>
    <s v="CERRADO"/>
    <s v=""/>
    <x v="1"/>
    <x v="2"/>
    <d v="2025-10-20T12:11:53"/>
    <d v="2025-10-21T15:52:17"/>
    <s v="Externo"/>
    <n v="43"/>
    <d v="2025-10-20T00:00:00"/>
    <n v="43"/>
    <d v="2025-10-20T00:00:00"/>
    <n v="1.1530499305517878"/>
    <n v="2025"/>
    <n v="2025"/>
    <s v="2025-10"/>
    <s v="2025-10"/>
  </r>
  <r>
    <s v="ESPC360-21508"/>
    <s v="[PRO][Tarjetas] INC059668392 - Indican problemas en el API de refinanciación de tarjetas"/>
    <s v="Tarjetas"/>
    <d v="2025-10-20T12:51:47"/>
    <s v=""/>
    <s v="OPERACIONAL"/>
    <s v="Selecciona (SOPORTE/DEFINICIÓN/FUNCIONAL/TÉCNICO/DESARROLLO)"/>
    <s v=""/>
    <s v="C360_Team_Mtto"/>
    <s v="Medium"/>
    <s v="ON HOLD"/>
    <s v=""/>
    <x v="1"/>
    <x v="7"/>
    <d v="2025-10-20T12:51:47"/>
    <s v=""/>
    <s v="Pendiente clasificar"/>
    <n v="43"/>
    <d v="2025-10-20T00:00:00"/>
    <e v="#VALUE!"/>
    <e v="#VALUE!"/>
    <e v="#VALUE!"/>
    <n v="2025"/>
    <e v="#VALUE!"/>
    <s v="2025-10"/>
    <e v="#VALUE!"/>
  </r>
  <r>
    <s v="ESPC360-21512"/>
    <s v="[PRO][Mov. Cuentas] INC059668433 - Por favor indiquen porque la información en adn es erronea en el numero de titulos comprados, Se adjunta"/>
    <s v="Movimientos Cuentas"/>
    <d v="2025-10-20T13:24:45"/>
    <d v="2025-10-20T16:00:18"/>
    <s v="OPERACIONAL"/>
    <s v="DESARROLLO"/>
    <s v=""/>
    <s v="C360_Team_Mtto"/>
    <s v="Medium"/>
    <s v="CERRADO"/>
    <s v=""/>
    <x v="1"/>
    <x v="1"/>
    <d v="2025-10-20T13:24:45"/>
    <d v="2025-10-20T16:00:18"/>
    <s v="Interno"/>
    <n v="43"/>
    <d v="2025-10-20T00:00:00"/>
    <n v="43"/>
    <d v="2025-10-20T00:00:00"/>
    <n v="0.10801502315007383"/>
    <n v="2025"/>
    <n v="2025"/>
    <s v="2025-10"/>
    <s v="2025-10"/>
  </r>
  <r>
    <s v="ESPC360-21525"/>
    <s v="[PRO][Procesos] INC059596608 - Error in job PADN360132D, application B-SANES-P-HDP.ADN360-800012122"/>
    <s v=""/>
    <d v="2025-10-20T15:35:34"/>
    <d v="2025-10-21T15:45:14"/>
    <s v="OPERACIONAL"/>
    <s v="SOPORTE"/>
    <s v="PROCESOS"/>
    <s v="C360_Team_Mtto"/>
    <s v="Medium"/>
    <s v="CERRADO"/>
    <s v=""/>
    <x v="1"/>
    <x v="2"/>
    <d v="2025-10-20T15:35:34"/>
    <d v="2025-10-21T15:45:14"/>
    <s v="Externo"/>
    <n v="43"/>
    <d v="2025-10-20T00:00:00"/>
    <n v="43"/>
    <d v="2025-10-20T00:00:00"/>
    <n v="1.0067052546291961"/>
    <n v="2025"/>
    <n v="2025"/>
    <s v="2025-10"/>
    <s v="2025-10"/>
  </r>
  <r>
    <s v="ESPC360-21530"/>
    <s v="[PRO][ADN-Cliente] INC059667640 - VODAFONE, EN LA WEB/APP le sale su oficina de referencia que no es la correcta"/>
    <s v=""/>
    <d v="2025-10-20T16:44:51"/>
    <d v="2025-10-21T15:55:22"/>
    <s v="OPERACIONAL"/>
    <s v="SOPORTE"/>
    <s v="NO-CUSTOMER360"/>
    <s v="C360_Team_Mtto"/>
    <s v="Medium"/>
    <s v="CERRADO"/>
    <s v=""/>
    <x v="1"/>
    <x v="2"/>
    <d v="2025-10-20T16:44:51"/>
    <d v="2025-10-21T15:55:22"/>
    <s v="Externo"/>
    <n v="43"/>
    <d v="2025-10-20T00:00:00"/>
    <n v="43"/>
    <d v="2025-10-20T00:00:00"/>
    <n v="0.96563739583507413"/>
    <n v="2025"/>
    <n v="2025"/>
    <s v="2025-10"/>
    <s v="2025-10"/>
  </r>
  <r>
    <s v="ESPC360-21531"/>
    <s v="[PRO] [Cuentas] INC059590476 - Diferencia entre saldo y saldo de movimientos"/>
    <s v="Cuentas"/>
    <d v="2025-10-21T10:30:03"/>
    <d v="2025-10-21T13:11:33"/>
    <s v="OPERACIONAL"/>
    <s v="SOPORTE"/>
    <s v=""/>
    <s v="C360_Team_Mtto"/>
    <s v="Medium"/>
    <s v="CERRADO"/>
    <s v=""/>
    <x v="1"/>
    <x v="2"/>
    <d v="2025-10-21T10:30:03"/>
    <d v="2025-10-21T13:11:33"/>
    <s v="Externo"/>
    <n v="43"/>
    <d v="2025-10-20T00:00:00"/>
    <n v="43"/>
    <d v="2025-10-20T00:00:00"/>
    <n v="0.11216214120213408"/>
    <n v="2025"/>
    <n v="2025"/>
    <s v="2025-10"/>
    <s v="2025-10"/>
  </r>
  <r>
    <s v="ESPC360-21532"/>
    <s v="[PRO][ADN-Cliente] INC059703460 - F-32380971  No le permite contratar porque aparece como incapacitado en ADN Cliente"/>
    <s v=""/>
    <d v="2025-10-21T10:31:02"/>
    <d v="2025-10-29T09:58:19"/>
    <s v="OPERACIONAL"/>
    <s v="SOPORTE"/>
    <s v="NO-CUSTOMER360"/>
    <s v="C360_Team_Mtto"/>
    <s v="Medium"/>
    <s v="CERRADO"/>
    <s v=""/>
    <x v="1"/>
    <x v="2"/>
    <d v="2025-10-21T10:31:02"/>
    <d v="2025-10-29T09:58:19"/>
    <s v="Externo"/>
    <n v="43"/>
    <d v="2025-10-20T00:00:00"/>
    <n v="44"/>
    <d v="2025-10-27T00:00:00"/>
    <n v="7.9772795254684752"/>
    <n v="2025"/>
    <n v="2025"/>
    <s v="2025-10"/>
    <s v="2025-10"/>
  </r>
  <r>
    <s v="ESPC360-21535"/>
    <s v="[PRO] [Deudor] Se pierden eventos para préstamos y descuentos"/>
    <s v=""/>
    <d v="2025-10-21T12:11:59"/>
    <s v=""/>
    <s v="OPERACIONAL"/>
    <s v="TÉCNICO"/>
    <s v=""/>
    <s v="C360_Team_Mtto"/>
    <s v="Medium"/>
    <s v="EN DESARROLLO"/>
    <s v=""/>
    <x v="2"/>
    <x v="0"/>
    <d v="2025-10-21T12:11:59"/>
    <s v=""/>
    <s v="Interno"/>
    <n v="43"/>
    <d v="2025-10-20T00:00:00"/>
    <e v="#VALUE!"/>
    <e v="#VALUE!"/>
    <e v="#VALUE!"/>
    <n v="2025"/>
    <e v="#VALUE!"/>
    <s v="2025-10"/>
    <e v="#VALUE!"/>
  </r>
  <r>
    <s v="ESPC360-21537"/>
    <s v="[PRO][Mov. Cuentas] INC059709233 - Los movimientos visibles a través de ADN ES89 0049 6689 0526 1622 5934"/>
    <s v="Movimientos Cuentas"/>
    <d v="2025-10-21T14:03:55"/>
    <d v="2025-10-22T09:24:30"/>
    <s v="OPERACIONAL"/>
    <s v="DESARROLLO"/>
    <s v=""/>
    <s v="C360_Team_Mtto"/>
    <s v="Medium"/>
    <s v="CERRADO"/>
    <s v=""/>
    <x v="1"/>
    <x v="1"/>
    <d v="2025-10-21T14:03:55"/>
    <d v="2025-10-22T09:24:30"/>
    <s v="Interno"/>
    <n v="43"/>
    <d v="2025-10-20T00:00:00"/>
    <n v="43"/>
    <d v="2025-10-20T00:00:00"/>
    <n v="0.8059592129648081"/>
    <n v="2025"/>
    <n v="2025"/>
    <s v="2025-10"/>
    <s v="2025-10"/>
  </r>
  <r>
    <s v="ESPC360-21539"/>
    <s v="[PRO][ADN-Cliente] INC059710869 - oficina modifico el CNAE del cliente y no esta actualizado en ADN"/>
    <s v=""/>
    <d v="2025-10-21T14:06:38"/>
    <d v="2025-10-29T09:59:25"/>
    <s v="OPERACIONAL"/>
    <s v="SOPORTE"/>
    <s v="NO-CUSTOMER360"/>
    <s v="C360_Team_Mtto"/>
    <s v="Medium"/>
    <s v="CERRADO"/>
    <s v=""/>
    <x v="1"/>
    <x v="2"/>
    <d v="2025-10-21T14:06:38"/>
    <d v="2025-10-29T09:59:25"/>
    <s v="Externo"/>
    <n v="43"/>
    <d v="2025-10-20T00:00:00"/>
    <n v="44"/>
    <d v="2025-10-27T00:00:00"/>
    <n v="7.8283202314778464"/>
    <n v="2025"/>
    <n v="2025"/>
    <s v="2025-10"/>
    <s v="2025-10"/>
  </r>
  <r>
    <s v="ESPC360-21543"/>
    <s v="[PRO][Alertado-SRE] INC059730428 - [LE][DYN] Failure rate increase | PaaS | sanes-bipghl-pro-s-java-*-posglob-b, s-java-50066452-posglob-b"/>
    <s v=""/>
    <d v="2025-10-22T08:36:00"/>
    <d v="2025-10-29T10:00:53"/>
    <s v="OPERACIONAL"/>
    <s v="SOPORTE"/>
    <s v="NO-CUSTOMER360"/>
    <s v="C360_Team_Mtto"/>
    <s v="Medium"/>
    <s v="CERRADO"/>
    <s v=""/>
    <x v="1"/>
    <x v="2"/>
    <d v="2025-10-22T08:36:00"/>
    <d v="2025-10-29T10:00:53"/>
    <s v="Externo"/>
    <n v="43"/>
    <d v="2025-10-20T00:00:00"/>
    <n v="44"/>
    <d v="2025-10-27T00:00:00"/>
    <n v="7.0589446759258863"/>
    <n v="2025"/>
    <n v="2025"/>
    <s v="2025-10"/>
    <s v="2025-10"/>
  </r>
  <r>
    <s v="ESPC360-21548"/>
    <s v="[PRO][Seguros] INC059670810 - PEX_0040781584 - KIBOT - 73902098Q RAV CANCELADOS QUE LE SIGUEN APARECIENDO EN BANCA ONLINE"/>
    <s v="Seguros"/>
    <d v="2025-10-22T13:00:34"/>
    <d v="2025-10-29T10:02:42"/>
    <s v="OPERACIONAL"/>
    <s v="SOPORTE"/>
    <s v="NO-CUSTOMER360"/>
    <s v="C360_Team_Mtto"/>
    <s v="Medium"/>
    <s v="CERRADO"/>
    <s v=""/>
    <x v="1"/>
    <x v="2"/>
    <d v="2025-10-22T13:00:34"/>
    <d v="2025-10-29T10:02:42"/>
    <s v="Externo"/>
    <n v="43"/>
    <d v="2025-10-20T00:00:00"/>
    <n v="44"/>
    <d v="2025-10-27T00:00:00"/>
    <n v="6.8764818287090748"/>
    <n v="2025"/>
    <n v="2025"/>
    <s v="2025-10"/>
    <s v="2025-10"/>
  </r>
  <r>
    <s v="ESPC360-21551"/>
    <s v="[PRO][Mov. Cuentas] INC059745819 - Descripción movimientos erróneos"/>
    <s v="Movimientos Cuentas"/>
    <d v="2025-10-22T13:26:16"/>
    <d v="2025-10-23T08:56:34"/>
    <s v="OPERACIONAL"/>
    <s v="DESARROLLO"/>
    <s v=""/>
    <s v="C360_Team_Mtto"/>
    <s v="Medium"/>
    <s v="CERRADO"/>
    <s v=""/>
    <x v="1"/>
    <x v="1"/>
    <d v="2025-10-22T13:26:16"/>
    <d v="2025-10-23T08:56:34"/>
    <s v="Interno"/>
    <n v="43"/>
    <d v="2025-10-20T00:00:00"/>
    <n v="43"/>
    <d v="2025-10-20T00:00:00"/>
    <n v="0.81270600694551831"/>
    <n v="2025"/>
    <n v="2025"/>
    <s v="2025-10"/>
    <s v="2025-10"/>
  </r>
  <r>
    <s v="ESPC360-21553"/>
    <s v="[PRO][Tarjetas] INC059751075 - PEX40823318 KIBOT - Tarjeta débito PJ 4176570170878492 que está activada y sin embargo en ADN360 aparece PENDIENTE DE ACTIVAR"/>
    <s v="Tarjetas de Débito"/>
    <d v="2025-10-22T15:39:29"/>
    <d v="2025-10-23T15:26:30"/>
    <s v="OPERACIONAL"/>
    <s v="SOPORTE"/>
    <s v=""/>
    <s v="C360_Team_Mtto"/>
    <s v="Medium"/>
    <s v="CERRADO"/>
    <s v=""/>
    <x v="1"/>
    <x v="2"/>
    <d v="2025-10-22T15:39:29"/>
    <d v="2025-10-23T15:26:30"/>
    <s v="Externo"/>
    <n v="43"/>
    <d v="2025-10-20T00:00:00"/>
    <n v="43"/>
    <d v="2025-10-20T00:00:00"/>
    <n v="0.99097570602316409"/>
    <n v="2025"/>
    <n v="2025"/>
    <s v="2025-10"/>
    <s v="2025-10"/>
  </r>
  <r>
    <s v="ESPC360-21554"/>
    <s v="[PRO][Fondos] INC059747893 - No se actualiza la valoración de sus fondos de inversión"/>
    <s v="Fondos"/>
    <d v="2025-10-22T15:43:06"/>
    <s v=""/>
    <s v="OPERACIONAL"/>
    <s v="DESARROLLO"/>
    <s v=""/>
    <s v="C360_Team_Mtto"/>
    <s v="Medium"/>
    <s v="Tested CERT / TEST"/>
    <s v=""/>
    <x v="1"/>
    <x v="1"/>
    <d v="2025-10-22T15:43:06"/>
    <s v=""/>
    <s v="Interno"/>
    <n v="43"/>
    <d v="2025-10-20T00:00:00"/>
    <e v="#VALUE!"/>
    <e v="#VALUE!"/>
    <e v="#VALUE!"/>
    <n v="2025"/>
    <e v="#VALUE!"/>
    <s v="2025-10"/>
    <e v="#VALUE!"/>
  </r>
  <r>
    <s v="ESPC360-21637"/>
    <s v="[PRO][PMP] INC059774655 - PEX_0040844836 - pmp 0049 2833 2025 04054 migrada - no aparecen datos"/>
    <s v="Póliza Multiproducto (PMP)"/>
    <d v="2025-10-23T10:59:10"/>
    <s v=""/>
    <s v="OPERACIONAL"/>
    <s v="SOPORTE"/>
    <s v=""/>
    <s v="C360_Team_Mtto"/>
    <s v="Medium"/>
    <s v="Blocked"/>
    <s v=""/>
    <x v="1"/>
    <x v="2"/>
    <d v="2025-10-23T10:59:10"/>
    <s v=""/>
    <s v="Externo"/>
    <n v="43"/>
    <d v="2025-10-20T00:00:00"/>
    <e v="#VALUE!"/>
    <e v="#VALUE!"/>
    <e v="#VALUE!"/>
    <n v="2025"/>
    <e v="#VALUE!"/>
    <s v="2025-10"/>
    <e v="#VALUE!"/>
  </r>
  <r>
    <s v="ESPC360-21641"/>
    <s v="[PRO][Seguros] INC059776016 - El seguro no tiene provisión en ADN360"/>
    <s v="Seguros"/>
    <d v="2025-10-23T13:27:35"/>
    <d v="2025-10-23T16:53:01"/>
    <s v="OPERACIONAL"/>
    <s v="SOPORTE"/>
    <s v=""/>
    <s v="C360_Team_Mtto"/>
    <s v="Medium"/>
    <s v="CERRADO"/>
    <s v=""/>
    <x v="1"/>
    <x v="2"/>
    <d v="2025-10-23T13:27:35"/>
    <d v="2025-10-23T16:53:01"/>
    <s v="Externo"/>
    <n v="43"/>
    <d v="2025-10-20T00:00:00"/>
    <n v="43"/>
    <d v="2025-10-20T00:00:00"/>
    <n v="0.14266842592769535"/>
    <n v="2025"/>
    <n v="2025"/>
    <s v="2025-10"/>
    <s v="2025-10"/>
  </r>
  <r>
    <s v="ESPC360-21643"/>
    <s v="[PRO][Seguros] INC059778299 - No se muestra el seguro por ADN360"/>
    <s v="Seguros"/>
    <d v="2025-10-23T15:52:17"/>
    <d v="2025-10-23T16:53:30"/>
    <s v="OPERACIONAL"/>
    <s v="SOPORTE"/>
    <s v=""/>
    <s v="C360_Team_Mtto"/>
    <s v="Medium"/>
    <s v="CERRADO"/>
    <s v=""/>
    <x v="1"/>
    <x v="2"/>
    <d v="2025-10-23T15:52:17"/>
    <d v="2025-10-23T16:53:30"/>
    <s v="Externo"/>
    <n v="43"/>
    <d v="2025-10-20T00:00:00"/>
    <n v="43"/>
    <d v="2025-10-20T00:00:00"/>
    <n v="4.2513807871728204E-2"/>
    <n v="2025"/>
    <n v="2025"/>
    <s v="2025-10"/>
    <s v="2025-10"/>
  </r>
  <r>
    <s v="ESPC360-21652"/>
    <s v="[PRO][Depósitos] INC059791621 - PEX_0040877035_ 004969923020000143_ error saldo "/>
    <s v="Depósitos"/>
    <d v="2025-10-24T09:40:57"/>
    <s v=""/>
    <s v="OPERACIONAL"/>
    <s v="SOPORTE"/>
    <s v=""/>
    <s v="C360_Team_Mtto"/>
    <s v="Medium"/>
    <s v="ON HOLD"/>
    <s v=""/>
    <x v="1"/>
    <x v="2"/>
    <d v="2025-10-24T09:40:57"/>
    <s v=""/>
    <s v="Externo"/>
    <n v="43"/>
    <d v="2025-10-20T00:00:00"/>
    <e v="#VALUE!"/>
    <e v="#VALUE!"/>
    <e v="#VALUE!"/>
    <n v="2025"/>
    <e v="#VALUE!"/>
    <s v="2025-10"/>
    <e v="#VALUE!"/>
  </r>
  <r>
    <s v="ESPC360-21666"/>
    <s v="[PRO] [Préstamos] INC059810710 - PEX_0040880123  no ve los préstamos"/>
    <s v="Préstamos"/>
    <d v="2025-10-24T13:19:38"/>
    <d v="2025-10-27T13:05:13"/>
    <s v="OPERACIONAL"/>
    <s v="DESARROLLO"/>
    <s v=""/>
    <s v="C360_Team_Mtto"/>
    <s v="Medium"/>
    <s v="CERRADO"/>
    <s v=""/>
    <x v="1"/>
    <x v="1"/>
    <d v="2025-10-24T13:19:38"/>
    <d v="2025-10-27T13:05:13"/>
    <s v="Interno"/>
    <n v="43"/>
    <d v="2025-10-20T00:00:00"/>
    <n v="44"/>
    <d v="2025-10-27T00:00:00"/>
    <n v="2.9899938773087342"/>
    <n v="2025"/>
    <n v="2025"/>
    <s v="2025-10"/>
    <s v="2025-10"/>
  </r>
  <r>
    <s v="ESPC360-21674"/>
    <s v="[PRO][Santander Go] INC059882708 - no me permite ver posiciones del cliente, tanto de adn cliente como en santander go"/>
    <s v="Confidencialidad;Santanger GO"/>
    <d v="2025-10-27T11:40:24"/>
    <d v="2025-10-29T10:07:08"/>
    <s v="OPERACIONAL"/>
    <s v="SOPORTE"/>
    <s v="NO-CUSTOMER360"/>
    <s v="C360_Team_Mtto"/>
    <s v="Medium"/>
    <s v="CERRADO"/>
    <s v=""/>
    <x v="1"/>
    <x v="2"/>
    <d v="2025-10-27T11:40:24"/>
    <d v="2025-10-29T10:07:08"/>
    <s v="Externo"/>
    <n v="44"/>
    <d v="2025-10-27T00:00:00"/>
    <n v="44"/>
    <d v="2025-10-27T00:00:00"/>
    <n v="1.9352337615709985"/>
    <n v="2025"/>
    <n v="2025"/>
    <s v="2025-10"/>
    <s v="2025-10"/>
  </r>
  <r>
    <s v="ESPC360-21686"/>
    <s v="[PRO][Préstamos] INC059913097 - No ve el préstamo aunque lo tiene asociado "/>
    <s v="Préstamos"/>
    <d v="2025-10-28T11:17:56"/>
    <d v="2025-10-29T12:14:23"/>
    <s v="OPERACIONAL"/>
    <s v="DESARROLLO"/>
    <s v="EXTRACCIÓN"/>
    <s v="C360_Team_Mtto"/>
    <s v="Medium"/>
    <s v="CERRADO"/>
    <s v=""/>
    <x v="1"/>
    <x v="1"/>
    <d v="2025-10-28T11:17:56"/>
    <d v="2025-10-29T12:14:23"/>
    <s v="Interno"/>
    <n v="44"/>
    <d v="2025-10-27T00:00:00"/>
    <n v="44"/>
    <d v="2025-10-27T00:00:00"/>
    <n v="1.0392023726890329"/>
    <n v="2025"/>
    <n v="2025"/>
    <s v="2025-10"/>
    <s v="2025-10"/>
  </r>
  <r>
    <s v="ESPC360-21687"/>
    <s v="[PRO][Seguros] INC059441277 - NO APARECE POLIZA ASISA EN POSICIONES ADN 360º"/>
    <s v="Seguros"/>
    <d v="2025-10-28T11:23:27"/>
    <d v="2025-10-29T10:11:31"/>
    <s v="OPERACIONAL"/>
    <s v="SOPORTE"/>
    <s v="NO-CUSTOMER360"/>
    <s v="C360_Team_Mtto"/>
    <s v="Medium"/>
    <s v="CERRADO"/>
    <s v=""/>
    <x v="1"/>
    <x v="2"/>
    <d v="2025-10-28T11:23:27"/>
    <d v="2025-10-29T10:11:31"/>
    <s v="Externo"/>
    <n v="44"/>
    <d v="2025-10-27T00:00:00"/>
    <n v="44"/>
    <d v="2025-10-27T00:00:00"/>
    <n v="0.95005502314597834"/>
    <n v="2025"/>
    <n v="2025"/>
    <s v="2025-10"/>
    <s v="2025-10"/>
  </r>
  <r>
    <s v="ESPC360-21688"/>
    <s v="[PRO][Préstamos] INC059916939 - PEX_0040949583 no ve prestamo asociado "/>
    <s v="Préstamos"/>
    <d v="2025-10-28T11:35:06"/>
    <d v="2025-10-29T12:14:42"/>
    <s v="OPERACIONAL"/>
    <s v="DESARROLLO"/>
    <s v="EXTRACCIÓN"/>
    <s v="C360_Team_Mtto"/>
    <s v="Medium"/>
    <s v="CERRADO"/>
    <s v=""/>
    <x v="1"/>
    <x v="1"/>
    <d v="2025-10-28T11:35:06"/>
    <d v="2025-10-29T12:14:42"/>
    <s v="Interno"/>
    <n v="44"/>
    <d v="2025-10-27T00:00:00"/>
    <n v="44"/>
    <d v="2025-10-27T00:00:00"/>
    <n v="1.0274933333348599"/>
    <n v="2025"/>
    <n v="2025"/>
    <s v="2025-10"/>
    <s v="2025-10"/>
  </r>
  <r>
    <s v="ESPC360-21689"/>
    <s v="[PRO][ADN-Operativo] INC059920890 - En ADN Operativo no puedo accede a los informes de Auditorias SAN a través del menú: ADN - INFORMES JURÍDICOS - CLIENTES AUDITORIAS SAN - GESTIÓN. La pantalla e"/>
    <s v=""/>
    <d v="2025-10-28T11:55:22"/>
    <d v="2025-10-29T10:08:48"/>
    <s v="OPERACIONAL"/>
    <s v="SOPORTE"/>
    <s v="NO-CUSTOMER360"/>
    <s v="C360_Team_Mtto"/>
    <s v="Medium"/>
    <s v="CERRADO"/>
    <s v=""/>
    <x v="1"/>
    <x v="2"/>
    <d v="2025-10-28T11:55:22"/>
    <d v="2025-10-29T10:08:48"/>
    <s v="Externo"/>
    <n v="44"/>
    <d v="2025-10-27T00:00:00"/>
    <n v="44"/>
    <d v="2025-10-27T00:00:00"/>
    <n v="0.92599693287047558"/>
    <n v="2025"/>
    <n v="2025"/>
    <s v="2025-10"/>
    <s v="2025-10"/>
  </r>
  <r>
    <s v="ESPC360-21691"/>
    <s v="[PRO][Seguros] INC059915592 - PEX_0040944976 - KIBOT - CLIENTE Y7730660Y POLIZA ACCIDENTES 710210098826 QUE NO LE SALE EN ADN CLIENTE"/>
    <s v="Seguros"/>
    <d v="2025-10-28T14:59:54"/>
    <s v=""/>
    <s v="OPERACIONAL"/>
    <s v="SOPORTE"/>
    <s v="NO-CUSTOMER360"/>
    <s v="C360_Team_Mtto"/>
    <s v="Medium"/>
    <s v="Blocked"/>
    <s v=""/>
    <x v="1"/>
    <x v="2"/>
    <d v="2025-10-28T14:59:54"/>
    <s v=""/>
    <s v="Externo"/>
    <n v="44"/>
    <d v="2025-10-27T00:00:00"/>
    <e v="#VALUE!"/>
    <e v="#VALUE!"/>
    <e v="#VALUE!"/>
    <n v="2025"/>
    <e v="#VALUE!"/>
    <s v="2025-10"/>
    <e v="#VALUE!"/>
  </r>
  <r>
    <s v="ESPC360-21703"/>
    <s v="[PRO][Fondos] INC059882170 - No ve fondos filial"/>
    <s v="Fondos"/>
    <d v="2025-10-30T09:29:58"/>
    <s v=""/>
    <s v="OPERACIONAL"/>
    <s v="SOPORTE"/>
    <s v="NO-CUSTOMER360"/>
    <s v="C360_Team_Mtto"/>
    <s v="Medium"/>
    <s v="Blocked"/>
    <s v=""/>
    <x v="1"/>
    <x v="2"/>
    <d v="2025-10-30T09:29:58"/>
    <s v=""/>
    <s v="Externo"/>
    <n v="44"/>
    <d v="2025-10-27T00:00:00"/>
    <e v="#VALUE!"/>
    <e v="#VALUE!"/>
    <e v="#VALUE!"/>
    <n v="2025"/>
    <e v="#VALUE!"/>
    <s v="2025-10"/>
    <e v="#VALUE!"/>
  </r>
  <r>
    <s v="ESPC360-21708"/>
    <s v="[PRO][ADN-CLIENTE] INC059984726 - No se puede consultar la posicion por grupo  desde ADN. hace dias que no funciona"/>
    <s v=""/>
    <d v="2025-10-30T10:46:33"/>
    <s v=""/>
    <s v="OPERACIONAL"/>
    <s v="SOPORTE"/>
    <s v="NO-CUSTOMER360"/>
    <s v="C360_Team_Mtto"/>
    <s v="Medium"/>
    <s v="Blocked"/>
    <s v=""/>
    <x v="1"/>
    <x v="2"/>
    <d v="2025-10-30T10:46:33"/>
    <s v=""/>
    <s v="Externo"/>
    <n v="44"/>
    <d v="2025-10-27T00:00:00"/>
    <e v="#VALUE!"/>
    <e v="#VALUE!"/>
    <e v="#VALUE!"/>
    <n v="2025"/>
    <e v="#VALUE!"/>
    <s v="2025-10"/>
    <e v="#VALUE!"/>
  </r>
  <r>
    <s v="ESPC360-21709"/>
    <s v="[PRO] [Cuentas] INC059983624 - No aparece cuenta"/>
    <s v="Cuentas"/>
    <d v="2025-10-30T10:48:04"/>
    <d v="2025-10-30T11:00:24"/>
    <s v="OPERACIONAL"/>
    <s v="DESARROLLO"/>
    <s v="EXTRACCION"/>
    <s v="C360_Team_Mtto"/>
    <s v="Medium"/>
    <s v="CERRADO"/>
    <s v=""/>
    <x v="2"/>
    <x v="1"/>
    <d v="2025-10-30T10:48:04"/>
    <d v="2025-10-30T11:00:24"/>
    <s v="Interno"/>
    <n v="44"/>
    <d v="2025-10-27T00:00:00"/>
    <n v="44"/>
    <d v="2025-10-27T00:00:00"/>
    <n v="8.5668171304860152E-3"/>
    <n v="2025"/>
    <n v="2025"/>
    <s v="2025-10"/>
    <s v="2025-10"/>
  </r>
  <r>
    <s v="ESPC360-21710"/>
    <s v="[PRO][NO-CUSTOMER360] INC059985781 - Escribo desde el apartado de mi compañera, por que no tengo acceso desde esta mañana y en la pantalla del ordenador me indica que tenga la contraseña deshabilit"/>
    <s v=""/>
    <d v="2025-10-30T10:50:39"/>
    <s v=""/>
    <s v="OPERACIONAL"/>
    <s v="SOPORTE"/>
    <s v="NO-CUSTOMER360"/>
    <s v="C360_Team_Mtto"/>
    <s v="Medium"/>
    <s v="Blocked"/>
    <s v=""/>
    <x v="1"/>
    <x v="2"/>
    <d v="2025-10-30T10:50:39"/>
    <s v=""/>
    <s v="Externo"/>
    <n v="44"/>
    <d v="2025-10-27T00:00:00"/>
    <e v="#VALUE!"/>
    <e v="#VALUE!"/>
    <e v="#VALUE!"/>
    <n v="2025"/>
    <e v="#VALUE!"/>
    <s v="2025-10"/>
    <e v="#VALUE!"/>
  </r>
  <r>
    <s v="ESPC360-21732"/>
    <s v="[PRO] [Procesos] INC060050236 - Proceso  PADN360098D superando estadisticas"/>
    <s v="Movimientos Cuentas"/>
    <d v="2025-11-03T10:22:08"/>
    <d v="2025-11-03T10:26:30"/>
    <s v="OPERACIONAL"/>
    <s v="SOPORTE"/>
    <s v="PROCESOS"/>
    <s v="C360_Team_Mtto"/>
    <s v="Medium"/>
    <s v="CERRADO"/>
    <s v=""/>
    <x v="1"/>
    <x v="2"/>
    <d v="2025-11-03T10:22:08"/>
    <d v="2025-11-03T10:26:30"/>
    <s v="Externo"/>
    <n v="45"/>
    <d v="2025-11-03T00:00:00"/>
    <n v="45"/>
    <d v="2025-11-03T00:00:00"/>
    <n v="3.0293634263216518E-3"/>
    <n v="2025"/>
    <n v="2025"/>
    <s v="2025-11"/>
    <s v="2025-11"/>
  </r>
  <r>
    <s v="ESPC360-21733"/>
    <s v="[PRO] [NO-CUSTOMER360] INC060033972 - En consulta de domiciliaciones sepa y transferencias no puedo entrar se me queda pantalla en blaNCO"/>
    <s v=""/>
    <d v="2025-11-03T10:29:50"/>
    <s v=""/>
    <s v="OPERACIONAL"/>
    <s v="SOPORTE"/>
    <s v="NO_CUSTOMER360"/>
    <s v="C360_Team_Mtto"/>
    <s v="Medium"/>
    <s v="ON HOLD"/>
    <s v=""/>
    <x v="1"/>
    <x v="2"/>
    <d v="2025-11-03T10:29:50"/>
    <s v=""/>
    <s v="Externo"/>
    <n v="45"/>
    <d v="2025-11-03T00:00:00"/>
    <e v="#VALUE!"/>
    <e v="#VALUE!"/>
    <e v="#VALUE!"/>
    <n v="2025"/>
    <e v="#VALUE!"/>
    <s v="2025-11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AFC95-0C97-4795-A170-3F214E81F484}" name="TablaDinámica3" cacheId="7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A2:F49" firstHeaderRow="1" firstDataRow="2" firstDataCol="1"/>
  <pivotFields count="11">
    <pivotField dataField="1" showAll="0"/>
    <pivotField numFmtId="22" showAll="0"/>
    <pivotField showAll="0"/>
    <pivotField axis="axisCol" showAll="0">
      <items count="6">
        <item x="1"/>
        <item x="0"/>
        <item x="2"/>
        <item x="3"/>
        <item m="1" x="4"/>
        <item t="default"/>
      </items>
    </pivotField>
    <pivotField showAll="0"/>
    <pivotField numFmtId="14" showAll="0"/>
    <pivotField showAll="0"/>
    <pivotField axis="axisRow" showAll="0">
      <items count="47">
        <item x="0"/>
        <item x="2"/>
        <item x="3"/>
        <item x="12"/>
        <item x="9"/>
        <item x="13"/>
        <item x="7"/>
        <item x="14"/>
        <item x="8"/>
        <item x="15"/>
        <item x="16"/>
        <item x="11"/>
        <item x="21"/>
        <item x="19"/>
        <item x="22"/>
        <item x="18"/>
        <item x="25"/>
        <item x="23"/>
        <item x="24"/>
        <item x="29"/>
        <item x="28"/>
        <item x="5"/>
        <item x="6"/>
        <item x="1"/>
        <item x="32"/>
        <item x="30"/>
        <item x="20"/>
        <item x="34"/>
        <item x="33"/>
        <item x="36"/>
        <item x="38"/>
        <item x="17"/>
        <item x="35"/>
        <item x="40"/>
        <item x="27"/>
        <item x="39"/>
        <item x="4"/>
        <item x="10"/>
        <item x="26"/>
        <item x="44"/>
        <item m="1" x="45"/>
        <item x="37"/>
        <item x="42"/>
        <item x="41"/>
        <item x="43"/>
        <item x="31"/>
        <item t="default"/>
      </items>
    </pivotField>
    <pivotField showAll="0"/>
    <pivotField showAll="0"/>
    <pivotField showAll="0"/>
  </pivotFields>
  <rowFields count="1">
    <field x="7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3"/>
    </i>
    <i>
      <x v="44"/>
    </i>
    <i>
      <x v="45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Tipologia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1FCA4-7021-425D-8443-AAF5C0B5D1EC}" name="TablaDinámica5" cacheId="7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4:F127" firstHeaderRow="1" firstDataRow="2" firstDataCol="1"/>
  <pivotFields count="11">
    <pivotField dataField="1" showAll="0"/>
    <pivotField numFmtId="22" showAll="0"/>
    <pivotField showAll="0"/>
    <pivotField axis="axisCol" showAll="0">
      <items count="6">
        <item x="1"/>
        <item x="0"/>
        <item x="2"/>
        <item x="3"/>
        <item m="1" x="4"/>
        <item t="default"/>
      </items>
    </pivotField>
    <pivotField showAll="0"/>
    <pivotField axis="axisRow" numFmtId="14" showAll="0">
      <items count="62">
        <item x="11"/>
        <item x="12"/>
        <item x="13"/>
        <item x="14"/>
        <item x="15"/>
        <item x="16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0"/>
        <item x="1"/>
        <item x="2"/>
        <item x="3"/>
        <item x="4"/>
        <item x="5"/>
        <item x="6"/>
        <item x="7"/>
        <item x="8"/>
        <item x="9"/>
        <item x="10"/>
        <item x="17"/>
        <item x="18"/>
        <item x="31"/>
        <item x="60"/>
        <item x="55"/>
        <item x="56"/>
        <item x="57"/>
        <item x="58"/>
        <item x="59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Tipologia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774CA-F9C3-482A-A1D9-0BF4EB7EEE05}" name="TablaDinámica2" cacheId="7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4:J37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9">
        <item x="3"/>
        <item x="1"/>
        <item x="4"/>
        <item x="5"/>
        <item x="2"/>
        <item x="0"/>
        <item x="6"/>
        <item x="7"/>
        <item t="default"/>
      </items>
    </pivotField>
    <pivotField numFmtId="22" showAll="0"/>
    <pivotField numFmtId="22"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axis="axisRow" showAll="0">
      <items count="12">
        <item x="0"/>
        <item x="3"/>
        <item x="2"/>
        <item x="4"/>
        <item x="6"/>
        <item x="1"/>
        <item x="7"/>
        <item x="5"/>
        <item x="9"/>
        <item x="8"/>
        <item x="10"/>
        <item t="default"/>
      </items>
    </pivotField>
  </pivotFields>
  <rowFields count="1">
    <field x="2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uenta de Clave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D63A0-4A66-4B73-9F06-88691CEC5E36}" name="TablaDinámica1" cacheId="7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J22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9">
        <item x="3"/>
        <item x="1"/>
        <item x="4"/>
        <item x="5"/>
        <item x="2"/>
        <item x="0"/>
        <item x="6"/>
        <item x="7"/>
        <item t="default"/>
      </items>
    </pivotField>
    <pivotField numFmtId="22" showAll="0"/>
    <pivotField numFmtId="22"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axis="axisRow" showAll="0">
      <items count="20"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0"/>
        <item x="1"/>
        <item x="2"/>
        <item x="3"/>
        <item x="4"/>
        <item x="5"/>
        <item x="18"/>
        <item t="default"/>
      </items>
    </pivotField>
    <pivotField showAll="0"/>
  </pivotFields>
  <rowFields count="1">
    <field x="2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uenta de Clave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8EFA8-27DC-427D-B8B8-7761AD161D21}" name="TablaDinámica32" cacheId="8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3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2"/>
        <item x="4"/>
        <item x="3"/>
        <item x="0"/>
        <item x="5"/>
        <item x="1"/>
        <item t="default"/>
      </items>
    </pivotField>
    <pivotField axis="axisRow" showAll="0">
      <items count="9">
        <item x="1"/>
        <item x="4"/>
        <item x="0"/>
        <item x="2"/>
        <item x="3"/>
        <item x="5"/>
        <item x="6"/>
        <item x="7"/>
        <item t="default"/>
      </items>
    </pivotField>
    <pivotField numFmtId="22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Clave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6232d-21a6-4463-9d19-0518ac5aab5d}">
  <we:reference id="WA200000556" version="1.0.0.0" store="en-us" storeType="OMEX"/>
  <we:alternateReferences>
    <we:reference id="df76232d-21a6-4463-9d19-0518ac5aab5d" version="1.0.0.0" store="en-us" storeType="OMEX"/>
  </we:alternateReferences>
  <we:properties>
    <we:property name="Office.AutoShowTaskpaneWithDocument" value="true"/>
    <we:property name="JiraExcel.FileToken" value="&quot;eyJhbGciOiJIUzI1NiIsImtpZCI6ImtpZCIsInR5cCI6IkpXVCJ9.eyJpc3MiOiJodHRwczovL2ppcmEtc3ByZWFkc2hlZXRzLnNlcnZpY2VzLmF0bGFzc2lhbi5jb20iLCJzdWIiOiI3YjZjYzIzNC0zYTUyLTQ2YTYtOWE0Ny1hNzZhZDRhYjNhM2YiLCJhdWQiOiJkZXNrdG9wIiwiZXhwIjoxNzU4NzM0Mzc2LCJuYmYiOjE3NTg3MzI1NzYsImlhdCI6MTc1ODczMjU3NiwianRpIjoiZmNiYzY5MzUtNWNlOS00N2E0LTlhYTktOTQ2OGVkZTkzYzk3IiwiYWFpZCI6IjYwMTE2MTg1ZGMyOWI0MDA2YTRlNjI3OCIsImV4dHVpZCI6ImE5MTAzZWU0LTg1YTEtNGFkNC1hNDE5LTZmNGVmNjkwNDJkZSIsImV4dHVuYW1lIjoidW51c2VkIiwiamNpZCI6ImM5YmE4NjliLWE0M2UtNGQ0MC1iN2JmLTU5ZWQ0MzhhOThlNSIsImpjbGllbnRrZXkiOiJhNmNlMDRlMy1lZWNiLTM0N2EtOGI3OC1jY2IwNDk4Yzg0NTkiLCJqbmFtZSI6Imh0dHBzOi8vc2FuZXMuYXRsYXNzaWFuLm5ldCIsImpxbCI6ImNISnZhbVZqZENBOUlDSkZVMUJETXpZd0lpQkJUa1FnYVhOemRXVjBlWEJsSUQwZ1FuVm5JRUZPUkNBb2NtVnpiMngxZEdsdmJtUmhkR1VnUGlBaU1qQXlOUzh3TVM4d01TSWdUMUlnY21WemIyeDFkR2x2Ym1SaGRHVWdTVk1nUlUxUVZGa3BJRUZPUkNBaVJWTXRUM0IwYVc5dVlXd2dNVnRUYUc5eWRDQjBaWGgwWFNJZ2ZpQkJUa0ZNdzQxVVNVTlBJRTlTUkVWU0lFSlpJR055WldGMFpXUWdRVk5EIiwiZmlsdGVyIjoiMjU4ODUiLCJ0aW1lem9uZSI6IkV1cm9wZS9NYWRyaWQifQ.QRFBeMA1uD5B6P1ecRoBoUJ_4ddIlDO9I4ZlewVQcm8&quot;"/>
    <we:property name="JiraExcel.AutoStartImport" value="&quot;false&quot;"/>
    <we:property name="JiraExcel.GSideToken" value="&quot;eyJhbGciOiJIUzI1NiIsInR5cCI6IkpXVCJ9.eyJpc3MiOiJleGNlbC1qaXJhIiwic3ViIjoiYTkxMDNlZTQtODVhMS00YWQ0LWE0MTktNmY0ZWY2OTA0MmRlIiwiYXVkIjoic2hlZXRzLWppcmEtdjIiLCJleHAiOjE3NTg3MzI3NTYsIm5iZiI6MTc1ODczMjU3NiwiaWF0IjoxNzU4NzMyNTc2LCJqdGkiOiIwMTQzMWE5NS1jMDM4LTRjMDQtYjgyMy0zNzQyMjc5MTJlNjgiLCJuYW1lIjoidW51c2VkIiwic2oiOnsiZCI6IjY5OGI5NGU1LWE4MDgtNGZlNC05NGMxLWIwZjk0OTNmZGM1YyIsInYiOiJ2IiwiYyI6ImMiLCJvIjoiZCJ9LCJldHYiOjJ9.Dtxkexok5F8rMU7MRr58Vb5xP3BD3-_TmuON_mHCnfw&quot;"/>
    <we:property name="documentId" value="&quot;698b94e5-a808-4fe4-94c1-b0f9493fdc5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nes.atlassian.net/browse/ESPC360-19375?atlOrigin=eyJpIjoiMjBhNWIzMmFjMjdiNGE1YzhhZTE4YmM0ZjA0MDM4ZWYiLCJwIjoiZXhjZWwtamlyYSJ9" TargetMode="External"/><Relationship Id="rId21" Type="http://schemas.openxmlformats.org/officeDocument/2006/relationships/hyperlink" Target="https://sanes.atlassian.net/browse/ESPC360-14124?atlOrigin=eyJpIjoiMjBhNWIzMmFjMjdiNGE1YzhhZTE4YmM0ZjA0MDM4ZWYiLCJwIjoiZXhjZWwtamlyYSJ9" TargetMode="External"/><Relationship Id="rId42" Type="http://schemas.openxmlformats.org/officeDocument/2006/relationships/hyperlink" Target="https://sanes.atlassian.net/browse/ESPC360-16145?atlOrigin=eyJpIjoiMjBhNWIzMmFjMjdiNGE1YzhhZTE4YmM0ZjA0MDM4ZWYiLCJwIjoiZXhjZWwtamlyYSJ9" TargetMode="External"/><Relationship Id="rId63" Type="http://schemas.openxmlformats.org/officeDocument/2006/relationships/hyperlink" Target="https://sanes.atlassian.net/browse/ESPC360-17102?atlOrigin=eyJpIjoiMjBhNWIzMmFjMjdiNGE1YzhhZTE4YmM0ZjA0MDM4ZWYiLCJwIjoiZXhjZWwtamlyYSJ9" TargetMode="External"/><Relationship Id="rId84" Type="http://schemas.openxmlformats.org/officeDocument/2006/relationships/hyperlink" Target="https://sanes.atlassian.net/browse/ESPC360-18024?atlOrigin=eyJpIjoiMjBhNWIzMmFjMjdiNGE1YzhhZTE4YmM0ZjA0MDM4ZWYiLCJwIjoiZXhjZWwtamlyYSJ9" TargetMode="External"/><Relationship Id="rId138" Type="http://schemas.openxmlformats.org/officeDocument/2006/relationships/hyperlink" Target="https://sanes.atlassian.net/browse/ESPC360-20190?atlOrigin=eyJpIjoiMjBhNWIzMmFjMjdiNGE1YzhhZTE4YmM0ZjA0MDM4ZWYiLCJwIjoiZXhjZWwtamlyYSJ9" TargetMode="External"/><Relationship Id="rId159" Type="http://schemas.openxmlformats.org/officeDocument/2006/relationships/hyperlink" Target="https://sanes.atlassian.net/browse/ESPC360-21068?atlOrigin=eyJpIjoiMjBhNWIzMmFjMjdiNGE1YzhhZTE4YmM0ZjA0MDM4ZWYiLCJwIjoiZXhjZWwtamlyYSJ9" TargetMode="External"/><Relationship Id="rId107" Type="http://schemas.openxmlformats.org/officeDocument/2006/relationships/hyperlink" Target="https://sanes.atlassian.net/browse/ESPC360-19124?atlOrigin=eyJpIjoiMjBhNWIzMmFjMjdiNGE1YzhhZTE4YmM0ZjA0MDM4ZWYiLCJwIjoiZXhjZWwtamlyYSJ9" TargetMode="External"/><Relationship Id="rId11" Type="http://schemas.openxmlformats.org/officeDocument/2006/relationships/hyperlink" Target="https://sanes.atlassian.net/browse/ESPC360-13804?atlOrigin=eyJpIjoiMjBhNWIzMmFjMjdiNGE1YzhhZTE4YmM0ZjA0MDM4ZWYiLCJwIjoiZXhjZWwtamlyYSJ9" TargetMode="External"/><Relationship Id="rId32" Type="http://schemas.openxmlformats.org/officeDocument/2006/relationships/hyperlink" Target="https://sanes.atlassian.net/browse/ESPC360-15447?atlOrigin=eyJpIjoiMjBhNWIzMmFjMjdiNGE1YzhhZTE4YmM0ZjA0MDM4ZWYiLCJwIjoiZXhjZWwtamlyYSJ9" TargetMode="External"/><Relationship Id="rId53" Type="http://schemas.openxmlformats.org/officeDocument/2006/relationships/hyperlink" Target="https://sanes.atlassian.net/browse/ESPC360-16711?atlOrigin=eyJpIjoiMjBhNWIzMmFjMjdiNGE1YzhhZTE4YmM0ZjA0MDM4ZWYiLCJwIjoiZXhjZWwtamlyYSJ9" TargetMode="External"/><Relationship Id="rId74" Type="http://schemas.openxmlformats.org/officeDocument/2006/relationships/hyperlink" Target="https://sanes.atlassian.net/browse/ESPC360-17564?atlOrigin=eyJpIjoiMjBhNWIzMmFjMjdiNGE1YzhhZTE4YmM0ZjA0MDM4ZWYiLCJwIjoiZXhjZWwtamlyYSJ9" TargetMode="External"/><Relationship Id="rId128" Type="http://schemas.openxmlformats.org/officeDocument/2006/relationships/hyperlink" Target="https://sanes.atlassian.net/browse/ESPC360-19924?atlOrigin=eyJpIjoiMjBhNWIzMmFjMjdiNGE1YzhhZTE4YmM0ZjA0MDM4ZWYiLCJwIjoiZXhjZWwtamlyYSJ9" TargetMode="External"/><Relationship Id="rId149" Type="http://schemas.openxmlformats.org/officeDocument/2006/relationships/hyperlink" Target="https://sanes.atlassian.net/browse/ESPC360-20809?atlOrigin=eyJpIjoiMjBhNWIzMmFjMjdiNGE1YzhhZTE4YmM0ZjA0MDM4ZWYiLCJwIjoiZXhjZWwtamlyYSJ9" TargetMode="External"/><Relationship Id="rId5" Type="http://schemas.openxmlformats.org/officeDocument/2006/relationships/hyperlink" Target="https://sanes.atlassian.net/browse/ESPC360-13375?atlOrigin=eyJpIjoiMjBhNWIzMmFjMjdiNGE1YzhhZTE4YmM0ZjA0MDM4ZWYiLCJwIjoiZXhjZWwtamlyYSJ9" TargetMode="External"/><Relationship Id="rId95" Type="http://schemas.openxmlformats.org/officeDocument/2006/relationships/hyperlink" Target="https://sanes.atlassian.net/browse/ESPC360-18788?atlOrigin=eyJpIjoiMjBhNWIzMmFjMjdiNGE1YzhhZTE4YmM0ZjA0MDM4ZWYiLCJwIjoiZXhjZWwtamlyYSJ9" TargetMode="External"/><Relationship Id="rId22" Type="http://schemas.openxmlformats.org/officeDocument/2006/relationships/hyperlink" Target="https://sanes.atlassian.net/browse/ESPC360-14158?atlOrigin=eyJpIjoiMjBhNWIzMmFjMjdiNGE1YzhhZTE4YmM0ZjA0MDM4ZWYiLCJwIjoiZXhjZWwtamlyYSJ9" TargetMode="External"/><Relationship Id="rId43" Type="http://schemas.openxmlformats.org/officeDocument/2006/relationships/hyperlink" Target="https://sanes.atlassian.net/browse/ESPC360-16211?atlOrigin=eyJpIjoiMjBhNWIzMmFjMjdiNGE1YzhhZTE4YmM0ZjA0MDM4ZWYiLCJwIjoiZXhjZWwtamlyYSJ9" TargetMode="External"/><Relationship Id="rId64" Type="http://schemas.openxmlformats.org/officeDocument/2006/relationships/hyperlink" Target="https://sanes.atlassian.net/browse/ESPC360-17171?atlOrigin=eyJpIjoiMjBhNWIzMmFjMjdiNGE1YzhhZTE4YmM0ZjA0MDM4ZWYiLCJwIjoiZXhjZWwtamlyYSJ9" TargetMode="External"/><Relationship Id="rId118" Type="http://schemas.openxmlformats.org/officeDocument/2006/relationships/hyperlink" Target="https://sanes.atlassian.net/browse/ESPC360-19376?atlOrigin=eyJpIjoiMjBhNWIzMmFjMjdiNGE1YzhhZTE4YmM0ZjA0MDM4ZWYiLCJwIjoiZXhjZWwtamlyYSJ9" TargetMode="External"/><Relationship Id="rId139" Type="http://schemas.openxmlformats.org/officeDocument/2006/relationships/hyperlink" Target="https://sanes.atlassian.net/browse/ESPC360-20328?atlOrigin=eyJpIjoiMjBhNWIzMmFjMjdiNGE1YzhhZTE4YmM0ZjA0MDM4ZWYiLCJwIjoiZXhjZWwtamlyYSJ9" TargetMode="External"/><Relationship Id="rId80" Type="http://schemas.openxmlformats.org/officeDocument/2006/relationships/hyperlink" Target="https://sanes.atlassian.net/browse/ESPC360-17811?atlOrigin=eyJpIjoiMjBhNWIzMmFjMjdiNGE1YzhhZTE4YmM0ZjA0MDM4ZWYiLCJwIjoiZXhjZWwtamlyYSJ9" TargetMode="External"/><Relationship Id="rId85" Type="http://schemas.openxmlformats.org/officeDocument/2006/relationships/hyperlink" Target="https://sanes.atlassian.net/browse/ESPC360-18047?atlOrigin=eyJpIjoiMjBhNWIzMmFjMjdiNGE1YzhhZTE4YmM0ZjA0MDM4ZWYiLCJwIjoiZXhjZWwtamlyYSJ9" TargetMode="External"/><Relationship Id="rId150" Type="http://schemas.openxmlformats.org/officeDocument/2006/relationships/hyperlink" Target="https://sanes.atlassian.net/browse/ESPC360-20867?atlOrigin=eyJpIjoiMjBhNWIzMmFjMjdiNGE1YzhhZTE4YmM0ZjA0MDM4ZWYiLCJwIjoiZXhjZWwtamlyYSJ9" TargetMode="External"/><Relationship Id="rId155" Type="http://schemas.openxmlformats.org/officeDocument/2006/relationships/hyperlink" Target="https://sanes.atlassian.net/browse/ESPC360-20930?atlOrigin=eyJpIjoiMjBhNWIzMmFjMjdiNGE1YzhhZTE4YmM0ZjA0MDM4ZWYiLCJwIjoiZXhjZWwtamlyYSJ9" TargetMode="External"/><Relationship Id="rId12" Type="http://schemas.openxmlformats.org/officeDocument/2006/relationships/hyperlink" Target="https://sanes.atlassian.net/browse/ESPC360-13805?atlOrigin=eyJpIjoiMjBhNWIzMmFjMjdiNGE1YzhhZTE4YmM0ZjA0MDM4ZWYiLCJwIjoiZXhjZWwtamlyYSJ9" TargetMode="External"/><Relationship Id="rId17" Type="http://schemas.openxmlformats.org/officeDocument/2006/relationships/hyperlink" Target="https://sanes.atlassian.net/browse/ESPC360-14089?atlOrigin=eyJpIjoiMjBhNWIzMmFjMjdiNGE1YzhhZTE4YmM0ZjA0MDM4ZWYiLCJwIjoiZXhjZWwtamlyYSJ9" TargetMode="External"/><Relationship Id="rId33" Type="http://schemas.openxmlformats.org/officeDocument/2006/relationships/hyperlink" Target="https://sanes.atlassian.net/browse/ESPC360-15628?atlOrigin=eyJpIjoiMjBhNWIzMmFjMjdiNGE1YzhhZTE4YmM0ZjA0MDM4ZWYiLCJwIjoiZXhjZWwtamlyYSJ9" TargetMode="External"/><Relationship Id="rId38" Type="http://schemas.openxmlformats.org/officeDocument/2006/relationships/hyperlink" Target="https://sanes.atlassian.net/browse/ESPC360-16141?atlOrigin=eyJpIjoiMjBhNWIzMmFjMjdiNGE1YzhhZTE4YmM0ZjA0MDM4ZWYiLCJwIjoiZXhjZWwtamlyYSJ9" TargetMode="External"/><Relationship Id="rId59" Type="http://schemas.openxmlformats.org/officeDocument/2006/relationships/hyperlink" Target="https://sanes.atlassian.net/browse/ESPC360-16935?atlOrigin=eyJpIjoiMjBhNWIzMmFjMjdiNGE1YzhhZTE4YmM0ZjA0MDM4ZWYiLCJwIjoiZXhjZWwtamlyYSJ9" TargetMode="External"/><Relationship Id="rId103" Type="http://schemas.openxmlformats.org/officeDocument/2006/relationships/hyperlink" Target="https://sanes.atlassian.net/browse/ESPC360-18942?atlOrigin=eyJpIjoiMjBhNWIzMmFjMjdiNGE1YzhhZTE4YmM0ZjA0MDM4ZWYiLCJwIjoiZXhjZWwtamlyYSJ9" TargetMode="External"/><Relationship Id="rId108" Type="http://schemas.openxmlformats.org/officeDocument/2006/relationships/hyperlink" Target="https://sanes.atlassian.net/browse/ESPC360-19132?atlOrigin=eyJpIjoiMjBhNWIzMmFjMjdiNGE1YzhhZTE4YmM0ZjA0MDM4ZWYiLCJwIjoiZXhjZWwtamlyYSJ9" TargetMode="External"/><Relationship Id="rId124" Type="http://schemas.openxmlformats.org/officeDocument/2006/relationships/hyperlink" Target="https://sanes.atlassian.net/browse/ESPC360-19558?atlOrigin=eyJpIjoiMjBhNWIzMmFjMjdiNGE1YzhhZTE4YmM0ZjA0MDM4ZWYiLCJwIjoiZXhjZWwtamlyYSJ9" TargetMode="External"/><Relationship Id="rId129" Type="http://schemas.openxmlformats.org/officeDocument/2006/relationships/hyperlink" Target="https://sanes.atlassian.net/browse/ESPC360-19925?atlOrigin=eyJpIjoiMjBhNWIzMmFjMjdiNGE1YzhhZTE4YmM0ZjA0MDM4ZWYiLCJwIjoiZXhjZWwtamlyYSJ9" TargetMode="External"/><Relationship Id="rId54" Type="http://schemas.openxmlformats.org/officeDocument/2006/relationships/hyperlink" Target="https://sanes.atlassian.net/browse/ESPC360-16758?atlOrigin=eyJpIjoiMjBhNWIzMmFjMjdiNGE1YzhhZTE4YmM0ZjA0MDM4ZWYiLCJwIjoiZXhjZWwtamlyYSJ9" TargetMode="External"/><Relationship Id="rId70" Type="http://schemas.openxmlformats.org/officeDocument/2006/relationships/hyperlink" Target="https://sanes.atlassian.net/browse/ESPC360-17366?atlOrigin=eyJpIjoiMjBhNWIzMmFjMjdiNGE1YzhhZTE4YmM0ZjA0MDM4ZWYiLCJwIjoiZXhjZWwtamlyYSJ9" TargetMode="External"/><Relationship Id="rId75" Type="http://schemas.openxmlformats.org/officeDocument/2006/relationships/hyperlink" Target="https://sanes.atlassian.net/browse/ESPC360-17657?atlOrigin=eyJpIjoiMjBhNWIzMmFjMjdiNGE1YzhhZTE4YmM0ZjA0MDM4ZWYiLCJwIjoiZXhjZWwtamlyYSJ9" TargetMode="External"/><Relationship Id="rId91" Type="http://schemas.openxmlformats.org/officeDocument/2006/relationships/hyperlink" Target="https://sanes.atlassian.net/browse/ESPC360-18332?atlOrigin=eyJpIjoiMjBhNWIzMmFjMjdiNGE1YzhhZTE4YmM0ZjA0MDM4ZWYiLCJwIjoiZXhjZWwtamlyYSJ9" TargetMode="External"/><Relationship Id="rId96" Type="http://schemas.openxmlformats.org/officeDocument/2006/relationships/hyperlink" Target="https://sanes.atlassian.net/browse/ESPC360-18789?atlOrigin=eyJpIjoiMjBhNWIzMmFjMjdiNGE1YzhhZTE4YmM0ZjA0MDM4ZWYiLCJwIjoiZXhjZWwtamlyYSJ9" TargetMode="External"/><Relationship Id="rId140" Type="http://schemas.openxmlformats.org/officeDocument/2006/relationships/hyperlink" Target="https://sanes.atlassian.net/browse/ESPC360-20329?atlOrigin=eyJpIjoiMjBhNWIzMmFjMjdiNGE1YzhhZTE4YmM0ZjA0MDM4ZWYiLCJwIjoiZXhjZWwtamlyYSJ9" TargetMode="External"/><Relationship Id="rId145" Type="http://schemas.openxmlformats.org/officeDocument/2006/relationships/hyperlink" Target="https://sanes.atlassian.net/browse/ESPC360-20639?atlOrigin=eyJpIjoiMjBhNWIzMmFjMjdiNGE1YzhhZTE4YmM0ZjA0MDM4ZWYiLCJwIjoiZXhjZWwtamlyYSJ9" TargetMode="External"/><Relationship Id="rId1" Type="http://schemas.openxmlformats.org/officeDocument/2006/relationships/hyperlink" Target="https://sanes.atlassian.net/browse/ESPC360-12632?atlOrigin=eyJpIjoiMjBhNWIzMmFjMjdiNGE1YzhhZTE4YmM0ZjA0MDM4ZWYiLCJwIjoiZXhjZWwtamlyYSJ9" TargetMode="External"/><Relationship Id="rId6" Type="http://schemas.openxmlformats.org/officeDocument/2006/relationships/hyperlink" Target="https://sanes.atlassian.net/browse/ESPC360-13377?atlOrigin=eyJpIjoiMjBhNWIzMmFjMjdiNGE1YzhhZTE4YmM0ZjA0MDM4ZWYiLCJwIjoiZXhjZWwtamlyYSJ9" TargetMode="External"/><Relationship Id="rId23" Type="http://schemas.openxmlformats.org/officeDocument/2006/relationships/hyperlink" Target="https://sanes.atlassian.net/browse/ESPC360-14160?atlOrigin=eyJpIjoiMjBhNWIzMmFjMjdiNGE1YzhhZTE4YmM0ZjA0MDM4ZWYiLCJwIjoiZXhjZWwtamlyYSJ9" TargetMode="External"/><Relationship Id="rId28" Type="http://schemas.openxmlformats.org/officeDocument/2006/relationships/hyperlink" Target="https://sanes.atlassian.net/browse/ESPC360-14884?atlOrigin=eyJpIjoiMjBhNWIzMmFjMjdiNGE1YzhhZTE4YmM0ZjA0MDM4ZWYiLCJwIjoiZXhjZWwtamlyYSJ9" TargetMode="External"/><Relationship Id="rId49" Type="http://schemas.openxmlformats.org/officeDocument/2006/relationships/hyperlink" Target="https://sanes.atlassian.net/browse/ESPC360-16537?atlOrigin=eyJpIjoiMjBhNWIzMmFjMjdiNGE1YzhhZTE4YmM0ZjA0MDM4ZWYiLCJwIjoiZXhjZWwtamlyYSJ9" TargetMode="External"/><Relationship Id="rId114" Type="http://schemas.openxmlformats.org/officeDocument/2006/relationships/hyperlink" Target="https://sanes.atlassian.net/browse/ESPC360-19358?atlOrigin=eyJpIjoiMjBhNWIzMmFjMjdiNGE1YzhhZTE4YmM0ZjA0MDM4ZWYiLCJwIjoiZXhjZWwtamlyYSJ9" TargetMode="External"/><Relationship Id="rId119" Type="http://schemas.openxmlformats.org/officeDocument/2006/relationships/hyperlink" Target="https://sanes.atlassian.net/browse/ESPC360-19394?atlOrigin=eyJpIjoiMjBhNWIzMmFjMjdiNGE1YzhhZTE4YmM0ZjA0MDM4ZWYiLCJwIjoiZXhjZWwtamlyYSJ9" TargetMode="External"/><Relationship Id="rId44" Type="http://schemas.openxmlformats.org/officeDocument/2006/relationships/hyperlink" Target="https://sanes.atlassian.net/browse/ESPC360-16216?atlOrigin=eyJpIjoiMjBhNWIzMmFjMjdiNGE1YzhhZTE4YmM0ZjA0MDM4ZWYiLCJwIjoiZXhjZWwtamlyYSJ9" TargetMode="External"/><Relationship Id="rId60" Type="http://schemas.openxmlformats.org/officeDocument/2006/relationships/hyperlink" Target="https://sanes.atlassian.net/browse/ESPC360-16969?atlOrigin=eyJpIjoiMjBhNWIzMmFjMjdiNGE1YzhhZTE4YmM0ZjA0MDM4ZWYiLCJwIjoiZXhjZWwtamlyYSJ9" TargetMode="External"/><Relationship Id="rId65" Type="http://schemas.openxmlformats.org/officeDocument/2006/relationships/hyperlink" Target="https://sanes.atlassian.net/browse/ESPC360-17172?atlOrigin=eyJpIjoiMjBhNWIzMmFjMjdiNGE1YzhhZTE4YmM0ZjA0MDM4ZWYiLCJwIjoiZXhjZWwtamlyYSJ9" TargetMode="External"/><Relationship Id="rId81" Type="http://schemas.openxmlformats.org/officeDocument/2006/relationships/hyperlink" Target="https://sanes.atlassian.net/browse/ESPC360-17812?atlOrigin=eyJpIjoiMjBhNWIzMmFjMjdiNGE1YzhhZTE4YmM0ZjA0MDM4ZWYiLCJwIjoiZXhjZWwtamlyYSJ9" TargetMode="External"/><Relationship Id="rId86" Type="http://schemas.openxmlformats.org/officeDocument/2006/relationships/hyperlink" Target="https://sanes.atlassian.net/browse/ESPC360-18145?atlOrigin=eyJpIjoiMjBhNWIzMmFjMjdiNGE1YzhhZTE4YmM0ZjA0MDM4ZWYiLCJwIjoiZXhjZWwtamlyYSJ9" TargetMode="External"/><Relationship Id="rId130" Type="http://schemas.openxmlformats.org/officeDocument/2006/relationships/hyperlink" Target="https://sanes.atlassian.net/browse/ESPC360-19926?atlOrigin=eyJpIjoiMjBhNWIzMmFjMjdiNGE1YzhhZTE4YmM0ZjA0MDM4ZWYiLCJwIjoiZXhjZWwtamlyYSJ9" TargetMode="External"/><Relationship Id="rId135" Type="http://schemas.openxmlformats.org/officeDocument/2006/relationships/hyperlink" Target="https://sanes.atlassian.net/browse/ESPC360-20167?atlOrigin=eyJpIjoiMjBhNWIzMmFjMjdiNGE1YzhhZTE4YmM0ZjA0MDM4ZWYiLCJwIjoiZXhjZWwtamlyYSJ9" TargetMode="External"/><Relationship Id="rId151" Type="http://schemas.openxmlformats.org/officeDocument/2006/relationships/hyperlink" Target="https://sanes.atlassian.net/browse/ESPC360-20873?atlOrigin=eyJpIjoiMjBhNWIzMmFjMjdiNGE1YzhhZTE4YmM0ZjA0MDM4ZWYiLCJwIjoiZXhjZWwtamlyYSJ9" TargetMode="External"/><Relationship Id="rId156" Type="http://schemas.openxmlformats.org/officeDocument/2006/relationships/hyperlink" Target="https://sanes.atlassian.net/browse/ESPC360-20931?atlOrigin=eyJpIjoiMjBhNWIzMmFjMjdiNGE1YzhhZTE4YmM0ZjA0MDM4ZWYiLCJwIjoiZXhjZWwtamlyYSJ9" TargetMode="External"/><Relationship Id="rId13" Type="http://schemas.openxmlformats.org/officeDocument/2006/relationships/hyperlink" Target="https://sanes.atlassian.net/browse/ESPC360-13825?atlOrigin=eyJpIjoiMjBhNWIzMmFjMjdiNGE1YzhhZTE4YmM0ZjA0MDM4ZWYiLCJwIjoiZXhjZWwtamlyYSJ9" TargetMode="External"/><Relationship Id="rId18" Type="http://schemas.openxmlformats.org/officeDocument/2006/relationships/hyperlink" Target="https://sanes.atlassian.net/browse/ESPC360-14097?atlOrigin=eyJpIjoiMjBhNWIzMmFjMjdiNGE1YzhhZTE4YmM0ZjA0MDM4ZWYiLCJwIjoiZXhjZWwtamlyYSJ9" TargetMode="External"/><Relationship Id="rId39" Type="http://schemas.openxmlformats.org/officeDocument/2006/relationships/hyperlink" Target="https://sanes.atlassian.net/browse/ESPC360-16142?atlOrigin=eyJpIjoiMjBhNWIzMmFjMjdiNGE1YzhhZTE4YmM0ZjA0MDM4ZWYiLCJwIjoiZXhjZWwtamlyYSJ9" TargetMode="External"/><Relationship Id="rId109" Type="http://schemas.openxmlformats.org/officeDocument/2006/relationships/hyperlink" Target="https://sanes.atlassian.net/browse/ESPC360-19136?atlOrigin=eyJpIjoiMjBhNWIzMmFjMjdiNGE1YzhhZTE4YmM0ZjA0MDM4ZWYiLCJwIjoiZXhjZWwtamlyYSJ9" TargetMode="External"/><Relationship Id="rId34" Type="http://schemas.openxmlformats.org/officeDocument/2006/relationships/hyperlink" Target="https://sanes.atlassian.net/browse/ESPC360-15697?atlOrigin=eyJpIjoiMjBhNWIzMmFjMjdiNGE1YzhhZTE4YmM0ZjA0MDM4ZWYiLCJwIjoiZXhjZWwtamlyYSJ9" TargetMode="External"/><Relationship Id="rId50" Type="http://schemas.openxmlformats.org/officeDocument/2006/relationships/hyperlink" Target="https://sanes.atlassian.net/browse/ESPC360-16551?atlOrigin=eyJpIjoiMjBhNWIzMmFjMjdiNGE1YzhhZTE4YmM0ZjA0MDM4ZWYiLCJwIjoiZXhjZWwtamlyYSJ9" TargetMode="External"/><Relationship Id="rId55" Type="http://schemas.openxmlformats.org/officeDocument/2006/relationships/hyperlink" Target="https://sanes.atlassian.net/browse/ESPC360-16766?atlOrigin=eyJpIjoiMjBhNWIzMmFjMjdiNGE1YzhhZTE4YmM0ZjA0MDM4ZWYiLCJwIjoiZXhjZWwtamlyYSJ9" TargetMode="External"/><Relationship Id="rId76" Type="http://schemas.openxmlformats.org/officeDocument/2006/relationships/hyperlink" Target="https://sanes.atlassian.net/browse/ESPC360-17710?atlOrigin=eyJpIjoiMjBhNWIzMmFjMjdiNGE1YzhhZTE4YmM0ZjA0MDM4ZWYiLCJwIjoiZXhjZWwtamlyYSJ9" TargetMode="External"/><Relationship Id="rId97" Type="http://schemas.openxmlformats.org/officeDocument/2006/relationships/hyperlink" Target="https://sanes.atlassian.net/browse/ESPC360-18794?atlOrigin=eyJpIjoiMjBhNWIzMmFjMjdiNGE1YzhhZTE4YmM0ZjA0MDM4ZWYiLCJwIjoiZXhjZWwtamlyYSJ9" TargetMode="External"/><Relationship Id="rId104" Type="http://schemas.openxmlformats.org/officeDocument/2006/relationships/hyperlink" Target="https://sanes.atlassian.net/browse/ESPC360-18948?atlOrigin=eyJpIjoiMjBhNWIzMmFjMjdiNGE1YzhhZTE4YmM0ZjA0MDM4ZWYiLCJwIjoiZXhjZWwtamlyYSJ9" TargetMode="External"/><Relationship Id="rId120" Type="http://schemas.openxmlformats.org/officeDocument/2006/relationships/hyperlink" Target="https://sanes.atlassian.net/browse/ESPC360-19500?atlOrigin=eyJpIjoiMjBhNWIzMmFjMjdiNGE1YzhhZTE4YmM0ZjA0MDM4ZWYiLCJwIjoiZXhjZWwtamlyYSJ9" TargetMode="External"/><Relationship Id="rId125" Type="http://schemas.openxmlformats.org/officeDocument/2006/relationships/hyperlink" Target="https://sanes.atlassian.net/browse/ESPC360-19765?atlOrigin=eyJpIjoiMjBhNWIzMmFjMjdiNGE1YzhhZTE4YmM0ZjA0MDM4ZWYiLCJwIjoiZXhjZWwtamlyYSJ9" TargetMode="External"/><Relationship Id="rId141" Type="http://schemas.openxmlformats.org/officeDocument/2006/relationships/hyperlink" Target="https://sanes.atlassian.net/browse/ESPC360-20474?atlOrigin=eyJpIjoiMjBhNWIzMmFjMjdiNGE1YzhhZTE4YmM0ZjA0MDM4ZWYiLCJwIjoiZXhjZWwtamlyYSJ9" TargetMode="External"/><Relationship Id="rId146" Type="http://schemas.openxmlformats.org/officeDocument/2006/relationships/hyperlink" Target="https://sanes.atlassian.net/browse/ESPC360-20640?atlOrigin=eyJpIjoiMjBhNWIzMmFjMjdiNGE1YzhhZTE4YmM0ZjA0MDM4ZWYiLCJwIjoiZXhjZWwtamlyYSJ9" TargetMode="External"/><Relationship Id="rId7" Type="http://schemas.openxmlformats.org/officeDocument/2006/relationships/hyperlink" Target="https://sanes.atlassian.net/browse/ESPC360-13482?atlOrigin=eyJpIjoiMjBhNWIzMmFjMjdiNGE1YzhhZTE4YmM0ZjA0MDM4ZWYiLCJwIjoiZXhjZWwtamlyYSJ9" TargetMode="External"/><Relationship Id="rId71" Type="http://schemas.openxmlformats.org/officeDocument/2006/relationships/hyperlink" Target="https://sanes.atlassian.net/browse/ESPC360-17383?atlOrigin=eyJpIjoiMjBhNWIzMmFjMjdiNGE1YzhhZTE4YmM0ZjA0MDM4ZWYiLCJwIjoiZXhjZWwtamlyYSJ9" TargetMode="External"/><Relationship Id="rId92" Type="http://schemas.openxmlformats.org/officeDocument/2006/relationships/hyperlink" Target="https://sanes.atlassian.net/browse/ESPC360-18400?atlOrigin=eyJpIjoiMjBhNWIzMmFjMjdiNGE1YzhhZTE4YmM0ZjA0MDM4ZWYiLCJwIjoiZXhjZWwtamlyYSJ9" TargetMode="External"/><Relationship Id="rId2" Type="http://schemas.openxmlformats.org/officeDocument/2006/relationships/hyperlink" Target="https://sanes.atlassian.net/browse/ESPC360-13131?atlOrigin=eyJpIjoiMjBhNWIzMmFjMjdiNGE1YzhhZTE4YmM0ZjA0MDM4ZWYiLCJwIjoiZXhjZWwtamlyYSJ9" TargetMode="External"/><Relationship Id="rId29" Type="http://schemas.openxmlformats.org/officeDocument/2006/relationships/hyperlink" Target="https://sanes.atlassian.net/browse/ESPC360-15046?atlOrigin=eyJpIjoiMjBhNWIzMmFjMjdiNGE1YzhhZTE4YmM0ZjA0MDM4ZWYiLCJwIjoiZXhjZWwtamlyYSJ9" TargetMode="External"/><Relationship Id="rId24" Type="http://schemas.openxmlformats.org/officeDocument/2006/relationships/hyperlink" Target="https://sanes.atlassian.net/browse/ESPC360-14172?atlOrigin=eyJpIjoiMjBhNWIzMmFjMjdiNGE1YzhhZTE4YmM0ZjA0MDM4ZWYiLCJwIjoiZXhjZWwtamlyYSJ9" TargetMode="External"/><Relationship Id="rId40" Type="http://schemas.openxmlformats.org/officeDocument/2006/relationships/hyperlink" Target="https://sanes.atlassian.net/browse/ESPC360-16143?atlOrigin=eyJpIjoiMjBhNWIzMmFjMjdiNGE1YzhhZTE4YmM0ZjA0MDM4ZWYiLCJwIjoiZXhjZWwtamlyYSJ9" TargetMode="External"/><Relationship Id="rId45" Type="http://schemas.openxmlformats.org/officeDocument/2006/relationships/hyperlink" Target="https://sanes.atlassian.net/browse/ESPC360-16227?atlOrigin=eyJpIjoiMjBhNWIzMmFjMjdiNGE1YzhhZTE4YmM0ZjA0MDM4ZWYiLCJwIjoiZXhjZWwtamlyYSJ9" TargetMode="External"/><Relationship Id="rId66" Type="http://schemas.openxmlformats.org/officeDocument/2006/relationships/hyperlink" Target="https://sanes.atlassian.net/browse/ESPC360-17303?atlOrigin=eyJpIjoiMjBhNWIzMmFjMjdiNGE1YzhhZTE4YmM0ZjA0MDM4ZWYiLCJwIjoiZXhjZWwtamlyYSJ9" TargetMode="External"/><Relationship Id="rId87" Type="http://schemas.openxmlformats.org/officeDocument/2006/relationships/hyperlink" Target="https://sanes.atlassian.net/browse/ESPC360-18156?atlOrigin=eyJpIjoiMjBhNWIzMmFjMjdiNGE1YzhhZTE4YmM0ZjA0MDM4ZWYiLCJwIjoiZXhjZWwtamlyYSJ9" TargetMode="External"/><Relationship Id="rId110" Type="http://schemas.openxmlformats.org/officeDocument/2006/relationships/hyperlink" Target="https://sanes.atlassian.net/browse/ESPC360-19137?atlOrigin=eyJpIjoiMjBhNWIzMmFjMjdiNGE1YzhhZTE4YmM0ZjA0MDM4ZWYiLCJwIjoiZXhjZWwtamlyYSJ9" TargetMode="External"/><Relationship Id="rId115" Type="http://schemas.openxmlformats.org/officeDocument/2006/relationships/hyperlink" Target="https://sanes.atlassian.net/browse/ESPC360-19367?atlOrigin=eyJpIjoiMjBhNWIzMmFjMjdiNGE1YzhhZTE4YmM0ZjA0MDM4ZWYiLCJwIjoiZXhjZWwtamlyYSJ9" TargetMode="External"/><Relationship Id="rId131" Type="http://schemas.openxmlformats.org/officeDocument/2006/relationships/hyperlink" Target="https://sanes.atlassian.net/browse/ESPC360-20026?atlOrigin=eyJpIjoiMjBhNWIzMmFjMjdiNGE1YzhhZTE4YmM0ZjA0MDM4ZWYiLCJwIjoiZXhjZWwtamlyYSJ9" TargetMode="External"/><Relationship Id="rId136" Type="http://schemas.openxmlformats.org/officeDocument/2006/relationships/hyperlink" Target="https://sanes.atlassian.net/browse/ESPC360-20168?atlOrigin=eyJpIjoiMjBhNWIzMmFjMjdiNGE1YzhhZTE4YmM0ZjA0MDM4ZWYiLCJwIjoiZXhjZWwtamlyYSJ9" TargetMode="External"/><Relationship Id="rId157" Type="http://schemas.openxmlformats.org/officeDocument/2006/relationships/hyperlink" Target="https://sanes.atlassian.net/browse/ESPC360-21027?atlOrigin=eyJpIjoiMjBhNWIzMmFjMjdiNGE1YzhhZTE4YmM0ZjA0MDM4ZWYiLCJwIjoiZXhjZWwtamlyYSJ9" TargetMode="External"/><Relationship Id="rId61" Type="http://schemas.openxmlformats.org/officeDocument/2006/relationships/hyperlink" Target="https://sanes.atlassian.net/browse/ESPC360-17089?atlOrigin=eyJpIjoiMjBhNWIzMmFjMjdiNGE1YzhhZTE4YmM0ZjA0MDM4ZWYiLCJwIjoiZXhjZWwtamlyYSJ9" TargetMode="External"/><Relationship Id="rId82" Type="http://schemas.openxmlformats.org/officeDocument/2006/relationships/hyperlink" Target="https://sanes.atlassian.net/browse/ESPC360-17819?atlOrigin=eyJpIjoiMjBhNWIzMmFjMjdiNGE1YzhhZTE4YmM0ZjA0MDM4ZWYiLCJwIjoiZXhjZWwtamlyYSJ9" TargetMode="External"/><Relationship Id="rId152" Type="http://schemas.openxmlformats.org/officeDocument/2006/relationships/hyperlink" Target="https://sanes.atlassian.net/browse/ESPC360-20875?atlOrigin=eyJpIjoiMjBhNWIzMmFjMjdiNGE1YzhhZTE4YmM0ZjA0MDM4ZWYiLCJwIjoiZXhjZWwtamlyYSJ9" TargetMode="External"/><Relationship Id="rId19" Type="http://schemas.openxmlformats.org/officeDocument/2006/relationships/hyperlink" Target="https://sanes.atlassian.net/browse/ESPC360-14103?atlOrigin=eyJpIjoiMjBhNWIzMmFjMjdiNGE1YzhhZTE4YmM0ZjA0MDM4ZWYiLCJwIjoiZXhjZWwtamlyYSJ9" TargetMode="External"/><Relationship Id="rId14" Type="http://schemas.openxmlformats.org/officeDocument/2006/relationships/hyperlink" Target="https://sanes.atlassian.net/browse/ESPC360-13831?atlOrigin=eyJpIjoiMjBhNWIzMmFjMjdiNGE1YzhhZTE4YmM0ZjA0MDM4ZWYiLCJwIjoiZXhjZWwtamlyYSJ9" TargetMode="External"/><Relationship Id="rId30" Type="http://schemas.openxmlformats.org/officeDocument/2006/relationships/hyperlink" Target="https://sanes.atlassian.net/browse/ESPC360-15069?atlOrigin=eyJpIjoiMjBhNWIzMmFjMjdiNGE1YzhhZTE4YmM0ZjA0MDM4ZWYiLCJwIjoiZXhjZWwtamlyYSJ9" TargetMode="External"/><Relationship Id="rId35" Type="http://schemas.openxmlformats.org/officeDocument/2006/relationships/hyperlink" Target="https://sanes.atlassian.net/browse/ESPC360-15716?atlOrigin=eyJpIjoiMjBhNWIzMmFjMjdiNGE1YzhhZTE4YmM0ZjA0MDM4ZWYiLCJwIjoiZXhjZWwtamlyYSJ9" TargetMode="External"/><Relationship Id="rId56" Type="http://schemas.openxmlformats.org/officeDocument/2006/relationships/hyperlink" Target="https://sanes.atlassian.net/browse/ESPC360-16875?atlOrigin=eyJpIjoiMjBhNWIzMmFjMjdiNGE1YzhhZTE4YmM0ZjA0MDM4ZWYiLCJwIjoiZXhjZWwtamlyYSJ9" TargetMode="External"/><Relationship Id="rId77" Type="http://schemas.openxmlformats.org/officeDocument/2006/relationships/hyperlink" Target="https://sanes.atlassian.net/browse/ESPC360-17777?atlOrigin=eyJpIjoiMjBhNWIzMmFjMjdiNGE1YzhhZTE4YmM0ZjA0MDM4ZWYiLCJwIjoiZXhjZWwtamlyYSJ9" TargetMode="External"/><Relationship Id="rId100" Type="http://schemas.openxmlformats.org/officeDocument/2006/relationships/hyperlink" Target="https://sanes.atlassian.net/browse/ESPC360-18815?atlOrigin=eyJpIjoiMjBhNWIzMmFjMjdiNGE1YzhhZTE4YmM0ZjA0MDM4ZWYiLCJwIjoiZXhjZWwtamlyYSJ9" TargetMode="External"/><Relationship Id="rId105" Type="http://schemas.openxmlformats.org/officeDocument/2006/relationships/hyperlink" Target="https://sanes.atlassian.net/browse/ESPC360-18951?atlOrigin=eyJpIjoiMjBhNWIzMmFjMjdiNGE1YzhhZTE4YmM0ZjA0MDM4ZWYiLCJwIjoiZXhjZWwtamlyYSJ9" TargetMode="External"/><Relationship Id="rId126" Type="http://schemas.openxmlformats.org/officeDocument/2006/relationships/hyperlink" Target="https://sanes.atlassian.net/browse/ESPC360-19825?atlOrigin=eyJpIjoiMjBhNWIzMmFjMjdiNGE1YzhhZTE4YmM0ZjA0MDM4ZWYiLCJwIjoiZXhjZWwtamlyYSJ9" TargetMode="External"/><Relationship Id="rId147" Type="http://schemas.openxmlformats.org/officeDocument/2006/relationships/hyperlink" Target="https://sanes.atlassian.net/browse/ESPC360-20642?atlOrigin=eyJpIjoiMjBhNWIzMmFjMjdiNGE1YzhhZTE4YmM0ZjA0MDM4ZWYiLCJwIjoiZXhjZWwtamlyYSJ9" TargetMode="External"/><Relationship Id="rId8" Type="http://schemas.openxmlformats.org/officeDocument/2006/relationships/hyperlink" Target="https://sanes.atlassian.net/browse/ESPC360-13540?atlOrigin=eyJpIjoiMjBhNWIzMmFjMjdiNGE1YzhhZTE4YmM0ZjA0MDM4ZWYiLCJwIjoiZXhjZWwtamlyYSJ9" TargetMode="External"/><Relationship Id="rId51" Type="http://schemas.openxmlformats.org/officeDocument/2006/relationships/hyperlink" Target="https://sanes.atlassian.net/browse/ESPC360-16682?atlOrigin=eyJpIjoiMjBhNWIzMmFjMjdiNGE1YzhhZTE4YmM0ZjA0MDM4ZWYiLCJwIjoiZXhjZWwtamlyYSJ9" TargetMode="External"/><Relationship Id="rId72" Type="http://schemas.openxmlformats.org/officeDocument/2006/relationships/hyperlink" Target="https://sanes.atlassian.net/browse/ESPC360-17544?atlOrigin=eyJpIjoiMjBhNWIzMmFjMjdiNGE1YzhhZTE4YmM0ZjA0MDM4ZWYiLCJwIjoiZXhjZWwtamlyYSJ9" TargetMode="External"/><Relationship Id="rId93" Type="http://schemas.openxmlformats.org/officeDocument/2006/relationships/hyperlink" Target="https://sanes.atlassian.net/browse/ESPC360-18649?atlOrigin=eyJpIjoiMjBhNWIzMmFjMjdiNGE1YzhhZTE4YmM0ZjA0MDM4ZWYiLCJwIjoiZXhjZWwtamlyYSJ9" TargetMode="External"/><Relationship Id="rId98" Type="http://schemas.openxmlformats.org/officeDocument/2006/relationships/hyperlink" Target="https://sanes.atlassian.net/browse/ESPC360-18798?atlOrigin=eyJpIjoiMjBhNWIzMmFjMjdiNGE1YzhhZTE4YmM0ZjA0MDM4ZWYiLCJwIjoiZXhjZWwtamlyYSJ9" TargetMode="External"/><Relationship Id="rId121" Type="http://schemas.openxmlformats.org/officeDocument/2006/relationships/hyperlink" Target="https://sanes.atlassian.net/browse/ESPC360-19525?atlOrigin=eyJpIjoiMjBhNWIzMmFjMjdiNGE1YzhhZTE4YmM0ZjA0MDM4ZWYiLCJwIjoiZXhjZWwtamlyYSJ9" TargetMode="External"/><Relationship Id="rId142" Type="http://schemas.openxmlformats.org/officeDocument/2006/relationships/hyperlink" Target="https://sanes.atlassian.net/browse/ESPC360-20476?atlOrigin=eyJpIjoiMjBhNWIzMmFjMjdiNGE1YzhhZTE4YmM0ZjA0MDM4ZWYiLCJwIjoiZXhjZWwtamlyYSJ9" TargetMode="External"/><Relationship Id="rId3" Type="http://schemas.openxmlformats.org/officeDocument/2006/relationships/hyperlink" Target="https://sanes.atlassian.net/browse/ESPC360-13309?atlOrigin=eyJpIjoiMjBhNWIzMmFjMjdiNGE1YzhhZTE4YmM0ZjA0MDM4ZWYiLCJwIjoiZXhjZWwtamlyYSJ9" TargetMode="External"/><Relationship Id="rId25" Type="http://schemas.openxmlformats.org/officeDocument/2006/relationships/hyperlink" Target="https://sanes.atlassian.net/browse/ESPC360-14862?atlOrigin=eyJpIjoiMjBhNWIzMmFjMjdiNGE1YzhhZTE4YmM0ZjA0MDM4ZWYiLCJwIjoiZXhjZWwtamlyYSJ9" TargetMode="External"/><Relationship Id="rId46" Type="http://schemas.openxmlformats.org/officeDocument/2006/relationships/hyperlink" Target="https://sanes.atlassian.net/browse/ESPC360-16493?atlOrigin=eyJpIjoiMjBhNWIzMmFjMjdiNGE1YzhhZTE4YmM0ZjA0MDM4ZWYiLCJwIjoiZXhjZWwtamlyYSJ9" TargetMode="External"/><Relationship Id="rId67" Type="http://schemas.openxmlformats.org/officeDocument/2006/relationships/hyperlink" Target="https://sanes.atlassian.net/browse/ESPC360-17351?atlOrigin=eyJpIjoiMjBhNWIzMmFjMjdiNGE1YzhhZTE4YmM0ZjA0MDM4ZWYiLCJwIjoiZXhjZWwtamlyYSJ9" TargetMode="External"/><Relationship Id="rId116" Type="http://schemas.openxmlformats.org/officeDocument/2006/relationships/hyperlink" Target="https://sanes.atlassian.net/browse/ESPC360-19368?atlOrigin=eyJpIjoiMjBhNWIzMmFjMjdiNGE1YzhhZTE4YmM0ZjA0MDM4ZWYiLCJwIjoiZXhjZWwtamlyYSJ9" TargetMode="External"/><Relationship Id="rId137" Type="http://schemas.openxmlformats.org/officeDocument/2006/relationships/hyperlink" Target="https://sanes.atlassian.net/browse/ESPC360-20185?atlOrigin=eyJpIjoiMjBhNWIzMmFjMjdiNGE1YzhhZTE4YmM0ZjA0MDM4ZWYiLCJwIjoiZXhjZWwtamlyYSJ9" TargetMode="External"/><Relationship Id="rId158" Type="http://schemas.openxmlformats.org/officeDocument/2006/relationships/hyperlink" Target="https://sanes.atlassian.net/browse/ESPC360-21051?atlOrigin=eyJpIjoiMjBhNWIzMmFjMjdiNGE1YzhhZTE4YmM0ZjA0MDM4ZWYiLCJwIjoiZXhjZWwtamlyYSJ9" TargetMode="External"/><Relationship Id="rId20" Type="http://schemas.openxmlformats.org/officeDocument/2006/relationships/hyperlink" Target="https://sanes.atlassian.net/browse/ESPC360-14106?atlOrigin=eyJpIjoiMjBhNWIzMmFjMjdiNGE1YzhhZTE4YmM0ZjA0MDM4ZWYiLCJwIjoiZXhjZWwtamlyYSJ9" TargetMode="External"/><Relationship Id="rId41" Type="http://schemas.openxmlformats.org/officeDocument/2006/relationships/hyperlink" Target="https://sanes.atlassian.net/browse/ESPC360-16144?atlOrigin=eyJpIjoiMjBhNWIzMmFjMjdiNGE1YzhhZTE4YmM0ZjA0MDM4ZWYiLCJwIjoiZXhjZWwtamlyYSJ9" TargetMode="External"/><Relationship Id="rId62" Type="http://schemas.openxmlformats.org/officeDocument/2006/relationships/hyperlink" Target="https://sanes.atlassian.net/browse/ESPC360-17101?atlOrigin=eyJpIjoiMjBhNWIzMmFjMjdiNGE1YzhhZTE4YmM0ZjA0MDM4ZWYiLCJwIjoiZXhjZWwtamlyYSJ9" TargetMode="External"/><Relationship Id="rId83" Type="http://schemas.openxmlformats.org/officeDocument/2006/relationships/hyperlink" Target="https://sanes.atlassian.net/browse/ESPC360-18007?atlOrigin=eyJpIjoiMjBhNWIzMmFjMjdiNGE1YzhhZTE4YmM0ZjA0MDM4ZWYiLCJwIjoiZXhjZWwtamlyYSJ9" TargetMode="External"/><Relationship Id="rId88" Type="http://schemas.openxmlformats.org/officeDocument/2006/relationships/hyperlink" Target="https://sanes.atlassian.net/browse/ESPC360-18174?atlOrigin=eyJpIjoiMjBhNWIzMmFjMjdiNGE1YzhhZTE4YmM0ZjA0MDM4ZWYiLCJwIjoiZXhjZWwtamlyYSJ9" TargetMode="External"/><Relationship Id="rId111" Type="http://schemas.openxmlformats.org/officeDocument/2006/relationships/hyperlink" Target="https://sanes.atlassian.net/browse/ESPC360-19143?atlOrigin=eyJpIjoiMjBhNWIzMmFjMjdiNGE1YzhhZTE4YmM0ZjA0MDM4ZWYiLCJwIjoiZXhjZWwtamlyYSJ9" TargetMode="External"/><Relationship Id="rId132" Type="http://schemas.openxmlformats.org/officeDocument/2006/relationships/hyperlink" Target="https://sanes.atlassian.net/browse/ESPC360-20082?atlOrigin=eyJpIjoiMjBhNWIzMmFjMjdiNGE1YzhhZTE4YmM0ZjA0MDM4ZWYiLCJwIjoiZXhjZWwtamlyYSJ9" TargetMode="External"/><Relationship Id="rId153" Type="http://schemas.openxmlformats.org/officeDocument/2006/relationships/hyperlink" Target="https://sanes.atlassian.net/browse/ESPC360-20876?atlOrigin=eyJpIjoiMjBhNWIzMmFjMjdiNGE1YzhhZTE4YmM0ZjA0MDM4ZWYiLCJwIjoiZXhjZWwtamlyYSJ9" TargetMode="External"/><Relationship Id="rId15" Type="http://schemas.openxmlformats.org/officeDocument/2006/relationships/hyperlink" Target="https://sanes.atlassian.net/browse/ESPC360-13965?atlOrigin=eyJpIjoiMjBhNWIzMmFjMjdiNGE1YzhhZTE4YmM0ZjA0MDM4ZWYiLCJwIjoiZXhjZWwtamlyYSJ9" TargetMode="External"/><Relationship Id="rId36" Type="http://schemas.openxmlformats.org/officeDocument/2006/relationships/hyperlink" Target="https://sanes.atlassian.net/browse/ESPC360-15961?atlOrigin=eyJpIjoiMjBhNWIzMmFjMjdiNGE1YzhhZTE4YmM0ZjA0MDM4ZWYiLCJwIjoiZXhjZWwtamlyYSJ9" TargetMode="External"/><Relationship Id="rId57" Type="http://schemas.openxmlformats.org/officeDocument/2006/relationships/hyperlink" Target="https://sanes.atlassian.net/browse/ESPC360-16919?atlOrigin=eyJpIjoiMjBhNWIzMmFjMjdiNGE1YzhhZTE4YmM0ZjA0MDM4ZWYiLCJwIjoiZXhjZWwtamlyYSJ9" TargetMode="External"/><Relationship Id="rId106" Type="http://schemas.openxmlformats.org/officeDocument/2006/relationships/hyperlink" Target="https://sanes.atlassian.net/browse/ESPC360-18962?atlOrigin=eyJpIjoiMjBhNWIzMmFjMjdiNGE1YzhhZTE4YmM0ZjA0MDM4ZWYiLCJwIjoiZXhjZWwtamlyYSJ9" TargetMode="External"/><Relationship Id="rId127" Type="http://schemas.openxmlformats.org/officeDocument/2006/relationships/hyperlink" Target="https://sanes.atlassian.net/browse/ESPC360-19892?atlOrigin=eyJpIjoiMjBhNWIzMmFjMjdiNGE1YzhhZTE4YmM0ZjA0MDM4ZWYiLCJwIjoiZXhjZWwtamlyYSJ9" TargetMode="External"/><Relationship Id="rId10" Type="http://schemas.openxmlformats.org/officeDocument/2006/relationships/hyperlink" Target="https://sanes.atlassian.net/browse/ESPC360-13803?atlOrigin=eyJpIjoiMjBhNWIzMmFjMjdiNGE1YzhhZTE4YmM0ZjA0MDM4ZWYiLCJwIjoiZXhjZWwtamlyYSJ9" TargetMode="External"/><Relationship Id="rId31" Type="http://schemas.openxmlformats.org/officeDocument/2006/relationships/hyperlink" Target="https://sanes.atlassian.net/browse/ESPC360-15408?atlOrigin=eyJpIjoiMjBhNWIzMmFjMjdiNGE1YzhhZTE4YmM0ZjA0MDM4ZWYiLCJwIjoiZXhjZWwtamlyYSJ9" TargetMode="External"/><Relationship Id="rId52" Type="http://schemas.openxmlformats.org/officeDocument/2006/relationships/hyperlink" Target="https://sanes.atlassian.net/browse/ESPC360-16702?atlOrigin=eyJpIjoiMjBhNWIzMmFjMjdiNGE1YzhhZTE4YmM0ZjA0MDM4ZWYiLCJwIjoiZXhjZWwtamlyYSJ9" TargetMode="External"/><Relationship Id="rId73" Type="http://schemas.openxmlformats.org/officeDocument/2006/relationships/hyperlink" Target="https://sanes.atlassian.net/browse/ESPC360-17563?atlOrigin=eyJpIjoiMjBhNWIzMmFjMjdiNGE1YzhhZTE4YmM0ZjA0MDM4ZWYiLCJwIjoiZXhjZWwtamlyYSJ9" TargetMode="External"/><Relationship Id="rId78" Type="http://schemas.openxmlformats.org/officeDocument/2006/relationships/hyperlink" Target="https://sanes.atlassian.net/browse/ESPC360-17793?atlOrigin=eyJpIjoiMjBhNWIzMmFjMjdiNGE1YzhhZTE4YmM0ZjA0MDM4ZWYiLCJwIjoiZXhjZWwtamlyYSJ9" TargetMode="External"/><Relationship Id="rId94" Type="http://schemas.openxmlformats.org/officeDocument/2006/relationships/hyperlink" Target="https://sanes.atlassian.net/browse/ESPC360-18758?atlOrigin=eyJpIjoiMjBhNWIzMmFjMjdiNGE1YzhhZTE4YmM0ZjA0MDM4ZWYiLCJwIjoiZXhjZWwtamlyYSJ9" TargetMode="External"/><Relationship Id="rId99" Type="http://schemas.openxmlformats.org/officeDocument/2006/relationships/hyperlink" Target="https://sanes.atlassian.net/browse/ESPC360-18811?atlOrigin=eyJpIjoiMjBhNWIzMmFjMjdiNGE1YzhhZTE4YmM0ZjA0MDM4ZWYiLCJwIjoiZXhjZWwtamlyYSJ9" TargetMode="External"/><Relationship Id="rId101" Type="http://schemas.openxmlformats.org/officeDocument/2006/relationships/hyperlink" Target="https://sanes.atlassian.net/browse/ESPC360-18816?atlOrigin=eyJpIjoiMjBhNWIzMmFjMjdiNGE1YzhhZTE4YmM0ZjA0MDM4ZWYiLCJwIjoiZXhjZWwtamlyYSJ9" TargetMode="External"/><Relationship Id="rId122" Type="http://schemas.openxmlformats.org/officeDocument/2006/relationships/hyperlink" Target="https://sanes.atlassian.net/browse/ESPC360-19534?atlOrigin=eyJpIjoiMjBhNWIzMmFjMjdiNGE1YzhhZTE4YmM0ZjA0MDM4ZWYiLCJwIjoiZXhjZWwtamlyYSJ9" TargetMode="External"/><Relationship Id="rId143" Type="http://schemas.openxmlformats.org/officeDocument/2006/relationships/hyperlink" Target="https://sanes.atlassian.net/browse/ESPC360-20526?atlOrigin=eyJpIjoiMjBhNWIzMmFjMjdiNGE1YzhhZTE4YmM0ZjA0MDM4ZWYiLCJwIjoiZXhjZWwtamlyYSJ9" TargetMode="External"/><Relationship Id="rId148" Type="http://schemas.openxmlformats.org/officeDocument/2006/relationships/hyperlink" Target="https://sanes.atlassian.net/browse/ESPC360-20754?atlOrigin=eyJpIjoiMjBhNWIzMmFjMjdiNGE1YzhhZTE4YmM0ZjA0MDM4ZWYiLCJwIjoiZXhjZWwtamlyYSJ9" TargetMode="External"/><Relationship Id="rId4" Type="http://schemas.openxmlformats.org/officeDocument/2006/relationships/hyperlink" Target="https://sanes.atlassian.net/browse/ESPC360-13363?atlOrigin=eyJpIjoiMjBhNWIzMmFjMjdiNGE1YzhhZTE4YmM0ZjA0MDM4ZWYiLCJwIjoiZXhjZWwtamlyYSJ9" TargetMode="External"/><Relationship Id="rId9" Type="http://schemas.openxmlformats.org/officeDocument/2006/relationships/hyperlink" Target="https://sanes.atlassian.net/browse/ESPC360-13557?atlOrigin=eyJpIjoiMjBhNWIzMmFjMjdiNGE1YzhhZTE4YmM0ZjA0MDM4ZWYiLCJwIjoiZXhjZWwtamlyYSJ9" TargetMode="External"/><Relationship Id="rId26" Type="http://schemas.openxmlformats.org/officeDocument/2006/relationships/hyperlink" Target="https://sanes.atlassian.net/browse/ESPC360-14863?atlOrigin=eyJpIjoiMjBhNWIzMmFjMjdiNGE1YzhhZTE4YmM0ZjA0MDM4ZWYiLCJwIjoiZXhjZWwtamlyYSJ9" TargetMode="External"/><Relationship Id="rId47" Type="http://schemas.openxmlformats.org/officeDocument/2006/relationships/hyperlink" Target="https://sanes.atlassian.net/browse/ESPC360-16515?atlOrigin=eyJpIjoiMjBhNWIzMmFjMjdiNGE1YzhhZTE4YmM0ZjA0MDM4ZWYiLCJwIjoiZXhjZWwtamlyYSJ9" TargetMode="External"/><Relationship Id="rId68" Type="http://schemas.openxmlformats.org/officeDocument/2006/relationships/hyperlink" Target="https://sanes.atlassian.net/browse/ESPC360-17352?atlOrigin=eyJpIjoiMjBhNWIzMmFjMjdiNGE1YzhhZTE4YmM0ZjA0MDM4ZWYiLCJwIjoiZXhjZWwtamlyYSJ9" TargetMode="External"/><Relationship Id="rId89" Type="http://schemas.openxmlformats.org/officeDocument/2006/relationships/hyperlink" Target="https://sanes.atlassian.net/browse/ESPC360-18188?atlOrigin=eyJpIjoiMjBhNWIzMmFjMjdiNGE1YzhhZTE4YmM0ZjA0MDM4ZWYiLCJwIjoiZXhjZWwtamlyYSJ9" TargetMode="External"/><Relationship Id="rId112" Type="http://schemas.openxmlformats.org/officeDocument/2006/relationships/hyperlink" Target="https://sanes.atlassian.net/browse/ESPC360-19155?atlOrigin=eyJpIjoiMjBhNWIzMmFjMjdiNGE1YzhhZTE4YmM0ZjA0MDM4ZWYiLCJwIjoiZXhjZWwtamlyYSJ9" TargetMode="External"/><Relationship Id="rId133" Type="http://schemas.openxmlformats.org/officeDocument/2006/relationships/hyperlink" Target="https://sanes.atlassian.net/browse/ESPC360-20164?atlOrigin=eyJpIjoiMjBhNWIzMmFjMjdiNGE1YzhhZTE4YmM0ZjA0MDM4ZWYiLCJwIjoiZXhjZWwtamlyYSJ9" TargetMode="External"/><Relationship Id="rId154" Type="http://schemas.openxmlformats.org/officeDocument/2006/relationships/hyperlink" Target="https://sanes.atlassian.net/browse/ESPC360-20914?atlOrigin=eyJpIjoiMjBhNWIzMmFjMjdiNGE1YzhhZTE4YmM0ZjA0MDM4ZWYiLCJwIjoiZXhjZWwtamlyYSJ9" TargetMode="External"/><Relationship Id="rId16" Type="http://schemas.openxmlformats.org/officeDocument/2006/relationships/hyperlink" Target="https://sanes.atlassian.net/browse/ESPC360-14082?atlOrigin=eyJpIjoiMjBhNWIzMmFjMjdiNGE1YzhhZTE4YmM0ZjA0MDM4ZWYiLCJwIjoiZXhjZWwtamlyYSJ9" TargetMode="External"/><Relationship Id="rId37" Type="http://schemas.openxmlformats.org/officeDocument/2006/relationships/hyperlink" Target="https://sanes.atlassian.net/browse/ESPC360-16140?atlOrigin=eyJpIjoiMjBhNWIzMmFjMjdiNGE1YzhhZTE4YmM0ZjA0MDM4ZWYiLCJwIjoiZXhjZWwtamlyYSJ9" TargetMode="External"/><Relationship Id="rId58" Type="http://schemas.openxmlformats.org/officeDocument/2006/relationships/hyperlink" Target="https://sanes.atlassian.net/browse/ESPC360-16920?atlOrigin=eyJpIjoiMjBhNWIzMmFjMjdiNGE1YzhhZTE4YmM0ZjA0MDM4ZWYiLCJwIjoiZXhjZWwtamlyYSJ9" TargetMode="External"/><Relationship Id="rId79" Type="http://schemas.openxmlformats.org/officeDocument/2006/relationships/hyperlink" Target="https://sanes.atlassian.net/browse/ESPC360-17798?atlOrigin=eyJpIjoiMjBhNWIzMmFjMjdiNGE1YzhhZTE4YmM0ZjA0MDM4ZWYiLCJwIjoiZXhjZWwtamlyYSJ9" TargetMode="External"/><Relationship Id="rId102" Type="http://schemas.openxmlformats.org/officeDocument/2006/relationships/hyperlink" Target="https://sanes.atlassian.net/browse/ESPC360-18818?atlOrigin=eyJpIjoiMjBhNWIzMmFjMjdiNGE1YzhhZTE4YmM0ZjA0MDM4ZWYiLCJwIjoiZXhjZWwtamlyYSJ9" TargetMode="External"/><Relationship Id="rId123" Type="http://schemas.openxmlformats.org/officeDocument/2006/relationships/hyperlink" Target="https://sanes.atlassian.net/browse/ESPC360-19557?atlOrigin=eyJpIjoiMjBhNWIzMmFjMjdiNGE1YzhhZTE4YmM0ZjA0MDM4ZWYiLCJwIjoiZXhjZWwtamlyYSJ9" TargetMode="External"/><Relationship Id="rId144" Type="http://schemas.openxmlformats.org/officeDocument/2006/relationships/hyperlink" Target="https://sanes.atlassian.net/browse/ESPC360-20616?atlOrigin=eyJpIjoiMjBhNWIzMmFjMjdiNGE1YzhhZTE4YmM0ZjA0MDM4ZWYiLCJwIjoiZXhjZWwtamlyYSJ9" TargetMode="External"/><Relationship Id="rId90" Type="http://schemas.openxmlformats.org/officeDocument/2006/relationships/hyperlink" Target="https://sanes.atlassian.net/browse/ESPC360-18189?atlOrigin=eyJpIjoiMjBhNWIzMmFjMjdiNGE1YzhhZTE4YmM0ZjA0MDM4ZWYiLCJwIjoiZXhjZWwtamlyYSJ9" TargetMode="External"/><Relationship Id="rId27" Type="http://schemas.openxmlformats.org/officeDocument/2006/relationships/hyperlink" Target="https://sanes.atlassian.net/browse/ESPC360-14883?atlOrigin=eyJpIjoiMjBhNWIzMmFjMjdiNGE1YzhhZTE4YmM0ZjA0MDM4ZWYiLCJwIjoiZXhjZWwtamlyYSJ9" TargetMode="External"/><Relationship Id="rId48" Type="http://schemas.openxmlformats.org/officeDocument/2006/relationships/hyperlink" Target="https://sanes.atlassian.net/browse/ESPC360-16536?atlOrigin=eyJpIjoiMjBhNWIzMmFjMjdiNGE1YzhhZTE4YmM0ZjA0MDM4ZWYiLCJwIjoiZXhjZWwtamlyYSJ9" TargetMode="External"/><Relationship Id="rId69" Type="http://schemas.openxmlformats.org/officeDocument/2006/relationships/hyperlink" Target="https://sanes.atlassian.net/browse/ESPC360-17355?atlOrigin=eyJpIjoiMjBhNWIzMmFjMjdiNGE1YzhhZTE4YmM0ZjA0MDM4ZWYiLCJwIjoiZXhjZWwtamlyYSJ9" TargetMode="External"/><Relationship Id="rId113" Type="http://schemas.openxmlformats.org/officeDocument/2006/relationships/hyperlink" Target="https://sanes.atlassian.net/browse/ESPC360-19305?atlOrigin=eyJpIjoiMjBhNWIzMmFjMjdiNGE1YzhhZTE4YmM0ZjA0MDM4ZWYiLCJwIjoiZXhjZWwtamlyYSJ9" TargetMode="External"/><Relationship Id="rId134" Type="http://schemas.openxmlformats.org/officeDocument/2006/relationships/hyperlink" Target="https://sanes.atlassian.net/browse/ESPC360-20165?atlOrigin=eyJpIjoiMjBhNWIzMmFjMjdiNGE1YzhhZTE4YmM0ZjA0MDM4ZWYiLCJwIjoiZXhjZWwtamlyYSJ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7"/>
  <sheetViews>
    <sheetView workbookViewId="0">
      <selection activeCell="B2" sqref="B2"/>
    </sheetView>
  </sheetViews>
  <sheetFormatPr baseColWidth="10" defaultColWidth="9.140625" defaultRowHeight="12" x14ac:dyDescent="0.2"/>
  <cols>
    <col min="1" max="1" width="9.140625" style="1"/>
    <col min="2" max="2" width="68" style="1" customWidth="1"/>
    <col min="3" max="3" width="9.140625" style="1"/>
    <col min="4" max="5" width="16" style="1" customWidth="1"/>
    <col min="6" max="14" width="9.140625" style="1"/>
    <col min="15" max="16" width="13.5703125" style="1" bestFit="1" customWidth="1"/>
    <col min="17" max="17" width="12.85546875" style="1" customWidth="1"/>
    <col min="18" max="18" width="10.140625" style="1" bestFit="1" customWidth="1"/>
    <col min="19" max="19" width="9.140625" style="6"/>
    <col min="20" max="20" width="9.140625" style="1"/>
    <col min="21" max="21" width="9.140625" style="6"/>
    <col min="22" max="22" width="10.42578125" style="1" bestFit="1" customWidth="1"/>
    <col min="23" max="16384" width="9.140625" style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1182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35</v>
      </c>
      <c r="W1" s="5" t="s">
        <v>33</v>
      </c>
      <c r="X1" s="5" t="s">
        <v>34</v>
      </c>
      <c r="Y1" s="5" t="s">
        <v>970</v>
      </c>
      <c r="Z1" s="5" t="s">
        <v>971</v>
      </c>
    </row>
    <row r="2" spans="1:26" x14ac:dyDescent="0.2">
      <c r="A2" s="2" t="s">
        <v>50</v>
      </c>
      <c r="B2" s="1" t="s">
        <v>51</v>
      </c>
      <c r="C2" s="1" t="s">
        <v>13</v>
      </c>
      <c r="D2" s="3">
        <v>45327.650777453702</v>
      </c>
      <c r="E2" s="3">
        <v>45674.412472569442</v>
      </c>
      <c r="F2" s="1" t="s">
        <v>52</v>
      </c>
      <c r="G2" s="1" t="s">
        <v>53</v>
      </c>
      <c r="H2" s="1" t="s">
        <v>13</v>
      </c>
      <c r="I2" s="1" t="s">
        <v>18</v>
      </c>
      <c r="J2" s="1" t="s">
        <v>16</v>
      </c>
      <c r="K2" s="1" t="s">
        <v>17</v>
      </c>
      <c r="L2" s="1" t="s">
        <v>13</v>
      </c>
      <c r="M2" s="1" t="s">
        <v>1162</v>
      </c>
      <c r="N2" s="1" t="str">
        <f>G2</f>
        <v>TÉCNICO</v>
      </c>
      <c r="O2" s="3">
        <f>D2</f>
        <v>45327.650777453702</v>
      </c>
      <c r="P2" s="3">
        <f>E2</f>
        <v>45674.412472569442</v>
      </c>
      <c r="Q2" s="1" t="str">
        <f>IF(OR(N2="Soporte",N2="Definición",N2="Origen"),"Externo",
IF(OR(N2="Funcional",N2="Técnico",N2="Desarrollo",N2="Reproceso"),"Interno",
IF(OR(N2="",N2="Selecciona (SOPORTE/DEFINICIÓN/FUNCIONAL/TÉCNICO/DESARROLLO)"),"Pendiente clasificar","")))</f>
        <v>Interno</v>
      </c>
      <c r="R2" s="1">
        <f>WEEKNUM(O2,1)</f>
        <v>6</v>
      </c>
      <c r="S2" s="6">
        <f>DATE(W2,1,4) + (R2-1)*7 - WEEKDAY(DATE(W2,1,4),2) +1</f>
        <v>45327</v>
      </c>
      <c r="T2" s="1">
        <f>WEEKNUM(P2,1)</f>
        <v>3</v>
      </c>
      <c r="U2" s="6">
        <f>DATE(X2,1,4) + (T2-1)*7 - WEEKDAY(DATE(X2,1,4),2) +1</f>
        <v>45670</v>
      </c>
      <c r="V2" s="1">
        <f>ABS(P2-O2)</f>
        <v>346.76169511573971</v>
      </c>
      <c r="W2" s="1">
        <f>YEAR(O2)</f>
        <v>2024</v>
      </c>
      <c r="X2" s="1">
        <f>YEAR(P2)</f>
        <v>2025</v>
      </c>
      <c r="Y2" s="1" t="str">
        <f>(TEXT(S2,"aaaa-mm"))</f>
        <v>2024-02</v>
      </c>
      <c r="Z2" s="1" t="str">
        <f>(TEXT(U2,"aaaa-mm"))</f>
        <v>2025-01</v>
      </c>
    </row>
    <row r="3" spans="1:26" x14ac:dyDescent="0.2">
      <c r="A3" s="2" t="s">
        <v>54</v>
      </c>
      <c r="B3" s="1" t="s">
        <v>55</v>
      </c>
      <c r="C3" s="1" t="s">
        <v>13</v>
      </c>
      <c r="D3" s="3">
        <v>45341.718486967591</v>
      </c>
      <c r="E3" s="3">
        <v>45838.432694270836</v>
      </c>
      <c r="F3" s="1" t="s">
        <v>52</v>
      </c>
      <c r="G3" s="1" t="s">
        <v>53</v>
      </c>
      <c r="H3" s="1" t="s">
        <v>13</v>
      </c>
      <c r="I3" s="1" t="s">
        <v>18</v>
      </c>
      <c r="J3" s="1" t="s">
        <v>16</v>
      </c>
      <c r="K3" s="1" t="s">
        <v>17</v>
      </c>
      <c r="L3" s="1" t="s">
        <v>13</v>
      </c>
      <c r="M3" s="1" t="s">
        <v>1163</v>
      </c>
      <c r="N3" s="1" t="str">
        <f t="shared" ref="N3:N66" si="0">G3</f>
        <v>TÉCNICO</v>
      </c>
      <c r="O3" s="3">
        <f t="shared" ref="O3:O66" si="1">D3</f>
        <v>45341.718486967591</v>
      </c>
      <c r="P3" s="3">
        <f t="shared" ref="P3:P66" si="2">E3</f>
        <v>45838.432694270836</v>
      </c>
      <c r="Q3" s="1" t="str">
        <f t="shared" ref="Q3:Q66" si="3">IF(OR(N3="Soporte",N3="Definición",N3="Origen"),"Externo",
IF(OR(N3="Funcional",N3="Técnico",N3="Desarrollo",N3="Reproceso"),"Interno",
IF(OR(N3="",N3="Selecciona (SOPORTE/DEFINICIÓN/FUNCIONAL/TÉCNICO/DESARROLLO)"),"Pendiente clasificar","")))</f>
        <v>Interno</v>
      </c>
      <c r="R3" s="1">
        <f t="shared" ref="R3:R66" si="4">WEEKNUM(O3,1)</f>
        <v>8</v>
      </c>
      <c r="S3" s="6">
        <f t="shared" ref="S3:S66" si="5">DATE(W3,1,4) + (R3-1)*7 - WEEKDAY(DATE(W3,1,4),2) +1</f>
        <v>45341</v>
      </c>
      <c r="T3" s="1">
        <f t="shared" ref="T3:T66" si="6">WEEKNUM(P3,1)</f>
        <v>27</v>
      </c>
      <c r="U3" s="6">
        <f t="shared" ref="U3:U66" si="7">DATE(X3,1,4) + (T3-1)*7 - WEEKDAY(DATE(X3,1,4),2) +1</f>
        <v>45838</v>
      </c>
      <c r="V3" s="1">
        <f t="shared" ref="V3:V66" si="8">ABS(P3-O3)</f>
        <v>496.71420730324462</v>
      </c>
      <c r="W3" s="1">
        <f t="shared" ref="W3:W66" si="9">YEAR(O3)</f>
        <v>2024</v>
      </c>
      <c r="X3" s="1">
        <f t="shared" ref="X3:X66" si="10">YEAR(P3)</f>
        <v>2025</v>
      </c>
      <c r="Y3" s="1" t="str">
        <f t="shared" ref="Y3:Y66" si="11">(TEXT(S3,"aaaa-mm"))</f>
        <v>2024-02</v>
      </c>
      <c r="Z3" s="1" t="str">
        <f t="shared" ref="Z3:Z66" si="12">(TEXT(U3,"aaaa-mm"))</f>
        <v>2025-06</v>
      </c>
    </row>
    <row r="4" spans="1:26" x14ac:dyDescent="0.2">
      <c r="A4" s="2" t="s">
        <v>56</v>
      </c>
      <c r="B4" s="1" t="s">
        <v>57</v>
      </c>
      <c r="C4" s="1" t="s">
        <v>58</v>
      </c>
      <c r="D4" s="3">
        <v>45359.330176828706</v>
      </c>
      <c r="E4" s="3">
        <v>45679.384844085645</v>
      </c>
      <c r="F4" s="1" t="s">
        <v>52</v>
      </c>
      <c r="G4" s="1" t="s">
        <v>12</v>
      </c>
      <c r="H4" s="1" t="s">
        <v>13</v>
      </c>
      <c r="I4" s="1" t="s">
        <v>59</v>
      </c>
      <c r="J4" s="1" t="s">
        <v>16</v>
      </c>
      <c r="K4" s="1" t="s">
        <v>15</v>
      </c>
      <c r="L4" s="1" t="s">
        <v>60</v>
      </c>
      <c r="M4" s="1" t="s">
        <v>13</v>
      </c>
      <c r="N4" s="1" t="str">
        <f t="shared" si="0"/>
        <v>DESARROLLO</v>
      </c>
      <c r="O4" s="3">
        <f t="shared" si="1"/>
        <v>45359.330176828706</v>
      </c>
      <c r="P4" s="3">
        <f t="shared" si="2"/>
        <v>45679.384844085645</v>
      </c>
      <c r="Q4" s="1" t="str">
        <f t="shared" si="3"/>
        <v>Interno</v>
      </c>
      <c r="R4" s="1">
        <f t="shared" si="4"/>
        <v>10</v>
      </c>
      <c r="S4" s="6">
        <f t="shared" si="5"/>
        <v>45355</v>
      </c>
      <c r="T4" s="1">
        <f t="shared" si="6"/>
        <v>4</v>
      </c>
      <c r="U4" s="6">
        <f t="shared" si="7"/>
        <v>45677</v>
      </c>
      <c r="V4" s="1">
        <f t="shared" si="8"/>
        <v>320.05466725693987</v>
      </c>
      <c r="W4" s="1">
        <f t="shared" si="9"/>
        <v>2024</v>
      </c>
      <c r="X4" s="1">
        <f t="shared" si="10"/>
        <v>2025</v>
      </c>
      <c r="Y4" s="1" t="str">
        <f t="shared" si="11"/>
        <v>2024-03</v>
      </c>
      <c r="Z4" s="1" t="str">
        <f t="shared" si="12"/>
        <v>2025-01</v>
      </c>
    </row>
    <row r="5" spans="1:26" x14ac:dyDescent="0.2">
      <c r="A5" s="2" t="s">
        <v>61</v>
      </c>
      <c r="B5" s="1" t="s">
        <v>62</v>
      </c>
      <c r="C5" s="1" t="s">
        <v>13</v>
      </c>
      <c r="D5" s="3">
        <v>45394.601954467595</v>
      </c>
      <c r="E5" s="3">
        <v>45673.415031261575</v>
      </c>
      <c r="F5" s="1" t="s">
        <v>52</v>
      </c>
      <c r="G5" s="1" t="s">
        <v>53</v>
      </c>
      <c r="H5" s="1" t="s">
        <v>13</v>
      </c>
      <c r="I5" s="1" t="s">
        <v>13</v>
      </c>
      <c r="J5" s="1" t="s">
        <v>16</v>
      </c>
      <c r="K5" s="1" t="s">
        <v>15</v>
      </c>
      <c r="L5" s="1" t="s">
        <v>13</v>
      </c>
      <c r="M5" s="1" t="s">
        <v>13</v>
      </c>
      <c r="N5" s="1" t="str">
        <f t="shared" si="0"/>
        <v>TÉCNICO</v>
      </c>
      <c r="O5" s="3">
        <f t="shared" si="1"/>
        <v>45394.601954467595</v>
      </c>
      <c r="P5" s="3">
        <f t="shared" si="2"/>
        <v>45673.415031261575</v>
      </c>
      <c r="Q5" s="1" t="str">
        <f t="shared" si="3"/>
        <v>Interno</v>
      </c>
      <c r="R5" s="1">
        <f t="shared" si="4"/>
        <v>15</v>
      </c>
      <c r="S5" s="6">
        <f t="shared" si="5"/>
        <v>45390</v>
      </c>
      <c r="T5" s="1">
        <f t="shared" si="6"/>
        <v>3</v>
      </c>
      <c r="U5" s="6">
        <f t="shared" si="7"/>
        <v>45670</v>
      </c>
      <c r="V5" s="1">
        <f t="shared" si="8"/>
        <v>278.81307679398014</v>
      </c>
      <c r="W5" s="1">
        <f t="shared" si="9"/>
        <v>2024</v>
      </c>
      <c r="X5" s="1">
        <f t="shared" si="10"/>
        <v>2025</v>
      </c>
      <c r="Y5" s="1" t="str">
        <f t="shared" si="11"/>
        <v>2024-04</v>
      </c>
      <c r="Z5" s="1" t="str">
        <f t="shared" si="12"/>
        <v>2025-01</v>
      </c>
    </row>
    <row r="6" spans="1:26" x14ac:dyDescent="0.2">
      <c r="A6" s="2" t="s">
        <v>63</v>
      </c>
      <c r="B6" s="1" t="s">
        <v>64</v>
      </c>
      <c r="C6" s="1" t="s">
        <v>13</v>
      </c>
      <c r="D6" s="3">
        <v>45405.689109189814</v>
      </c>
      <c r="E6" s="3">
        <v>45688.551070706017</v>
      </c>
      <c r="F6" s="1" t="s">
        <v>52</v>
      </c>
      <c r="G6" s="1" t="s">
        <v>53</v>
      </c>
      <c r="H6" s="1" t="s">
        <v>13</v>
      </c>
      <c r="I6" s="1" t="s">
        <v>18</v>
      </c>
      <c r="J6" s="1" t="s">
        <v>16</v>
      </c>
      <c r="K6" s="1" t="s">
        <v>17</v>
      </c>
      <c r="L6" s="1" t="s">
        <v>65</v>
      </c>
      <c r="M6" s="1" t="s">
        <v>13</v>
      </c>
      <c r="N6" s="1" t="str">
        <f t="shared" si="0"/>
        <v>TÉCNICO</v>
      </c>
      <c r="O6" s="3">
        <f t="shared" si="1"/>
        <v>45405.689109189814</v>
      </c>
      <c r="P6" s="3">
        <f t="shared" si="2"/>
        <v>45688.551070706017</v>
      </c>
      <c r="Q6" s="1" t="str">
        <f t="shared" si="3"/>
        <v>Interno</v>
      </c>
      <c r="R6" s="1">
        <f t="shared" si="4"/>
        <v>17</v>
      </c>
      <c r="S6" s="6">
        <f t="shared" si="5"/>
        <v>45404</v>
      </c>
      <c r="T6" s="1">
        <f t="shared" si="6"/>
        <v>5</v>
      </c>
      <c r="U6" s="6">
        <f t="shared" si="7"/>
        <v>45684</v>
      </c>
      <c r="V6" s="1">
        <f t="shared" si="8"/>
        <v>282.86196151620243</v>
      </c>
      <c r="W6" s="1">
        <f t="shared" si="9"/>
        <v>2024</v>
      </c>
      <c r="X6" s="1">
        <f t="shared" si="10"/>
        <v>2025</v>
      </c>
      <c r="Y6" s="1" t="str">
        <f t="shared" si="11"/>
        <v>2024-04</v>
      </c>
      <c r="Z6" s="1" t="str">
        <f t="shared" si="12"/>
        <v>2025-01</v>
      </c>
    </row>
    <row r="7" spans="1:26" x14ac:dyDescent="0.2">
      <c r="A7" s="2" t="s">
        <v>66</v>
      </c>
      <c r="B7" s="1" t="s">
        <v>67</v>
      </c>
      <c r="C7" s="1" t="s">
        <v>13</v>
      </c>
      <c r="D7" s="3">
        <v>45440.43638684028</v>
      </c>
      <c r="E7" s="3">
        <v>45674.450750000004</v>
      </c>
      <c r="F7" s="1" t="s">
        <v>52</v>
      </c>
      <c r="G7" s="1" t="s">
        <v>12</v>
      </c>
      <c r="H7" s="1" t="s">
        <v>13</v>
      </c>
      <c r="I7" s="1" t="s">
        <v>18</v>
      </c>
      <c r="J7" s="1" t="s">
        <v>16</v>
      </c>
      <c r="K7" s="1" t="s">
        <v>15</v>
      </c>
      <c r="L7" s="1" t="s">
        <v>13</v>
      </c>
      <c r="M7" s="1" t="s">
        <v>1164</v>
      </c>
      <c r="N7" s="1" t="str">
        <f t="shared" si="0"/>
        <v>DESARROLLO</v>
      </c>
      <c r="O7" s="3">
        <f t="shared" si="1"/>
        <v>45440.43638684028</v>
      </c>
      <c r="P7" s="3">
        <f t="shared" si="2"/>
        <v>45674.450750000004</v>
      </c>
      <c r="Q7" s="1" t="str">
        <f t="shared" si="3"/>
        <v>Interno</v>
      </c>
      <c r="R7" s="1">
        <f t="shared" si="4"/>
        <v>22</v>
      </c>
      <c r="S7" s="6">
        <f t="shared" si="5"/>
        <v>45439</v>
      </c>
      <c r="T7" s="1">
        <f t="shared" si="6"/>
        <v>3</v>
      </c>
      <c r="U7" s="6">
        <f t="shared" si="7"/>
        <v>45670</v>
      </c>
      <c r="V7" s="1">
        <f t="shared" si="8"/>
        <v>234.01436315972387</v>
      </c>
      <c r="W7" s="1">
        <f t="shared" si="9"/>
        <v>2024</v>
      </c>
      <c r="X7" s="1">
        <f t="shared" si="10"/>
        <v>2025</v>
      </c>
      <c r="Y7" s="1" t="str">
        <f t="shared" si="11"/>
        <v>2024-05</v>
      </c>
      <c r="Z7" s="1" t="str">
        <f t="shared" si="12"/>
        <v>2025-01</v>
      </c>
    </row>
    <row r="8" spans="1:26" x14ac:dyDescent="0.2">
      <c r="A8" s="2" t="s">
        <v>68</v>
      </c>
      <c r="B8" s="1" t="s">
        <v>69</v>
      </c>
      <c r="C8" s="1" t="s">
        <v>70</v>
      </c>
      <c r="D8" s="3">
        <v>45526.532378101852</v>
      </c>
      <c r="E8" s="3">
        <v>45664.66770539352</v>
      </c>
      <c r="F8" s="1" t="s">
        <v>52</v>
      </c>
      <c r="G8" s="1" t="s">
        <v>21</v>
      </c>
      <c r="H8" s="1" t="s">
        <v>13</v>
      </c>
      <c r="I8" s="1" t="s">
        <v>13</v>
      </c>
      <c r="J8" s="1" t="s">
        <v>16</v>
      </c>
      <c r="K8" s="1" t="s">
        <v>17</v>
      </c>
      <c r="L8" s="1" t="s">
        <v>13</v>
      </c>
      <c r="M8" s="1" t="s">
        <v>1163</v>
      </c>
      <c r="N8" s="1" t="str">
        <f t="shared" si="0"/>
        <v>SOPORTE</v>
      </c>
      <c r="O8" s="3">
        <f t="shared" si="1"/>
        <v>45526.532378101852</v>
      </c>
      <c r="P8" s="3">
        <f t="shared" si="2"/>
        <v>45664.66770539352</v>
      </c>
      <c r="Q8" s="1" t="str">
        <f t="shared" si="3"/>
        <v>Externo</v>
      </c>
      <c r="R8" s="1">
        <f t="shared" si="4"/>
        <v>34</v>
      </c>
      <c r="S8" s="6">
        <f t="shared" si="5"/>
        <v>45523</v>
      </c>
      <c r="T8" s="1">
        <f t="shared" si="6"/>
        <v>2</v>
      </c>
      <c r="U8" s="6">
        <f t="shared" si="7"/>
        <v>45663</v>
      </c>
      <c r="V8" s="1">
        <f t="shared" si="8"/>
        <v>138.13532729166764</v>
      </c>
      <c r="W8" s="1">
        <f t="shared" si="9"/>
        <v>2024</v>
      </c>
      <c r="X8" s="1">
        <f t="shared" si="10"/>
        <v>2025</v>
      </c>
      <c r="Y8" s="1" t="str">
        <f t="shared" si="11"/>
        <v>2024-08</v>
      </c>
      <c r="Z8" s="1" t="str">
        <f t="shared" si="12"/>
        <v>2025-01</v>
      </c>
    </row>
    <row r="9" spans="1:26" x14ac:dyDescent="0.2">
      <c r="A9" s="2" t="s">
        <v>71</v>
      </c>
      <c r="B9" s="1" t="s">
        <v>72</v>
      </c>
      <c r="C9" s="1" t="s">
        <v>58</v>
      </c>
      <c r="D9" s="3">
        <v>45554.016881076386</v>
      </c>
      <c r="E9" s="3">
        <v>45679.384844050925</v>
      </c>
      <c r="F9" s="1" t="s">
        <v>52</v>
      </c>
      <c r="G9" s="1" t="s">
        <v>12</v>
      </c>
      <c r="H9" s="1" t="s">
        <v>13</v>
      </c>
      <c r="I9" s="1" t="s">
        <v>59</v>
      </c>
      <c r="J9" s="1" t="s">
        <v>16</v>
      </c>
      <c r="K9" s="1" t="s">
        <v>15</v>
      </c>
      <c r="L9" s="1" t="s">
        <v>73</v>
      </c>
      <c r="M9" s="1" t="s">
        <v>13</v>
      </c>
      <c r="N9" s="1" t="str">
        <f t="shared" si="0"/>
        <v>DESARROLLO</v>
      </c>
      <c r="O9" s="3">
        <f t="shared" si="1"/>
        <v>45554.016881076386</v>
      </c>
      <c r="P9" s="3">
        <f t="shared" si="2"/>
        <v>45679.384844050925</v>
      </c>
      <c r="Q9" s="1" t="str">
        <f t="shared" si="3"/>
        <v>Interno</v>
      </c>
      <c r="R9" s="1">
        <f t="shared" si="4"/>
        <v>38</v>
      </c>
      <c r="S9" s="6">
        <f t="shared" si="5"/>
        <v>45551</v>
      </c>
      <c r="T9" s="1">
        <f t="shared" si="6"/>
        <v>4</v>
      </c>
      <c r="U9" s="6">
        <f t="shared" si="7"/>
        <v>45677</v>
      </c>
      <c r="V9" s="1">
        <f t="shared" si="8"/>
        <v>125.36796297453839</v>
      </c>
      <c r="W9" s="1">
        <f t="shared" si="9"/>
        <v>2024</v>
      </c>
      <c r="X9" s="1">
        <f t="shared" si="10"/>
        <v>2025</v>
      </c>
      <c r="Y9" s="1" t="str">
        <f t="shared" si="11"/>
        <v>2024-09</v>
      </c>
      <c r="Z9" s="1" t="str">
        <f t="shared" si="12"/>
        <v>2025-01</v>
      </c>
    </row>
    <row r="10" spans="1:26" x14ac:dyDescent="0.2">
      <c r="A10" s="2" t="s">
        <v>74</v>
      </c>
      <c r="B10" s="1" t="s">
        <v>75</v>
      </c>
      <c r="C10" s="1" t="s">
        <v>13</v>
      </c>
      <c r="D10" s="3">
        <v>45554.513031921299</v>
      </c>
      <c r="E10" s="3">
        <v>45827.387504618055</v>
      </c>
      <c r="F10" s="1" t="s">
        <v>52</v>
      </c>
      <c r="G10" s="1" t="s">
        <v>53</v>
      </c>
      <c r="H10" s="1" t="s">
        <v>13</v>
      </c>
      <c r="I10" s="1" t="s">
        <v>13</v>
      </c>
      <c r="J10" s="1" t="s">
        <v>16</v>
      </c>
      <c r="K10" s="1" t="s">
        <v>15</v>
      </c>
      <c r="L10" s="1" t="s">
        <v>13</v>
      </c>
      <c r="M10" s="1" t="s">
        <v>1163</v>
      </c>
      <c r="N10" s="1" t="str">
        <f t="shared" si="0"/>
        <v>TÉCNICO</v>
      </c>
      <c r="O10" s="3">
        <f t="shared" si="1"/>
        <v>45554.513031921299</v>
      </c>
      <c r="P10" s="3">
        <f t="shared" si="2"/>
        <v>45827.387504618055</v>
      </c>
      <c r="Q10" s="1" t="str">
        <f t="shared" si="3"/>
        <v>Interno</v>
      </c>
      <c r="R10" s="1">
        <f t="shared" si="4"/>
        <v>38</v>
      </c>
      <c r="S10" s="6">
        <f t="shared" si="5"/>
        <v>45551</v>
      </c>
      <c r="T10" s="1">
        <f t="shared" si="6"/>
        <v>25</v>
      </c>
      <c r="U10" s="6">
        <f t="shared" si="7"/>
        <v>45824</v>
      </c>
      <c r="V10" s="1">
        <f t="shared" si="8"/>
        <v>272.87447269675613</v>
      </c>
      <c r="W10" s="1">
        <f t="shared" si="9"/>
        <v>2024</v>
      </c>
      <c r="X10" s="1">
        <f t="shared" si="10"/>
        <v>2025</v>
      </c>
      <c r="Y10" s="1" t="str">
        <f t="shared" si="11"/>
        <v>2024-09</v>
      </c>
      <c r="Z10" s="1" t="str">
        <f t="shared" si="12"/>
        <v>2025-06</v>
      </c>
    </row>
    <row r="11" spans="1:26" x14ac:dyDescent="0.2">
      <c r="A11" s="2" t="s">
        <v>76</v>
      </c>
      <c r="B11" s="1" t="s">
        <v>77</v>
      </c>
      <c r="C11" s="1" t="s">
        <v>78</v>
      </c>
      <c r="D11" s="3">
        <v>45561.629962349536</v>
      </c>
      <c r="E11" s="3">
        <v>45673.421060972221</v>
      </c>
      <c r="F11" s="1" t="s">
        <v>52</v>
      </c>
      <c r="G11" s="1" t="s">
        <v>21</v>
      </c>
      <c r="H11" s="1" t="s">
        <v>13</v>
      </c>
      <c r="I11" s="1" t="s">
        <v>18</v>
      </c>
      <c r="J11" s="1" t="s">
        <v>16</v>
      </c>
      <c r="K11" s="1" t="s">
        <v>15</v>
      </c>
      <c r="L11" s="1" t="s">
        <v>13</v>
      </c>
      <c r="M11" s="1" t="s">
        <v>1163</v>
      </c>
      <c r="N11" s="1" t="str">
        <f t="shared" si="0"/>
        <v>SOPORTE</v>
      </c>
      <c r="O11" s="3">
        <f t="shared" si="1"/>
        <v>45561.629962349536</v>
      </c>
      <c r="P11" s="3">
        <f t="shared" si="2"/>
        <v>45673.421060972221</v>
      </c>
      <c r="Q11" s="1" t="str">
        <f t="shared" si="3"/>
        <v>Externo</v>
      </c>
      <c r="R11" s="1">
        <f t="shared" si="4"/>
        <v>39</v>
      </c>
      <c r="S11" s="6">
        <f t="shared" si="5"/>
        <v>45558</v>
      </c>
      <c r="T11" s="1">
        <f t="shared" si="6"/>
        <v>3</v>
      </c>
      <c r="U11" s="6">
        <f t="shared" si="7"/>
        <v>45670</v>
      </c>
      <c r="V11" s="1">
        <f t="shared" si="8"/>
        <v>111.79109862268524</v>
      </c>
      <c r="W11" s="1">
        <f t="shared" si="9"/>
        <v>2024</v>
      </c>
      <c r="X11" s="1">
        <f t="shared" si="10"/>
        <v>2025</v>
      </c>
      <c r="Y11" s="1" t="str">
        <f t="shared" si="11"/>
        <v>2024-09</v>
      </c>
      <c r="Z11" s="1" t="str">
        <f t="shared" si="12"/>
        <v>2025-01</v>
      </c>
    </row>
    <row r="12" spans="1:26" x14ac:dyDescent="0.2">
      <c r="A12" s="2" t="s">
        <v>79</v>
      </c>
      <c r="B12" s="1" t="s">
        <v>80</v>
      </c>
      <c r="C12" s="1" t="s">
        <v>13</v>
      </c>
      <c r="D12" s="3">
        <v>45581.637064930554</v>
      </c>
      <c r="E12" s="3">
        <v>45686.56951966435</v>
      </c>
      <c r="F12" s="1" t="s">
        <v>52</v>
      </c>
      <c r="G12" s="1" t="s">
        <v>12</v>
      </c>
      <c r="H12" s="1" t="s">
        <v>13</v>
      </c>
      <c r="I12" s="1" t="s">
        <v>18</v>
      </c>
      <c r="J12" s="1" t="s">
        <v>16</v>
      </c>
      <c r="K12" s="1" t="s">
        <v>15</v>
      </c>
      <c r="L12" s="1" t="s">
        <v>13</v>
      </c>
      <c r="M12" s="1" t="s">
        <v>13</v>
      </c>
      <c r="N12" s="1" t="str">
        <f t="shared" si="0"/>
        <v>DESARROLLO</v>
      </c>
      <c r="O12" s="3">
        <f t="shared" si="1"/>
        <v>45581.637064930554</v>
      </c>
      <c r="P12" s="3">
        <f t="shared" si="2"/>
        <v>45686.56951966435</v>
      </c>
      <c r="Q12" s="1" t="str">
        <f t="shared" si="3"/>
        <v>Interno</v>
      </c>
      <c r="R12" s="1">
        <f t="shared" si="4"/>
        <v>42</v>
      </c>
      <c r="S12" s="6">
        <f t="shared" si="5"/>
        <v>45579</v>
      </c>
      <c r="T12" s="1">
        <f t="shared" si="6"/>
        <v>5</v>
      </c>
      <c r="U12" s="6">
        <f t="shared" si="7"/>
        <v>45684</v>
      </c>
      <c r="V12" s="1">
        <f t="shared" si="8"/>
        <v>104.93245473379648</v>
      </c>
      <c r="W12" s="1">
        <f t="shared" si="9"/>
        <v>2024</v>
      </c>
      <c r="X12" s="1">
        <f t="shared" si="10"/>
        <v>2025</v>
      </c>
      <c r="Y12" s="1" t="str">
        <f t="shared" si="11"/>
        <v>2024-10</v>
      </c>
      <c r="Z12" s="1" t="str">
        <f t="shared" si="12"/>
        <v>2025-01</v>
      </c>
    </row>
    <row r="13" spans="1:26" x14ac:dyDescent="0.2">
      <c r="A13" s="2" t="s">
        <v>81</v>
      </c>
      <c r="B13" s="1" t="s">
        <v>82</v>
      </c>
      <c r="C13" s="1" t="s">
        <v>83</v>
      </c>
      <c r="D13" s="3">
        <v>45602.911808020835</v>
      </c>
      <c r="E13" s="3">
        <v>45674.377054988428</v>
      </c>
      <c r="F13" s="1" t="s">
        <v>52</v>
      </c>
      <c r="G13" s="1" t="s">
        <v>12</v>
      </c>
      <c r="H13" s="1" t="s">
        <v>13</v>
      </c>
      <c r="I13" s="1" t="s">
        <v>59</v>
      </c>
      <c r="J13" s="1" t="s">
        <v>16</v>
      </c>
      <c r="K13" s="1" t="s">
        <v>15</v>
      </c>
      <c r="L13" s="1" t="s">
        <v>84</v>
      </c>
      <c r="M13" s="1" t="s">
        <v>13</v>
      </c>
      <c r="N13" s="1" t="str">
        <f t="shared" si="0"/>
        <v>DESARROLLO</v>
      </c>
      <c r="O13" s="3">
        <f t="shared" si="1"/>
        <v>45602.911808020835</v>
      </c>
      <c r="P13" s="3">
        <f t="shared" si="2"/>
        <v>45674.377054988428</v>
      </c>
      <c r="Q13" s="1" t="str">
        <f t="shared" si="3"/>
        <v>Interno</v>
      </c>
      <c r="R13" s="1">
        <f t="shared" si="4"/>
        <v>45</v>
      </c>
      <c r="S13" s="6">
        <f t="shared" si="5"/>
        <v>45600</v>
      </c>
      <c r="T13" s="1">
        <f t="shared" si="6"/>
        <v>3</v>
      </c>
      <c r="U13" s="6">
        <f t="shared" si="7"/>
        <v>45670</v>
      </c>
      <c r="V13" s="1">
        <f t="shared" si="8"/>
        <v>71.465246967592975</v>
      </c>
      <c r="W13" s="1">
        <f t="shared" si="9"/>
        <v>2024</v>
      </c>
      <c r="X13" s="1">
        <f t="shared" si="10"/>
        <v>2025</v>
      </c>
      <c r="Y13" s="1" t="str">
        <f t="shared" si="11"/>
        <v>2024-11</v>
      </c>
      <c r="Z13" s="1" t="str">
        <f t="shared" si="12"/>
        <v>2025-01</v>
      </c>
    </row>
    <row r="14" spans="1:26" x14ac:dyDescent="0.2">
      <c r="A14" s="2" t="s">
        <v>85</v>
      </c>
      <c r="B14" s="1" t="s">
        <v>86</v>
      </c>
      <c r="C14" s="1" t="s">
        <v>13</v>
      </c>
      <c r="D14" s="3">
        <v>45616.477282557869</v>
      </c>
      <c r="E14" s="3">
        <v>45674.377056180558</v>
      </c>
      <c r="F14" s="1" t="s">
        <v>52</v>
      </c>
      <c r="G14" s="1" t="s">
        <v>53</v>
      </c>
      <c r="H14" s="1" t="s">
        <v>13</v>
      </c>
      <c r="I14" s="1" t="s">
        <v>59</v>
      </c>
      <c r="J14" s="1" t="s">
        <v>14</v>
      </c>
      <c r="K14" s="1" t="s">
        <v>15</v>
      </c>
      <c r="L14" s="1" t="s">
        <v>87</v>
      </c>
      <c r="M14" s="1" t="s">
        <v>13</v>
      </c>
      <c r="N14" s="1" t="str">
        <f t="shared" si="0"/>
        <v>TÉCNICO</v>
      </c>
      <c r="O14" s="3">
        <f t="shared" si="1"/>
        <v>45616.477282557869</v>
      </c>
      <c r="P14" s="3">
        <f t="shared" si="2"/>
        <v>45674.377056180558</v>
      </c>
      <c r="Q14" s="1" t="str">
        <f t="shared" si="3"/>
        <v>Interno</v>
      </c>
      <c r="R14" s="1">
        <f t="shared" si="4"/>
        <v>47</v>
      </c>
      <c r="S14" s="6">
        <f t="shared" si="5"/>
        <v>45614</v>
      </c>
      <c r="T14" s="1">
        <f t="shared" si="6"/>
        <v>3</v>
      </c>
      <c r="U14" s="6">
        <f t="shared" si="7"/>
        <v>45670</v>
      </c>
      <c r="V14" s="1">
        <f t="shared" si="8"/>
        <v>57.899773622688372</v>
      </c>
      <c r="W14" s="1">
        <f t="shared" si="9"/>
        <v>2024</v>
      </c>
      <c r="X14" s="1">
        <f t="shared" si="10"/>
        <v>2025</v>
      </c>
      <c r="Y14" s="1" t="str">
        <f t="shared" si="11"/>
        <v>2024-11</v>
      </c>
      <c r="Z14" s="1" t="str">
        <f t="shared" si="12"/>
        <v>2025-01</v>
      </c>
    </row>
    <row r="15" spans="1:26" x14ac:dyDescent="0.2">
      <c r="A15" s="2" t="s">
        <v>88</v>
      </c>
      <c r="B15" s="1" t="s">
        <v>89</v>
      </c>
      <c r="C15" s="1" t="s">
        <v>58</v>
      </c>
      <c r="D15" s="3">
        <v>45621.736921053242</v>
      </c>
      <c r="E15" s="3">
        <v>45687.434675324075</v>
      </c>
      <c r="F15" s="1" t="s">
        <v>52</v>
      </c>
      <c r="G15" s="1" t="s">
        <v>12</v>
      </c>
      <c r="H15" s="1" t="s">
        <v>13</v>
      </c>
      <c r="I15" s="1" t="s">
        <v>18</v>
      </c>
      <c r="J15" s="1" t="s">
        <v>16</v>
      </c>
      <c r="K15" s="1" t="s">
        <v>15</v>
      </c>
      <c r="L15" s="1" t="s">
        <v>13</v>
      </c>
      <c r="M15" s="1" t="s">
        <v>1163</v>
      </c>
      <c r="N15" s="1" t="str">
        <f t="shared" si="0"/>
        <v>DESARROLLO</v>
      </c>
      <c r="O15" s="3">
        <f t="shared" si="1"/>
        <v>45621.736921053242</v>
      </c>
      <c r="P15" s="3">
        <f t="shared" si="2"/>
        <v>45687.434675324075</v>
      </c>
      <c r="Q15" s="1" t="str">
        <f t="shared" si="3"/>
        <v>Interno</v>
      </c>
      <c r="R15" s="1">
        <f t="shared" si="4"/>
        <v>48</v>
      </c>
      <c r="S15" s="6">
        <f t="shared" si="5"/>
        <v>45621</v>
      </c>
      <c r="T15" s="1">
        <f t="shared" si="6"/>
        <v>5</v>
      </c>
      <c r="U15" s="6">
        <f t="shared" si="7"/>
        <v>45684</v>
      </c>
      <c r="V15" s="1">
        <f t="shared" si="8"/>
        <v>65.697754270833684</v>
      </c>
      <c r="W15" s="1">
        <f t="shared" si="9"/>
        <v>2024</v>
      </c>
      <c r="X15" s="1">
        <f t="shared" si="10"/>
        <v>2025</v>
      </c>
      <c r="Y15" s="1" t="str">
        <f t="shared" si="11"/>
        <v>2024-11</v>
      </c>
      <c r="Z15" s="1" t="str">
        <f t="shared" si="12"/>
        <v>2025-01</v>
      </c>
    </row>
    <row r="16" spans="1:26" x14ac:dyDescent="0.2">
      <c r="A16" s="2" t="s">
        <v>90</v>
      </c>
      <c r="B16" s="1" t="s">
        <v>91</v>
      </c>
      <c r="C16" s="1" t="s">
        <v>13</v>
      </c>
      <c r="D16" s="3">
        <v>45624.401826747686</v>
      </c>
      <c r="E16" s="3">
        <v>45665.434479039352</v>
      </c>
      <c r="F16" s="1" t="s">
        <v>52</v>
      </c>
      <c r="G16" s="1" t="s">
        <v>12</v>
      </c>
      <c r="H16" s="1" t="s">
        <v>13</v>
      </c>
      <c r="I16" s="1" t="s">
        <v>18</v>
      </c>
      <c r="J16" s="1" t="s">
        <v>16</v>
      </c>
      <c r="K16" s="1" t="s">
        <v>15</v>
      </c>
      <c r="L16" s="1" t="s">
        <v>13</v>
      </c>
      <c r="M16" s="1" t="s">
        <v>1163</v>
      </c>
      <c r="N16" s="1" t="str">
        <f t="shared" si="0"/>
        <v>DESARROLLO</v>
      </c>
      <c r="O16" s="3">
        <f t="shared" si="1"/>
        <v>45624.401826747686</v>
      </c>
      <c r="P16" s="3">
        <f t="shared" si="2"/>
        <v>45665.434479039352</v>
      </c>
      <c r="Q16" s="1" t="str">
        <f t="shared" si="3"/>
        <v>Interno</v>
      </c>
      <c r="R16" s="1">
        <f t="shared" si="4"/>
        <v>48</v>
      </c>
      <c r="S16" s="6">
        <f t="shared" si="5"/>
        <v>45621</v>
      </c>
      <c r="T16" s="1">
        <f t="shared" si="6"/>
        <v>2</v>
      </c>
      <c r="U16" s="6">
        <f t="shared" si="7"/>
        <v>45663</v>
      </c>
      <c r="V16" s="1">
        <f t="shared" si="8"/>
        <v>41.032652291665727</v>
      </c>
      <c r="W16" s="1">
        <f t="shared" si="9"/>
        <v>2024</v>
      </c>
      <c r="X16" s="1">
        <f t="shared" si="10"/>
        <v>2025</v>
      </c>
      <c r="Y16" s="1" t="str">
        <f t="shared" si="11"/>
        <v>2024-11</v>
      </c>
      <c r="Z16" s="1" t="str">
        <f t="shared" si="12"/>
        <v>2025-01</v>
      </c>
    </row>
    <row r="17" spans="1:26" x14ac:dyDescent="0.2">
      <c r="A17" s="2" t="s">
        <v>92</v>
      </c>
      <c r="B17" s="1" t="s">
        <v>93</v>
      </c>
      <c r="C17" s="1" t="s">
        <v>83</v>
      </c>
      <c r="D17" s="3">
        <v>45625.594588460648</v>
      </c>
      <c r="E17" s="3">
        <v>45835.438569479164</v>
      </c>
      <c r="F17" s="1" t="s">
        <v>52</v>
      </c>
      <c r="G17" s="1" t="s">
        <v>53</v>
      </c>
      <c r="H17" s="1" t="s">
        <v>13</v>
      </c>
      <c r="I17" s="1" t="s">
        <v>18</v>
      </c>
      <c r="J17" s="1" t="s">
        <v>16</v>
      </c>
      <c r="K17" s="1" t="s">
        <v>17</v>
      </c>
      <c r="L17" s="1" t="s">
        <v>13</v>
      </c>
      <c r="M17" s="1" t="s">
        <v>1163</v>
      </c>
      <c r="N17" s="1" t="str">
        <f t="shared" si="0"/>
        <v>TÉCNICO</v>
      </c>
      <c r="O17" s="3">
        <f t="shared" si="1"/>
        <v>45625.594588460648</v>
      </c>
      <c r="P17" s="3">
        <f t="shared" si="2"/>
        <v>45835.438569479164</v>
      </c>
      <c r="Q17" s="1" t="str">
        <f t="shared" si="3"/>
        <v>Interno</v>
      </c>
      <c r="R17" s="1">
        <f t="shared" si="4"/>
        <v>48</v>
      </c>
      <c r="S17" s="6">
        <f t="shared" si="5"/>
        <v>45621</v>
      </c>
      <c r="T17" s="1">
        <f t="shared" si="6"/>
        <v>26</v>
      </c>
      <c r="U17" s="6">
        <f t="shared" si="7"/>
        <v>45831</v>
      </c>
      <c r="V17" s="1">
        <f t="shared" si="8"/>
        <v>209.84398101851548</v>
      </c>
      <c r="W17" s="1">
        <f t="shared" si="9"/>
        <v>2024</v>
      </c>
      <c r="X17" s="1">
        <f t="shared" si="10"/>
        <v>2025</v>
      </c>
      <c r="Y17" s="1" t="str">
        <f t="shared" si="11"/>
        <v>2024-11</v>
      </c>
      <c r="Z17" s="1" t="str">
        <f t="shared" si="12"/>
        <v>2025-06</v>
      </c>
    </row>
    <row r="18" spans="1:26" x14ac:dyDescent="0.2">
      <c r="A18" s="2" t="s">
        <v>94</v>
      </c>
      <c r="B18" s="1" t="s">
        <v>95</v>
      </c>
      <c r="C18" s="1" t="s">
        <v>96</v>
      </c>
      <c r="D18" s="3">
        <v>45631.542857592591</v>
      </c>
      <c r="E18" s="3">
        <v>45674.376752881944</v>
      </c>
      <c r="F18" s="1" t="s">
        <v>52</v>
      </c>
      <c r="G18" s="1" t="s">
        <v>12</v>
      </c>
      <c r="H18" s="1" t="s">
        <v>13</v>
      </c>
      <c r="I18" s="1" t="s">
        <v>18</v>
      </c>
      <c r="J18" s="1" t="s">
        <v>16</v>
      </c>
      <c r="K18" s="1" t="s">
        <v>15</v>
      </c>
      <c r="L18" s="1" t="s">
        <v>13</v>
      </c>
      <c r="M18" s="1" t="s">
        <v>1163</v>
      </c>
      <c r="N18" s="1" t="str">
        <f t="shared" si="0"/>
        <v>DESARROLLO</v>
      </c>
      <c r="O18" s="3">
        <f t="shared" si="1"/>
        <v>45631.542857592591</v>
      </c>
      <c r="P18" s="3">
        <f t="shared" si="2"/>
        <v>45674.376752881944</v>
      </c>
      <c r="Q18" s="1" t="str">
        <f t="shared" si="3"/>
        <v>Interno</v>
      </c>
      <c r="R18" s="1">
        <f t="shared" si="4"/>
        <v>49</v>
      </c>
      <c r="S18" s="6">
        <f t="shared" si="5"/>
        <v>45628</v>
      </c>
      <c r="T18" s="1">
        <f t="shared" si="6"/>
        <v>3</v>
      </c>
      <c r="U18" s="6">
        <f t="shared" si="7"/>
        <v>45670</v>
      </c>
      <c r="V18" s="1">
        <f t="shared" si="8"/>
        <v>42.833895289353677</v>
      </c>
      <c r="W18" s="1">
        <f t="shared" si="9"/>
        <v>2024</v>
      </c>
      <c r="X18" s="1">
        <f t="shared" si="10"/>
        <v>2025</v>
      </c>
      <c r="Y18" s="1" t="str">
        <f t="shared" si="11"/>
        <v>2024-12</v>
      </c>
      <c r="Z18" s="1" t="str">
        <f t="shared" si="12"/>
        <v>2025-01</v>
      </c>
    </row>
    <row r="19" spans="1:26" x14ac:dyDescent="0.2">
      <c r="A19" s="2" t="s">
        <v>97</v>
      </c>
      <c r="B19" s="1" t="s">
        <v>98</v>
      </c>
      <c r="C19" s="1" t="s">
        <v>13</v>
      </c>
      <c r="D19" s="3">
        <v>45635.704573784722</v>
      </c>
      <c r="E19" s="3">
        <v>45674.377353159725</v>
      </c>
      <c r="F19" s="1" t="s">
        <v>52</v>
      </c>
      <c r="G19" s="1" t="s">
        <v>12</v>
      </c>
      <c r="H19" s="1" t="s">
        <v>13</v>
      </c>
      <c r="I19" s="1" t="s">
        <v>99</v>
      </c>
      <c r="J19" s="1" t="s">
        <v>14</v>
      </c>
      <c r="K19" s="1" t="s">
        <v>15</v>
      </c>
      <c r="L19" s="1" t="s">
        <v>100</v>
      </c>
      <c r="M19" s="1" t="s">
        <v>13</v>
      </c>
      <c r="N19" s="1" t="str">
        <f t="shared" si="0"/>
        <v>DESARROLLO</v>
      </c>
      <c r="O19" s="3">
        <f t="shared" si="1"/>
        <v>45635.704573784722</v>
      </c>
      <c r="P19" s="3">
        <f t="shared" si="2"/>
        <v>45674.377353159725</v>
      </c>
      <c r="Q19" s="1" t="str">
        <f t="shared" si="3"/>
        <v>Interno</v>
      </c>
      <c r="R19" s="1">
        <f t="shared" si="4"/>
        <v>50</v>
      </c>
      <c r="S19" s="6">
        <f t="shared" si="5"/>
        <v>45635</v>
      </c>
      <c r="T19" s="1">
        <f t="shared" si="6"/>
        <v>3</v>
      </c>
      <c r="U19" s="6">
        <f t="shared" si="7"/>
        <v>45670</v>
      </c>
      <c r="V19" s="1">
        <f t="shared" si="8"/>
        <v>38.672779375003302</v>
      </c>
      <c r="W19" s="1">
        <f t="shared" si="9"/>
        <v>2024</v>
      </c>
      <c r="X19" s="1">
        <f t="shared" si="10"/>
        <v>2025</v>
      </c>
      <c r="Y19" s="1" t="str">
        <f t="shared" si="11"/>
        <v>2024-12</v>
      </c>
      <c r="Z19" s="1" t="str">
        <f t="shared" si="12"/>
        <v>2025-01</v>
      </c>
    </row>
    <row r="20" spans="1:26" x14ac:dyDescent="0.2">
      <c r="A20" s="2" t="s">
        <v>101</v>
      </c>
      <c r="B20" s="1" t="s">
        <v>102</v>
      </c>
      <c r="C20" s="1" t="s">
        <v>103</v>
      </c>
      <c r="D20" s="3">
        <v>45644.538036516205</v>
      </c>
      <c r="E20" s="3">
        <v>45664.595193298614</v>
      </c>
      <c r="F20" s="1" t="s">
        <v>52</v>
      </c>
      <c r="G20" s="1" t="s">
        <v>12</v>
      </c>
      <c r="H20" s="1" t="s">
        <v>13</v>
      </c>
      <c r="I20" s="1" t="s">
        <v>18</v>
      </c>
      <c r="J20" s="1" t="s">
        <v>16</v>
      </c>
      <c r="K20" s="1" t="s">
        <v>15</v>
      </c>
      <c r="L20" s="1" t="s">
        <v>13</v>
      </c>
      <c r="M20" s="1" t="s">
        <v>1163</v>
      </c>
      <c r="N20" s="1" t="str">
        <f t="shared" si="0"/>
        <v>DESARROLLO</v>
      </c>
      <c r="O20" s="3">
        <f t="shared" si="1"/>
        <v>45644.538036516205</v>
      </c>
      <c r="P20" s="3">
        <f t="shared" si="2"/>
        <v>45664.595193298614</v>
      </c>
      <c r="Q20" s="1" t="str">
        <f t="shared" si="3"/>
        <v>Interno</v>
      </c>
      <c r="R20" s="1">
        <f t="shared" si="4"/>
        <v>51</v>
      </c>
      <c r="S20" s="6">
        <f t="shared" si="5"/>
        <v>45642</v>
      </c>
      <c r="T20" s="1">
        <f t="shared" si="6"/>
        <v>2</v>
      </c>
      <c r="U20" s="6">
        <f t="shared" si="7"/>
        <v>45663</v>
      </c>
      <c r="V20" s="1">
        <f t="shared" si="8"/>
        <v>20.057156782408128</v>
      </c>
      <c r="W20" s="1">
        <f t="shared" si="9"/>
        <v>2024</v>
      </c>
      <c r="X20" s="1">
        <f t="shared" si="10"/>
        <v>2025</v>
      </c>
      <c r="Y20" s="1" t="str">
        <f t="shared" si="11"/>
        <v>2024-12</v>
      </c>
      <c r="Z20" s="1" t="str">
        <f t="shared" si="12"/>
        <v>2025-01</v>
      </c>
    </row>
    <row r="21" spans="1:26" x14ac:dyDescent="0.2">
      <c r="A21" s="2" t="s">
        <v>104</v>
      </c>
      <c r="B21" s="1" t="s">
        <v>105</v>
      </c>
      <c r="C21" s="1" t="s">
        <v>106</v>
      </c>
      <c r="D21" s="3">
        <v>45646.598706435187</v>
      </c>
      <c r="E21" s="3">
        <v>45664.566843587963</v>
      </c>
      <c r="F21" s="1" t="s">
        <v>52</v>
      </c>
      <c r="G21" s="1" t="s">
        <v>21</v>
      </c>
      <c r="H21" s="1" t="s">
        <v>13</v>
      </c>
      <c r="I21" s="1" t="s">
        <v>18</v>
      </c>
      <c r="J21" s="1" t="s">
        <v>16</v>
      </c>
      <c r="K21" s="1" t="s">
        <v>15</v>
      </c>
      <c r="L21" s="1" t="s">
        <v>13</v>
      </c>
      <c r="M21" s="1" t="s">
        <v>1163</v>
      </c>
      <c r="N21" s="1" t="str">
        <f t="shared" si="0"/>
        <v>SOPORTE</v>
      </c>
      <c r="O21" s="3">
        <f t="shared" si="1"/>
        <v>45646.598706435187</v>
      </c>
      <c r="P21" s="3">
        <f t="shared" si="2"/>
        <v>45664.566843587963</v>
      </c>
      <c r="Q21" s="1" t="str">
        <f t="shared" si="3"/>
        <v>Externo</v>
      </c>
      <c r="R21" s="1">
        <f t="shared" si="4"/>
        <v>51</v>
      </c>
      <c r="S21" s="6">
        <f t="shared" si="5"/>
        <v>45642</v>
      </c>
      <c r="T21" s="1">
        <f t="shared" si="6"/>
        <v>2</v>
      </c>
      <c r="U21" s="6">
        <f t="shared" si="7"/>
        <v>45663</v>
      </c>
      <c r="V21" s="1">
        <f t="shared" si="8"/>
        <v>17.968137152776762</v>
      </c>
      <c r="W21" s="1">
        <f t="shared" si="9"/>
        <v>2024</v>
      </c>
      <c r="X21" s="1">
        <f t="shared" si="10"/>
        <v>2025</v>
      </c>
      <c r="Y21" s="1" t="str">
        <f t="shared" si="11"/>
        <v>2024-12</v>
      </c>
      <c r="Z21" s="1" t="str">
        <f t="shared" si="12"/>
        <v>2025-01</v>
      </c>
    </row>
    <row r="22" spans="1:26" x14ac:dyDescent="0.2">
      <c r="A22" s="2" t="s">
        <v>107</v>
      </c>
      <c r="B22" s="1" t="s">
        <v>108</v>
      </c>
      <c r="C22" s="1" t="s">
        <v>109</v>
      </c>
      <c r="D22" s="3">
        <v>45657.413573252314</v>
      </c>
      <c r="E22" s="3">
        <v>45671.432947800924</v>
      </c>
      <c r="F22" s="1" t="s">
        <v>52</v>
      </c>
      <c r="G22" s="1" t="s">
        <v>21</v>
      </c>
      <c r="H22" s="1" t="s">
        <v>13</v>
      </c>
      <c r="I22" s="1" t="s">
        <v>18</v>
      </c>
      <c r="J22" s="1" t="s">
        <v>16</v>
      </c>
      <c r="K22" s="1" t="s">
        <v>15</v>
      </c>
      <c r="L22" s="1" t="s">
        <v>13</v>
      </c>
      <c r="M22" s="1" t="s">
        <v>1163</v>
      </c>
      <c r="N22" s="1" t="str">
        <f t="shared" si="0"/>
        <v>SOPORTE</v>
      </c>
      <c r="O22" s="3">
        <f t="shared" si="1"/>
        <v>45657.413573252314</v>
      </c>
      <c r="P22" s="3">
        <f t="shared" si="2"/>
        <v>45671.432947800924</v>
      </c>
      <c r="Q22" s="1" t="str">
        <f t="shared" si="3"/>
        <v>Externo</v>
      </c>
      <c r="R22" s="1">
        <f t="shared" si="4"/>
        <v>53</v>
      </c>
      <c r="S22" s="6">
        <f t="shared" si="5"/>
        <v>45656</v>
      </c>
      <c r="T22" s="1">
        <f t="shared" si="6"/>
        <v>3</v>
      </c>
      <c r="U22" s="6">
        <f t="shared" si="7"/>
        <v>45670</v>
      </c>
      <c r="V22" s="1">
        <f t="shared" si="8"/>
        <v>14.019374548610358</v>
      </c>
      <c r="W22" s="1">
        <f t="shared" si="9"/>
        <v>2024</v>
      </c>
      <c r="X22" s="1">
        <f t="shared" si="10"/>
        <v>2025</v>
      </c>
      <c r="Y22" s="1" t="str">
        <f t="shared" si="11"/>
        <v>2024-12</v>
      </c>
      <c r="Z22" s="1" t="str">
        <f t="shared" si="12"/>
        <v>2025-01</v>
      </c>
    </row>
    <row r="23" spans="1:26" x14ac:dyDescent="0.2">
      <c r="A23" s="2" t="s">
        <v>110</v>
      </c>
      <c r="B23" s="1" t="s">
        <v>111</v>
      </c>
      <c r="C23" s="1" t="s">
        <v>112</v>
      </c>
      <c r="D23" s="3">
        <v>45657.500159108793</v>
      </c>
      <c r="E23" s="3">
        <v>45665.445125439815</v>
      </c>
      <c r="F23" s="1" t="s">
        <v>52</v>
      </c>
      <c r="G23" s="1" t="s">
        <v>21</v>
      </c>
      <c r="H23" s="1" t="s">
        <v>13</v>
      </c>
      <c r="I23" s="1" t="s">
        <v>18</v>
      </c>
      <c r="J23" s="1" t="s">
        <v>16</v>
      </c>
      <c r="K23" s="1" t="s">
        <v>15</v>
      </c>
      <c r="L23" s="1" t="s">
        <v>13</v>
      </c>
      <c r="M23" s="1" t="s">
        <v>1163</v>
      </c>
      <c r="N23" s="1" t="str">
        <f t="shared" si="0"/>
        <v>SOPORTE</v>
      </c>
      <c r="O23" s="3">
        <f t="shared" si="1"/>
        <v>45657.500159108793</v>
      </c>
      <c r="P23" s="3">
        <f t="shared" si="2"/>
        <v>45665.445125439815</v>
      </c>
      <c r="Q23" s="1" t="str">
        <f t="shared" si="3"/>
        <v>Externo</v>
      </c>
      <c r="R23" s="1">
        <f t="shared" si="4"/>
        <v>53</v>
      </c>
      <c r="S23" s="6">
        <f t="shared" si="5"/>
        <v>45656</v>
      </c>
      <c r="T23" s="1">
        <f t="shared" si="6"/>
        <v>2</v>
      </c>
      <c r="U23" s="6">
        <f t="shared" si="7"/>
        <v>45663</v>
      </c>
      <c r="V23" s="1">
        <f t="shared" si="8"/>
        <v>7.9449663310224423</v>
      </c>
      <c r="W23" s="1">
        <f t="shared" si="9"/>
        <v>2024</v>
      </c>
      <c r="X23" s="1">
        <f t="shared" si="10"/>
        <v>2025</v>
      </c>
      <c r="Y23" s="1" t="str">
        <f t="shared" si="11"/>
        <v>2024-12</v>
      </c>
      <c r="Z23" s="1" t="str">
        <f t="shared" si="12"/>
        <v>2025-01</v>
      </c>
    </row>
    <row r="24" spans="1:26" x14ac:dyDescent="0.2">
      <c r="A24" s="2" t="s">
        <v>113</v>
      </c>
      <c r="B24" s="1" t="s">
        <v>114</v>
      </c>
      <c r="C24" s="1" t="s">
        <v>13</v>
      </c>
      <c r="D24" s="3">
        <v>45664.590271134257</v>
      </c>
      <c r="E24" s="3">
        <v>45671.433292615744</v>
      </c>
      <c r="F24" s="1" t="s">
        <v>52</v>
      </c>
      <c r="G24" s="1" t="s">
        <v>12</v>
      </c>
      <c r="H24" s="1" t="s">
        <v>13</v>
      </c>
      <c r="I24" s="1" t="s">
        <v>13</v>
      </c>
      <c r="J24" s="1" t="s">
        <v>16</v>
      </c>
      <c r="K24" s="1" t="s">
        <v>17</v>
      </c>
      <c r="L24" s="1" t="s">
        <v>13</v>
      </c>
      <c r="M24" s="1" t="s">
        <v>1163</v>
      </c>
      <c r="N24" s="1" t="str">
        <f t="shared" si="0"/>
        <v>DESARROLLO</v>
      </c>
      <c r="O24" s="3">
        <f t="shared" si="1"/>
        <v>45664.590271134257</v>
      </c>
      <c r="P24" s="3">
        <f t="shared" si="2"/>
        <v>45671.433292615744</v>
      </c>
      <c r="Q24" s="1" t="str">
        <f t="shared" si="3"/>
        <v>Interno</v>
      </c>
      <c r="R24" s="1">
        <f t="shared" si="4"/>
        <v>2</v>
      </c>
      <c r="S24" s="6">
        <f t="shared" si="5"/>
        <v>45663</v>
      </c>
      <c r="T24" s="1">
        <f t="shared" si="6"/>
        <v>3</v>
      </c>
      <c r="U24" s="6">
        <f t="shared" si="7"/>
        <v>45670</v>
      </c>
      <c r="V24" s="1">
        <f t="shared" si="8"/>
        <v>6.8430214814870851</v>
      </c>
      <c r="W24" s="1">
        <f t="shared" si="9"/>
        <v>2025</v>
      </c>
      <c r="X24" s="1">
        <f t="shared" si="10"/>
        <v>2025</v>
      </c>
      <c r="Y24" s="1" t="str">
        <f t="shared" si="11"/>
        <v>2025-01</v>
      </c>
      <c r="Z24" s="1" t="str">
        <f t="shared" si="12"/>
        <v>2025-01</v>
      </c>
    </row>
    <row r="25" spans="1:26" x14ac:dyDescent="0.2">
      <c r="A25" s="2" t="s">
        <v>115</v>
      </c>
      <c r="B25" s="1" t="s">
        <v>116</v>
      </c>
      <c r="C25" s="1" t="s">
        <v>13</v>
      </c>
      <c r="D25" s="3">
        <v>45666.522902048608</v>
      </c>
      <c r="E25" s="3">
        <v>45666.529619421293</v>
      </c>
      <c r="F25" s="1" t="s">
        <v>52</v>
      </c>
      <c r="G25" s="1" t="s">
        <v>12</v>
      </c>
      <c r="H25" s="1" t="s">
        <v>13</v>
      </c>
      <c r="I25" s="1" t="s">
        <v>18</v>
      </c>
      <c r="J25" s="1" t="s">
        <v>16</v>
      </c>
      <c r="K25" s="1" t="s">
        <v>17</v>
      </c>
      <c r="L25" s="1" t="s">
        <v>13</v>
      </c>
      <c r="M25" s="1" t="s">
        <v>1163</v>
      </c>
      <c r="N25" s="1" t="str">
        <f t="shared" si="0"/>
        <v>DESARROLLO</v>
      </c>
      <c r="O25" s="3">
        <f t="shared" si="1"/>
        <v>45666.522902048608</v>
      </c>
      <c r="P25" s="3">
        <f t="shared" si="2"/>
        <v>45666.529619421293</v>
      </c>
      <c r="Q25" s="1" t="str">
        <f t="shared" si="3"/>
        <v>Interno</v>
      </c>
      <c r="R25" s="1">
        <f t="shared" si="4"/>
        <v>2</v>
      </c>
      <c r="S25" s="6">
        <f t="shared" si="5"/>
        <v>45663</v>
      </c>
      <c r="T25" s="1">
        <f t="shared" si="6"/>
        <v>2</v>
      </c>
      <c r="U25" s="6">
        <f t="shared" si="7"/>
        <v>45663</v>
      </c>
      <c r="V25" s="1">
        <f t="shared" si="8"/>
        <v>6.7173726856708527E-3</v>
      </c>
      <c r="W25" s="1">
        <f t="shared" si="9"/>
        <v>2025</v>
      </c>
      <c r="X25" s="1">
        <f t="shared" si="10"/>
        <v>2025</v>
      </c>
      <c r="Y25" s="1" t="str">
        <f t="shared" si="11"/>
        <v>2025-01</v>
      </c>
      <c r="Z25" s="1" t="str">
        <f t="shared" si="12"/>
        <v>2025-01</v>
      </c>
    </row>
    <row r="26" spans="1:26" x14ac:dyDescent="0.2">
      <c r="A26" s="2" t="s">
        <v>117</v>
      </c>
      <c r="B26" s="1" t="s">
        <v>118</v>
      </c>
      <c r="C26" s="1" t="s">
        <v>13</v>
      </c>
      <c r="D26" s="3">
        <v>45667.378683298608</v>
      </c>
      <c r="E26" s="3">
        <v>45667.383714641204</v>
      </c>
      <c r="F26" s="1" t="s">
        <v>52</v>
      </c>
      <c r="G26" s="1" t="s">
        <v>21</v>
      </c>
      <c r="H26" s="1" t="s">
        <v>13</v>
      </c>
      <c r="I26" s="1" t="s">
        <v>18</v>
      </c>
      <c r="J26" s="1" t="s">
        <v>16</v>
      </c>
      <c r="K26" s="1" t="s">
        <v>15</v>
      </c>
      <c r="L26" s="1" t="s">
        <v>13</v>
      </c>
      <c r="M26" s="1" t="s">
        <v>1163</v>
      </c>
      <c r="N26" s="1" t="str">
        <f t="shared" si="0"/>
        <v>SOPORTE</v>
      </c>
      <c r="O26" s="3">
        <f t="shared" si="1"/>
        <v>45667.378683298608</v>
      </c>
      <c r="P26" s="3">
        <f t="shared" si="2"/>
        <v>45667.383714641204</v>
      </c>
      <c r="Q26" s="1" t="str">
        <f t="shared" si="3"/>
        <v>Externo</v>
      </c>
      <c r="R26" s="1">
        <f t="shared" si="4"/>
        <v>2</v>
      </c>
      <c r="S26" s="6">
        <f t="shared" si="5"/>
        <v>45663</v>
      </c>
      <c r="T26" s="1">
        <f t="shared" si="6"/>
        <v>2</v>
      </c>
      <c r="U26" s="6">
        <f t="shared" si="7"/>
        <v>45663</v>
      </c>
      <c r="V26" s="1">
        <f t="shared" si="8"/>
        <v>5.0313425963395275E-3</v>
      </c>
      <c r="W26" s="1">
        <f t="shared" si="9"/>
        <v>2025</v>
      </c>
      <c r="X26" s="1">
        <f t="shared" si="10"/>
        <v>2025</v>
      </c>
      <c r="Y26" s="1" t="str">
        <f t="shared" si="11"/>
        <v>2025-01</v>
      </c>
      <c r="Z26" s="1" t="str">
        <f t="shared" si="12"/>
        <v>2025-01</v>
      </c>
    </row>
    <row r="27" spans="1:26" x14ac:dyDescent="0.2">
      <c r="A27" s="2" t="s">
        <v>119</v>
      </c>
      <c r="B27" s="1" t="s">
        <v>120</v>
      </c>
      <c r="C27" s="1" t="s">
        <v>121</v>
      </c>
      <c r="D27" s="3">
        <v>45670.665102824074</v>
      </c>
      <c r="E27" s="3">
        <v>45685.43015508102</v>
      </c>
      <c r="F27" s="1" t="s">
        <v>52</v>
      </c>
      <c r="G27" s="1" t="s">
        <v>21</v>
      </c>
      <c r="H27" s="1" t="s">
        <v>13</v>
      </c>
      <c r="I27" s="1" t="s">
        <v>18</v>
      </c>
      <c r="J27" s="1" t="s">
        <v>16</v>
      </c>
      <c r="K27" s="1" t="s">
        <v>15</v>
      </c>
      <c r="L27" s="1" t="s">
        <v>13</v>
      </c>
      <c r="M27" s="1" t="s">
        <v>1163</v>
      </c>
      <c r="N27" s="1" t="str">
        <f t="shared" si="0"/>
        <v>SOPORTE</v>
      </c>
      <c r="O27" s="3">
        <f t="shared" si="1"/>
        <v>45670.665102824074</v>
      </c>
      <c r="P27" s="3">
        <f t="shared" si="2"/>
        <v>45685.43015508102</v>
      </c>
      <c r="Q27" s="1" t="str">
        <f t="shared" si="3"/>
        <v>Externo</v>
      </c>
      <c r="R27" s="1">
        <f t="shared" si="4"/>
        <v>3</v>
      </c>
      <c r="S27" s="6">
        <f t="shared" si="5"/>
        <v>45670</v>
      </c>
      <c r="T27" s="1">
        <f t="shared" si="6"/>
        <v>5</v>
      </c>
      <c r="U27" s="6">
        <f t="shared" si="7"/>
        <v>45684</v>
      </c>
      <c r="V27" s="1">
        <f t="shared" si="8"/>
        <v>14.765052256945637</v>
      </c>
      <c r="W27" s="1">
        <f t="shared" si="9"/>
        <v>2025</v>
      </c>
      <c r="X27" s="1">
        <f t="shared" si="10"/>
        <v>2025</v>
      </c>
      <c r="Y27" s="1" t="str">
        <f t="shared" si="11"/>
        <v>2025-01</v>
      </c>
      <c r="Z27" s="1" t="str">
        <f t="shared" si="12"/>
        <v>2025-01</v>
      </c>
    </row>
    <row r="28" spans="1:26" x14ac:dyDescent="0.2">
      <c r="A28" s="2" t="s">
        <v>122</v>
      </c>
      <c r="B28" s="1" t="s">
        <v>123</v>
      </c>
      <c r="C28" s="1" t="s">
        <v>124</v>
      </c>
      <c r="D28" s="3">
        <v>45671.630446539355</v>
      </c>
      <c r="E28" s="3">
        <v>45678.535403483795</v>
      </c>
      <c r="F28" s="1" t="s">
        <v>52</v>
      </c>
      <c r="G28" s="1" t="s">
        <v>21</v>
      </c>
      <c r="H28" s="1" t="s">
        <v>13</v>
      </c>
      <c r="I28" s="1" t="s">
        <v>18</v>
      </c>
      <c r="J28" s="1" t="s">
        <v>16</v>
      </c>
      <c r="K28" s="1" t="s">
        <v>15</v>
      </c>
      <c r="L28" s="1" t="s">
        <v>13</v>
      </c>
      <c r="M28" s="1" t="s">
        <v>1163</v>
      </c>
      <c r="N28" s="1" t="str">
        <f t="shared" si="0"/>
        <v>SOPORTE</v>
      </c>
      <c r="O28" s="3">
        <f t="shared" si="1"/>
        <v>45671.630446539355</v>
      </c>
      <c r="P28" s="3">
        <f t="shared" si="2"/>
        <v>45678.535403483795</v>
      </c>
      <c r="Q28" s="1" t="str">
        <f t="shared" si="3"/>
        <v>Externo</v>
      </c>
      <c r="R28" s="1">
        <f t="shared" si="4"/>
        <v>3</v>
      </c>
      <c r="S28" s="6">
        <f t="shared" si="5"/>
        <v>45670</v>
      </c>
      <c r="T28" s="1">
        <f t="shared" si="6"/>
        <v>4</v>
      </c>
      <c r="U28" s="6">
        <f t="shared" si="7"/>
        <v>45677</v>
      </c>
      <c r="V28" s="1">
        <f t="shared" si="8"/>
        <v>6.9049569444396184</v>
      </c>
      <c r="W28" s="1">
        <f t="shared" si="9"/>
        <v>2025</v>
      </c>
      <c r="X28" s="1">
        <f t="shared" si="10"/>
        <v>2025</v>
      </c>
      <c r="Y28" s="1" t="str">
        <f t="shared" si="11"/>
        <v>2025-01</v>
      </c>
      <c r="Z28" s="1" t="str">
        <f t="shared" si="12"/>
        <v>2025-01</v>
      </c>
    </row>
    <row r="29" spans="1:26" x14ac:dyDescent="0.2">
      <c r="A29" s="2" t="s">
        <v>125</v>
      </c>
      <c r="B29" s="1" t="s">
        <v>126</v>
      </c>
      <c r="C29" s="1" t="s">
        <v>127</v>
      </c>
      <c r="D29" s="3">
        <v>45671.669645648151</v>
      </c>
      <c r="E29" s="3">
        <v>45674.386272175929</v>
      </c>
      <c r="F29" s="1" t="s">
        <v>52</v>
      </c>
      <c r="G29" s="1" t="s">
        <v>21</v>
      </c>
      <c r="H29" s="1" t="s">
        <v>13</v>
      </c>
      <c r="I29" s="1" t="s">
        <v>18</v>
      </c>
      <c r="J29" s="1" t="s">
        <v>16</v>
      </c>
      <c r="K29" s="1" t="s">
        <v>15</v>
      </c>
      <c r="L29" s="1" t="s">
        <v>13</v>
      </c>
      <c r="M29" s="1" t="s">
        <v>1163</v>
      </c>
      <c r="N29" s="1" t="str">
        <f t="shared" si="0"/>
        <v>SOPORTE</v>
      </c>
      <c r="O29" s="3">
        <f t="shared" si="1"/>
        <v>45671.669645648151</v>
      </c>
      <c r="P29" s="3">
        <f t="shared" si="2"/>
        <v>45674.386272175929</v>
      </c>
      <c r="Q29" s="1" t="str">
        <f t="shared" si="3"/>
        <v>Externo</v>
      </c>
      <c r="R29" s="1">
        <f t="shared" si="4"/>
        <v>3</v>
      </c>
      <c r="S29" s="6">
        <f t="shared" si="5"/>
        <v>45670</v>
      </c>
      <c r="T29" s="1">
        <f t="shared" si="6"/>
        <v>3</v>
      </c>
      <c r="U29" s="6">
        <f t="shared" si="7"/>
        <v>45670</v>
      </c>
      <c r="V29" s="1">
        <f t="shared" si="8"/>
        <v>2.7166265277774073</v>
      </c>
      <c r="W29" s="1">
        <f t="shared" si="9"/>
        <v>2025</v>
      </c>
      <c r="X29" s="1">
        <f t="shared" si="10"/>
        <v>2025</v>
      </c>
      <c r="Y29" s="1" t="str">
        <f t="shared" si="11"/>
        <v>2025-01</v>
      </c>
      <c r="Z29" s="1" t="str">
        <f t="shared" si="12"/>
        <v>2025-01</v>
      </c>
    </row>
    <row r="30" spans="1:26" x14ac:dyDescent="0.2">
      <c r="A30" s="2" t="s">
        <v>128</v>
      </c>
      <c r="B30" s="1" t="s">
        <v>129</v>
      </c>
      <c r="C30" s="1" t="s">
        <v>13</v>
      </c>
      <c r="D30" s="3">
        <v>45671.673189675923</v>
      </c>
      <c r="E30" s="3">
        <v>45671.730484479165</v>
      </c>
      <c r="F30" s="1" t="s">
        <v>52</v>
      </c>
      <c r="G30" s="1" t="s">
        <v>21</v>
      </c>
      <c r="H30" s="1" t="s">
        <v>13</v>
      </c>
      <c r="I30" s="1" t="s">
        <v>13</v>
      </c>
      <c r="J30" s="1" t="s">
        <v>16</v>
      </c>
      <c r="K30" s="1" t="s">
        <v>15</v>
      </c>
      <c r="L30" s="1" t="s">
        <v>13</v>
      </c>
      <c r="M30" s="1" t="s">
        <v>1162</v>
      </c>
      <c r="N30" s="1" t="str">
        <f t="shared" si="0"/>
        <v>SOPORTE</v>
      </c>
      <c r="O30" s="3">
        <f t="shared" si="1"/>
        <v>45671.673189675923</v>
      </c>
      <c r="P30" s="3">
        <f t="shared" si="2"/>
        <v>45671.730484479165</v>
      </c>
      <c r="Q30" s="1" t="str">
        <f t="shared" si="3"/>
        <v>Externo</v>
      </c>
      <c r="R30" s="1">
        <f t="shared" si="4"/>
        <v>3</v>
      </c>
      <c r="S30" s="6">
        <f t="shared" si="5"/>
        <v>45670</v>
      </c>
      <c r="T30" s="1">
        <f t="shared" si="6"/>
        <v>3</v>
      </c>
      <c r="U30" s="6">
        <f t="shared" si="7"/>
        <v>45670</v>
      </c>
      <c r="V30" s="1">
        <f t="shared" si="8"/>
        <v>5.7294803242257331E-2</v>
      </c>
      <c r="W30" s="1">
        <f t="shared" si="9"/>
        <v>2025</v>
      </c>
      <c r="X30" s="1">
        <f t="shared" si="10"/>
        <v>2025</v>
      </c>
      <c r="Y30" s="1" t="str">
        <f t="shared" si="11"/>
        <v>2025-01</v>
      </c>
      <c r="Z30" s="1" t="str">
        <f t="shared" si="12"/>
        <v>2025-01</v>
      </c>
    </row>
    <row r="31" spans="1:26" x14ac:dyDescent="0.2">
      <c r="A31" s="2" t="s">
        <v>130</v>
      </c>
      <c r="B31" s="1" t="s">
        <v>131</v>
      </c>
      <c r="C31" s="1" t="s">
        <v>132</v>
      </c>
      <c r="D31" s="3">
        <v>45672.372142372682</v>
      </c>
      <c r="E31" s="3">
        <v>45835.43819385417</v>
      </c>
      <c r="F31" s="1" t="s">
        <v>52</v>
      </c>
      <c r="G31" s="1" t="s">
        <v>53</v>
      </c>
      <c r="H31" s="1" t="s">
        <v>13</v>
      </c>
      <c r="I31" s="1" t="s">
        <v>18</v>
      </c>
      <c r="J31" s="1" t="s">
        <v>16</v>
      </c>
      <c r="K31" s="1" t="s">
        <v>17</v>
      </c>
      <c r="L31" s="1" t="s">
        <v>13</v>
      </c>
      <c r="M31" s="1" t="s">
        <v>1163</v>
      </c>
      <c r="N31" s="1" t="str">
        <f t="shared" si="0"/>
        <v>TÉCNICO</v>
      </c>
      <c r="O31" s="3">
        <f t="shared" si="1"/>
        <v>45672.372142372682</v>
      </c>
      <c r="P31" s="3">
        <f t="shared" si="2"/>
        <v>45835.43819385417</v>
      </c>
      <c r="Q31" s="1" t="str">
        <f t="shared" si="3"/>
        <v>Interno</v>
      </c>
      <c r="R31" s="1">
        <f t="shared" si="4"/>
        <v>3</v>
      </c>
      <c r="S31" s="6">
        <f t="shared" si="5"/>
        <v>45670</v>
      </c>
      <c r="T31" s="1">
        <f t="shared" si="6"/>
        <v>26</v>
      </c>
      <c r="U31" s="6">
        <f t="shared" si="7"/>
        <v>45831</v>
      </c>
      <c r="V31" s="1">
        <f t="shared" si="8"/>
        <v>163.0660514814881</v>
      </c>
      <c r="W31" s="1">
        <f t="shared" si="9"/>
        <v>2025</v>
      </c>
      <c r="X31" s="1">
        <f t="shared" si="10"/>
        <v>2025</v>
      </c>
      <c r="Y31" s="1" t="str">
        <f t="shared" si="11"/>
        <v>2025-01</v>
      </c>
      <c r="Z31" s="1" t="str">
        <f t="shared" si="12"/>
        <v>2025-06</v>
      </c>
    </row>
    <row r="32" spans="1:26" x14ac:dyDescent="0.2">
      <c r="A32" s="2" t="s">
        <v>133</v>
      </c>
      <c r="B32" s="1" t="s">
        <v>134</v>
      </c>
      <c r="C32" s="1" t="s">
        <v>13</v>
      </c>
      <c r="D32" s="3">
        <v>45672.424264305555</v>
      </c>
      <c r="E32" s="3">
        <v>45674.38909704861</v>
      </c>
      <c r="F32" s="1" t="s">
        <v>52</v>
      </c>
      <c r="G32" s="1" t="s">
        <v>12</v>
      </c>
      <c r="H32" s="1" t="s">
        <v>13</v>
      </c>
      <c r="I32" s="1" t="s">
        <v>18</v>
      </c>
      <c r="J32" s="1" t="s">
        <v>16</v>
      </c>
      <c r="K32" s="1" t="s">
        <v>15</v>
      </c>
      <c r="L32" s="1" t="s">
        <v>13</v>
      </c>
      <c r="M32" s="1" t="s">
        <v>1163</v>
      </c>
      <c r="N32" s="1" t="str">
        <f t="shared" si="0"/>
        <v>DESARROLLO</v>
      </c>
      <c r="O32" s="3">
        <f t="shared" si="1"/>
        <v>45672.424264305555</v>
      </c>
      <c r="P32" s="3">
        <f t="shared" si="2"/>
        <v>45674.38909704861</v>
      </c>
      <c r="Q32" s="1" t="str">
        <f t="shared" si="3"/>
        <v>Interno</v>
      </c>
      <c r="R32" s="1">
        <f t="shared" si="4"/>
        <v>3</v>
      </c>
      <c r="S32" s="6">
        <f t="shared" si="5"/>
        <v>45670</v>
      </c>
      <c r="T32" s="1">
        <f t="shared" si="6"/>
        <v>3</v>
      </c>
      <c r="U32" s="6">
        <f t="shared" si="7"/>
        <v>45670</v>
      </c>
      <c r="V32" s="1">
        <f t="shared" si="8"/>
        <v>1.9648327430550125</v>
      </c>
      <c r="W32" s="1">
        <f t="shared" si="9"/>
        <v>2025</v>
      </c>
      <c r="X32" s="1">
        <f t="shared" si="10"/>
        <v>2025</v>
      </c>
      <c r="Y32" s="1" t="str">
        <f t="shared" si="11"/>
        <v>2025-01</v>
      </c>
      <c r="Z32" s="1" t="str">
        <f t="shared" si="12"/>
        <v>2025-01</v>
      </c>
    </row>
    <row r="33" spans="1:26" x14ac:dyDescent="0.2">
      <c r="A33" s="2" t="s">
        <v>135</v>
      </c>
      <c r="B33" s="1" t="s">
        <v>136</v>
      </c>
      <c r="C33" s="1" t="s">
        <v>83</v>
      </c>
      <c r="D33" s="3">
        <v>45672.48029835648</v>
      </c>
      <c r="E33" s="3">
        <v>45674.383001932867</v>
      </c>
      <c r="F33" s="1" t="s">
        <v>52</v>
      </c>
      <c r="G33" s="1" t="s">
        <v>21</v>
      </c>
      <c r="H33" s="1" t="s">
        <v>13</v>
      </c>
      <c r="I33" s="1" t="s">
        <v>18</v>
      </c>
      <c r="J33" s="1" t="s">
        <v>16</v>
      </c>
      <c r="K33" s="1" t="s">
        <v>15</v>
      </c>
      <c r="L33" s="1" t="s">
        <v>13</v>
      </c>
      <c r="M33" s="1" t="s">
        <v>1163</v>
      </c>
      <c r="N33" s="1" t="str">
        <f t="shared" si="0"/>
        <v>SOPORTE</v>
      </c>
      <c r="O33" s="3">
        <f t="shared" si="1"/>
        <v>45672.48029835648</v>
      </c>
      <c r="P33" s="3">
        <f t="shared" si="2"/>
        <v>45674.383001932867</v>
      </c>
      <c r="Q33" s="1" t="str">
        <f t="shared" si="3"/>
        <v>Externo</v>
      </c>
      <c r="R33" s="1">
        <f t="shared" si="4"/>
        <v>3</v>
      </c>
      <c r="S33" s="6">
        <f t="shared" si="5"/>
        <v>45670</v>
      </c>
      <c r="T33" s="1">
        <f t="shared" si="6"/>
        <v>3</v>
      </c>
      <c r="U33" s="6">
        <f t="shared" si="7"/>
        <v>45670</v>
      </c>
      <c r="V33" s="1">
        <f t="shared" si="8"/>
        <v>1.902703576386557</v>
      </c>
      <c r="W33" s="1">
        <f t="shared" si="9"/>
        <v>2025</v>
      </c>
      <c r="X33" s="1">
        <f t="shared" si="10"/>
        <v>2025</v>
      </c>
      <c r="Y33" s="1" t="str">
        <f t="shared" si="11"/>
        <v>2025-01</v>
      </c>
      <c r="Z33" s="1" t="str">
        <f t="shared" si="12"/>
        <v>2025-01</v>
      </c>
    </row>
    <row r="34" spans="1:26" x14ac:dyDescent="0.2">
      <c r="A34" s="2" t="s">
        <v>137</v>
      </c>
      <c r="B34" s="1" t="s">
        <v>138</v>
      </c>
      <c r="C34" s="1" t="s">
        <v>139</v>
      </c>
      <c r="D34" s="3">
        <v>45673.417584085648</v>
      </c>
      <c r="E34" s="3">
        <v>45674.383644884256</v>
      </c>
      <c r="F34" s="1" t="s">
        <v>52</v>
      </c>
      <c r="G34" s="1" t="s">
        <v>21</v>
      </c>
      <c r="H34" s="1" t="s">
        <v>13</v>
      </c>
      <c r="I34" s="1" t="s">
        <v>13</v>
      </c>
      <c r="J34" s="1" t="s">
        <v>16</v>
      </c>
      <c r="K34" s="1" t="s">
        <v>15</v>
      </c>
      <c r="L34" s="1" t="s">
        <v>13</v>
      </c>
      <c r="M34" s="1" t="s">
        <v>1162</v>
      </c>
      <c r="N34" s="1" t="str">
        <f t="shared" si="0"/>
        <v>SOPORTE</v>
      </c>
      <c r="O34" s="3">
        <f t="shared" si="1"/>
        <v>45673.417584085648</v>
      </c>
      <c r="P34" s="3">
        <f t="shared" si="2"/>
        <v>45674.383644884256</v>
      </c>
      <c r="Q34" s="1" t="str">
        <f t="shared" si="3"/>
        <v>Externo</v>
      </c>
      <c r="R34" s="1">
        <f t="shared" si="4"/>
        <v>3</v>
      </c>
      <c r="S34" s="6">
        <f t="shared" si="5"/>
        <v>45670</v>
      </c>
      <c r="T34" s="1">
        <f t="shared" si="6"/>
        <v>3</v>
      </c>
      <c r="U34" s="6">
        <f t="shared" si="7"/>
        <v>45670</v>
      </c>
      <c r="V34" s="1">
        <f t="shared" si="8"/>
        <v>0.96606079860794125</v>
      </c>
      <c r="W34" s="1">
        <f t="shared" si="9"/>
        <v>2025</v>
      </c>
      <c r="X34" s="1">
        <f t="shared" si="10"/>
        <v>2025</v>
      </c>
      <c r="Y34" s="1" t="str">
        <f t="shared" si="11"/>
        <v>2025-01</v>
      </c>
      <c r="Z34" s="1" t="str">
        <f t="shared" si="12"/>
        <v>2025-01</v>
      </c>
    </row>
    <row r="35" spans="1:26" x14ac:dyDescent="0.2">
      <c r="A35" s="2" t="s">
        <v>140</v>
      </c>
      <c r="B35" s="1" t="s">
        <v>141</v>
      </c>
      <c r="C35" s="1" t="s">
        <v>13</v>
      </c>
      <c r="D35" s="3">
        <v>45673.446221423612</v>
      </c>
      <c r="E35" s="3">
        <v>45840.441222974536</v>
      </c>
      <c r="F35" s="1" t="s">
        <v>52</v>
      </c>
      <c r="G35" s="1" t="s">
        <v>12</v>
      </c>
      <c r="H35" s="1" t="s">
        <v>13</v>
      </c>
      <c r="I35" s="1" t="s">
        <v>18</v>
      </c>
      <c r="J35" s="1" t="s">
        <v>16</v>
      </c>
      <c r="K35" s="1" t="s">
        <v>17</v>
      </c>
      <c r="L35" s="1" t="s">
        <v>13</v>
      </c>
      <c r="M35" s="1" t="s">
        <v>13</v>
      </c>
      <c r="N35" s="1" t="str">
        <f t="shared" si="0"/>
        <v>DESARROLLO</v>
      </c>
      <c r="O35" s="3">
        <f t="shared" si="1"/>
        <v>45673.446221423612</v>
      </c>
      <c r="P35" s="3">
        <f t="shared" si="2"/>
        <v>45840.441222974536</v>
      </c>
      <c r="Q35" s="1" t="str">
        <f t="shared" si="3"/>
        <v>Interno</v>
      </c>
      <c r="R35" s="1">
        <f t="shared" si="4"/>
        <v>3</v>
      </c>
      <c r="S35" s="6">
        <f t="shared" si="5"/>
        <v>45670</v>
      </c>
      <c r="T35" s="1">
        <f t="shared" si="6"/>
        <v>27</v>
      </c>
      <c r="U35" s="6">
        <f t="shared" si="7"/>
        <v>45838</v>
      </c>
      <c r="V35" s="1">
        <f t="shared" si="8"/>
        <v>166.99500155092392</v>
      </c>
      <c r="W35" s="1">
        <f t="shared" si="9"/>
        <v>2025</v>
      </c>
      <c r="X35" s="1">
        <f t="shared" si="10"/>
        <v>2025</v>
      </c>
      <c r="Y35" s="1" t="str">
        <f t="shared" si="11"/>
        <v>2025-01</v>
      </c>
      <c r="Z35" s="1" t="str">
        <f t="shared" si="12"/>
        <v>2025-06</v>
      </c>
    </row>
    <row r="36" spans="1:26" x14ac:dyDescent="0.2">
      <c r="A36" s="2" t="s">
        <v>142</v>
      </c>
      <c r="B36" s="1" t="s">
        <v>143</v>
      </c>
      <c r="C36" s="1" t="s">
        <v>70</v>
      </c>
      <c r="D36" s="3">
        <v>45674.407778379631</v>
      </c>
      <c r="E36" s="3">
        <v>45680.43476290509</v>
      </c>
      <c r="F36" s="1" t="s">
        <v>52</v>
      </c>
      <c r="G36" s="1" t="s">
        <v>21</v>
      </c>
      <c r="H36" s="1" t="s">
        <v>13</v>
      </c>
      <c r="I36" s="1" t="s">
        <v>18</v>
      </c>
      <c r="J36" s="1" t="s">
        <v>16</v>
      </c>
      <c r="K36" s="1" t="s">
        <v>15</v>
      </c>
      <c r="L36" s="1" t="s">
        <v>13</v>
      </c>
      <c r="M36" s="1" t="s">
        <v>1163</v>
      </c>
      <c r="N36" s="1" t="str">
        <f t="shared" si="0"/>
        <v>SOPORTE</v>
      </c>
      <c r="O36" s="3">
        <f t="shared" si="1"/>
        <v>45674.407778379631</v>
      </c>
      <c r="P36" s="3">
        <f t="shared" si="2"/>
        <v>45680.43476290509</v>
      </c>
      <c r="Q36" s="1" t="str">
        <f t="shared" si="3"/>
        <v>Externo</v>
      </c>
      <c r="R36" s="1">
        <f t="shared" si="4"/>
        <v>3</v>
      </c>
      <c r="S36" s="6">
        <f t="shared" si="5"/>
        <v>45670</v>
      </c>
      <c r="T36" s="1">
        <f t="shared" si="6"/>
        <v>4</v>
      </c>
      <c r="U36" s="6">
        <f t="shared" si="7"/>
        <v>45677</v>
      </c>
      <c r="V36" s="1">
        <f t="shared" si="8"/>
        <v>6.026984525458829</v>
      </c>
      <c r="W36" s="1">
        <f t="shared" si="9"/>
        <v>2025</v>
      </c>
      <c r="X36" s="1">
        <f t="shared" si="10"/>
        <v>2025</v>
      </c>
      <c r="Y36" s="1" t="str">
        <f t="shared" si="11"/>
        <v>2025-01</v>
      </c>
      <c r="Z36" s="1" t="str">
        <f t="shared" si="12"/>
        <v>2025-01</v>
      </c>
    </row>
    <row r="37" spans="1:26" x14ac:dyDescent="0.2">
      <c r="A37" s="2" t="s">
        <v>144</v>
      </c>
      <c r="B37" s="1" t="s">
        <v>145</v>
      </c>
      <c r="C37" s="1" t="s">
        <v>109</v>
      </c>
      <c r="D37" s="3">
        <v>45677.419431493057</v>
      </c>
      <c r="E37" s="3">
        <v>45678.469542511571</v>
      </c>
      <c r="F37" s="1" t="s">
        <v>52</v>
      </c>
      <c r="G37" s="1" t="s">
        <v>21</v>
      </c>
      <c r="H37" s="1" t="s">
        <v>13</v>
      </c>
      <c r="I37" s="1" t="s">
        <v>18</v>
      </c>
      <c r="J37" s="1" t="s">
        <v>16</v>
      </c>
      <c r="K37" s="1" t="s">
        <v>15</v>
      </c>
      <c r="L37" s="1" t="s">
        <v>13</v>
      </c>
      <c r="M37" s="1" t="s">
        <v>1163</v>
      </c>
      <c r="N37" s="1" t="str">
        <f t="shared" si="0"/>
        <v>SOPORTE</v>
      </c>
      <c r="O37" s="3">
        <f t="shared" si="1"/>
        <v>45677.419431493057</v>
      </c>
      <c r="P37" s="3">
        <f t="shared" si="2"/>
        <v>45678.469542511571</v>
      </c>
      <c r="Q37" s="1" t="str">
        <f t="shared" si="3"/>
        <v>Externo</v>
      </c>
      <c r="R37" s="1">
        <f t="shared" si="4"/>
        <v>4</v>
      </c>
      <c r="S37" s="6">
        <f t="shared" si="5"/>
        <v>45677</v>
      </c>
      <c r="T37" s="1">
        <f t="shared" si="6"/>
        <v>4</v>
      </c>
      <c r="U37" s="6">
        <f t="shared" si="7"/>
        <v>45677</v>
      </c>
      <c r="V37" s="1">
        <f t="shared" si="8"/>
        <v>1.0501110185141442</v>
      </c>
      <c r="W37" s="1">
        <f t="shared" si="9"/>
        <v>2025</v>
      </c>
      <c r="X37" s="1">
        <f t="shared" si="10"/>
        <v>2025</v>
      </c>
      <c r="Y37" s="1" t="str">
        <f t="shared" si="11"/>
        <v>2025-01</v>
      </c>
      <c r="Z37" s="1" t="str">
        <f t="shared" si="12"/>
        <v>2025-01</v>
      </c>
    </row>
    <row r="38" spans="1:26" x14ac:dyDescent="0.2">
      <c r="A38" s="2" t="s">
        <v>146</v>
      </c>
      <c r="B38" s="1" t="s">
        <v>147</v>
      </c>
      <c r="C38" s="1" t="s">
        <v>13</v>
      </c>
      <c r="D38" s="3">
        <v>45677.464717499999</v>
      </c>
      <c r="E38" s="3">
        <v>45721.055513148145</v>
      </c>
      <c r="F38" s="1" t="s">
        <v>52</v>
      </c>
      <c r="G38" s="1" t="s">
        <v>53</v>
      </c>
      <c r="H38" s="1" t="s">
        <v>13</v>
      </c>
      <c r="I38" s="1" t="s">
        <v>148</v>
      </c>
      <c r="J38" s="1" t="s">
        <v>16</v>
      </c>
      <c r="K38" s="1" t="s">
        <v>15</v>
      </c>
      <c r="L38" s="1" t="s">
        <v>149</v>
      </c>
      <c r="M38" s="1" t="s">
        <v>1163</v>
      </c>
      <c r="N38" s="1" t="str">
        <f t="shared" si="0"/>
        <v>TÉCNICO</v>
      </c>
      <c r="O38" s="3">
        <f t="shared" si="1"/>
        <v>45677.464717499999</v>
      </c>
      <c r="P38" s="3">
        <f t="shared" si="2"/>
        <v>45721.055513148145</v>
      </c>
      <c r="Q38" s="1" t="str">
        <f t="shared" si="3"/>
        <v>Interno</v>
      </c>
      <c r="R38" s="1">
        <f t="shared" si="4"/>
        <v>4</v>
      </c>
      <c r="S38" s="6">
        <f t="shared" si="5"/>
        <v>45677</v>
      </c>
      <c r="T38" s="1">
        <f t="shared" si="6"/>
        <v>10</v>
      </c>
      <c r="U38" s="6">
        <f t="shared" si="7"/>
        <v>45719</v>
      </c>
      <c r="V38" s="1">
        <f t="shared" si="8"/>
        <v>43.590795648146013</v>
      </c>
      <c r="W38" s="1">
        <f t="shared" si="9"/>
        <v>2025</v>
      </c>
      <c r="X38" s="1">
        <f t="shared" si="10"/>
        <v>2025</v>
      </c>
      <c r="Y38" s="1" t="str">
        <f t="shared" si="11"/>
        <v>2025-01</v>
      </c>
      <c r="Z38" s="1" t="str">
        <f t="shared" si="12"/>
        <v>2025-03</v>
      </c>
    </row>
    <row r="39" spans="1:26" x14ac:dyDescent="0.2">
      <c r="A39" s="2" t="s">
        <v>150</v>
      </c>
      <c r="B39" s="1" t="s">
        <v>151</v>
      </c>
      <c r="C39" s="1" t="s">
        <v>109</v>
      </c>
      <c r="D39" s="3">
        <v>45678.532718622686</v>
      </c>
      <c r="E39" s="3">
        <v>45684.557138773147</v>
      </c>
      <c r="F39" s="1" t="s">
        <v>52</v>
      </c>
      <c r="G39" s="1" t="s">
        <v>21</v>
      </c>
      <c r="H39" s="1" t="s">
        <v>13</v>
      </c>
      <c r="I39" s="1" t="s">
        <v>18</v>
      </c>
      <c r="J39" s="1" t="s">
        <v>16</v>
      </c>
      <c r="K39" s="1" t="s">
        <v>15</v>
      </c>
      <c r="L39" s="1" t="s">
        <v>13</v>
      </c>
      <c r="M39" s="1" t="s">
        <v>1163</v>
      </c>
      <c r="N39" s="1" t="str">
        <f t="shared" si="0"/>
        <v>SOPORTE</v>
      </c>
      <c r="O39" s="3">
        <f t="shared" si="1"/>
        <v>45678.532718622686</v>
      </c>
      <c r="P39" s="3">
        <f t="shared" si="2"/>
        <v>45684.557138773147</v>
      </c>
      <c r="Q39" s="1" t="str">
        <f t="shared" si="3"/>
        <v>Externo</v>
      </c>
      <c r="R39" s="1">
        <f t="shared" si="4"/>
        <v>4</v>
      </c>
      <c r="S39" s="6">
        <f t="shared" si="5"/>
        <v>45677</v>
      </c>
      <c r="T39" s="1">
        <f t="shared" si="6"/>
        <v>5</v>
      </c>
      <c r="U39" s="6">
        <f t="shared" si="7"/>
        <v>45684</v>
      </c>
      <c r="V39" s="1">
        <f t="shared" si="8"/>
        <v>6.0244201504610828</v>
      </c>
      <c r="W39" s="1">
        <f t="shared" si="9"/>
        <v>2025</v>
      </c>
      <c r="X39" s="1">
        <f t="shared" si="10"/>
        <v>2025</v>
      </c>
      <c r="Y39" s="1" t="str">
        <f t="shared" si="11"/>
        <v>2025-01</v>
      </c>
      <c r="Z39" s="1" t="str">
        <f t="shared" si="12"/>
        <v>2025-01</v>
      </c>
    </row>
    <row r="40" spans="1:26" x14ac:dyDescent="0.2">
      <c r="A40" s="2" t="s">
        <v>152</v>
      </c>
      <c r="B40" s="1" t="s">
        <v>153</v>
      </c>
      <c r="C40" s="1" t="s">
        <v>109</v>
      </c>
      <c r="D40" s="3">
        <v>45678.544417997684</v>
      </c>
      <c r="E40" s="3">
        <v>45680.444521006946</v>
      </c>
      <c r="F40" s="1" t="s">
        <v>52</v>
      </c>
      <c r="G40" s="1" t="s">
        <v>21</v>
      </c>
      <c r="H40" s="1" t="s">
        <v>13</v>
      </c>
      <c r="I40" s="1" t="s">
        <v>18</v>
      </c>
      <c r="J40" s="1" t="s">
        <v>16</v>
      </c>
      <c r="K40" s="1" t="s">
        <v>15</v>
      </c>
      <c r="L40" s="1" t="s">
        <v>13</v>
      </c>
      <c r="M40" s="1" t="s">
        <v>1163</v>
      </c>
      <c r="N40" s="1" t="str">
        <f t="shared" si="0"/>
        <v>SOPORTE</v>
      </c>
      <c r="O40" s="3">
        <f t="shared" si="1"/>
        <v>45678.544417997684</v>
      </c>
      <c r="P40" s="3">
        <f t="shared" si="2"/>
        <v>45680.444521006946</v>
      </c>
      <c r="Q40" s="1" t="str">
        <f t="shared" si="3"/>
        <v>Externo</v>
      </c>
      <c r="R40" s="1">
        <f t="shared" si="4"/>
        <v>4</v>
      </c>
      <c r="S40" s="6">
        <f t="shared" si="5"/>
        <v>45677</v>
      </c>
      <c r="T40" s="1">
        <f t="shared" si="6"/>
        <v>4</v>
      </c>
      <c r="U40" s="6">
        <f t="shared" si="7"/>
        <v>45677</v>
      </c>
      <c r="V40" s="1">
        <f t="shared" si="8"/>
        <v>1.9001030092622386</v>
      </c>
      <c r="W40" s="1">
        <f t="shared" si="9"/>
        <v>2025</v>
      </c>
      <c r="X40" s="1">
        <f t="shared" si="10"/>
        <v>2025</v>
      </c>
      <c r="Y40" s="1" t="str">
        <f t="shared" si="11"/>
        <v>2025-01</v>
      </c>
      <c r="Z40" s="1" t="str">
        <f t="shared" si="12"/>
        <v>2025-01</v>
      </c>
    </row>
    <row r="41" spans="1:26" x14ac:dyDescent="0.2">
      <c r="A41" s="2" t="s">
        <v>154</v>
      </c>
      <c r="B41" s="1" t="s">
        <v>155</v>
      </c>
      <c r="C41" s="1" t="s">
        <v>156</v>
      </c>
      <c r="D41" s="3">
        <v>45679.744531932869</v>
      </c>
      <c r="E41" s="3">
        <v>45684.519761111114</v>
      </c>
      <c r="F41" s="1" t="s">
        <v>52</v>
      </c>
      <c r="G41" s="1" t="s">
        <v>21</v>
      </c>
      <c r="H41" s="1" t="s">
        <v>13</v>
      </c>
      <c r="I41" s="1" t="s">
        <v>18</v>
      </c>
      <c r="J41" s="1" t="s">
        <v>16</v>
      </c>
      <c r="K41" s="1" t="s">
        <v>15</v>
      </c>
      <c r="L41" s="1" t="s">
        <v>13</v>
      </c>
      <c r="M41" s="1" t="s">
        <v>1162</v>
      </c>
      <c r="N41" s="1" t="str">
        <f t="shared" si="0"/>
        <v>SOPORTE</v>
      </c>
      <c r="O41" s="3">
        <f t="shared" si="1"/>
        <v>45679.744531932869</v>
      </c>
      <c r="P41" s="3">
        <f t="shared" si="2"/>
        <v>45684.519761111114</v>
      </c>
      <c r="Q41" s="1" t="str">
        <f t="shared" si="3"/>
        <v>Externo</v>
      </c>
      <c r="R41" s="1">
        <f t="shared" si="4"/>
        <v>4</v>
      </c>
      <c r="S41" s="6">
        <f t="shared" si="5"/>
        <v>45677</v>
      </c>
      <c r="T41" s="1">
        <f t="shared" si="6"/>
        <v>5</v>
      </c>
      <c r="U41" s="6">
        <f t="shared" si="7"/>
        <v>45684</v>
      </c>
      <c r="V41" s="1">
        <f t="shared" si="8"/>
        <v>4.775229178245354</v>
      </c>
      <c r="W41" s="1">
        <f t="shared" si="9"/>
        <v>2025</v>
      </c>
      <c r="X41" s="1">
        <f t="shared" si="10"/>
        <v>2025</v>
      </c>
      <c r="Y41" s="1" t="str">
        <f t="shared" si="11"/>
        <v>2025-01</v>
      </c>
      <c r="Z41" s="1" t="str">
        <f t="shared" si="12"/>
        <v>2025-01</v>
      </c>
    </row>
    <row r="42" spans="1:26" x14ac:dyDescent="0.2">
      <c r="A42" s="2" t="s">
        <v>157</v>
      </c>
      <c r="B42" s="1" t="s">
        <v>158</v>
      </c>
      <c r="C42" s="1" t="s">
        <v>13</v>
      </c>
      <c r="D42" s="3">
        <v>45680.344676377317</v>
      </c>
      <c r="E42" s="3">
        <v>45735.607070324077</v>
      </c>
      <c r="F42" s="1" t="s">
        <v>52</v>
      </c>
      <c r="G42" s="1" t="s">
        <v>53</v>
      </c>
      <c r="H42" s="1" t="s">
        <v>13</v>
      </c>
      <c r="I42" s="1" t="s">
        <v>99</v>
      </c>
      <c r="J42" s="1" t="s">
        <v>16</v>
      </c>
      <c r="K42" s="1" t="s">
        <v>15</v>
      </c>
      <c r="L42" s="1" t="s">
        <v>159</v>
      </c>
      <c r="M42" s="1" t="s">
        <v>13</v>
      </c>
      <c r="N42" s="1" t="str">
        <f t="shared" si="0"/>
        <v>TÉCNICO</v>
      </c>
      <c r="O42" s="3">
        <f t="shared" si="1"/>
        <v>45680.344676377317</v>
      </c>
      <c r="P42" s="3">
        <f t="shared" si="2"/>
        <v>45735.607070324077</v>
      </c>
      <c r="Q42" s="1" t="str">
        <f t="shared" si="3"/>
        <v>Interno</v>
      </c>
      <c r="R42" s="1">
        <f t="shared" si="4"/>
        <v>4</v>
      </c>
      <c r="S42" s="6">
        <f t="shared" si="5"/>
        <v>45677</v>
      </c>
      <c r="T42" s="1">
        <f t="shared" si="6"/>
        <v>12</v>
      </c>
      <c r="U42" s="6">
        <f t="shared" si="7"/>
        <v>45733</v>
      </c>
      <c r="V42" s="1">
        <f t="shared" si="8"/>
        <v>55.262393946759403</v>
      </c>
      <c r="W42" s="1">
        <f t="shared" si="9"/>
        <v>2025</v>
      </c>
      <c r="X42" s="1">
        <f t="shared" si="10"/>
        <v>2025</v>
      </c>
      <c r="Y42" s="1" t="str">
        <f t="shared" si="11"/>
        <v>2025-01</v>
      </c>
      <c r="Z42" s="1" t="str">
        <f t="shared" si="12"/>
        <v>2025-03</v>
      </c>
    </row>
    <row r="43" spans="1:26" x14ac:dyDescent="0.2">
      <c r="A43" s="2" t="s">
        <v>160</v>
      </c>
      <c r="B43" s="1" t="s">
        <v>161</v>
      </c>
      <c r="C43" s="1" t="s">
        <v>162</v>
      </c>
      <c r="D43" s="3">
        <v>45680.400920069442</v>
      </c>
      <c r="E43" s="3">
        <v>45708.404058599539</v>
      </c>
      <c r="F43" s="1" t="s">
        <v>52</v>
      </c>
      <c r="G43" s="1" t="s">
        <v>21</v>
      </c>
      <c r="H43" s="1" t="s">
        <v>13</v>
      </c>
      <c r="I43" s="1" t="s">
        <v>18</v>
      </c>
      <c r="J43" s="1" t="s">
        <v>16</v>
      </c>
      <c r="K43" s="1" t="s">
        <v>15</v>
      </c>
      <c r="L43" s="1" t="s">
        <v>13</v>
      </c>
      <c r="M43" s="1" t="s">
        <v>1162</v>
      </c>
      <c r="N43" s="1" t="str">
        <f t="shared" si="0"/>
        <v>SOPORTE</v>
      </c>
      <c r="O43" s="3">
        <f t="shared" si="1"/>
        <v>45680.400920069442</v>
      </c>
      <c r="P43" s="3">
        <f t="shared" si="2"/>
        <v>45708.404058599539</v>
      </c>
      <c r="Q43" s="1" t="str">
        <f t="shared" si="3"/>
        <v>Externo</v>
      </c>
      <c r="R43" s="1">
        <f t="shared" si="4"/>
        <v>4</v>
      </c>
      <c r="S43" s="6">
        <f t="shared" si="5"/>
        <v>45677</v>
      </c>
      <c r="T43" s="1">
        <f t="shared" si="6"/>
        <v>8</v>
      </c>
      <c r="U43" s="6">
        <f t="shared" si="7"/>
        <v>45705</v>
      </c>
      <c r="V43" s="1">
        <f t="shared" si="8"/>
        <v>28.003138530097203</v>
      </c>
      <c r="W43" s="1">
        <f t="shared" si="9"/>
        <v>2025</v>
      </c>
      <c r="X43" s="1">
        <f t="shared" si="10"/>
        <v>2025</v>
      </c>
      <c r="Y43" s="1" t="str">
        <f t="shared" si="11"/>
        <v>2025-01</v>
      </c>
      <c r="Z43" s="1" t="str">
        <f t="shared" si="12"/>
        <v>2025-02</v>
      </c>
    </row>
    <row r="44" spans="1:26" x14ac:dyDescent="0.2">
      <c r="A44" s="2" t="s">
        <v>163</v>
      </c>
      <c r="B44" s="1" t="s">
        <v>164</v>
      </c>
      <c r="C44" s="1" t="s">
        <v>78</v>
      </c>
      <c r="D44" s="3">
        <v>45680.427537731484</v>
      </c>
      <c r="E44" s="3">
        <v>45733.482548159722</v>
      </c>
      <c r="F44" s="1" t="s">
        <v>52</v>
      </c>
      <c r="G44" s="1" t="s">
        <v>21</v>
      </c>
      <c r="H44" s="1" t="s">
        <v>13</v>
      </c>
      <c r="I44" s="1" t="s">
        <v>18</v>
      </c>
      <c r="J44" s="1" t="s">
        <v>16</v>
      </c>
      <c r="K44" s="1" t="s">
        <v>15</v>
      </c>
      <c r="L44" s="1" t="s">
        <v>13</v>
      </c>
      <c r="M44" s="1" t="s">
        <v>1163</v>
      </c>
      <c r="N44" s="1" t="str">
        <f t="shared" si="0"/>
        <v>SOPORTE</v>
      </c>
      <c r="O44" s="3">
        <f t="shared" si="1"/>
        <v>45680.427537731484</v>
      </c>
      <c r="P44" s="3">
        <f t="shared" si="2"/>
        <v>45733.482548159722</v>
      </c>
      <c r="Q44" s="1" t="str">
        <f t="shared" si="3"/>
        <v>Externo</v>
      </c>
      <c r="R44" s="1">
        <f t="shared" si="4"/>
        <v>4</v>
      </c>
      <c r="S44" s="6">
        <f t="shared" si="5"/>
        <v>45677</v>
      </c>
      <c r="T44" s="1">
        <f t="shared" si="6"/>
        <v>12</v>
      </c>
      <c r="U44" s="6">
        <f t="shared" si="7"/>
        <v>45733</v>
      </c>
      <c r="V44" s="1">
        <f t="shared" si="8"/>
        <v>53.055010428237438</v>
      </c>
      <c r="W44" s="1">
        <f t="shared" si="9"/>
        <v>2025</v>
      </c>
      <c r="X44" s="1">
        <f t="shared" si="10"/>
        <v>2025</v>
      </c>
      <c r="Y44" s="1" t="str">
        <f t="shared" si="11"/>
        <v>2025-01</v>
      </c>
      <c r="Z44" s="1" t="str">
        <f t="shared" si="12"/>
        <v>2025-03</v>
      </c>
    </row>
    <row r="45" spans="1:26" x14ac:dyDescent="0.2">
      <c r="A45" s="2" t="s">
        <v>165</v>
      </c>
      <c r="B45" s="1" t="s">
        <v>166</v>
      </c>
      <c r="C45" s="1" t="s">
        <v>167</v>
      </c>
      <c r="D45" s="3">
        <v>45680.505979594906</v>
      </c>
      <c r="E45" s="3">
        <v>45693.366312314814</v>
      </c>
      <c r="F45" s="1" t="s">
        <v>52</v>
      </c>
      <c r="G45" s="1" t="s">
        <v>12</v>
      </c>
      <c r="H45" s="1" t="s">
        <v>13</v>
      </c>
      <c r="I45" s="1" t="s">
        <v>18</v>
      </c>
      <c r="J45" s="1" t="s">
        <v>16</v>
      </c>
      <c r="K45" s="1" t="s">
        <v>15</v>
      </c>
      <c r="L45" s="1" t="s">
        <v>13</v>
      </c>
      <c r="M45" s="1" t="s">
        <v>1163</v>
      </c>
      <c r="N45" s="1" t="str">
        <f t="shared" si="0"/>
        <v>DESARROLLO</v>
      </c>
      <c r="O45" s="3">
        <f t="shared" si="1"/>
        <v>45680.505979594906</v>
      </c>
      <c r="P45" s="3">
        <f t="shared" si="2"/>
        <v>45693.366312314814</v>
      </c>
      <c r="Q45" s="1" t="str">
        <f t="shared" si="3"/>
        <v>Interno</v>
      </c>
      <c r="R45" s="1">
        <f t="shared" si="4"/>
        <v>4</v>
      </c>
      <c r="S45" s="6">
        <f t="shared" si="5"/>
        <v>45677</v>
      </c>
      <c r="T45" s="1">
        <f t="shared" si="6"/>
        <v>6</v>
      </c>
      <c r="U45" s="6">
        <f t="shared" si="7"/>
        <v>45691</v>
      </c>
      <c r="V45" s="1">
        <f t="shared" si="8"/>
        <v>12.860332719908911</v>
      </c>
      <c r="W45" s="1">
        <f t="shared" si="9"/>
        <v>2025</v>
      </c>
      <c r="X45" s="1">
        <f t="shared" si="10"/>
        <v>2025</v>
      </c>
      <c r="Y45" s="1" t="str">
        <f t="shared" si="11"/>
        <v>2025-01</v>
      </c>
      <c r="Z45" s="1" t="str">
        <f t="shared" si="12"/>
        <v>2025-02</v>
      </c>
    </row>
    <row r="46" spans="1:26" x14ac:dyDescent="0.2">
      <c r="A46" s="2" t="s">
        <v>168</v>
      </c>
      <c r="B46" s="1" t="s">
        <v>169</v>
      </c>
      <c r="C46" s="1" t="s">
        <v>112</v>
      </c>
      <c r="D46" s="3">
        <v>45680.50675148148</v>
      </c>
      <c r="E46" s="3">
        <v>45681.478848854167</v>
      </c>
      <c r="F46" s="1" t="s">
        <v>52</v>
      </c>
      <c r="G46" s="1" t="s">
        <v>12</v>
      </c>
      <c r="H46" s="1" t="s">
        <v>13</v>
      </c>
      <c r="I46" s="1" t="s">
        <v>18</v>
      </c>
      <c r="J46" s="1" t="s">
        <v>16</v>
      </c>
      <c r="K46" s="1" t="s">
        <v>15</v>
      </c>
      <c r="L46" s="1" t="s">
        <v>13</v>
      </c>
      <c r="M46" s="1" t="s">
        <v>1165</v>
      </c>
      <c r="N46" s="1" t="str">
        <f t="shared" si="0"/>
        <v>DESARROLLO</v>
      </c>
      <c r="O46" s="3">
        <f t="shared" si="1"/>
        <v>45680.50675148148</v>
      </c>
      <c r="P46" s="3">
        <f t="shared" si="2"/>
        <v>45681.478848854167</v>
      </c>
      <c r="Q46" s="1" t="str">
        <f t="shared" si="3"/>
        <v>Interno</v>
      </c>
      <c r="R46" s="1">
        <f t="shared" si="4"/>
        <v>4</v>
      </c>
      <c r="S46" s="6">
        <f t="shared" si="5"/>
        <v>45677</v>
      </c>
      <c r="T46" s="1">
        <f t="shared" si="6"/>
        <v>4</v>
      </c>
      <c r="U46" s="6">
        <f t="shared" si="7"/>
        <v>45677</v>
      </c>
      <c r="V46" s="1">
        <f t="shared" si="8"/>
        <v>0.9720973726871307</v>
      </c>
      <c r="W46" s="1">
        <f t="shared" si="9"/>
        <v>2025</v>
      </c>
      <c r="X46" s="1">
        <f t="shared" si="10"/>
        <v>2025</v>
      </c>
      <c r="Y46" s="1" t="str">
        <f t="shared" si="11"/>
        <v>2025-01</v>
      </c>
      <c r="Z46" s="1" t="str">
        <f t="shared" si="12"/>
        <v>2025-01</v>
      </c>
    </row>
    <row r="47" spans="1:26" x14ac:dyDescent="0.2">
      <c r="A47" s="2" t="s">
        <v>170</v>
      </c>
      <c r="B47" s="1" t="s">
        <v>171</v>
      </c>
      <c r="C47" s="1" t="s">
        <v>109</v>
      </c>
      <c r="D47" s="3">
        <v>45684.508194456015</v>
      </c>
      <c r="E47" s="3">
        <v>45684.559652974538</v>
      </c>
      <c r="F47" s="1" t="s">
        <v>52</v>
      </c>
      <c r="G47" s="1" t="s">
        <v>21</v>
      </c>
      <c r="H47" s="1" t="s">
        <v>13</v>
      </c>
      <c r="I47" s="1" t="s">
        <v>18</v>
      </c>
      <c r="J47" s="1" t="s">
        <v>16</v>
      </c>
      <c r="K47" s="1" t="s">
        <v>15</v>
      </c>
      <c r="L47" s="1" t="s">
        <v>13</v>
      </c>
      <c r="M47" s="1" t="s">
        <v>1163</v>
      </c>
      <c r="N47" s="1" t="str">
        <f t="shared" si="0"/>
        <v>SOPORTE</v>
      </c>
      <c r="O47" s="3">
        <f t="shared" si="1"/>
        <v>45684.508194456015</v>
      </c>
      <c r="P47" s="3">
        <f t="shared" si="2"/>
        <v>45684.559652974538</v>
      </c>
      <c r="Q47" s="1" t="str">
        <f t="shared" si="3"/>
        <v>Externo</v>
      </c>
      <c r="R47" s="1">
        <f t="shared" si="4"/>
        <v>5</v>
      </c>
      <c r="S47" s="6">
        <f t="shared" si="5"/>
        <v>45684</v>
      </c>
      <c r="T47" s="1">
        <f t="shared" si="6"/>
        <v>5</v>
      </c>
      <c r="U47" s="6">
        <f t="shared" si="7"/>
        <v>45684</v>
      </c>
      <c r="V47" s="1">
        <f t="shared" si="8"/>
        <v>5.1458518522849772E-2</v>
      </c>
      <c r="W47" s="1">
        <f t="shared" si="9"/>
        <v>2025</v>
      </c>
      <c r="X47" s="1">
        <f t="shared" si="10"/>
        <v>2025</v>
      </c>
      <c r="Y47" s="1" t="str">
        <f t="shared" si="11"/>
        <v>2025-01</v>
      </c>
      <c r="Z47" s="1" t="str">
        <f t="shared" si="12"/>
        <v>2025-01</v>
      </c>
    </row>
    <row r="48" spans="1:26" x14ac:dyDescent="0.2">
      <c r="A48" s="2" t="s">
        <v>172</v>
      </c>
      <c r="B48" s="1" t="s">
        <v>173</v>
      </c>
      <c r="C48" s="1" t="s">
        <v>83</v>
      </c>
      <c r="D48" s="3">
        <v>45685.470419178244</v>
      </c>
      <c r="E48" s="3">
        <v>45686.666366886573</v>
      </c>
      <c r="F48" s="1" t="s">
        <v>52</v>
      </c>
      <c r="G48" s="1" t="s">
        <v>21</v>
      </c>
      <c r="H48" s="1" t="s">
        <v>13</v>
      </c>
      <c r="I48" s="1" t="s">
        <v>18</v>
      </c>
      <c r="J48" s="1" t="s">
        <v>16</v>
      </c>
      <c r="K48" s="1" t="s">
        <v>15</v>
      </c>
      <c r="L48" s="1" t="s">
        <v>13</v>
      </c>
      <c r="M48" s="1" t="s">
        <v>1163</v>
      </c>
      <c r="N48" s="1" t="str">
        <f t="shared" si="0"/>
        <v>SOPORTE</v>
      </c>
      <c r="O48" s="3">
        <f t="shared" si="1"/>
        <v>45685.470419178244</v>
      </c>
      <c r="P48" s="3">
        <f t="shared" si="2"/>
        <v>45686.666366886573</v>
      </c>
      <c r="Q48" s="1" t="str">
        <f t="shared" si="3"/>
        <v>Externo</v>
      </c>
      <c r="R48" s="1">
        <f t="shared" si="4"/>
        <v>5</v>
      </c>
      <c r="S48" s="6">
        <f t="shared" si="5"/>
        <v>45684</v>
      </c>
      <c r="T48" s="1">
        <f t="shared" si="6"/>
        <v>5</v>
      </c>
      <c r="U48" s="6">
        <f t="shared" si="7"/>
        <v>45684</v>
      </c>
      <c r="V48" s="1">
        <f t="shared" si="8"/>
        <v>1.1959477083291858</v>
      </c>
      <c r="W48" s="1">
        <f t="shared" si="9"/>
        <v>2025</v>
      </c>
      <c r="X48" s="1">
        <f t="shared" si="10"/>
        <v>2025</v>
      </c>
      <c r="Y48" s="1" t="str">
        <f t="shared" si="11"/>
        <v>2025-01</v>
      </c>
      <c r="Z48" s="1" t="str">
        <f t="shared" si="12"/>
        <v>2025-01</v>
      </c>
    </row>
    <row r="49" spans="1:26" x14ac:dyDescent="0.2">
      <c r="A49" s="2" t="s">
        <v>174</v>
      </c>
      <c r="B49" s="1" t="s">
        <v>175</v>
      </c>
      <c r="C49" s="1" t="s">
        <v>109</v>
      </c>
      <c r="D49" s="3">
        <v>45686.662849768516</v>
      </c>
      <c r="E49" s="3">
        <v>45694.425845405094</v>
      </c>
      <c r="F49" s="1" t="s">
        <v>52</v>
      </c>
      <c r="G49" s="1" t="s">
        <v>21</v>
      </c>
      <c r="H49" s="1" t="s">
        <v>13</v>
      </c>
      <c r="I49" s="1" t="s">
        <v>18</v>
      </c>
      <c r="J49" s="1" t="s">
        <v>16</v>
      </c>
      <c r="K49" s="1" t="s">
        <v>15</v>
      </c>
      <c r="L49" s="1" t="s">
        <v>13</v>
      </c>
      <c r="M49" s="1" t="s">
        <v>1163</v>
      </c>
      <c r="N49" s="1" t="str">
        <f t="shared" si="0"/>
        <v>SOPORTE</v>
      </c>
      <c r="O49" s="3">
        <f t="shared" si="1"/>
        <v>45686.662849768516</v>
      </c>
      <c r="P49" s="3">
        <f t="shared" si="2"/>
        <v>45694.425845405094</v>
      </c>
      <c r="Q49" s="1" t="str">
        <f t="shared" si="3"/>
        <v>Externo</v>
      </c>
      <c r="R49" s="1">
        <f t="shared" si="4"/>
        <v>5</v>
      </c>
      <c r="S49" s="6">
        <f t="shared" si="5"/>
        <v>45684</v>
      </c>
      <c r="T49" s="1">
        <f t="shared" si="6"/>
        <v>6</v>
      </c>
      <c r="U49" s="6">
        <f t="shared" si="7"/>
        <v>45691</v>
      </c>
      <c r="V49" s="1">
        <f t="shared" si="8"/>
        <v>7.7629956365781254</v>
      </c>
      <c r="W49" s="1">
        <f t="shared" si="9"/>
        <v>2025</v>
      </c>
      <c r="X49" s="1">
        <f t="shared" si="10"/>
        <v>2025</v>
      </c>
      <c r="Y49" s="1" t="str">
        <f t="shared" si="11"/>
        <v>2025-01</v>
      </c>
      <c r="Z49" s="1" t="str">
        <f t="shared" si="12"/>
        <v>2025-02</v>
      </c>
    </row>
    <row r="50" spans="1:26" x14ac:dyDescent="0.2">
      <c r="A50" s="2" t="s">
        <v>176</v>
      </c>
      <c r="B50" s="1" t="s">
        <v>177</v>
      </c>
      <c r="C50" s="1" t="s">
        <v>78</v>
      </c>
      <c r="D50" s="3">
        <v>45686.727936620373</v>
      </c>
      <c r="E50" s="3">
        <v>45694.408893425927</v>
      </c>
      <c r="F50" s="1" t="s">
        <v>52</v>
      </c>
      <c r="G50" s="1" t="s">
        <v>21</v>
      </c>
      <c r="H50" s="1" t="s">
        <v>13</v>
      </c>
      <c r="I50" s="1" t="s">
        <v>18</v>
      </c>
      <c r="J50" s="1" t="s">
        <v>16</v>
      </c>
      <c r="K50" s="1" t="s">
        <v>15</v>
      </c>
      <c r="L50" s="1" t="s">
        <v>13</v>
      </c>
      <c r="M50" s="1" t="s">
        <v>1163</v>
      </c>
      <c r="N50" s="1" t="str">
        <f t="shared" si="0"/>
        <v>SOPORTE</v>
      </c>
      <c r="O50" s="3">
        <f t="shared" si="1"/>
        <v>45686.727936620373</v>
      </c>
      <c r="P50" s="3">
        <f t="shared" si="2"/>
        <v>45694.408893425927</v>
      </c>
      <c r="Q50" s="1" t="str">
        <f t="shared" si="3"/>
        <v>Externo</v>
      </c>
      <c r="R50" s="1">
        <f t="shared" si="4"/>
        <v>5</v>
      </c>
      <c r="S50" s="6">
        <f t="shared" si="5"/>
        <v>45684</v>
      </c>
      <c r="T50" s="1">
        <f t="shared" si="6"/>
        <v>6</v>
      </c>
      <c r="U50" s="6">
        <f t="shared" si="7"/>
        <v>45691</v>
      </c>
      <c r="V50" s="1">
        <f t="shared" si="8"/>
        <v>7.6809568055541604</v>
      </c>
      <c r="W50" s="1">
        <f t="shared" si="9"/>
        <v>2025</v>
      </c>
      <c r="X50" s="1">
        <f t="shared" si="10"/>
        <v>2025</v>
      </c>
      <c r="Y50" s="1" t="str">
        <f t="shared" si="11"/>
        <v>2025-01</v>
      </c>
      <c r="Z50" s="1" t="str">
        <f t="shared" si="12"/>
        <v>2025-02</v>
      </c>
    </row>
    <row r="51" spans="1:26" x14ac:dyDescent="0.2">
      <c r="A51" s="2" t="s">
        <v>178</v>
      </c>
      <c r="B51" s="1" t="s">
        <v>179</v>
      </c>
      <c r="C51" s="1" t="s">
        <v>13</v>
      </c>
      <c r="D51" s="3">
        <v>45687.484627071761</v>
      </c>
      <c r="E51" s="3">
        <v>45721.055512754632</v>
      </c>
      <c r="F51" s="1" t="s">
        <v>52</v>
      </c>
      <c r="G51" s="1" t="s">
        <v>12</v>
      </c>
      <c r="H51" s="1" t="s">
        <v>13</v>
      </c>
      <c r="I51" s="1" t="s">
        <v>99</v>
      </c>
      <c r="J51" s="1" t="s">
        <v>16</v>
      </c>
      <c r="K51" s="1" t="s">
        <v>15</v>
      </c>
      <c r="L51" s="1" t="s">
        <v>149</v>
      </c>
      <c r="M51" s="1" t="s">
        <v>1162</v>
      </c>
      <c r="N51" s="1" t="str">
        <f t="shared" si="0"/>
        <v>DESARROLLO</v>
      </c>
      <c r="O51" s="3">
        <f t="shared" si="1"/>
        <v>45687.484627071761</v>
      </c>
      <c r="P51" s="3">
        <f t="shared" si="2"/>
        <v>45721.055512754632</v>
      </c>
      <c r="Q51" s="1" t="str">
        <f t="shared" si="3"/>
        <v>Interno</v>
      </c>
      <c r="R51" s="1">
        <f t="shared" si="4"/>
        <v>5</v>
      </c>
      <c r="S51" s="6">
        <f t="shared" si="5"/>
        <v>45684</v>
      </c>
      <c r="T51" s="1">
        <f t="shared" si="6"/>
        <v>10</v>
      </c>
      <c r="U51" s="6">
        <f t="shared" si="7"/>
        <v>45719</v>
      </c>
      <c r="V51" s="1">
        <f t="shared" si="8"/>
        <v>33.570885682871449</v>
      </c>
      <c r="W51" s="1">
        <f t="shared" si="9"/>
        <v>2025</v>
      </c>
      <c r="X51" s="1">
        <f t="shared" si="10"/>
        <v>2025</v>
      </c>
      <c r="Y51" s="1" t="str">
        <f t="shared" si="11"/>
        <v>2025-01</v>
      </c>
      <c r="Z51" s="1" t="str">
        <f t="shared" si="12"/>
        <v>2025-03</v>
      </c>
    </row>
    <row r="52" spans="1:26" x14ac:dyDescent="0.2">
      <c r="A52" s="2" t="s">
        <v>180</v>
      </c>
      <c r="B52" s="1" t="s">
        <v>181</v>
      </c>
      <c r="C52" s="1" t="s">
        <v>83</v>
      </c>
      <c r="D52" s="3">
        <v>45687.704199050924</v>
      </c>
      <c r="E52" s="3">
        <v>45687.713221886574</v>
      </c>
      <c r="F52" s="1" t="s">
        <v>52</v>
      </c>
      <c r="G52" s="1" t="s">
        <v>21</v>
      </c>
      <c r="H52" s="1" t="s">
        <v>13</v>
      </c>
      <c r="I52" s="1" t="s">
        <v>18</v>
      </c>
      <c r="J52" s="1" t="s">
        <v>16</v>
      </c>
      <c r="K52" s="1" t="s">
        <v>15</v>
      </c>
      <c r="L52" s="1" t="s">
        <v>13</v>
      </c>
      <c r="M52" s="1" t="s">
        <v>1163</v>
      </c>
      <c r="N52" s="1" t="str">
        <f t="shared" si="0"/>
        <v>SOPORTE</v>
      </c>
      <c r="O52" s="3">
        <f t="shared" si="1"/>
        <v>45687.704199050924</v>
      </c>
      <c r="P52" s="3">
        <f t="shared" si="2"/>
        <v>45687.713221886574</v>
      </c>
      <c r="Q52" s="1" t="str">
        <f t="shared" si="3"/>
        <v>Externo</v>
      </c>
      <c r="R52" s="1">
        <f t="shared" si="4"/>
        <v>5</v>
      </c>
      <c r="S52" s="6">
        <f t="shared" si="5"/>
        <v>45684</v>
      </c>
      <c r="T52" s="1">
        <f t="shared" si="6"/>
        <v>5</v>
      </c>
      <c r="U52" s="6">
        <f t="shared" si="7"/>
        <v>45684</v>
      </c>
      <c r="V52" s="1">
        <f t="shared" si="8"/>
        <v>9.0228356493753381E-3</v>
      </c>
      <c r="W52" s="1">
        <f t="shared" si="9"/>
        <v>2025</v>
      </c>
      <c r="X52" s="1">
        <f t="shared" si="10"/>
        <v>2025</v>
      </c>
      <c r="Y52" s="1" t="str">
        <f t="shared" si="11"/>
        <v>2025-01</v>
      </c>
      <c r="Z52" s="1" t="str">
        <f t="shared" si="12"/>
        <v>2025-01</v>
      </c>
    </row>
    <row r="53" spans="1:26" x14ac:dyDescent="0.2">
      <c r="A53" s="2" t="s">
        <v>182</v>
      </c>
      <c r="B53" s="1" t="s">
        <v>183</v>
      </c>
      <c r="C53" s="1" t="s">
        <v>184</v>
      </c>
      <c r="D53" s="3">
        <v>45688.469020972225</v>
      </c>
      <c r="E53" s="3">
        <v>45688.504912233795</v>
      </c>
      <c r="F53" s="1" t="s">
        <v>52</v>
      </c>
      <c r="G53" s="1" t="s">
        <v>21</v>
      </c>
      <c r="H53" s="1" t="s">
        <v>13</v>
      </c>
      <c r="I53" s="1" t="s">
        <v>13</v>
      </c>
      <c r="J53" s="1" t="s">
        <v>16</v>
      </c>
      <c r="K53" s="1" t="s">
        <v>15</v>
      </c>
      <c r="L53" s="1" t="s">
        <v>13</v>
      </c>
      <c r="M53" s="1" t="s">
        <v>13</v>
      </c>
      <c r="N53" s="1" t="str">
        <f t="shared" si="0"/>
        <v>SOPORTE</v>
      </c>
      <c r="O53" s="3">
        <f t="shared" si="1"/>
        <v>45688.469020972225</v>
      </c>
      <c r="P53" s="3">
        <f t="shared" si="2"/>
        <v>45688.504912233795</v>
      </c>
      <c r="Q53" s="1" t="str">
        <f t="shared" si="3"/>
        <v>Externo</v>
      </c>
      <c r="R53" s="1">
        <f t="shared" si="4"/>
        <v>5</v>
      </c>
      <c r="S53" s="6">
        <f t="shared" si="5"/>
        <v>45684</v>
      </c>
      <c r="T53" s="1">
        <f t="shared" si="6"/>
        <v>5</v>
      </c>
      <c r="U53" s="6">
        <f t="shared" si="7"/>
        <v>45684</v>
      </c>
      <c r="V53" s="1">
        <f t="shared" si="8"/>
        <v>3.5891261570213828E-2</v>
      </c>
      <c r="W53" s="1">
        <f t="shared" si="9"/>
        <v>2025</v>
      </c>
      <c r="X53" s="1">
        <f t="shared" si="10"/>
        <v>2025</v>
      </c>
      <c r="Y53" s="1" t="str">
        <f t="shared" si="11"/>
        <v>2025-01</v>
      </c>
      <c r="Z53" s="1" t="str">
        <f t="shared" si="12"/>
        <v>2025-01</v>
      </c>
    </row>
    <row r="54" spans="1:26" x14ac:dyDescent="0.2">
      <c r="A54" s="2" t="s">
        <v>185</v>
      </c>
      <c r="B54" s="1" t="s">
        <v>186</v>
      </c>
      <c r="C54" s="1" t="s">
        <v>109</v>
      </c>
      <c r="D54" s="3">
        <v>45692.384052488429</v>
      </c>
      <c r="E54" s="3">
        <v>45694.433583298611</v>
      </c>
      <c r="F54" s="1" t="s">
        <v>52</v>
      </c>
      <c r="G54" s="1" t="s">
        <v>21</v>
      </c>
      <c r="H54" s="1" t="s">
        <v>13</v>
      </c>
      <c r="I54" s="1" t="s">
        <v>18</v>
      </c>
      <c r="J54" s="1" t="s">
        <v>16</v>
      </c>
      <c r="K54" s="1" t="s">
        <v>15</v>
      </c>
      <c r="L54" s="1" t="s">
        <v>13</v>
      </c>
      <c r="M54" s="1" t="s">
        <v>1163</v>
      </c>
      <c r="N54" s="1" t="str">
        <f t="shared" si="0"/>
        <v>SOPORTE</v>
      </c>
      <c r="O54" s="3">
        <f t="shared" si="1"/>
        <v>45692.384052488429</v>
      </c>
      <c r="P54" s="3">
        <f t="shared" si="2"/>
        <v>45694.433583298611</v>
      </c>
      <c r="Q54" s="1" t="str">
        <f t="shared" si="3"/>
        <v>Externo</v>
      </c>
      <c r="R54" s="1">
        <f t="shared" si="4"/>
        <v>6</v>
      </c>
      <c r="S54" s="6">
        <f t="shared" si="5"/>
        <v>45691</v>
      </c>
      <c r="T54" s="1">
        <f t="shared" si="6"/>
        <v>6</v>
      </c>
      <c r="U54" s="6">
        <f t="shared" si="7"/>
        <v>45691</v>
      </c>
      <c r="V54" s="1">
        <f t="shared" si="8"/>
        <v>2.04953081018175</v>
      </c>
      <c r="W54" s="1">
        <f t="shared" si="9"/>
        <v>2025</v>
      </c>
      <c r="X54" s="1">
        <f t="shared" si="10"/>
        <v>2025</v>
      </c>
      <c r="Y54" s="1" t="str">
        <f t="shared" si="11"/>
        <v>2025-02</v>
      </c>
      <c r="Z54" s="1" t="str">
        <f t="shared" si="12"/>
        <v>2025-02</v>
      </c>
    </row>
    <row r="55" spans="1:26" x14ac:dyDescent="0.2">
      <c r="A55" s="2" t="s">
        <v>187</v>
      </c>
      <c r="B55" s="1" t="s">
        <v>188</v>
      </c>
      <c r="C55" s="1" t="s">
        <v>109</v>
      </c>
      <c r="D55" s="3">
        <v>45692.411272708334</v>
      </c>
      <c r="E55" s="3">
        <v>45693.397088460646</v>
      </c>
      <c r="F55" s="1" t="s">
        <v>52</v>
      </c>
      <c r="G55" s="1" t="s">
        <v>21</v>
      </c>
      <c r="H55" s="1" t="s">
        <v>13</v>
      </c>
      <c r="I55" s="1" t="s">
        <v>18</v>
      </c>
      <c r="J55" s="1" t="s">
        <v>16</v>
      </c>
      <c r="K55" s="1" t="s">
        <v>15</v>
      </c>
      <c r="L55" s="1" t="s">
        <v>13</v>
      </c>
      <c r="M55" s="1" t="s">
        <v>1163</v>
      </c>
      <c r="N55" s="1" t="str">
        <f t="shared" si="0"/>
        <v>SOPORTE</v>
      </c>
      <c r="O55" s="3">
        <f t="shared" si="1"/>
        <v>45692.411272708334</v>
      </c>
      <c r="P55" s="3">
        <f t="shared" si="2"/>
        <v>45693.397088460646</v>
      </c>
      <c r="Q55" s="1" t="str">
        <f t="shared" si="3"/>
        <v>Externo</v>
      </c>
      <c r="R55" s="1">
        <f t="shared" si="4"/>
        <v>6</v>
      </c>
      <c r="S55" s="6">
        <f t="shared" si="5"/>
        <v>45691</v>
      </c>
      <c r="T55" s="1">
        <f t="shared" si="6"/>
        <v>6</v>
      </c>
      <c r="U55" s="6">
        <f t="shared" si="7"/>
        <v>45691</v>
      </c>
      <c r="V55" s="1">
        <f t="shared" si="8"/>
        <v>0.98581575231219176</v>
      </c>
      <c r="W55" s="1">
        <f t="shared" si="9"/>
        <v>2025</v>
      </c>
      <c r="X55" s="1">
        <f t="shared" si="10"/>
        <v>2025</v>
      </c>
      <c r="Y55" s="1" t="str">
        <f t="shared" si="11"/>
        <v>2025-02</v>
      </c>
      <c r="Z55" s="1" t="str">
        <f t="shared" si="12"/>
        <v>2025-02</v>
      </c>
    </row>
    <row r="56" spans="1:26" x14ac:dyDescent="0.2">
      <c r="A56" s="2" t="s">
        <v>189</v>
      </c>
      <c r="B56" s="1" t="s">
        <v>190</v>
      </c>
      <c r="C56" s="1" t="s">
        <v>191</v>
      </c>
      <c r="D56" s="3">
        <v>45692.412238483797</v>
      </c>
      <c r="E56" s="3">
        <v>45708.383328506941</v>
      </c>
      <c r="F56" s="1" t="s">
        <v>52</v>
      </c>
      <c r="G56" s="1" t="s">
        <v>12</v>
      </c>
      <c r="H56" s="1" t="s">
        <v>13</v>
      </c>
      <c r="I56" s="1" t="s">
        <v>18</v>
      </c>
      <c r="J56" s="1" t="s">
        <v>16</v>
      </c>
      <c r="K56" s="1" t="s">
        <v>15</v>
      </c>
      <c r="L56" s="1" t="s">
        <v>13</v>
      </c>
      <c r="M56" s="1" t="s">
        <v>1163</v>
      </c>
      <c r="N56" s="1" t="str">
        <f t="shared" si="0"/>
        <v>DESARROLLO</v>
      </c>
      <c r="O56" s="3">
        <f t="shared" si="1"/>
        <v>45692.412238483797</v>
      </c>
      <c r="P56" s="3">
        <f t="shared" si="2"/>
        <v>45708.383328506941</v>
      </c>
      <c r="Q56" s="1" t="str">
        <f t="shared" si="3"/>
        <v>Interno</v>
      </c>
      <c r="R56" s="1">
        <f t="shared" si="4"/>
        <v>6</v>
      </c>
      <c r="S56" s="6">
        <f t="shared" si="5"/>
        <v>45691</v>
      </c>
      <c r="T56" s="1">
        <f t="shared" si="6"/>
        <v>8</v>
      </c>
      <c r="U56" s="6">
        <f t="shared" si="7"/>
        <v>45705</v>
      </c>
      <c r="V56" s="1">
        <f t="shared" si="8"/>
        <v>15.971090023143915</v>
      </c>
      <c r="W56" s="1">
        <f t="shared" si="9"/>
        <v>2025</v>
      </c>
      <c r="X56" s="1">
        <f t="shared" si="10"/>
        <v>2025</v>
      </c>
      <c r="Y56" s="1" t="str">
        <f t="shared" si="11"/>
        <v>2025-02</v>
      </c>
      <c r="Z56" s="1" t="str">
        <f t="shared" si="12"/>
        <v>2025-02</v>
      </c>
    </row>
    <row r="57" spans="1:26" x14ac:dyDescent="0.2">
      <c r="A57" s="2" t="s">
        <v>192</v>
      </c>
      <c r="B57" s="1" t="s">
        <v>193</v>
      </c>
      <c r="C57" s="1" t="s">
        <v>83</v>
      </c>
      <c r="D57" s="3">
        <v>45692.610696516203</v>
      </c>
      <c r="E57" s="3">
        <v>45708.401478495369</v>
      </c>
      <c r="F57" s="1" t="s">
        <v>52</v>
      </c>
      <c r="G57" s="1" t="s">
        <v>21</v>
      </c>
      <c r="H57" s="1" t="s">
        <v>13</v>
      </c>
      <c r="I57" s="1" t="s">
        <v>18</v>
      </c>
      <c r="J57" s="1" t="s">
        <v>16</v>
      </c>
      <c r="K57" s="1" t="s">
        <v>15</v>
      </c>
      <c r="L57" s="1" t="s">
        <v>13</v>
      </c>
      <c r="M57" s="1" t="s">
        <v>1163</v>
      </c>
      <c r="N57" s="1" t="str">
        <f t="shared" si="0"/>
        <v>SOPORTE</v>
      </c>
      <c r="O57" s="3">
        <f t="shared" si="1"/>
        <v>45692.610696516203</v>
      </c>
      <c r="P57" s="3">
        <f t="shared" si="2"/>
        <v>45708.401478495369</v>
      </c>
      <c r="Q57" s="1" t="str">
        <f t="shared" si="3"/>
        <v>Externo</v>
      </c>
      <c r="R57" s="1">
        <f t="shared" si="4"/>
        <v>6</v>
      </c>
      <c r="S57" s="6">
        <f t="shared" si="5"/>
        <v>45691</v>
      </c>
      <c r="T57" s="1">
        <f t="shared" si="6"/>
        <v>8</v>
      </c>
      <c r="U57" s="6">
        <f t="shared" si="7"/>
        <v>45705</v>
      </c>
      <c r="V57" s="1">
        <f t="shared" si="8"/>
        <v>15.790781979165331</v>
      </c>
      <c r="W57" s="1">
        <f t="shared" si="9"/>
        <v>2025</v>
      </c>
      <c r="X57" s="1">
        <f t="shared" si="10"/>
        <v>2025</v>
      </c>
      <c r="Y57" s="1" t="str">
        <f t="shared" si="11"/>
        <v>2025-02</v>
      </c>
      <c r="Z57" s="1" t="str">
        <f t="shared" si="12"/>
        <v>2025-02</v>
      </c>
    </row>
    <row r="58" spans="1:26" x14ac:dyDescent="0.2">
      <c r="A58" s="2" t="s">
        <v>194</v>
      </c>
      <c r="B58" s="1" t="s">
        <v>195</v>
      </c>
      <c r="C58" s="1" t="s">
        <v>13</v>
      </c>
      <c r="D58" s="3">
        <v>45693.009704328702</v>
      </c>
      <c r="E58" s="3">
        <v>45721.055509537036</v>
      </c>
      <c r="F58" s="1" t="s">
        <v>52</v>
      </c>
      <c r="G58" s="1" t="s">
        <v>12</v>
      </c>
      <c r="H58" s="1" t="s">
        <v>13</v>
      </c>
      <c r="I58" s="1" t="s">
        <v>148</v>
      </c>
      <c r="J58" s="1" t="s">
        <v>16</v>
      </c>
      <c r="K58" s="1" t="s">
        <v>15</v>
      </c>
      <c r="L58" s="1" t="s">
        <v>159</v>
      </c>
      <c r="M58" s="1" t="s">
        <v>1163</v>
      </c>
      <c r="N58" s="1" t="str">
        <f t="shared" si="0"/>
        <v>DESARROLLO</v>
      </c>
      <c r="O58" s="3">
        <f t="shared" si="1"/>
        <v>45693.009704328702</v>
      </c>
      <c r="P58" s="3">
        <f t="shared" si="2"/>
        <v>45721.055509537036</v>
      </c>
      <c r="Q58" s="1" t="str">
        <f t="shared" si="3"/>
        <v>Interno</v>
      </c>
      <c r="R58" s="1">
        <f t="shared" si="4"/>
        <v>6</v>
      </c>
      <c r="S58" s="6">
        <f t="shared" si="5"/>
        <v>45691</v>
      </c>
      <c r="T58" s="1">
        <f t="shared" si="6"/>
        <v>10</v>
      </c>
      <c r="U58" s="6">
        <f t="shared" si="7"/>
        <v>45719</v>
      </c>
      <c r="V58" s="1">
        <f t="shared" si="8"/>
        <v>28.045805208334059</v>
      </c>
      <c r="W58" s="1">
        <f t="shared" si="9"/>
        <v>2025</v>
      </c>
      <c r="X58" s="1">
        <f t="shared" si="10"/>
        <v>2025</v>
      </c>
      <c r="Y58" s="1" t="str">
        <f t="shared" si="11"/>
        <v>2025-02</v>
      </c>
      <c r="Z58" s="1" t="str">
        <f t="shared" si="12"/>
        <v>2025-03</v>
      </c>
    </row>
    <row r="59" spans="1:26" x14ac:dyDescent="0.2">
      <c r="A59" s="2" t="s">
        <v>196</v>
      </c>
      <c r="B59" s="1" t="s">
        <v>197</v>
      </c>
      <c r="C59" s="1" t="s">
        <v>127</v>
      </c>
      <c r="D59" s="3">
        <v>45693.031575000001</v>
      </c>
      <c r="E59" s="3">
        <v>45708.383330300923</v>
      </c>
      <c r="F59" s="1" t="s">
        <v>52</v>
      </c>
      <c r="G59" s="1" t="s">
        <v>53</v>
      </c>
      <c r="H59" s="1" t="s">
        <v>13</v>
      </c>
      <c r="I59" s="1" t="s">
        <v>18</v>
      </c>
      <c r="J59" s="1" t="s">
        <v>16</v>
      </c>
      <c r="K59" s="1" t="s">
        <v>15</v>
      </c>
      <c r="L59" s="1" t="s">
        <v>13</v>
      </c>
      <c r="M59" s="1" t="s">
        <v>1163</v>
      </c>
      <c r="N59" s="1" t="str">
        <f t="shared" si="0"/>
        <v>TÉCNICO</v>
      </c>
      <c r="O59" s="3">
        <f t="shared" si="1"/>
        <v>45693.031575000001</v>
      </c>
      <c r="P59" s="3">
        <f t="shared" si="2"/>
        <v>45708.383330300923</v>
      </c>
      <c r="Q59" s="1" t="str">
        <f t="shared" si="3"/>
        <v>Interno</v>
      </c>
      <c r="R59" s="1">
        <f t="shared" si="4"/>
        <v>6</v>
      </c>
      <c r="S59" s="6">
        <f t="shared" si="5"/>
        <v>45691</v>
      </c>
      <c r="T59" s="1">
        <f t="shared" si="6"/>
        <v>8</v>
      </c>
      <c r="U59" s="6">
        <f t="shared" si="7"/>
        <v>45705</v>
      </c>
      <c r="V59" s="1">
        <f t="shared" si="8"/>
        <v>15.351755300922378</v>
      </c>
      <c r="W59" s="1">
        <f t="shared" si="9"/>
        <v>2025</v>
      </c>
      <c r="X59" s="1">
        <f t="shared" si="10"/>
        <v>2025</v>
      </c>
      <c r="Y59" s="1" t="str">
        <f t="shared" si="11"/>
        <v>2025-02</v>
      </c>
      <c r="Z59" s="1" t="str">
        <f t="shared" si="12"/>
        <v>2025-02</v>
      </c>
    </row>
    <row r="60" spans="1:26" x14ac:dyDescent="0.2">
      <c r="A60" s="2" t="s">
        <v>198</v>
      </c>
      <c r="B60" s="1" t="s">
        <v>199</v>
      </c>
      <c r="C60" s="1" t="s">
        <v>13</v>
      </c>
      <c r="D60" s="3">
        <v>45693.405336701391</v>
      </c>
      <c r="E60" s="3">
        <v>45735.607060983799</v>
      </c>
      <c r="F60" s="1" t="s">
        <v>52</v>
      </c>
      <c r="G60" s="1" t="s">
        <v>12</v>
      </c>
      <c r="H60" s="1" t="s">
        <v>13</v>
      </c>
      <c r="I60" s="1" t="s">
        <v>99</v>
      </c>
      <c r="J60" s="1" t="s">
        <v>16</v>
      </c>
      <c r="K60" s="1" t="s">
        <v>15</v>
      </c>
      <c r="L60" s="1" t="s">
        <v>159</v>
      </c>
      <c r="M60" s="1" t="s">
        <v>1163</v>
      </c>
      <c r="N60" s="1" t="str">
        <f t="shared" si="0"/>
        <v>DESARROLLO</v>
      </c>
      <c r="O60" s="3">
        <f t="shared" si="1"/>
        <v>45693.405336701391</v>
      </c>
      <c r="P60" s="3">
        <f t="shared" si="2"/>
        <v>45735.607060983799</v>
      </c>
      <c r="Q60" s="1" t="str">
        <f t="shared" si="3"/>
        <v>Interno</v>
      </c>
      <c r="R60" s="1">
        <f t="shared" si="4"/>
        <v>6</v>
      </c>
      <c r="S60" s="6">
        <f t="shared" si="5"/>
        <v>45691</v>
      </c>
      <c r="T60" s="1">
        <f t="shared" si="6"/>
        <v>12</v>
      </c>
      <c r="U60" s="6">
        <f t="shared" si="7"/>
        <v>45733</v>
      </c>
      <c r="V60" s="1">
        <f t="shared" si="8"/>
        <v>42.201724282407667</v>
      </c>
      <c r="W60" s="1">
        <f t="shared" si="9"/>
        <v>2025</v>
      </c>
      <c r="X60" s="1">
        <f t="shared" si="10"/>
        <v>2025</v>
      </c>
      <c r="Y60" s="1" t="str">
        <f t="shared" si="11"/>
        <v>2025-02</v>
      </c>
      <c r="Z60" s="1" t="str">
        <f t="shared" si="12"/>
        <v>2025-03</v>
      </c>
    </row>
    <row r="61" spans="1:26" x14ac:dyDescent="0.2">
      <c r="A61" s="2" t="s">
        <v>200</v>
      </c>
      <c r="B61" s="1" t="s">
        <v>201</v>
      </c>
      <c r="C61" s="1" t="s">
        <v>109</v>
      </c>
      <c r="D61" s="3">
        <v>45693.452978032408</v>
      </c>
      <c r="E61" s="3">
        <v>45694.426541631947</v>
      </c>
      <c r="F61" s="1" t="s">
        <v>52</v>
      </c>
      <c r="G61" s="1" t="s">
        <v>21</v>
      </c>
      <c r="H61" s="1" t="s">
        <v>13</v>
      </c>
      <c r="I61" s="1" t="s">
        <v>18</v>
      </c>
      <c r="J61" s="1" t="s">
        <v>16</v>
      </c>
      <c r="K61" s="1" t="s">
        <v>15</v>
      </c>
      <c r="L61" s="1" t="s">
        <v>13</v>
      </c>
      <c r="M61" s="1" t="s">
        <v>1163</v>
      </c>
      <c r="N61" s="1" t="str">
        <f t="shared" si="0"/>
        <v>SOPORTE</v>
      </c>
      <c r="O61" s="3">
        <f t="shared" si="1"/>
        <v>45693.452978032408</v>
      </c>
      <c r="P61" s="3">
        <f t="shared" si="2"/>
        <v>45694.426541631947</v>
      </c>
      <c r="Q61" s="1" t="str">
        <f t="shared" si="3"/>
        <v>Externo</v>
      </c>
      <c r="R61" s="1">
        <f t="shared" si="4"/>
        <v>6</v>
      </c>
      <c r="S61" s="6">
        <f t="shared" si="5"/>
        <v>45691</v>
      </c>
      <c r="T61" s="1">
        <f t="shared" si="6"/>
        <v>6</v>
      </c>
      <c r="U61" s="6">
        <f t="shared" si="7"/>
        <v>45691</v>
      </c>
      <c r="V61" s="1">
        <f t="shared" si="8"/>
        <v>0.9735635995384655</v>
      </c>
      <c r="W61" s="1">
        <f t="shared" si="9"/>
        <v>2025</v>
      </c>
      <c r="X61" s="1">
        <f t="shared" si="10"/>
        <v>2025</v>
      </c>
      <c r="Y61" s="1" t="str">
        <f t="shared" si="11"/>
        <v>2025-02</v>
      </c>
      <c r="Z61" s="1" t="str">
        <f t="shared" si="12"/>
        <v>2025-02</v>
      </c>
    </row>
    <row r="62" spans="1:26" x14ac:dyDescent="0.2">
      <c r="A62" s="2" t="s">
        <v>202</v>
      </c>
      <c r="B62" s="1" t="s">
        <v>203</v>
      </c>
      <c r="C62" s="1" t="s">
        <v>13</v>
      </c>
      <c r="D62" s="3">
        <v>45693.518923796299</v>
      </c>
      <c r="E62" s="3">
        <v>45756.523818217589</v>
      </c>
      <c r="F62" s="1" t="s">
        <v>52</v>
      </c>
      <c r="G62" s="1" t="s">
        <v>12</v>
      </c>
      <c r="H62" s="1" t="s">
        <v>13</v>
      </c>
      <c r="I62" s="1" t="s">
        <v>99</v>
      </c>
      <c r="J62" s="1" t="s">
        <v>16</v>
      </c>
      <c r="K62" s="1" t="s">
        <v>15</v>
      </c>
      <c r="L62" s="1" t="s">
        <v>204</v>
      </c>
      <c r="M62" s="1" t="s">
        <v>1163</v>
      </c>
      <c r="N62" s="1" t="str">
        <f t="shared" si="0"/>
        <v>DESARROLLO</v>
      </c>
      <c r="O62" s="3">
        <f t="shared" si="1"/>
        <v>45693.518923796299</v>
      </c>
      <c r="P62" s="3">
        <f t="shared" si="2"/>
        <v>45756.523818217589</v>
      </c>
      <c r="Q62" s="1" t="str">
        <f t="shared" si="3"/>
        <v>Interno</v>
      </c>
      <c r="R62" s="1">
        <f t="shared" si="4"/>
        <v>6</v>
      </c>
      <c r="S62" s="6">
        <f t="shared" si="5"/>
        <v>45691</v>
      </c>
      <c r="T62" s="1">
        <f t="shared" si="6"/>
        <v>15</v>
      </c>
      <c r="U62" s="6">
        <f t="shared" si="7"/>
        <v>45754</v>
      </c>
      <c r="V62" s="1">
        <f t="shared" si="8"/>
        <v>63.004894421290373</v>
      </c>
      <c r="W62" s="1">
        <f t="shared" si="9"/>
        <v>2025</v>
      </c>
      <c r="X62" s="1">
        <f t="shared" si="10"/>
        <v>2025</v>
      </c>
      <c r="Y62" s="1" t="str">
        <f t="shared" si="11"/>
        <v>2025-02</v>
      </c>
      <c r="Z62" s="1" t="str">
        <f t="shared" si="12"/>
        <v>2025-04</v>
      </c>
    </row>
    <row r="63" spans="1:26" x14ac:dyDescent="0.2">
      <c r="A63" s="2" t="s">
        <v>205</v>
      </c>
      <c r="B63" s="1" t="s">
        <v>206</v>
      </c>
      <c r="C63" s="1" t="s">
        <v>13</v>
      </c>
      <c r="D63" s="3">
        <v>45693.532051134258</v>
      </c>
      <c r="E63" s="3">
        <v>45735.607060717593</v>
      </c>
      <c r="F63" s="1" t="s">
        <v>52</v>
      </c>
      <c r="G63" s="1" t="s">
        <v>12</v>
      </c>
      <c r="H63" s="1" t="s">
        <v>13</v>
      </c>
      <c r="I63" s="1" t="s">
        <v>148</v>
      </c>
      <c r="J63" s="1" t="s">
        <v>16</v>
      </c>
      <c r="K63" s="1" t="s">
        <v>15</v>
      </c>
      <c r="L63" s="1" t="s">
        <v>159</v>
      </c>
      <c r="M63" s="1" t="s">
        <v>1163</v>
      </c>
      <c r="N63" s="1" t="str">
        <f t="shared" si="0"/>
        <v>DESARROLLO</v>
      </c>
      <c r="O63" s="3">
        <f t="shared" si="1"/>
        <v>45693.532051134258</v>
      </c>
      <c r="P63" s="3">
        <f t="shared" si="2"/>
        <v>45735.607060717593</v>
      </c>
      <c r="Q63" s="1" t="str">
        <f t="shared" si="3"/>
        <v>Interno</v>
      </c>
      <c r="R63" s="1">
        <f t="shared" si="4"/>
        <v>6</v>
      </c>
      <c r="S63" s="6">
        <f t="shared" si="5"/>
        <v>45691</v>
      </c>
      <c r="T63" s="1">
        <f t="shared" si="6"/>
        <v>12</v>
      </c>
      <c r="U63" s="6">
        <f t="shared" si="7"/>
        <v>45733</v>
      </c>
      <c r="V63" s="1">
        <f t="shared" si="8"/>
        <v>42.075009583335486</v>
      </c>
      <c r="W63" s="1">
        <f t="shared" si="9"/>
        <v>2025</v>
      </c>
      <c r="X63" s="1">
        <f t="shared" si="10"/>
        <v>2025</v>
      </c>
      <c r="Y63" s="1" t="str">
        <f t="shared" si="11"/>
        <v>2025-02</v>
      </c>
      <c r="Z63" s="1" t="str">
        <f t="shared" si="12"/>
        <v>2025-03</v>
      </c>
    </row>
    <row r="64" spans="1:26" x14ac:dyDescent="0.2">
      <c r="A64" s="2" t="s">
        <v>207</v>
      </c>
      <c r="B64" s="1" t="s">
        <v>208</v>
      </c>
      <c r="C64" s="1" t="s">
        <v>209</v>
      </c>
      <c r="D64" s="3">
        <v>45693.664274930554</v>
      </c>
      <c r="E64" s="3">
        <v>45705.449423206017</v>
      </c>
      <c r="F64" s="1" t="s">
        <v>52</v>
      </c>
      <c r="G64" s="1" t="s">
        <v>21</v>
      </c>
      <c r="H64" s="1" t="s">
        <v>13</v>
      </c>
      <c r="I64" s="1" t="s">
        <v>18</v>
      </c>
      <c r="J64" s="1" t="s">
        <v>16</v>
      </c>
      <c r="K64" s="1" t="s">
        <v>15</v>
      </c>
      <c r="L64" s="1" t="s">
        <v>13</v>
      </c>
      <c r="M64" s="1" t="s">
        <v>1163</v>
      </c>
      <c r="N64" s="1" t="str">
        <f t="shared" si="0"/>
        <v>SOPORTE</v>
      </c>
      <c r="O64" s="3">
        <f t="shared" si="1"/>
        <v>45693.664274930554</v>
      </c>
      <c r="P64" s="3">
        <f t="shared" si="2"/>
        <v>45705.449423206017</v>
      </c>
      <c r="Q64" s="1" t="str">
        <f t="shared" si="3"/>
        <v>Externo</v>
      </c>
      <c r="R64" s="1">
        <f t="shared" si="4"/>
        <v>6</v>
      </c>
      <c r="S64" s="6">
        <f t="shared" si="5"/>
        <v>45691</v>
      </c>
      <c r="T64" s="1">
        <f t="shared" si="6"/>
        <v>8</v>
      </c>
      <c r="U64" s="6">
        <f t="shared" si="7"/>
        <v>45705</v>
      </c>
      <c r="V64" s="1">
        <f t="shared" si="8"/>
        <v>11.785148275463143</v>
      </c>
      <c r="W64" s="1">
        <f t="shared" si="9"/>
        <v>2025</v>
      </c>
      <c r="X64" s="1">
        <f t="shared" si="10"/>
        <v>2025</v>
      </c>
      <c r="Y64" s="1" t="str">
        <f t="shared" si="11"/>
        <v>2025-02</v>
      </c>
      <c r="Z64" s="1" t="str">
        <f t="shared" si="12"/>
        <v>2025-02</v>
      </c>
    </row>
    <row r="65" spans="1:26" x14ac:dyDescent="0.2">
      <c r="A65" s="2" t="s">
        <v>210</v>
      </c>
      <c r="B65" s="1" t="s">
        <v>211</v>
      </c>
      <c r="C65" s="1" t="s">
        <v>58</v>
      </c>
      <c r="D65" s="3">
        <v>45694.550339305555</v>
      </c>
      <c r="E65" s="3">
        <v>45694.680015451391</v>
      </c>
      <c r="F65" s="1" t="s">
        <v>52</v>
      </c>
      <c r="G65" s="1" t="s">
        <v>21</v>
      </c>
      <c r="H65" s="1" t="s">
        <v>13</v>
      </c>
      <c r="I65" s="1" t="s">
        <v>18</v>
      </c>
      <c r="J65" s="1" t="s">
        <v>16</v>
      </c>
      <c r="K65" s="1" t="s">
        <v>15</v>
      </c>
      <c r="L65" s="1" t="s">
        <v>13</v>
      </c>
      <c r="M65" s="1" t="s">
        <v>1163</v>
      </c>
      <c r="N65" s="1" t="str">
        <f t="shared" si="0"/>
        <v>SOPORTE</v>
      </c>
      <c r="O65" s="3">
        <f t="shared" si="1"/>
        <v>45694.550339305555</v>
      </c>
      <c r="P65" s="3">
        <f t="shared" si="2"/>
        <v>45694.680015451391</v>
      </c>
      <c r="Q65" s="1" t="str">
        <f t="shared" si="3"/>
        <v>Externo</v>
      </c>
      <c r="R65" s="1">
        <f t="shared" si="4"/>
        <v>6</v>
      </c>
      <c r="S65" s="6">
        <f t="shared" si="5"/>
        <v>45691</v>
      </c>
      <c r="T65" s="1">
        <f t="shared" si="6"/>
        <v>6</v>
      </c>
      <c r="U65" s="6">
        <f t="shared" si="7"/>
        <v>45691</v>
      </c>
      <c r="V65" s="1">
        <f t="shared" si="8"/>
        <v>0.12967614583612885</v>
      </c>
      <c r="W65" s="1">
        <f t="shared" si="9"/>
        <v>2025</v>
      </c>
      <c r="X65" s="1">
        <f t="shared" si="10"/>
        <v>2025</v>
      </c>
      <c r="Y65" s="1" t="str">
        <f t="shared" si="11"/>
        <v>2025-02</v>
      </c>
      <c r="Z65" s="1" t="str">
        <f t="shared" si="12"/>
        <v>2025-02</v>
      </c>
    </row>
    <row r="66" spans="1:26" x14ac:dyDescent="0.2">
      <c r="A66" s="2" t="s">
        <v>212</v>
      </c>
      <c r="B66" s="1" t="s">
        <v>213</v>
      </c>
      <c r="C66" s="1" t="s">
        <v>13</v>
      </c>
      <c r="D66" s="3">
        <v>45698.521486898149</v>
      </c>
      <c r="E66" s="3">
        <v>45721.055513113424</v>
      </c>
      <c r="F66" s="1" t="s">
        <v>52</v>
      </c>
      <c r="G66" s="1" t="s">
        <v>12</v>
      </c>
      <c r="H66" s="1" t="s">
        <v>13</v>
      </c>
      <c r="I66" s="1" t="s">
        <v>214</v>
      </c>
      <c r="J66" s="1" t="s">
        <v>16</v>
      </c>
      <c r="K66" s="1" t="s">
        <v>15</v>
      </c>
      <c r="L66" s="1" t="s">
        <v>13</v>
      </c>
      <c r="M66" s="1" t="s">
        <v>1163</v>
      </c>
      <c r="N66" s="1" t="str">
        <f t="shared" si="0"/>
        <v>DESARROLLO</v>
      </c>
      <c r="O66" s="3">
        <f t="shared" si="1"/>
        <v>45698.521486898149</v>
      </c>
      <c r="P66" s="3">
        <f t="shared" si="2"/>
        <v>45721.055513113424</v>
      </c>
      <c r="Q66" s="1" t="str">
        <f t="shared" si="3"/>
        <v>Interno</v>
      </c>
      <c r="R66" s="1">
        <f t="shared" si="4"/>
        <v>7</v>
      </c>
      <c r="S66" s="6">
        <f t="shared" si="5"/>
        <v>45698</v>
      </c>
      <c r="T66" s="1">
        <f t="shared" si="6"/>
        <v>10</v>
      </c>
      <c r="U66" s="6">
        <f t="shared" si="7"/>
        <v>45719</v>
      </c>
      <c r="V66" s="1">
        <f t="shared" si="8"/>
        <v>22.534026215274935</v>
      </c>
      <c r="W66" s="1">
        <f t="shared" si="9"/>
        <v>2025</v>
      </c>
      <c r="X66" s="1">
        <f t="shared" si="10"/>
        <v>2025</v>
      </c>
      <c r="Y66" s="1" t="str">
        <f t="shared" si="11"/>
        <v>2025-02</v>
      </c>
      <c r="Z66" s="1" t="str">
        <f t="shared" si="12"/>
        <v>2025-03</v>
      </c>
    </row>
    <row r="67" spans="1:26" x14ac:dyDescent="0.2">
      <c r="A67" s="2" t="s">
        <v>215</v>
      </c>
      <c r="B67" s="1" t="s">
        <v>216</v>
      </c>
      <c r="C67" s="1" t="s">
        <v>70</v>
      </c>
      <c r="D67" s="3">
        <v>45698.653866030094</v>
      </c>
      <c r="E67" s="3">
        <v>45721.055512696759</v>
      </c>
      <c r="F67" s="1" t="s">
        <v>52</v>
      </c>
      <c r="G67" s="1" t="s">
        <v>12</v>
      </c>
      <c r="H67" s="1" t="s">
        <v>13</v>
      </c>
      <c r="I67" s="1" t="s">
        <v>18</v>
      </c>
      <c r="J67" s="1" t="s">
        <v>16</v>
      </c>
      <c r="K67" s="1" t="s">
        <v>15</v>
      </c>
      <c r="L67" s="1" t="s">
        <v>13</v>
      </c>
      <c r="M67" s="1" t="s">
        <v>1163</v>
      </c>
      <c r="N67" s="1" t="str">
        <f t="shared" ref="N67:N130" si="13">G67</f>
        <v>DESARROLLO</v>
      </c>
      <c r="O67" s="3">
        <f t="shared" ref="O67:O69" si="14">D67</f>
        <v>45698.653866030094</v>
      </c>
      <c r="P67" s="3">
        <f t="shared" ref="P67:P69" si="15">E67</f>
        <v>45721.055512696759</v>
      </c>
      <c r="Q67" s="1" t="str">
        <f t="shared" ref="Q67:Q130" si="16">IF(OR(N67="Soporte",N67="Definición",N67="Origen"),"Externo",
IF(OR(N67="Funcional",N67="Técnico",N67="Desarrollo",N67="Reproceso"),"Interno",
IF(OR(N67="",N67="Selecciona (SOPORTE/DEFINICIÓN/FUNCIONAL/TÉCNICO/DESARROLLO)"),"Pendiente clasificar","")))</f>
        <v>Interno</v>
      </c>
      <c r="R67" s="1">
        <f t="shared" ref="R67:R69" si="17">WEEKNUM(O67,1)</f>
        <v>7</v>
      </c>
      <c r="S67" s="6">
        <f t="shared" ref="S67:S69" si="18">DATE(W67,1,4) + (R67-1)*7 - WEEKDAY(DATE(W67,1,4),2) +1</f>
        <v>45698</v>
      </c>
      <c r="T67" s="1">
        <f t="shared" ref="T67:T69" si="19">WEEKNUM(P67,1)</f>
        <v>10</v>
      </c>
      <c r="U67" s="6">
        <f t="shared" ref="U67:U69" si="20">DATE(X67,1,4) + (T67-1)*7 - WEEKDAY(DATE(X67,1,4),2) +1</f>
        <v>45719</v>
      </c>
      <c r="V67" s="1">
        <f t="shared" ref="V67:V69" si="21">ABS(P67-O67)</f>
        <v>22.401646666665329</v>
      </c>
      <c r="W67" s="1">
        <f t="shared" ref="W67:W69" si="22">YEAR(O67)</f>
        <v>2025</v>
      </c>
      <c r="X67" s="1">
        <f t="shared" ref="X67:X69" si="23">YEAR(P67)</f>
        <v>2025</v>
      </c>
      <c r="Y67" s="1" t="str">
        <f t="shared" ref="Y67:Y130" si="24">(TEXT(S67,"aaaa-mm"))</f>
        <v>2025-02</v>
      </c>
      <c r="Z67" s="1" t="str">
        <f t="shared" ref="Z67:Z130" si="25">(TEXT(U67,"aaaa-mm"))</f>
        <v>2025-03</v>
      </c>
    </row>
    <row r="68" spans="1:26" x14ac:dyDescent="0.2">
      <c r="A68" s="2" t="s">
        <v>217</v>
      </c>
      <c r="B68" s="1" t="s">
        <v>218</v>
      </c>
      <c r="C68" s="1" t="s">
        <v>13</v>
      </c>
      <c r="D68" s="3">
        <v>45699.399363506942</v>
      </c>
      <c r="E68" s="3">
        <v>45721.055801458337</v>
      </c>
      <c r="F68" s="1" t="s">
        <v>52</v>
      </c>
      <c r="G68" s="1" t="s">
        <v>53</v>
      </c>
      <c r="H68" s="1" t="s">
        <v>13</v>
      </c>
      <c r="I68" s="1" t="s">
        <v>18</v>
      </c>
      <c r="J68" s="1" t="s">
        <v>16</v>
      </c>
      <c r="K68" s="1" t="s">
        <v>15</v>
      </c>
      <c r="L68" s="1" t="s">
        <v>13</v>
      </c>
      <c r="M68" s="1" t="s">
        <v>1163</v>
      </c>
      <c r="N68" s="1" t="str">
        <f t="shared" si="13"/>
        <v>TÉCNICO</v>
      </c>
      <c r="O68" s="3">
        <f t="shared" si="14"/>
        <v>45699.399363506942</v>
      </c>
      <c r="P68" s="3">
        <f t="shared" si="15"/>
        <v>45721.055801458337</v>
      </c>
      <c r="Q68" s="1" t="str">
        <f t="shared" si="16"/>
        <v>Interno</v>
      </c>
      <c r="R68" s="1">
        <f t="shared" si="17"/>
        <v>7</v>
      </c>
      <c r="S68" s="6">
        <f t="shared" si="18"/>
        <v>45698</v>
      </c>
      <c r="T68" s="1">
        <f t="shared" si="19"/>
        <v>10</v>
      </c>
      <c r="U68" s="6">
        <f t="shared" si="20"/>
        <v>45719</v>
      </c>
      <c r="V68" s="1">
        <f t="shared" si="21"/>
        <v>21.656437951394764</v>
      </c>
      <c r="W68" s="1">
        <f t="shared" si="22"/>
        <v>2025</v>
      </c>
      <c r="X68" s="1">
        <f t="shared" si="23"/>
        <v>2025</v>
      </c>
      <c r="Y68" s="1" t="str">
        <f t="shared" si="24"/>
        <v>2025-02</v>
      </c>
      <c r="Z68" s="1" t="str">
        <f t="shared" si="25"/>
        <v>2025-03</v>
      </c>
    </row>
    <row r="69" spans="1:26" x14ac:dyDescent="0.2">
      <c r="A69" s="2" t="s">
        <v>219</v>
      </c>
      <c r="B69" s="1" t="s">
        <v>220</v>
      </c>
      <c r="C69" s="1" t="s">
        <v>109</v>
      </c>
      <c r="D69" s="3">
        <v>45699.435601446756</v>
      </c>
      <c r="E69" s="3">
        <v>45701.425599328701</v>
      </c>
      <c r="F69" s="1" t="s">
        <v>52</v>
      </c>
      <c r="G69" s="1" t="s">
        <v>21</v>
      </c>
      <c r="H69" s="1" t="s">
        <v>13</v>
      </c>
      <c r="I69" s="1" t="s">
        <v>18</v>
      </c>
      <c r="J69" s="1" t="s">
        <v>16</v>
      </c>
      <c r="K69" s="1" t="s">
        <v>15</v>
      </c>
      <c r="L69" s="1" t="s">
        <v>13</v>
      </c>
      <c r="M69" s="1" t="s">
        <v>1163</v>
      </c>
      <c r="N69" s="1" t="str">
        <f t="shared" si="13"/>
        <v>SOPORTE</v>
      </c>
      <c r="O69" s="3">
        <f t="shared" si="14"/>
        <v>45699.435601446756</v>
      </c>
      <c r="P69" s="3">
        <f t="shared" si="15"/>
        <v>45701.425599328701</v>
      </c>
      <c r="Q69" s="1" t="str">
        <f t="shared" si="16"/>
        <v>Externo</v>
      </c>
      <c r="R69" s="1">
        <f t="shared" si="17"/>
        <v>7</v>
      </c>
      <c r="S69" s="6">
        <f t="shared" si="18"/>
        <v>45698</v>
      </c>
      <c r="T69" s="1">
        <f t="shared" si="19"/>
        <v>7</v>
      </c>
      <c r="U69" s="6">
        <f t="shared" si="20"/>
        <v>45698</v>
      </c>
      <c r="V69" s="1">
        <f t="shared" si="21"/>
        <v>1.9899978819448734</v>
      </c>
      <c r="W69" s="1">
        <f t="shared" si="22"/>
        <v>2025</v>
      </c>
      <c r="X69" s="1">
        <f t="shared" si="23"/>
        <v>2025</v>
      </c>
      <c r="Y69" s="1" t="str">
        <f t="shared" si="24"/>
        <v>2025-02</v>
      </c>
      <c r="Z69" s="1" t="str">
        <f t="shared" si="25"/>
        <v>2025-02</v>
      </c>
    </row>
    <row r="70" spans="1:26" x14ac:dyDescent="0.2">
      <c r="A70" s="2" t="s">
        <v>221</v>
      </c>
      <c r="B70" s="1" t="s">
        <v>222</v>
      </c>
      <c r="C70" s="1" t="s">
        <v>78</v>
      </c>
      <c r="D70" s="3">
        <v>45699.656400347223</v>
      </c>
      <c r="E70" s="3">
        <v>45705.447772141204</v>
      </c>
      <c r="F70" s="1" t="s">
        <v>52</v>
      </c>
      <c r="G70" s="1" t="s">
        <v>21</v>
      </c>
      <c r="H70" s="1" t="s">
        <v>13</v>
      </c>
      <c r="I70" s="1" t="s">
        <v>18</v>
      </c>
      <c r="J70" s="1" t="s">
        <v>16</v>
      </c>
      <c r="K70" s="1" t="s">
        <v>15</v>
      </c>
      <c r="L70" s="1" t="s">
        <v>13</v>
      </c>
      <c r="M70" s="1" t="s">
        <v>1163</v>
      </c>
      <c r="N70" s="1" t="str">
        <f t="shared" si="13"/>
        <v>SOPORTE</v>
      </c>
      <c r="O70" s="3">
        <f t="shared" ref="O70:O133" si="26">D70</f>
        <v>45699.656400347223</v>
      </c>
      <c r="P70" s="3">
        <f t="shared" ref="P70:P133" si="27">E70</f>
        <v>45705.447772141204</v>
      </c>
      <c r="Q70" s="1" t="str">
        <f t="shared" si="16"/>
        <v>Externo</v>
      </c>
      <c r="R70" s="1">
        <f t="shared" ref="R70:R133" si="28">WEEKNUM(O70,1)</f>
        <v>7</v>
      </c>
      <c r="S70" s="6">
        <f t="shared" ref="S70:S133" si="29">DATE(W70,1,4) + (R70-1)*7 - WEEKDAY(DATE(W70,1,4),2) +1</f>
        <v>45698</v>
      </c>
      <c r="T70" s="1">
        <f t="shared" ref="T70:T133" si="30">WEEKNUM(P70,1)</f>
        <v>8</v>
      </c>
      <c r="U70" s="6">
        <f t="shared" ref="U70:U133" si="31">DATE(X70,1,4) + (T70-1)*7 - WEEKDAY(DATE(X70,1,4),2) +1</f>
        <v>45705</v>
      </c>
      <c r="V70" s="1">
        <f t="shared" ref="V70:V133" si="32">ABS(P70-O70)</f>
        <v>5.791371793980943</v>
      </c>
      <c r="W70" s="1">
        <f t="shared" ref="W70:W133" si="33">YEAR(O70)</f>
        <v>2025</v>
      </c>
      <c r="X70" s="1">
        <f t="shared" ref="X70:X133" si="34">YEAR(P70)</f>
        <v>2025</v>
      </c>
      <c r="Y70" s="1" t="str">
        <f t="shared" si="24"/>
        <v>2025-02</v>
      </c>
      <c r="Z70" s="1" t="str">
        <f t="shared" si="25"/>
        <v>2025-02</v>
      </c>
    </row>
    <row r="71" spans="1:26" x14ac:dyDescent="0.2">
      <c r="A71" s="2" t="s">
        <v>223</v>
      </c>
      <c r="B71" s="1" t="s">
        <v>224</v>
      </c>
      <c r="C71" s="1" t="s">
        <v>58</v>
      </c>
      <c r="D71" s="3">
        <v>45699.66017318287</v>
      </c>
      <c r="E71" s="3">
        <v>45708.398758356481</v>
      </c>
      <c r="F71" s="1" t="s">
        <v>52</v>
      </c>
      <c r="G71" s="1" t="s">
        <v>53</v>
      </c>
      <c r="H71" s="1" t="s">
        <v>13</v>
      </c>
      <c r="I71" s="1" t="s">
        <v>18</v>
      </c>
      <c r="J71" s="1" t="s">
        <v>16</v>
      </c>
      <c r="K71" s="1" t="s">
        <v>15</v>
      </c>
      <c r="L71" s="1" t="s">
        <v>13</v>
      </c>
      <c r="M71" s="1" t="s">
        <v>1163</v>
      </c>
      <c r="N71" s="1" t="str">
        <f t="shared" si="13"/>
        <v>TÉCNICO</v>
      </c>
      <c r="O71" s="3">
        <f t="shared" si="26"/>
        <v>45699.66017318287</v>
      </c>
      <c r="P71" s="3">
        <f t="shared" si="27"/>
        <v>45708.398758356481</v>
      </c>
      <c r="Q71" s="1" t="str">
        <f t="shared" si="16"/>
        <v>Interno</v>
      </c>
      <c r="R71" s="1">
        <f t="shared" si="28"/>
        <v>7</v>
      </c>
      <c r="S71" s="6">
        <f t="shared" si="29"/>
        <v>45698</v>
      </c>
      <c r="T71" s="1">
        <f t="shared" si="30"/>
        <v>8</v>
      </c>
      <c r="U71" s="6">
        <f t="shared" si="31"/>
        <v>45705</v>
      </c>
      <c r="V71" s="1">
        <f t="shared" si="32"/>
        <v>8.7385851736107725</v>
      </c>
      <c r="W71" s="1">
        <f t="shared" si="33"/>
        <v>2025</v>
      </c>
      <c r="X71" s="1">
        <f t="shared" si="34"/>
        <v>2025</v>
      </c>
      <c r="Y71" s="1" t="str">
        <f t="shared" si="24"/>
        <v>2025-02</v>
      </c>
      <c r="Z71" s="1" t="str">
        <f t="shared" si="25"/>
        <v>2025-02</v>
      </c>
    </row>
    <row r="72" spans="1:26" x14ac:dyDescent="0.2">
      <c r="A72" s="2" t="s">
        <v>225</v>
      </c>
      <c r="B72" s="1" t="s">
        <v>226</v>
      </c>
      <c r="C72" s="1" t="s">
        <v>227</v>
      </c>
      <c r="D72" s="3">
        <v>45699.737738923614</v>
      </c>
      <c r="E72" s="3">
        <v>45705.446952233797</v>
      </c>
      <c r="F72" s="1" t="s">
        <v>52</v>
      </c>
      <c r="G72" s="1" t="s">
        <v>21</v>
      </c>
      <c r="H72" s="1" t="s">
        <v>13</v>
      </c>
      <c r="I72" s="1" t="s">
        <v>18</v>
      </c>
      <c r="J72" s="1" t="s">
        <v>16</v>
      </c>
      <c r="K72" s="1" t="s">
        <v>15</v>
      </c>
      <c r="L72" s="1" t="s">
        <v>13</v>
      </c>
      <c r="M72" s="1" t="s">
        <v>1163</v>
      </c>
      <c r="N72" s="1" t="str">
        <f t="shared" si="13"/>
        <v>SOPORTE</v>
      </c>
      <c r="O72" s="3">
        <f t="shared" si="26"/>
        <v>45699.737738923614</v>
      </c>
      <c r="P72" s="3">
        <f t="shared" si="27"/>
        <v>45705.446952233797</v>
      </c>
      <c r="Q72" s="1" t="str">
        <f t="shared" si="16"/>
        <v>Externo</v>
      </c>
      <c r="R72" s="1">
        <f t="shared" si="28"/>
        <v>7</v>
      </c>
      <c r="S72" s="6">
        <f t="shared" si="29"/>
        <v>45698</v>
      </c>
      <c r="T72" s="1">
        <f t="shared" si="30"/>
        <v>8</v>
      </c>
      <c r="U72" s="6">
        <f t="shared" si="31"/>
        <v>45705</v>
      </c>
      <c r="V72" s="1">
        <f t="shared" si="32"/>
        <v>5.7092133101832587</v>
      </c>
      <c r="W72" s="1">
        <f t="shared" si="33"/>
        <v>2025</v>
      </c>
      <c r="X72" s="1">
        <f t="shared" si="34"/>
        <v>2025</v>
      </c>
      <c r="Y72" s="1" t="str">
        <f t="shared" si="24"/>
        <v>2025-02</v>
      </c>
      <c r="Z72" s="1" t="str">
        <f t="shared" si="25"/>
        <v>2025-02</v>
      </c>
    </row>
    <row r="73" spans="1:26" x14ac:dyDescent="0.2">
      <c r="A73" s="2" t="s">
        <v>228</v>
      </c>
      <c r="B73" s="1" t="s">
        <v>229</v>
      </c>
      <c r="C73" s="1" t="s">
        <v>230</v>
      </c>
      <c r="D73" s="3">
        <v>45700.417674525466</v>
      </c>
      <c r="E73" s="3">
        <v>45706.374805266205</v>
      </c>
      <c r="F73" s="1" t="s">
        <v>52</v>
      </c>
      <c r="G73" s="1" t="s">
        <v>21</v>
      </c>
      <c r="H73" s="1" t="s">
        <v>13</v>
      </c>
      <c r="I73" s="1" t="s">
        <v>18</v>
      </c>
      <c r="J73" s="1" t="s">
        <v>16</v>
      </c>
      <c r="K73" s="1" t="s">
        <v>15</v>
      </c>
      <c r="L73" s="1" t="s">
        <v>13</v>
      </c>
      <c r="M73" s="1" t="s">
        <v>1163</v>
      </c>
      <c r="N73" s="1" t="str">
        <f t="shared" si="13"/>
        <v>SOPORTE</v>
      </c>
      <c r="O73" s="3">
        <f t="shared" si="26"/>
        <v>45700.417674525466</v>
      </c>
      <c r="P73" s="3">
        <f t="shared" si="27"/>
        <v>45706.374805266205</v>
      </c>
      <c r="Q73" s="1" t="str">
        <f t="shared" si="16"/>
        <v>Externo</v>
      </c>
      <c r="R73" s="1">
        <f t="shared" si="28"/>
        <v>7</v>
      </c>
      <c r="S73" s="6">
        <f t="shared" si="29"/>
        <v>45698</v>
      </c>
      <c r="T73" s="1">
        <f t="shared" si="30"/>
        <v>8</v>
      </c>
      <c r="U73" s="6">
        <f t="shared" si="31"/>
        <v>45705</v>
      </c>
      <c r="V73" s="1">
        <f t="shared" si="32"/>
        <v>5.9571307407386485</v>
      </c>
      <c r="W73" s="1">
        <f t="shared" si="33"/>
        <v>2025</v>
      </c>
      <c r="X73" s="1">
        <f t="shared" si="34"/>
        <v>2025</v>
      </c>
      <c r="Y73" s="1" t="str">
        <f t="shared" si="24"/>
        <v>2025-02</v>
      </c>
      <c r="Z73" s="1" t="str">
        <f t="shared" si="25"/>
        <v>2025-02</v>
      </c>
    </row>
    <row r="74" spans="1:26" x14ac:dyDescent="0.2">
      <c r="A74" s="2" t="s">
        <v>231</v>
      </c>
      <c r="B74" s="1" t="s">
        <v>232</v>
      </c>
      <c r="C74" s="1" t="s">
        <v>13</v>
      </c>
      <c r="D74" s="3">
        <v>45700.45266304398</v>
      </c>
      <c r="E74" s="3">
        <v>45840.367132500003</v>
      </c>
      <c r="F74" s="1" t="s">
        <v>52</v>
      </c>
      <c r="G74" s="1" t="s">
        <v>53</v>
      </c>
      <c r="H74" s="1" t="s">
        <v>13</v>
      </c>
      <c r="I74" s="1" t="s">
        <v>148</v>
      </c>
      <c r="J74" s="1" t="s">
        <v>16</v>
      </c>
      <c r="K74" s="1" t="s">
        <v>17</v>
      </c>
      <c r="L74" s="1" t="s">
        <v>13</v>
      </c>
      <c r="M74" s="1" t="s">
        <v>13</v>
      </c>
      <c r="N74" s="1" t="str">
        <f t="shared" si="13"/>
        <v>TÉCNICO</v>
      </c>
      <c r="O74" s="3">
        <f t="shared" si="26"/>
        <v>45700.45266304398</v>
      </c>
      <c r="P74" s="3">
        <f t="shared" si="27"/>
        <v>45840.367132500003</v>
      </c>
      <c r="Q74" s="1" t="str">
        <f t="shared" si="16"/>
        <v>Interno</v>
      </c>
      <c r="R74" s="1">
        <f t="shared" si="28"/>
        <v>7</v>
      </c>
      <c r="S74" s="6">
        <f t="shared" si="29"/>
        <v>45698</v>
      </c>
      <c r="T74" s="1">
        <f t="shared" si="30"/>
        <v>27</v>
      </c>
      <c r="U74" s="6">
        <f t="shared" si="31"/>
        <v>45838</v>
      </c>
      <c r="V74" s="1">
        <f t="shared" si="32"/>
        <v>139.91446945602365</v>
      </c>
      <c r="W74" s="1">
        <f t="shared" si="33"/>
        <v>2025</v>
      </c>
      <c r="X74" s="1">
        <f t="shared" si="34"/>
        <v>2025</v>
      </c>
      <c r="Y74" s="1" t="str">
        <f t="shared" si="24"/>
        <v>2025-02</v>
      </c>
      <c r="Z74" s="1" t="str">
        <f t="shared" si="25"/>
        <v>2025-06</v>
      </c>
    </row>
    <row r="75" spans="1:26" x14ac:dyDescent="0.2">
      <c r="A75" s="2" t="s">
        <v>233</v>
      </c>
      <c r="B75" s="1" t="s">
        <v>234</v>
      </c>
      <c r="C75" s="1" t="s">
        <v>13</v>
      </c>
      <c r="D75" s="3">
        <v>45700.469884212966</v>
      </c>
      <c r="E75" s="3">
        <v>45756.523818715279</v>
      </c>
      <c r="F75" s="1" t="s">
        <v>52</v>
      </c>
      <c r="G75" s="1" t="s">
        <v>53</v>
      </c>
      <c r="H75" s="1" t="s">
        <v>13</v>
      </c>
      <c r="I75" s="1" t="s">
        <v>99</v>
      </c>
      <c r="J75" s="1" t="s">
        <v>16</v>
      </c>
      <c r="K75" s="1" t="s">
        <v>15</v>
      </c>
      <c r="L75" s="1" t="s">
        <v>204</v>
      </c>
      <c r="M75" s="1" t="s">
        <v>13</v>
      </c>
      <c r="N75" s="1" t="str">
        <f t="shared" si="13"/>
        <v>TÉCNICO</v>
      </c>
      <c r="O75" s="3">
        <f t="shared" si="26"/>
        <v>45700.469884212966</v>
      </c>
      <c r="P75" s="3">
        <f t="shared" si="27"/>
        <v>45756.523818715279</v>
      </c>
      <c r="Q75" s="1" t="str">
        <f t="shared" si="16"/>
        <v>Interno</v>
      </c>
      <c r="R75" s="1">
        <f t="shared" si="28"/>
        <v>7</v>
      </c>
      <c r="S75" s="6">
        <f t="shared" si="29"/>
        <v>45698</v>
      </c>
      <c r="T75" s="1">
        <f t="shared" si="30"/>
        <v>15</v>
      </c>
      <c r="U75" s="6">
        <f t="shared" si="31"/>
        <v>45754</v>
      </c>
      <c r="V75" s="1">
        <f t="shared" si="32"/>
        <v>56.053934502313496</v>
      </c>
      <c r="W75" s="1">
        <f t="shared" si="33"/>
        <v>2025</v>
      </c>
      <c r="X75" s="1">
        <f t="shared" si="34"/>
        <v>2025</v>
      </c>
      <c r="Y75" s="1" t="str">
        <f t="shared" si="24"/>
        <v>2025-02</v>
      </c>
      <c r="Z75" s="1" t="str">
        <f t="shared" si="25"/>
        <v>2025-04</v>
      </c>
    </row>
    <row r="76" spans="1:26" x14ac:dyDescent="0.2">
      <c r="A76" s="2" t="s">
        <v>235</v>
      </c>
      <c r="B76" s="1" t="s">
        <v>236</v>
      </c>
      <c r="C76" s="1" t="s">
        <v>58</v>
      </c>
      <c r="D76" s="3">
        <v>45700.475321365739</v>
      </c>
      <c r="E76" s="3">
        <v>45721.055802731484</v>
      </c>
      <c r="F76" s="1" t="s">
        <v>52</v>
      </c>
      <c r="G76" s="1" t="s">
        <v>12</v>
      </c>
      <c r="H76" s="1" t="s">
        <v>13</v>
      </c>
      <c r="I76" s="1" t="s">
        <v>18</v>
      </c>
      <c r="J76" s="1" t="s">
        <v>16</v>
      </c>
      <c r="K76" s="1" t="s">
        <v>15</v>
      </c>
      <c r="L76" s="1" t="s">
        <v>13</v>
      </c>
      <c r="M76" s="1" t="s">
        <v>1163</v>
      </c>
      <c r="N76" s="1" t="str">
        <f t="shared" si="13"/>
        <v>DESARROLLO</v>
      </c>
      <c r="O76" s="3">
        <f t="shared" si="26"/>
        <v>45700.475321365739</v>
      </c>
      <c r="P76" s="3">
        <f t="shared" si="27"/>
        <v>45721.055802731484</v>
      </c>
      <c r="Q76" s="1" t="str">
        <f t="shared" si="16"/>
        <v>Interno</v>
      </c>
      <c r="R76" s="1">
        <f t="shared" si="28"/>
        <v>7</v>
      </c>
      <c r="S76" s="6">
        <f t="shared" si="29"/>
        <v>45698</v>
      </c>
      <c r="T76" s="1">
        <f t="shared" si="30"/>
        <v>10</v>
      </c>
      <c r="U76" s="6">
        <f t="shared" si="31"/>
        <v>45719</v>
      </c>
      <c r="V76" s="1">
        <f t="shared" si="32"/>
        <v>20.580481365745072</v>
      </c>
      <c r="W76" s="1">
        <f t="shared" si="33"/>
        <v>2025</v>
      </c>
      <c r="X76" s="1">
        <f t="shared" si="34"/>
        <v>2025</v>
      </c>
      <c r="Y76" s="1" t="str">
        <f t="shared" si="24"/>
        <v>2025-02</v>
      </c>
      <c r="Z76" s="1" t="str">
        <f t="shared" si="25"/>
        <v>2025-03</v>
      </c>
    </row>
    <row r="77" spans="1:26" x14ac:dyDescent="0.2">
      <c r="A77" s="2" t="s">
        <v>237</v>
      </c>
      <c r="B77" s="1" t="s">
        <v>238</v>
      </c>
      <c r="C77" s="1" t="s">
        <v>109</v>
      </c>
      <c r="D77" s="3">
        <v>45700.548931550926</v>
      </c>
      <c r="E77" s="3">
        <v>45702.352426701385</v>
      </c>
      <c r="F77" s="1" t="s">
        <v>52</v>
      </c>
      <c r="G77" s="1" t="s">
        <v>21</v>
      </c>
      <c r="H77" s="1" t="s">
        <v>13</v>
      </c>
      <c r="I77" s="1" t="s">
        <v>18</v>
      </c>
      <c r="J77" s="1" t="s">
        <v>16</v>
      </c>
      <c r="K77" s="1" t="s">
        <v>15</v>
      </c>
      <c r="L77" s="1" t="s">
        <v>13</v>
      </c>
      <c r="M77" s="1" t="s">
        <v>1163</v>
      </c>
      <c r="N77" s="1" t="str">
        <f t="shared" si="13"/>
        <v>SOPORTE</v>
      </c>
      <c r="O77" s="3">
        <f t="shared" si="26"/>
        <v>45700.548931550926</v>
      </c>
      <c r="P77" s="3">
        <f t="shared" si="27"/>
        <v>45702.352426701385</v>
      </c>
      <c r="Q77" s="1" t="str">
        <f t="shared" si="16"/>
        <v>Externo</v>
      </c>
      <c r="R77" s="1">
        <f t="shared" si="28"/>
        <v>7</v>
      </c>
      <c r="S77" s="6">
        <f t="shared" si="29"/>
        <v>45698</v>
      </c>
      <c r="T77" s="1">
        <f t="shared" si="30"/>
        <v>7</v>
      </c>
      <c r="U77" s="6">
        <f t="shared" si="31"/>
        <v>45698</v>
      </c>
      <c r="V77" s="1">
        <f t="shared" si="32"/>
        <v>1.8034951504596393</v>
      </c>
      <c r="W77" s="1">
        <f t="shared" si="33"/>
        <v>2025</v>
      </c>
      <c r="X77" s="1">
        <f t="shared" si="34"/>
        <v>2025</v>
      </c>
      <c r="Y77" s="1" t="str">
        <f t="shared" si="24"/>
        <v>2025-02</v>
      </c>
      <c r="Z77" s="1" t="str">
        <f t="shared" si="25"/>
        <v>2025-02</v>
      </c>
    </row>
    <row r="78" spans="1:26" x14ac:dyDescent="0.2">
      <c r="A78" s="2" t="s">
        <v>239</v>
      </c>
      <c r="B78" s="1" t="s">
        <v>240</v>
      </c>
      <c r="C78" s="1" t="s">
        <v>70</v>
      </c>
      <c r="D78" s="3">
        <v>45702.352497789354</v>
      </c>
      <c r="E78" s="3">
        <v>45705.445486076387</v>
      </c>
      <c r="F78" s="1" t="s">
        <v>52</v>
      </c>
      <c r="G78" s="1" t="s">
        <v>53</v>
      </c>
      <c r="H78" s="1" t="s">
        <v>13</v>
      </c>
      <c r="I78" s="1" t="s">
        <v>18</v>
      </c>
      <c r="J78" s="1" t="s">
        <v>16</v>
      </c>
      <c r="K78" s="1" t="s">
        <v>15</v>
      </c>
      <c r="L78" s="1" t="s">
        <v>13</v>
      </c>
      <c r="M78" s="1" t="s">
        <v>13</v>
      </c>
      <c r="N78" s="1" t="str">
        <f t="shared" si="13"/>
        <v>TÉCNICO</v>
      </c>
      <c r="O78" s="3">
        <f t="shared" si="26"/>
        <v>45702.352497789354</v>
      </c>
      <c r="P78" s="3">
        <f t="shared" si="27"/>
        <v>45705.445486076387</v>
      </c>
      <c r="Q78" s="1" t="str">
        <f t="shared" si="16"/>
        <v>Interno</v>
      </c>
      <c r="R78" s="1">
        <f t="shared" si="28"/>
        <v>7</v>
      </c>
      <c r="S78" s="6">
        <f t="shared" si="29"/>
        <v>45698</v>
      </c>
      <c r="T78" s="1">
        <f t="shared" si="30"/>
        <v>8</v>
      </c>
      <c r="U78" s="6">
        <f t="shared" si="31"/>
        <v>45705</v>
      </c>
      <c r="V78" s="1">
        <f t="shared" si="32"/>
        <v>3.0929882870332222</v>
      </c>
      <c r="W78" s="1">
        <f t="shared" si="33"/>
        <v>2025</v>
      </c>
      <c r="X78" s="1">
        <f t="shared" si="34"/>
        <v>2025</v>
      </c>
      <c r="Y78" s="1" t="str">
        <f t="shared" si="24"/>
        <v>2025-02</v>
      </c>
      <c r="Z78" s="1" t="str">
        <f t="shared" si="25"/>
        <v>2025-02</v>
      </c>
    </row>
    <row r="79" spans="1:26" x14ac:dyDescent="0.2">
      <c r="A79" s="2" t="s">
        <v>241</v>
      </c>
      <c r="B79" s="1" t="s">
        <v>242</v>
      </c>
      <c r="C79" s="1" t="s">
        <v>13</v>
      </c>
      <c r="D79" s="3">
        <v>45706.472739745368</v>
      </c>
      <c r="E79" s="3">
        <v>45706.495453495372</v>
      </c>
      <c r="F79" s="1" t="s">
        <v>52</v>
      </c>
      <c r="G79" s="1" t="s">
        <v>21</v>
      </c>
      <c r="H79" s="1" t="s">
        <v>13</v>
      </c>
      <c r="I79" s="1" t="s">
        <v>13</v>
      </c>
      <c r="J79" s="1" t="s">
        <v>16</v>
      </c>
      <c r="K79" s="1" t="s">
        <v>15</v>
      </c>
      <c r="L79" s="1" t="s">
        <v>13</v>
      </c>
      <c r="M79" s="1" t="s">
        <v>1163</v>
      </c>
      <c r="N79" s="1" t="str">
        <f t="shared" si="13"/>
        <v>SOPORTE</v>
      </c>
      <c r="O79" s="3">
        <f t="shared" si="26"/>
        <v>45706.472739745368</v>
      </c>
      <c r="P79" s="3">
        <f t="shared" si="27"/>
        <v>45706.495453495372</v>
      </c>
      <c r="Q79" s="1" t="str">
        <f t="shared" si="16"/>
        <v>Externo</v>
      </c>
      <c r="R79" s="1">
        <f t="shared" si="28"/>
        <v>8</v>
      </c>
      <c r="S79" s="6">
        <f t="shared" si="29"/>
        <v>45705</v>
      </c>
      <c r="T79" s="1">
        <f t="shared" si="30"/>
        <v>8</v>
      </c>
      <c r="U79" s="6">
        <f t="shared" si="31"/>
        <v>45705</v>
      </c>
      <c r="V79" s="1">
        <f t="shared" si="32"/>
        <v>2.2713750004186295E-2</v>
      </c>
      <c r="W79" s="1">
        <f t="shared" si="33"/>
        <v>2025</v>
      </c>
      <c r="X79" s="1">
        <f t="shared" si="34"/>
        <v>2025</v>
      </c>
      <c r="Y79" s="1" t="str">
        <f t="shared" si="24"/>
        <v>2025-02</v>
      </c>
      <c r="Z79" s="1" t="str">
        <f t="shared" si="25"/>
        <v>2025-02</v>
      </c>
    </row>
    <row r="80" spans="1:26" x14ac:dyDescent="0.2">
      <c r="A80" s="2" t="s">
        <v>243</v>
      </c>
      <c r="B80" s="1" t="s">
        <v>244</v>
      </c>
      <c r="C80" s="1" t="s">
        <v>230</v>
      </c>
      <c r="D80" s="3">
        <v>45706.645583923608</v>
      </c>
      <c r="E80" s="3">
        <v>45708.399668564816</v>
      </c>
      <c r="F80" s="1" t="s">
        <v>52</v>
      </c>
      <c r="G80" s="1" t="s">
        <v>21</v>
      </c>
      <c r="H80" s="1" t="s">
        <v>13</v>
      </c>
      <c r="I80" s="1" t="s">
        <v>18</v>
      </c>
      <c r="J80" s="1" t="s">
        <v>16</v>
      </c>
      <c r="K80" s="1" t="s">
        <v>15</v>
      </c>
      <c r="L80" s="1" t="s">
        <v>13</v>
      </c>
      <c r="M80" s="1" t="s">
        <v>1163</v>
      </c>
      <c r="N80" s="1" t="str">
        <f t="shared" si="13"/>
        <v>SOPORTE</v>
      </c>
      <c r="O80" s="3">
        <f t="shared" si="26"/>
        <v>45706.645583923608</v>
      </c>
      <c r="P80" s="3">
        <f t="shared" si="27"/>
        <v>45708.399668564816</v>
      </c>
      <c r="Q80" s="1" t="str">
        <f t="shared" si="16"/>
        <v>Externo</v>
      </c>
      <c r="R80" s="1">
        <f t="shared" si="28"/>
        <v>8</v>
      </c>
      <c r="S80" s="6">
        <f t="shared" si="29"/>
        <v>45705</v>
      </c>
      <c r="T80" s="1">
        <f t="shared" si="30"/>
        <v>8</v>
      </c>
      <c r="U80" s="6">
        <f t="shared" si="31"/>
        <v>45705</v>
      </c>
      <c r="V80" s="1">
        <f t="shared" si="32"/>
        <v>1.7540846412084647</v>
      </c>
      <c r="W80" s="1">
        <f t="shared" si="33"/>
        <v>2025</v>
      </c>
      <c r="X80" s="1">
        <f t="shared" si="34"/>
        <v>2025</v>
      </c>
      <c r="Y80" s="1" t="str">
        <f t="shared" si="24"/>
        <v>2025-02</v>
      </c>
      <c r="Z80" s="1" t="str">
        <f t="shared" si="25"/>
        <v>2025-02</v>
      </c>
    </row>
    <row r="81" spans="1:26" x14ac:dyDescent="0.2">
      <c r="A81" s="2" t="s">
        <v>245</v>
      </c>
      <c r="B81" s="1" t="s">
        <v>246</v>
      </c>
      <c r="C81" s="1" t="s">
        <v>78</v>
      </c>
      <c r="D81" s="3">
        <v>45707.358083969906</v>
      </c>
      <c r="E81" s="3">
        <v>45720.403747083335</v>
      </c>
      <c r="F81" s="1" t="s">
        <v>52</v>
      </c>
      <c r="G81" s="1" t="s">
        <v>21</v>
      </c>
      <c r="H81" s="1" t="s">
        <v>13</v>
      </c>
      <c r="I81" s="1" t="s">
        <v>18</v>
      </c>
      <c r="J81" s="1" t="s">
        <v>16</v>
      </c>
      <c r="K81" s="1" t="s">
        <v>15</v>
      </c>
      <c r="L81" s="1" t="s">
        <v>13</v>
      </c>
      <c r="M81" s="1" t="s">
        <v>1163</v>
      </c>
      <c r="N81" s="1" t="str">
        <f t="shared" si="13"/>
        <v>SOPORTE</v>
      </c>
      <c r="O81" s="3">
        <f t="shared" si="26"/>
        <v>45707.358083969906</v>
      </c>
      <c r="P81" s="3">
        <f t="shared" si="27"/>
        <v>45720.403747083335</v>
      </c>
      <c r="Q81" s="1" t="str">
        <f t="shared" si="16"/>
        <v>Externo</v>
      </c>
      <c r="R81" s="1">
        <f t="shared" si="28"/>
        <v>8</v>
      </c>
      <c r="S81" s="6">
        <f t="shared" si="29"/>
        <v>45705</v>
      </c>
      <c r="T81" s="1">
        <f t="shared" si="30"/>
        <v>10</v>
      </c>
      <c r="U81" s="6">
        <f t="shared" si="31"/>
        <v>45719</v>
      </c>
      <c r="V81" s="1">
        <f t="shared" si="32"/>
        <v>13.045663113429327</v>
      </c>
      <c r="W81" s="1">
        <f t="shared" si="33"/>
        <v>2025</v>
      </c>
      <c r="X81" s="1">
        <f t="shared" si="34"/>
        <v>2025</v>
      </c>
      <c r="Y81" s="1" t="str">
        <f t="shared" si="24"/>
        <v>2025-02</v>
      </c>
      <c r="Z81" s="1" t="str">
        <f t="shared" si="25"/>
        <v>2025-03</v>
      </c>
    </row>
    <row r="82" spans="1:26" x14ac:dyDescent="0.2">
      <c r="A82" s="2" t="s">
        <v>247</v>
      </c>
      <c r="B82" s="1" t="s">
        <v>248</v>
      </c>
      <c r="C82" s="1" t="s">
        <v>13</v>
      </c>
      <c r="D82" s="3">
        <v>45707.3684425463</v>
      </c>
      <c r="E82" s="3">
        <v>45714.435888715278</v>
      </c>
      <c r="F82" s="1" t="s">
        <v>52</v>
      </c>
      <c r="G82" s="1" t="s">
        <v>21</v>
      </c>
      <c r="H82" s="1" t="s">
        <v>13</v>
      </c>
      <c r="I82" s="1" t="s">
        <v>18</v>
      </c>
      <c r="J82" s="1" t="s">
        <v>16</v>
      </c>
      <c r="K82" s="1" t="s">
        <v>15</v>
      </c>
      <c r="L82" s="1" t="s">
        <v>13</v>
      </c>
      <c r="M82" s="1" t="s">
        <v>1163</v>
      </c>
      <c r="N82" s="1" t="str">
        <f t="shared" si="13"/>
        <v>SOPORTE</v>
      </c>
      <c r="O82" s="3">
        <f t="shared" si="26"/>
        <v>45707.3684425463</v>
      </c>
      <c r="P82" s="3">
        <f t="shared" si="27"/>
        <v>45714.435888715278</v>
      </c>
      <c r="Q82" s="1" t="str">
        <f t="shared" si="16"/>
        <v>Externo</v>
      </c>
      <c r="R82" s="1">
        <f t="shared" si="28"/>
        <v>8</v>
      </c>
      <c r="S82" s="6">
        <f t="shared" si="29"/>
        <v>45705</v>
      </c>
      <c r="T82" s="1">
        <f t="shared" si="30"/>
        <v>9</v>
      </c>
      <c r="U82" s="6">
        <f t="shared" si="31"/>
        <v>45712</v>
      </c>
      <c r="V82" s="1">
        <f t="shared" si="32"/>
        <v>7.0674461689777672</v>
      </c>
      <c r="W82" s="1">
        <f t="shared" si="33"/>
        <v>2025</v>
      </c>
      <c r="X82" s="1">
        <f t="shared" si="34"/>
        <v>2025</v>
      </c>
      <c r="Y82" s="1" t="str">
        <f t="shared" si="24"/>
        <v>2025-02</v>
      </c>
      <c r="Z82" s="1" t="str">
        <f t="shared" si="25"/>
        <v>2025-02</v>
      </c>
    </row>
    <row r="83" spans="1:26" x14ac:dyDescent="0.2">
      <c r="A83" s="2" t="s">
        <v>249</v>
      </c>
      <c r="B83" s="1" t="s">
        <v>250</v>
      </c>
      <c r="C83" s="1" t="s">
        <v>70</v>
      </c>
      <c r="D83" s="3">
        <v>45707.474485891202</v>
      </c>
      <c r="E83" s="3">
        <v>45712.67732451389</v>
      </c>
      <c r="F83" s="1" t="s">
        <v>52</v>
      </c>
      <c r="G83" s="1" t="s">
        <v>21</v>
      </c>
      <c r="H83" s="1" t="s">
        <v>13</v>
      </c>
      <c r="I83" s="1" t="s">
        <v>18</v>
      </c>
      <c r="J83" s="1" t="s">
        <v>16</v>
      </c>
      <c r="K83" s="1" t="s">
        <v>15</v>
      </c>
      <c r="L83" s="1" t="s">
        <v>13</v>
      </c>
      <c r="M83" s="1" t="s">
        <v>1163</v>
      </c>
      <c r="N83" s="1" t="str">
        <f t="shared" si="13"/>
        <v>SOPORTE</v>
      </c>
      <c r="O83" s="3">
        <f t="shared" si="26"/>
        <v>45707.474485891202</v>
      </c>
      <c r="P83" s="3">
        <f t="shared" si="27"/>
        <v>45712.67732451389</v>
      </c>
      <c r="Q83" s="1" t="str">
        <f t="shared" si="16"/>
        <v>Externo</v>
      </c>
      <c r="R83" s="1">
        <f t="shared" si="28"/>
        <v>8</v>
      </c>
      <c r="S83" s="6">
        <f t="shared" si="29"/>
        <v>45705</v>
      </c>
      <c r="T83" s="1">
        <f t="shared" si="30"/>
        <v>9</v>
      </c>
      <c r="U83" s="6">
        <f t="shared" si="31"/>
        <v>45712</v>
      </c>
      <c r="V83" s="1">
        <f t="shared" si="32"/>
        <v>5.2028386226884322</v>
      </c>
      <c r="W83" s="1">
        <f t="shared" si="33"/>
        <v>2025</v>
      </c>
      <c r="X83" s="1">
        <f t="shared" si="34"/>
        <v>2025</v>
      </c>
      <c r="Y83" s="1" t="str">
        <f t="shared" si="24"/>
        <v>2025-02</v>
      </c>
      <c r="Z83" s="1" t="str">
        <f t="shared" si="25"/>
        <v>2025-02</v>
      </c>
    </row>
    <row r="84" spans="1:26" x14ac:dyDescent="0.2">
      <c r="A84" s="2" t="s">
        <v>251</v>
      </c>
      <c r="B84" s="1" t="s">
        <v>252</v>
      </c>
      <c r="C84" s="1" t="s">
        <v>13</v>
      </c>
      <c r="D84" s="3">
        <v>45708.538625289351</v>
      </c>
      <c r="E84" s="3">
        <v>45712.678032233795</v>
      </c>
      <c r="F84" s="1" t="s">
        <v>52</v>
      </c>
      <c r="G84" s="1" t="s">
        <v>21</v>
      </c>
      <c r="H84" s="1" t="s">
        <v>13</v>
      </c>
      <c r="I84" s="1" t="s">
        <v>18</v>
      </c>
      <c r="J84" s="1" t="s">
        <v>16</v>
      </c>
      <c r="K84" s="1" t="s">
        <v>15</v>
      </c>
      <c r="L84" s="1" t="s">
        <v>13</v>
      </c>
      <c r="M84" s="1" t="s">
        <v>1163</v>
      </c>
      <c r="N84" s="1" t="str">
        <f t="shared" si="13"/>
        <v>SOPORTE</v>
      </c>
      <c r="O84" s="3">
        <f t="shared" si="26"/>
        <v>45708.538625289351</v>
      </c>
      <c r="P84" s="3">
        <f t="shared" si="27"/>
        <v>45712.678032233795</v>
      </c>
      <c r="Q84" s="1" t="str">
        <f t="shared" si="16"/>
        <v>Externo</v>
      </c>
      <c r="R84" s="1">
        <f t="shared" si="28"/>
        <v>8</v>
      </c>
      <c r="S84" s="6">
        <f t="shared" si="29"/>
        <v>45705</v>
      </c>
      <c r="T84" s="1">
        <f t="shared" si="30"/>
        <v>9</v>
      </c>
      <c r="U84" s="6">
        <f t="shared" si="31"/>
        <v>45712</v>
      </c>
      <c r="V84" s="1">
        <f t="shared" si="32"/>
        <v>4.1394069444431807</v>
      </c>
      <c r="W84" s="1">
        <f t="shared" si="33"/>
        <v>2025</v>
      </c>
      <c r="X84" s="1">
        <f t="shared" si="34"/>
        <v>2025</v>
      </c>
      <c r="Y84" s="1" t="str">
        <f t="shared" si="24"/>
        <v>2025-02</v>
      </c>
      <c r="Z84" s="1" t="str">
        <f t="shared" si="25"/>
        <v>2025-02</v>
      </c>
    </row>
    <row r="85" spans="1:26" x14ac:dyDescent="0.2">
      <c r="A85" s="2" t="s">
        <v>253</v>
      </c>
      <c r="B85" s="1" t="s">
        <v>254</v>
      </c>
      <c r="C85" s="1" t="s">
        <v>127</v>
      </c>
      <c r="D85" s="3">
        <v>45708.67795701389</v>
      </c>
      <c r="E85" s="3">
        <v>45714.437174999999</v>
      </c>
      <c r="F85" s="1" t="s">
        <v>52</v>
      </c>
      <c r="G85" s="1" t="s">
        <v>21</v>
      </c>
      <c r="H85" s="1" t="s">
        <v>13</v>
      </c>
      <c r="I85" s="1" t="s">
        <v>18</v>
      </c>
      <c r="J85" s="1" t="s">
        <v>16</v>
      </c>
      <c r="K85" s="1" t="s">
        <v>15</v>
      </c>
      <c r="L85" s="1" t="s">
        <v>13</v>
      </c>
      <c r="M85" s="1" t="s">
        <v>1163</v>
      </c>
      <c r="N85" s="1" t="str">
        <f t="shared" si="13"/>
        <v>SOPORTE</v>
      </c>
      <c r="O85" s="3">
        <f t="shared" si="26"/>
        <v>45708.67795701389</v>
      </c>
      <c r="P85" s="3">
        <f t="shared" si="27"/>
        <v>45714.437174999999</v>
      </c>
      <c r="Q85" s="1" t="str">
        <f t="shared" si="16"/>
        <v>Externo</v>
      </c>
      <c r="R85" s="1">
        <f t="shared" si="28"/>
        <v>8</v>
      </c>
      <c r="S85" s="6">
        <f t="shared" si="29"/>
        <v>45705</v>
      </c>
      <c r="T85" s="1">
        <f t="shared" si="30"/>
        <v>9</v>
      </c>
      <c r="U85" s="6">
        <f t="shared" si="31"/>
        <v>45712</v>
      </c>
      <c r="V85" s="1">
        <f t="shared" si="32"/>
        <v>5.7592179861094337</v>
      </c>
      <c r="W85" s="1">
        <f t="shared" si="33"/>
        <v>2025</v>
      </c>
      <c r="X85" s="1">
        <f t="shared" si="34"/>
        <v>2025</v>
      </c>
      <c r="Y85" s="1" t="str">
        <f t="shared" si="24"/>
        <v>2025-02</v>
      </c>
      <c r="Z85" s="1" t="str">
        <f t="shared" si="25"/>
        <v>2025-02</v>
      </c>
    </row>
    <row r="86" spans="1:26" x14ac:dyDescent="0.2">
      <c r="A86" s="2" t="s">
        <v>255</v>
      </c>
      <c r="B86" s="1" t="s">
        <v>256</v>
      </c>
      <c r="C86" s="1" t="s">
        <v>13</v>
      </c>
      <c r="D86" s="3">
        <v>45709.398629062503</v>
      </c>
      <c r="E86" s="3">
        <v>45709.400649606483</v>
      </c>
      <c r="F86" s="1" t="s">
        <v>52</v>
      </c>
      <c r="G86" s="1" t="s">
        <v>21</v>
      </c>
      <c r="H86" s="1" t="s">
        <v>13</v>
      </c>
      <c r="I86" s="1" t="s">
        <v>18</v>
      </c>
      <c r="J86" s="1" t="s">
        <v>16</v>
      </c>
      <c r="K86" s="1" t="s">
        <v>15</v>
      </c>
      <c r="L86" s="1" t="s">
        <v>13</v>
      </c>
      <c r="M86" s="1" t="s">
        <v>13</v>
      </c>
      <c r="N86" s="1" t="str">
        <f t="shared" si="13"/>
        <v>SOPORTE</v>
      </c>
      <c r="O86" s="3">
        <f t="shared" si="26"/>
        <v>45709.398629062503</v>
      </c>
      <c r="P86" s="3">
        <f t="shared" si="27"/>
        <v>45709.400649606483</v>
      </c>
      <c r="Q86" s="1" t="str">
        <f t="shared" si="16"/>
        <v>Externo</v>
      </c>
      <c r="R86" s="1">
        <f t="shared" si="28"/>
        <v>8</v>
      </c>
      <c r="S86" s="6">
        <f t="shared" si="29"/>
        <v>45705</v>
      </c>
      <c r="T86" s="1">
        <f t="shared" si="30"/>
        <v>8</v>
      </c>
      <c r="U86" s="6">
        <f t="shared" si="31"/>
        <v>45705</v>
      </c>
      <c r="V86" s="1">
        <f t="shared" si="32"/>
        <v>2.0205439795972779E-3</v>
      </c>
      <c r="W86" s="1">
        <f t="shared" si="33"/>
        <v>2025</v>
      </c>
      <c r="X86" s="1">
        <f t="shared" si="34"/>
        <v>2025</v>
      </c>
      <c r="Y86" s="1" t="str">
        <f t="shared" si="24"/>
        <v>2025-02</v>
      </c>
      <c r="Z86" s="1" t="str">
        <f t="shared" si="25"/>
        <v>2025-02</v>
      </c>
    </row>
    <row r="87" spans="1:26" x14ac:dyDescent="0.2">
      <c r="A87" s="2" t="s">
        <v>257</v>
      </c>
      <c r="B87" s="1" t="s">
        <v>258</v>
      </c>
      <c r="C87" s="1" t="s">
        <v>184</v>
      </c>
      <c r="D87" s="3">
        <v>45709.413380208331</v>
      </c>
      <c r="E87" s="3">
        <v>45713.699618738428</v>
      </c>
      <c r="F87" s="1" t="s">
        <v>52</v>
      </c>
      <c r="G87" s="1" t="s">
        <v>259</v>
      </c>
      <c r="H87" s="1" t="s">
        <v>13</v>
      </c>
      <c r="I87" s="1" t="s">
        <v>18</v>
      </c>
      <c r="J87" s="1" t="s">
        <v>16</v>
      </c>
      <c r="K87" s="1" t="s">
        <v>15</v>
      </c>
      <c r="L87" s="1" t="s">
        <v>13</v>
      </c>
      <c r="M87" s="1" t="s">
        <v>1163</v>
      </c>
      <c r="N87" s="1" t="str">
        <f t="shared" si="13"/>
        <v>Técnico</v>
      </c>
      <c r="O87" s="3">
        <f t="shared" si="26"/>
        <v>45709.413380208331</v>
      </c>
      <c r="P87" s="3">
        <f t="shared" si="27"/>
        <v>45713.699618738428</v>
      </c>
      <c r="Q87" s="1" t="str">
        <f t="shared" si="16"/>
        <v>Interno</v>
      </c>
      <c r="R87" s="1">
        <f t="shared" si="28"/>
        <v>8</v>
      </c>
      <c r="S87" s="6">
        <f t="shared" si="29"/>
        <v>45705</v>
      </c>
      <c r="T87" s="1">
        <f t="shared" si="30"/>
        <v>9</v>
      </c>
      <c r="U87" s="6">
        <f t="shared" si="31"/>
        <v>45712</v>
      </c>
      <c r="V87" s="1">
        <f t="shared" si="32"/>
        <v>4.2862385300977621</v>
      </c>
      <c r="W87" s="1">
        <f t="shared" si="33"/>
        <v>2025</v>
      </c>
      <c r="X87" s="1">
        <f t="shared" si="34"/>
        <v>2025</v>
      </c>
      <c r="Y87" s="1" t="str">
        <f t="shared" si="24"/>
        <v>2025-02</v>
      </c>
      <c r="Z87" s="1" t="str">
        <f t="shared" si="25"/>
        <v>2025-02</v>
      </c>
    </row>
    <row r="88" spans="1:26" x14ac:dyDescent="0.2">
      <c r="A88" s="2" t="s">
        <v>260</v>
      </c>
      <c r="B88" s="1" t="s">
        <v>261</v>
      </c>
      <c r="C88" s="1" t="s">
        <v>127</v>
      </c>
      <c r="D88" s="3">
        <v>45712.685406747682</v>
      </c>
      <c r="E88" s="3">
        <v>45714.439078240743</v>
      </c>
      <c r="F88" s="1" t="s">
        <v>52</v>
      </c>
      <c r="G88" s="1" t="s">
        <v>21</v>
      </c>
      <c r="H88" s="1" t="s">
        <v>13</v>
      </c>
      <c r="I88" s="1" t="s">
        <v>18</v>
      </c>
      <c r="J88" s="1" t="s">
        <v>16</v>
      </c>
      <c r="K88" s="1" t="s">
        <v>15</v>
      </c>
      <c r="L88" s="1" t="s">
        <v>13</v>
      </c>
      <c r="M88" s="1" t="s">
        <v>1163</v>
      </c>
      <c r="N88" s="1" t="str">
        <f t="shared" si="13"/>
        <v>SOPORTE</v>
      </c>
      <c r="O88" s="3">
        <f t="shared" si="26"/>
        <v>45712.685406747682</v>
      </c>
      <c r="P88" s="3">
        <f t="shared" si="27"/>
        <v>45714.439078240743</v>
      </c>
      <c r="Q88" s="1" t="str">
        <f t="shared" si="16"/>
        <v>Externo</v>
      </c>
      <c r="R88" s="1">
        <f t="shared" si="28"/>
        <v>9</v>
      </c>
      <c r="S88" s="6">
        <f t="shared" si="29"/>
        <v>45712</v>
      </c>
      <c r="T88" s="1">
        <f t="shared" si="30"/>
        <v>9</v>
      </c>
      <c r="U88" s="6">
        <f t="shared" si="31"/>
        <v>45712</v>
      </c>
      <c r="V88" s="1">
        <f t="shared" si="32"/>
        <v>1.7536714930611197</v>
      </c>
      <c r="W88" s="1">
        <f t="shared" si="33"/>
        <v>2025</v>
      </c>
      <c r="X88" s="1">
        <f t="shared" si="34"/>
        <v>2025</v>
      </c>
      <c r="Y88" s="1" t="str">
        <f t="shared" si="24"/>
        <v>2025-02</v>
      </c>
      <c r="Z88" s="1" t="str">
        <f t="shared" si="25"/>
        <v>2025-02</v>
      </c>
    </row>
    <row r="89" spans="1:26" x14ac:dyDescent="0.2">
      <c r="A89" s="2" t="s">
        <v>262</v>
      </c>
      <c r="B89" s="1" t="s">
        <v>263</v>
      </c>
      <c r="C89" s="1" t="s">
        <v>70</v>
      </c>
      <c r="D89" s="3">
        <v>45713.384944212965</v>
      </c>
      <c r="E89" s="3">
        <v>45735.566809953707</v>
      </c>
      <c r="F89" s="1" t="s">
        <v>52</v>
      </c>
      <c r="G89" s="1" t="s">
        <v>259</v>
      </c>
      <c r="H89" s="1" t="s">
        <v>13</v>
      </c>
      <c r="I89" s="1" t="s">
        <v>18</v>
      </c>
      <c r="J89" s="1" t="s">
        <v>16</v>
      </c>
      <c r="K89" s="1" t="s">
        <v>15</v>
      </c>
      <c r="L89" s="1" t="s">
        <v>13</v>
      </c>
      <c r="M89" s="1" t="s">
        <v>1163</v>
      </c>
      <c r="N89" s="1" t="str">
        <f t="shared" si="13"/>
        <v>Técnico</v>
      </c>
      <c r="O89" s="3">
        <f t="shared" si="26"/>
        <v>45713.384944212965</v>
      </c>
      <c r="P89" s="3">
        <f t="shared" si="27"/>
        <v>45735.566809953707</v>
      </c>
      <c r="Q89" s="1" t="str">
        <f t="shared" si="16"/>
        <v>Interno</v>
      </c>
      <c r="R89" s="1">
        <f t="shared" si="28"/>
        <v>9</v>
      </c>
      <c r="S89" s="6">
        <f t="shared" si="29"/>
        <v>45712</v>
      </c>
      <c r="T89" s="1">
        <f t="shared" si="30"/>
        <v>12</v>
      </c>
      <c r="U89" s="6">
        <f t="shared" si="31"/>
        <v>45733</v>
      </c>
      <c r="V89" s="1">
        <f t="shared" si="32"/>
        <v>22.181865740742069</v>
      </c>
      <c r="W89" s="1">
        <f t="shared" si="33"/>
        <v>2025</v>
      </c>
      <c r="X89" s="1">
        <f t="shared" si="34"/>
        <v>2025</v>
      </c>
      <c r="Y89" s="1" t="str">
        <f t="shared" si="24"/>
        <v>2025-02</v>
      </c>
      <c r="Z89" s="1" t="str">
        <f t="shared" si="25"/>
        <v>2025-03</v>
      </c>
    </row>
    <row r="90" spans="1:26" x14ac:dyDescent="0.2">
      <c r="A90" s="2" t="s">
        <v>264</v>
      </c>
      <c r="B90" s="1" t="s">
        <v>265</v>
      </c>
      <c r="C90" s="1" t="s">
        <v>78</v>
      </c>
      <c r="D90" s="3">
        <v>45713.681985370371</v>
      </c>
      <c r="E90" s="3">
        <v>45719.46765053241</v>
      </c>
      <c r="F90" s="1" t="s">
        <v>52</v>
      </c>
      <c r="G90" s="1" t="s">
        <v>21</v>
      </c>
      <c r="H90" s="1" t="s">
        <v>13</v>
      </c>
      <c r="I90" s="1" t="s">
        <v>18</v>
      </c>
      <c r="J90" s="1" t="s">
        <v>16</v>
      </c>
      <c r="K90" s="1" t="s">
        <v>15</v>
      </c>
      <c r="L90" s="1" t="s">
        <v>13</v>
      </c>
      <c r="M90" s="1" t="s">
        <v>1163</v>
      </c>
      <c r="N90" s="1" t="str">
        <f t="shared" si="13"/>
        <v>SOPORTE</v>
      </c>
      <c r="O90" s="3">
        <f t="shared" si="26"/>
        <v>45713.681985370371</v>
      </c>
      <c r="P90" s="3">
        <f t="shared" si="27"/>
        <v>45719.46765053241</v>
      </c>
      <c r="Q90" s="1" t="str">
        <f t="shared" si="16"/>
        <v>Externo</v>
      </c>
      <c r="R90" s="1">
        <f t="shared" si="28"/>
        <v>9</v>
      </c>
      <c r="S90" s="6">
        <f t="shared" si="29"/>
        <v>45712</v>
      </c>
      <c r="T90" s="1">
        <f t="shared" si="30"/>
        <v>10</v>
      </c>
      <c r="U90" s="6">
        <f t="shared" si="31"/>
        <v>45719</v>
      </c>
      <c r="V90" s="1">
        <f t="shared" si="32"/>
        <v>5.7856651620386401</v>
      </c>
      <c r="W90" s="1">
        <f t="shared" si="33"/>
        <v>2025</v>
      </c>
      <c r="X90" s="1">
        <f t="shared" si="34"/>
        <v>2025</v>
      </c>
      <c r="Y90" s="1" t="str">
        <f t="shared" si="24"/>
        <v>2025-02</v>
      </c>
      <c r="Z90" s="1" t="str">
        <f t="shared" si="25"/>
        <v>2025-03</v>
      </c>
    </row>
    <row r="91" spans="1:26" x14ac:dyDescent="0.2">
      <c r="A91" s="2" t="s">
        <v>266</v>
      </c>
      <c r="B91" s="1" t="s">
        <v>267</v>
      </c>
      <c r="C91" s="1" t="s">
        <v>109</v>
      </c>
      <c r="D91" s="3">
        <v>45714.428446203703</v>
      </c>
      <c r="E91" s="3">
        <v>45714.683120833331</v>
      </c>
      <c r="F91" s="1" t="s">
        <v>52</v>
      </c>
      <c r="G91" s="1" t="s">
        <v>21</v>
      </c>
      <c r="H91" s="1" t="s">
        <v>13</v>
      </c>
      <c r="I91" s="1" t="s">
        <v>18</v>
      </c>
      <c r="J91" s="1" t="s">
        <v>16</v>
      </c>
      <c r="K91" s="1" t="s">
        <v>15</v>
      </c>
      <c r="L91" s="1" t="s">
        <v>13</v>
      </c>
      <c r="M91" s="1" t="s">
        <v>1163</v>
      </c>
      <c r="N91" s="1" t="str">
        <f t="shared" si="13"/>
        <v>SOPORTE</v>
      </c>
      <c r="O91" s="3">
        <f t="shared" si="26"/>
        <v>45714.428446203703</v>
      </c>
      <c r="P91" s="3">
        <f t="shared" si="27"/>
        <v>45714.683120833331</v>
      </c>
      <c r="Q91" s="1" t="str">
        <f t="shared" si="16"/>
        <v>Externo</v>
      </c>
      <c r="R91" s="1">
        <f t="shared" si="28"/>
        <v>9</v>
      </c>
      <c r="S91" s="6">
        <f t="shared" si="29"/>
        <v>45712</v>
      </c>
      <c r="T91" s="1">
        <f t="shared" si="30"/>
        <v>9</v>
      </c>
      <c r="U91" s="6">
        <f t="shared" si="31"/>
        <v>45712</v>
      </c>
      <c r="V91" s="1">
        <f t="shared" si="32"/>
        <v>0.25467462962842546</v>
      </c>
      <c r="W91" s="1">
        <f t="shared" si="33"/>
        <v>2025</v>
      </c>
      <c r="X91" s="1">
        <f t="shared" si="34"/>
        <v>2025</v>
      </c>
      <c r="Y91" s="1" t="str">
        <f t="shared" si="24"/>
        <v>2025-02</v>
      </c>
      <c r="Z91" s="1" t="str">
        <f t="shared" si="25"/>
        <v>2025-02</v>
      </c>
    </row>
    <row r="92" spans="1:26" x14ac:dyDescent="0.2">
      <c r="A92" s="2" t="s">
        <v>268</v>
      </c>
      <c r="B92" s="1" t="s">
        <v>269</v>
      </c>
      <c r="C92" s="1" t="s">
        <v>83</v>
      </c>
      <c r="D92" s="3">
        <v>45714.431383611111</v>
      </c>
      <c r="E92" s="3">
        <v>45715.741369641204</v>
      </c>
      <c r="F92" s="1" t="s">
        <v>52</v>
      </c>
      <c r="G92" s="1" t="s">
        <v>21</v>
      </c>
      <c r="H92" s="1" t="s">
        <v>13</v>
      </c>
      <c r="I92" s="1" t="s">
        <v>18</v>
      </c>
      <c r="J92" s="1" t="s">
        <v>16</v>
      </c>
      <c r="K92" s="1" t="s">
        <v>15</v>
      </c>
      <c r="L92" s="1" t="s">
        <v>13</v>
      </c>
      <c r="M92" s="1" t="s">
        <v>1162</v>
      </c>
      <c r="N92" s="1" t="str">
        <f t="shared" si="13"/>
        <v>SOPORTE</v>
      </c>
      <c r="O92" s="3">
        <f t="shared" si="26"/>
        <v>45714.431383611111</v>
      </c>
      <c r="P92" s="3">
        <f t="shared" si="27"/>
        <v>45715.741369641204</v>
      </c>
      <c r="Q92" s="1" t="str">
        <f t="shared" si="16"/>
        <v>Externo</v>
      </c>
      <c r="R92" s="1">
        <f t="shared" si="28"/>
        <v>9</v>
      </c>
      <c r="S92" s="6">
        <f t="shared" si="29"/>
        <v>45712</v>
      </c>
      <c r="T92" s="1">
        <f t="shared" si="30"/>
        <v>9</v>
      </c>
      <c r="U92" s="6">
        <f t="shared" si="31"/>
        <v>45712</v>
      </c>
      <c r="V92" s="1">
        <f t="shared" si="32"/>
        <v>1.3099860300935688</v>
      </c>
      <c r="W92" s="1">
        <f t="shared" si="33"/>
        <v>2025</v>
      </c>
      <c r="X92" s="1">
        <f t="shared" si="34"/>
        <v>2025</v>
      </c>
      <c r="Y92" s="1" t="str">
        <f t="shared" si="24"/>
        <v>2025-02</v>
      </c>
      <c r="Z92" s="1" t="str">
        <f t="shared" si="25"/>
        <v>2025-02</v>
      </c>
    </row>
    <row r="93" spans="1:26" x14ac:dyDescent="0.2">
      <c r="A93" s="2" t="s">
        <v>270</v>
      </c>
      <c r="B93" s="1" t="s">
        <v>271</v>
      </c>
      <c r="C93" s="1" t="s">
        <v>83</v>
      </c>
      <c r="D93" s="3">
        <v>45716.611127766206</v>
      </c>
      <c r="E93" s="3">
        <v>45722.596833171294</v>
      </c>
      <c r="F93" s="1" t="s">
        <v>52</v>
      </c>
      <c r="G93" s="1" t="s">
        <v>53</v>
      </c>
      <c r="H93" s="1" t="s">
        <v>13</v>
      </c>
      <c r="I93" s="1" t="s">
        <v>18</v>
      </c>
      <c r="J93" s="1" t="s">
        <v>16</v>
      </c>
      <c r="K93" s="1" t="s">
        <v>15</v>
      </c>
      <c r="L93" s="1" t="s">
        <v>13</v>
      </c>
      <c r="M93" s="1" t="s">
        <v>1163</v>
      </c>
      <c r="N93" s="1" t="str">
        <f t="shared" si="13"/>
        <v>TÉCNICO</v>
      </c>
      <c r="O93" s="3">
        <f t="shared" si="26"/>
        <v>45716.611127766206</v>
      </c>
      <c r="P93" s="3">
        <f t="shared" si="27"/>
        <v>45722.596833171294</v>
      </c>
      <c r="Q93" s="1" t="str">
        <f t="shared" si="16"/>
        <v>Interno</v>
      </c>
      <c r="R93" s="1">
        <f t="shared" si="28"/>
        <v>9</v>
      </c>
      <c r="S93" s="6">
        <f t="shared" si="29"/>
        <v>45712</v>
      </c>
      <c r="T93" s="1">
        <f t="shared" si="30"/>
        <v>10</v>
      </c>
      <c r="U93" s="6">
        <f t="shared" si="31"/>
        <v>45719</v>
      </c>
      <c r="V93" s="1">
        <f t="shared" si="32"/>
        <v>5.9857054050880834</v>
      </c>
      <c r="W93" s="1">
        <f t="shared" si="33"/>
        <v>2025</v>
      </c>
      <c r="X93" s="1">
        <f t="shared" si="34"/>
        <v>2025</v>
      </c>
      <c r="Y93" s="1" t="str">
        <f t="shared" si="24"/>
        <v>2025-02</v>
      </c>
      <c r="Z93" s="1" t="str">
        <f t="shared" si="25"/>
        <v>2025-03</v>
      </c>
    </row>
    <row r="94" spans="1:26" x14ac:dyDescent="0.2">
      <c r="A94" s="2" t="s">
        <v>272</v>
      </c>
      <c r="B94" s="1" t="s">
        <v>273</v>
      </c>
      <c r="C94" s="1" t="s">
        <v>139</v>
      </c>
      <c r="D94" s="3">
        <v>45719.471119780093</v>
      </c>
      <c r="E94" s="3">
        <v>45720.427891099534</v>
      </c>
      <c r="F94" s="1" t="s">
        <v>52</v>
      </c>
      <c r="G94" s="1" t="s">
        <v>21</v>
      </c>
      <c r="H94" s="1" t="s">
        <v>13</v>
      </c>
      <c r="I94" s="1" t="s">
        <v>18</v>
      </c>
      <c r="J94" s="1" t="s">
        <v>16</v>
      </c>
      <c r="K94" s="1" t="s">
        <v>15</v>
      </c>
      <c r="L94" s="1" t="s">
        <v>13</v>
      </c>
      <c r="M94" s="1" t="s">
        <v>1163</v>
      </c>
      <c r="N94" s="1" t="str">
        <f t="shared" si="13"/>
        <v>SOPORTE</v>
      </c>
      <c r="O94" s="3">
        <f t="shared" si="26"/>
        <v>45719.471119780093</v>
      </c>
      <c r="P94" s="3">
        <f t="shared" si="27"/>
        <v>45720.427891099534</v>
      </c>
      <c r="Q94" s="1" t="str">
        <f t="shared" si="16"/>
        <v>Externo</v>
      </c>
      <c r="R94" s="1">
        <f t="shared" si="28"/>
        <v>10</v>
      </c>
      <c r="S94" s="6">
        <f t="shared" si="29"/>
        <v>45719</v>
      </c>
      <c r="T94" s="1">
        <f t="shared" si="30"/>
        <v>10</v>
      </c>
      <c r="U94" s="6">
        <f t="shared" si="31"/>
        <v>45719</v>
      </c>
      <c r="V94" s="1">
        <f t="shared" si="32"/>
        <v>0.95677131944103166</v>
      </c>
      <c r="W94" s="1">
        <f t="shared" si="33"/>
        <v>2025</v>
      </c>
      <c r="X94" s="1">
        <f t="shared" si="34"/>
        <v>2025</v>
      </c>
      <c r="Y94" s="1" t="str">
        <f t="shared" si="24"/>
        <v>2025-03</v>
      </c>
      <c r="Z94" s="1" t="str">
        <f t="shared" si="25"/>
        <v>2025-03</v>
      </c>
    </row>
    <row r="95" spans="1:26" x14ac:dyDescent="0.2">
      <c r="A95" s="2" t="s">
        <v>274</v>
      </c>
      <c r="B95" s="1" t="s">
        <v>275</v>
      </c>
      <c r="C95" s="1" t="s">
        <v>276</v>
      </c>
      <c r="D95" s="3">
        <v>45720.41744759259</v>
      </c>
      <c r="E95" s="3">
        <v>45723.546932546298</v>
      </c>
      <c r="F95" s="1" t="s">
        <v>52</v>
      </c>
      <c r="G95" s="1" t="s">
        <v>21</v>
      </c>
      <c r="H95" s="1" t="s">
        <v>13</v>
      </c>
      <c r="I95" s="1" t="s">
        <v>18</v>
      </c>
      <c r="J95" s="1" t="s">
        <v>16</v>
      </c>
      <c r="K95" s="1" t="s">
        <v>15</v>
      </c>
      <c r="L95" s="1" t="s">
        <v>13</v>
      </c>
      <c r="M95" s="1" t="s">
        <v>1163</v>
      </c>
      <c r="N95" s="1" t="str">
        <f t="shared" si="13"/>
        <v>SOPORTE</v>
      </c>
      <c r="O95" s="3">
        <f t="shared" si="26"/>
        <v>45720.41744759259</v>
      </c>
      <c r="P95" s="3">
        <f t="shared" si="27"/>
        <v>45723.546932546298</v>
      </c>
      <c r="Q95" s="1" t="str">
        <f t="shared" si="16"/>
        <v>Externo</v>
      </c>
      <c r="R95" s="1">
        <f t="shared" si="28"/>
        <v>10</v>
      </c>
      <c r="S95" s="6">
        <f t="shared" si="29"/>
        <v>45719</v>
      </c>
      <c r="T95" s="1">
        <f t="shared" si="30"/>
        <v>10</v>
      </c>
      <c r="U95" s="6">
        <f t="shared" si="31"/>
        <v>45719</v>
      </c>
      <c r="V95" s="1">
        <f t="shared" si="32"/>
        <v>3.1294849537080154</v>
      </c>
      <c r="W95" s="1">
        <f t="shared" si="33"/>
        <v>2025</v>
      </c>
      <c r="X95" s="1">
        <f t="shared" si="34"/>
        <v>2025</v>
      </c>
      <c r="Y95" s="1" t="str">
        <f t="shared" si="24"/>
        <v>2025-03</v>
      </c>
      <c r="Z95" s="1" t="str">
        <f t="shared" si="25"/>
        <v>2025-03</v>
      </c>
    </row>
    <row r="96" spans="1:26" x14ac:dyDescent="0.2">
      <c r="A96" s="2" t="s">
        <v>277</v>
      </c>
      <c r="B96" s="1" t="s">
        <v>278</v>
      </c>
      <c r="C96" s="1" t="s">
        <v>58</v>
      </c>
      <c r="D96" s="3">
        <v>45720.749079490743</v>
      </c>
      <c r="E96" s="3">
        <v>45721.522809861111</v>
      </c>
      <c r="F96" s="1" t="s">
        <v>52</v>
      </c>
      <c r="G96" s="1" t="s">
        <v>21</v>
      </c>
      <c r="H96" s="1" t="s">
        <v>13</v>
      </c>
      <c r="I96" s="1" t="s">
        <v>18</v>
      </c>
      <c r="J96" s="1" t="s">
        <v>16</v>
      </c>
      <c r="K96" s="1" t="s">
        <v>15</v>
      </c>
      <c r="L96" s="1" t="s">
        <v>13</v>
      </c>
      <c r="M96" s="1" t="s">
        <v>1163</v>
      </c>
      <c r="N96" s="1" t="str">
        <f t="shared" si="13"/>
        <v>SOPORTE</v>
      </c>
      <c r="O96" s="3">
        <f t="shared" si="26"/>
        <v>45720.749079490743</v>
      </c>
      <c r="P96" s="3">
        <f t="shared" si="27"/>
        <v>45721.522809861111</v>
      </c>
      <c r="Q96" s="1" t="str">
        <f t="shared" si="16"/>
        <v>Externo</v>
      </c>
      <c r="R96" s="1">
        <f t="shared" si="28"/>
        <v>10</v>
      </c>
      <c r="S96" s="6">
        <f t="shared" si="29"/>
        <v>45719</v>
      </c>
      <c r="T96" s="1">
        <f t="shared" si="30"/>
        <v>10</v>
      </c>
      <c r="U96" s="6">
        <f t="shared" si="31"/>
        <v>45719</v>
      </c>
      <c r="V96" s="1">
        <f t="shared" si="32"/>
        <v>0.77373037036886672</v>
      </c>
      <c r="W96" s="1">
        <f t="shared" si="33"/>
        <v>2025</v>
      </c>
      <c r="X96" s="1">
        <f t="shared" si="34"/>
        <v>2025</v>
      </c>
      <c r="Y96" s="1" t="str">
        <f t="shared" si="24"/>
        <v>2025-03</v>
      </c>
      <c r="Z96" s="1" t="str">
        <f t="shared" si="25"/>
        <v>2025-03</v>
      </c>
    </row>
    <row r="97" spans="1:26" x14ac:dyDescent="0.2">
      <c r="A97" s="2" t="s">
        <v>279</v>
      </c>
      <c r="B97" s="1" t="s">
        <v>280</v>
      </c>
      <c r="C97" s="1" t="s">
        <v>13</v>
      </c>
      <c r="D97" s="3">
        <v>45721.707345416668</v>
      </c>
      <c r="E97" s="3">
        <v>45756.523818483794</v>
      </c>
      <c r="F97" s="1" t="s">
        <v>52</v>
      </c>
      <c r="G97" s="1" t="s">
        <v>12</v>
      </c>
      <c r="H97" s="1" t="s">
        <v>13</v>
      </c>
      <c r="I97" s="1" t="s">
        <v>99</v>
      </c>
      <c r="J97" s="1" t="s">
        <v>16</v>
      </c>
      <c r="K97" s="1" t="s">
        <v>15</v>
      </c>
      <c r="L97" s="1" t="s">
        <v>204</v>
      </c>
      <c r="M97" s="1" t="s">
        <v>13</v>
      </c>
      <c r="N97" s="1" t="str">
        <f t="shared" si="13"/>
        <v>DESARROLLO</v>
      </c>
      <c r="O97" s="3">
        <f t="shared" si="26"/>
        <v>45721.707345416668</v>
      </c>
      <c r="P97" s="3">
        <f t="shared" si="27"/>
        <v>45756.523818483794</v>
      </c>
      <c r="Q97" s="1" t="str">
        <f t="shared" si="16"/>
        <v>Interno</v>
      </c>
      <c r="R97" s="1">
        <f t="shared" si="28"/>
        <v>10</v>
      </c>
      <c r="S97" s="6">
        <f t="shared" si="29"/>
        <v>45719</v>
      </c>
      <c r="T97" s="1">
        <f t="shared" si="30"/>
        <v>15</v>
      </c>
      <c r="U97" s="6">
        <f t="shared" si="31"/>
        <v>45754</v>
      </c>
      <c r="V97" s="1">
        <f t="shared" si="32"/>
        <v>34.816473067126935</v>
      </c>
      <c r="W97" s="1">
        <f t="shared" si="33"/>
        <v>2025</v>
      </c>
      <c r="X97" s="1">
        <f t="shared" si="34"/>
        <v>2025</v>
      </c>
      <c r="Y97" s="1" t="str">
        <f t="shared" si="24"/>
        <v>2025-03</v>
      </c>
      <c r="Z97" s="1" t="str">
        <f t="shared" si="25"/>
        <v>2025-04</v>
      </c>
    </row>
    <row r="98" spans="1:26" x14ac:dyDescent="0.2">
      <c r="A98" s="2" t="s">
        <v>281</v>
      </c>
      <c r="B98" s="1" t="s">
        <v>282</v>
      </c>
      <c r="C98" s="1" t="s">
        <v>13</v>
      </c>
      <c r="D98" s="3">
        <v>45721.738357395836</v>
      </c>
      <c r="E98" s="3">
        <v>45756.523818923612</v>
      </c>
      <c r="F98" s="1" t="s">
        <v>52</v>
      </c>
      <c r="G98" s="1" t="s">
        <v>53</v>
      </c>
      <c r="H98" s="1" t="s">
        <v>13</v>
      </c>
      <c r="I98" s="1" t="s">
        <v>99</v>
      </c>
      <c r="J98" s="1" t="s">
        <v>16</v>
      </c>
      <c r="K98" s="1" t="s">
        <v>15</v>
      </c>
      <c r="L98" s="1" t="s">
        <v>204</v>
      </c>
      <c r="M98" s="1" t="s">
        <v>13</v>
      </c>
      <c r="N98" s="1" t="str">
        <f t="shared" si="13"/>
        <v>TÉCNICO</v>
      </c>
      <c r="O98" s="3">
        <f t="shared" si="26"/>
        <v>45721.738357395836</v>
      </c>
      <c r="P98" s="3">
        <f t="shared" si="27"/>
        <v>45756.523818923612</v>
      </c>
      <c r="Q98" s="1" t="str">
        <f t="shared" si="16"/>
        <v>Interno</v>
      </c>
      <c r="R98" s="1">
        <f t="shared" si="28"/>
        <v>10</v>
      </c>
      <c r="S98" s="6">
        <f t="shared" si="29"/>
        <v>45719</v>
      </c>
      <c r="T98" s="1">
        <f t="shared" si="30"/>
        <v>15</v>
      </c>
      <c r="U98" s="6">
        <f t="shared" si="31"/>
        <v>45754</v>
      </c>
      <c r="V98" s="1">
        <f t="shared" si="32"/>
        <v>34.785461527775624</v>
      </c>
      <c r="W98" s="1">
        <f t="shared" si="33"/>
        <v>2025</v>
      </c>
      <c r="X98" s="1">
        <f t="shared" si="34"/>
        <v>2025</v>
      </c>
      <c r="Y98" s="1" t="str">
        <f t="shared" si="24"/>
        <v>2025-03</v>
      </c>
      <c r="Z98" s="1" t="str">
        <f t="shared" si="25"/>
        <v>2025-04</v>
      </c>
    </row>
    <row r="99" spans="1:26" x14ac:dyDescent="0.2">
      <c r="A99" s="2" t="s">
        <v>283</v>
      </c>
      <c r="B99" s="1" t="s">
        <v>284</v>
      </c>
      <c r="C99" s="1" t="s">
        <v>13</v>
      </c>
      <c r="D99" s="3">
        <v>45722.358388472225</v>
      </c>
      <c r="E99" s="3">
        <v>45728.023824490738</v>
      </c>
      <c r="F99" s="1" t="s">
        <v>52</v>
      </c>
      <c r="G99" s="1" t="s">
        <v>12</v>
      </c>
      <c r="H99" s="1" t="s">
        <v>13</v>
      </c>
      <c r="I99" s="1" t="s">
        <v>13</v>
      </c>
      <c r="J99" s="1" t="s">
        <v>16</v>
      </c>
      <c r="K99" s="1" t="s">
        <v>15</v>
      </c>
      <c r="L99" s="1" t="s">
        <v>13</v>
      </c>
      <c r="M99" s="1" t="s">
        <v>1163</v>
      </c>
      <c r="N99" s="1" t="str">
        <f t="shared" si="13"/>
        <v>DESARROLLO</v>
      </c>
      <c r="O99" s="3">
        <f t="shared" si="26"/>
        <v>45722.358388472225</v>
      </c>
      <c r="P99" s="3">
        <f t="shared" si="27"/>
        <v>45728.023824490738</v>
      </c>
      <c r="Q99" s="1" t="str">
        <f t="shared" si="16"/>
        <v>Interno</v>
      </c>
      <c r="R99" s="1">
        <f t="shared" si="28"/>
        <v>10</v>
      </c>
      <c r="S99" s="6">
        <f t="shared" si="29"/>
        <v>45719</v>
      </c>
      <c r="T99" s="1">
        <f t="shared" si="30"/>
        <v>11</v>
      </c>
      <c r="U99" s="6">
        <f t="shared" si="31"/>
        <v>45726</v>
      </c>
      <c r="V99" s="1">
        <f t="shared" si="32"/>
        <v>5.6654360185129917</v>
      </c>
      <c r="W99" s="1">
        <f t="shared" si="33"/>
        <v>2025</v>
      </c>
      <c r="X99" s="1">
        <f t="shared" si="34"/>
        <v>2025</v>
      </c>
      <c r="Y99" s="1" t="str">
        <f t="shared" si="24"/>
        <v>2025-03</v>
      </c>
      <c r="Z99" s="1" t="str">
        <f t="shared" si="25"/>
        <v>2025-03</v>
      </c>
    </row>
    <row r="100" spans="1:26" x14ac:dyDescent="0.2">
      <c r="A100" s="2" t="s">
        <v>285</v>
      </c>
      <c r="B100" s="1" t="s">
        <v>286</v>
      </c>
      <c r="C100" s="1" t="s">
        <v>109</v>
      </c>
      <c r="D100" s="3">
        <v>45722.361537824072</v>
      </c>
      <c r="E100" s="3">
        <v>45723.547773032406</v>
      </c>
      <c r="F100" s="1" t="s">
        <v>52</v>
      </c>
      <c r="G100" s="1" t="s">
        <v>21</v>
      </c>
      <c r="H100" s="1" t="s">
        <v>13</v>
      </c>
      <c r="I100" s="1" t="s">
        <v>18</v>
      </c>
      <c r="J100" s="1" t="s">
        <v>16</v>
      </c>
      <c r="K100" s="1" t="s">
        <v>15</v>
      </c>
      <c r="L100" s="1" t="s">
        <v>13</v>
      </c>
      <c r="M100" s="1" t="s">
        <v>1163</v>
      </c>
      <c r="N100" s="1" t="str">
        <f t="shared" si="13"/>
        <v>SOPORTE</v>
      </c>
      <c r="O100" s="3">
        <f t="shared" si="26"/>
        <v>45722.361537824072</v>
      </c>
      <c r="P100" s="3">
        <f t="shared" si="27"/>
        <v>45723.547773032406</v>
      </c>
      <c r="Q100" s="1" t="str">
        <f t="shared" si="16"/>
        <v>Externo</v>
      </c>
      <c r="R100" s="1">
        <f t="shared" si="28"/>
        <v>10</v>
      </c>
      <c r="S100" s="6">
        <f t="shared" si="29"/>
        <v>45719</v>
      </c>
      <c r="T100" s="1">
        <f t="shared" si="30"/>
        <v>10</v>
      </c>
      <c r="U100" s="6">
        <f t="shared" si="31"/>
        <v>45719</v>
      </c>
      <c r="V100" s="1">
        <f t="shared" si="32"/>
        <v>1.1862352083335281</v>
      </c>
      <c r="W100" s="1">
        <f t="shared" si="33"/>
        <v>2025</v>
      </c>
      <c r="X100" s="1">
        <f t="shared" si="34"/>
        <v>2025</v>
      </c>
      <c r="Y100" s="1" t="str">
        <f t="shared" si="24"/>
        <v>2025-03</v>
      </c>
      <c r="Z100" s="1" t="str">
        <f t="shared" si="25"/>
        <v>2025-03</v>
      </c>
    </row>
    <row r="101" spans="1:26" x14ac:dyDescent="0.2">
      <c r="A101" s="2" t="s">
        <v>287</v>
      </c>
      <c r="B101" s="1" t="s">
        <v>288</v>
      </c>
      <c r="C101" s="1" t="s">
        <v>109</v>
      </c>
      <c r="D101" s="3">
        <v>45722.583350520836</v>
      </c>
      <c r="E101" s="3">
        <v>45723.545906122687</v>
      </c>
      <c r="F101" s="1" t="s">
        <v>52</v>
      </c>
      <c r="G101" s="1" t="s">
        <v>21</v>
      </c>
      <c r="H101" s="1" t="s">
        <v>13</v>
      </c>
      <c r="I101" s="1" t="s">
        <v>18</v>
      </c>
      <c r="J101" s="1" t="s">
        <v>16</v>
      </c>
      <c r="K101" s="1" t="s">
        <v>15</v>
      </c>
      <c r="L101" s="1" t="s">
        <v>13</v>
      </c>
      <c r="M101" s="1" t="s">
        <v>1163</v>
      </c>
      <c r="N101" s="1" t="str">
        <f t="shared" si="13"/>
        <v>SOPORTE</v>
      </c>
      <c r="O101" s="3">
        <f t="shared" si="26"/>
        <v>45722.583350520836</v>
      </c>
      <c r="P101" s="3">
        <f t="shared" si="27"/>
        <v>45723.545906122687</v>
      </c>
      <c r="Q101" s="1" t="str">
        <f t="shared" si="16"/>
        <v>Externo</v>
      </c>
      <c r="R101" s="1">
        <f t="shared" si="28"/>
        <v>10</v>
      </c>
      <c r="S101" s="6">
        <f t="shared" si="29"/>
        <v>45719</v>
      </c>
      <c r="T101" s="1">
        <f t="shared" si="30"/>
        <v>10</v>
      </c>
      <c r="U101" s="6">
        <f t="shared" si="31"/>
        <v>45719</v>
      </c>
      <c r="V101" s="1">
        <f t="shared" si="32"/>
        <v>0.96255560185090872</v>
      </c>
      <c r="W101" s="1">
        <f t="shared" si="33"/>
        <v>2025</v>
      </c>
      <c r="X101" s="1">
        <f t="shared" si="34"/>
        <v>2025</v>
      </c>
      <c r="Y101" s="1" t="str">
        <f t="shared" si="24"/>
        <v>2025-03</v>
      </c>
      <c r="Z101" s="1" t="str">
        <f t="shared" si="25"/>
        <v>2025-03</v>
      </c>
    </row>
    <row r="102" spans="1:26" x14ac:dyDescent="0.2">
      <c r="A102" s="2" t="s">
        <v>289</v>
      </c>
      <c r="B102" s="1" t="s">
        <v>290</v>
      </c>
      <c r="C102" s="1" t="s">
        <v>291</v>
      </c>
      <c r="D102" s="3">
        <v>45723.532390451386</v>
      </c>
      <c r="E102" s="3">
        <v>45723.544643900466</v>
      </c>
      <c r="F102" s="1" t="s">
        <v>52</v>
      </c>
      <c r="G102" s="1" t="s">
        <v>21</v>
      </c>
      <c r="H102" s="1" t="s">
        <v>13</v>
      </c>
      <c r="I102" s="1" t="s">
        <v>18</v>
      </c>
      <c r="J102" s="1" t="s">
        <v>16</v>
      </c>
      <c r="K102" s="1" t="s">
        <v>15</v>
      </c>
      <c r="L102" s="1" t="s">
        <v>13</v>
      </c>
      <c r="M102" s="1" t="s">
        <v>1163</v>
      </c>
      <c r="N102" s="1" t="str">
        <f t="shared" si="13"/>
        <v>SOPORTE</v>
      </c>
      <c r="O102" s="3">
        <f t="shared" si="26"/>
        <v>45723.532390451386</v>
      </c>
      <c r="P102" s="3">
        <f t="shared" si="27"/>
        <v>45723.544643900466</v>
      </c>
      <c r="Q102" s="1" t="str">
        <f t="shared" si="16"/>
        <v>Externo</v>
      </c>
      <c r="R102" s="1">
        <f t="shared" si="28"/>
        <v>10</v>
      </c>
      <c r="S102" s="6">
        <f t="shared" si="29"/>
        <v>45719</v>
      </c>
      <c r="T102" s="1">
        <f t="shared" si="30"/>
        <v>10</v>
      </c>
      <c r="U102" s="6">
        <f t="shared" si="31"/>
        <v>45719</v>
      </c>
      <c r="V102" s="1">
        <f t="shared" si="32"/>
        <v>1.2253449080162682E-2</v>
      </c>
      <c r="W102" s="1">
        <f t="shared" si="33"/>
        <v>2025</v>
      </c>
      <c r="X102" s="1">
        <f t="shared" si="34"/>
        <v>2025</v>
      </c>
      <c r="Y102" s="1" t="str">
        <f t="shared" si="24"/>
        <v>2025-03</v>
      </c>
      <c r="Z102" s="1" t="str">
        <f t="shared" si="25"/>
        <v>2025-03</v>
      </c>
    </row>
    <row r="103" spans="1:26" x14ac:dyDescent="0.2">
      <c r="A103" s="2" t="s">
        <v>292</v>
      </c>
      <c r="B103" s="1" t="s">
        <v>293</v>
      </c>
      <c r="C103" s="1" t="s">
        <v>127</v>
      </c>
      <c r="D103" s="3">
        <v>45726.673244699072</v>
      </c>
      <c r="E103" s="3">
        <v>45730.566175706015</v>
      </c>
      <c r="F103" s="1" t="s">
        <v>52</v>
      </c>
      <c r="G103" s="1" t="s">
        <v>21</v>
      </c>
      <c r="H103" s="1" t="s">
        <v>13</v>
      </c>
      <c r="I103" s="1" t="s">
        <v>18</v>
      </c>
      <c r="J103" s="1" t="s">
        <v>16</v>
      </c>
      <c r="K103" s="1" t="s">
        <v>15</v>
      </c>
      <c r="L103" s="1" t="s">
        <v>13</v>
      </c>
      <c r="M103" s="1" t="s">
        <v>1163</v>
      </c>
      <c r="N103" s="1" t="str">
        <f t="shared" si="13"/>
        <v>SOPORTE</v>
      </c>
      <c r="O103" s="3">
        <f t="shared" si="26"/>
        <v>45726.673244699072</v>
      </c>
      <c r="P103" s="3">
        <f t="shared" si="27"/>
        <v>45730.566175706015</v>
      </c>
      <c r="Q103" s="1" t="str">
        <f t="shared" si="16"/>
        <v>Externo</v>
      </c>
      <c r="R103" s="1">
        <f t="shared" si="28"/>
        <v>11</v>
      </c>
      <c r="S103" s="6">
        <f t="shared" si="29"/>
        <v>45726</v>
      </c>
      <c r="T103" s="1">
        <f t="shared" si="30"/>
        <v>11</v>
      </c>
      <c r="U103" s="6">
        <f t="shared" si="31"/>
        <v>45726</v>
      </c>
      <c r="V103" s="1">
        <f t="shared" si="32"/>
        <v>3.8929310069433996</v>
      </c>
      <c r="W103" s="1">
        <f t="shared" si="33"/>
        <v>2025</v>
      </c>
      <c r="X103" s="1">
        <f t="shared" si="34"/>
        <v>2025</v>
      </c>
      <c r="Y103" s="1" t="str">
        <f t="shared" si="24"/>
        <v>2025-03</v>
      </c>
      <c r="Z103" s="1" t="str">
        <f t="shared" si="25"/>
        <v>2025-03</v>
      </c>
    </row>
    <row r="104" spans="1:26" x14ac:dyDescent="0.2">
      <c r="A104" s="2" t="s">
        <v>294</v>
      </c>
      <c r="B104" s="1" t="s">
        <v>295</v>
      </c>
      <c r="C104" s="1" t="s">
        <v>109</v>
      </c>
      <c r="D104" s="3">
        <v>45726.682888784722</v>
      </c>
      <c r="E104" s="3">
        <v>45726.721333136571</v>
      </c>
      <c r="F104" s="1" t="s">
        <v>52</v>
      </c>
      <c r="G104" s="1" t="s">
        <v>21</v>
      </c>
      <c r="H104" s="1" t="s">
        <v>13</v>
      </c>
      <c r="I104" s="1" t="s">
        <v>18</v>
      </c>
      <c r="J104" s="1" t="s">
        <v>16</v>
      </c>
      <c r="K104" s="1" t="s">
        <v>15</v>
      </c>
      <c r="L104" s="1" t="s">
        <v>13</v>
      </c>
      <c r="M104" s="1" t="s">
        <v>1163</v>
      </c>
      <c r="N104" s="1" t="str">
        <f t="shared" si="13"/>
        <v>SOPORTE</v>
      </c>
      <c r="O104" s="3">
        <f t="shared" si="26"/>
        <v>45726.682888784722</v>
      </c>
      <c r="P104" s="3">
        <f t="shared" si="27"/>
        <v>45726.721333136571</v>
      </c>
      <c r="Q104" s="1" t="str">
        <f t="shared" si="16"/>
        <v>Externo</v>
      </c>
      <c r="R104" s="1">
        <f t="shared" si="28"/>
        <v>11</v>
      </c>
      <c r="S104" s="6">
        <f t="shared" si="29"/>
        <v>45726</v>
      </c>
      <c r="T104" s="1">
        <f t="shared" si="30"/>
        <v>11</v>
      </c>
      <c r="U104" s="6">
        <f t="shared" si="31"/>
        <v>45726</v>
      </c>
      <c r="V104" s="1">
        <f t="shared" si="32"/>
        <v>3.8444351848738734E-2</v>
      </c>
      <c r="W104" s="1">
        <f t="shared" si="33"/>
        <v>2025</v>
      </c>
      <c r="X104" s="1">
        <f t="shared" si="34"/>
        <v>2025</v>
      </c>
      <c r="Y104" s="1" t="str">
        <f t="shared" si="24"/>
        <v>2025-03</v>
      </c>
      <c r="Z104" s="1" t="str">
        <f t="shared" si="25"/>
        <v>2025-03</v>
      </c>
    </row>
    <row r="105" spans="1:26" x14ac:dyDescent="0.2">
      <c r="A105" s="2" t="s">
        <v>296</v>
      </c>
      <c r="B105" s="1" t="s">
        <v>297</v>
      </c>
      <c r="C105" s="1" t="s">
        <v>298</v>
      </c>
      <c r="D105" s="3">
        <v>45727.379260856484</v>
      </c>
      <c r="E105" s="3">
        <v>45730.565678622683</v>
      </c>
      <c r="F105" s="1" t="s">
        <v>52</v>
      </c>
      <c r="G105" s="1" t="s">
        <v>21</v>
      </c>
      <c r="H105" s="1" t="s">
        <v>13</v>
      </c>
      <c r="I105" s="1" t="s">
        <v>18</v>
      </c>
      <c r="J105" s="1" t="s">
        <v>16</v>
      </c>
      <c r="K105" s="1" t="s">
        <v>15</v>
      </c>
      <c r="L105" s="1" t="s">
        <v>13</v>
      </c>
      <c r="M105" s="1" t="s">
        <v>1163</v>
      </c>
      <c r="N105" s="1" t="str">
        <f t="shared" si="13"/>
        <v>SOPORTE</v>
      </c>
      <c r="O105" s="3">
        <f t="shared" si="26"/>
        <v>45727.379260856484</v>
      </c>
      <c r="P105" s="3">
        <f t="shared" si="27"/>
        <v>45730.565678622683</v>
      </c>
      <c r="Q105" s="1" t="str">
        <f t="shared" si="16"/>
        <v>Externo</v>
      </c>
      <c r="R105" s="1">
        <f t="shared" si="28"/>
        <v>11</v>
      </c>
      <c r="S105" s="6">
        <f t="shared" si="29"/>
        <v>45726</v>
      </c>
      <c r="T105" s="1">
        <f t="shared" si="30"/>
        <v>11</v>
      </c>
      <c r="U105" s="6">
        <f t="shared" si="31"/>
        <v>45726</v>
      </c>
      <c r="V105" s="1">
        <f t="shared" si="32"/>
        <v>3.1864177661991562</v>
      </c>
      <c r="W105" s="1">
        <f t="shared" si="33"/>
        <v>2025</v>
      </c>
      <c r="X105" s="1">
        <f t="shared" si="34"/>
        <v>2025</v>
      </c>
      <c r="Y105" s="1" t="str">
        <f t="shared" si="24"/>
        <v>2025-03</v>
      </c>
      <c r="Z105" s="1" t="str">
        <f t="shared" si="25"/>
        <v>2025-03</v>
      </c>
    </row>
    <row r="106" spans="1:26" x14ac:dyDescent="0.2">
      <c r="A106" s="2" t="s">
        <v>299</v>
      </c>
      <c r="B106" s="1" t="s">
        <v>300</v>
      </c>
      <c r="C106" s="1" t="s">
        <v>127</v>
      </c>
      <c r="D106" s="3">
        <v>45727.501254050927</v>
      </c>
      <c r="E106" s="3">
        <v>45727.686440439815</v>
      </c>
      <c r="F106" s="1" t="s">
        <v>52</v>
      </c>
      <c r="G106" s="1" t="s">
        <v>53</v>
      </c>
      <c r="H106" s="1" t="s">
        <v>13</v>
      </c>
      <c r="I106" s="1" t="s">
        <v>18</v>
      </c>
      <c r="J106" s="1" t="s">
        <v>16</v>
      </c>
      <c r="K106" s="1" t="s">
        <v>15</v>
      </c>
      <c r="L106" s="1" t="s">
        <v>13</v>
      </c>
      <c r="M106" s="1" t="s">
        <v>1163</v>
      </c>
      <c r="N106" s="1" t="str">
        <f t="shared" si="13"/>
        <v>TÉCNICO</v>
      </c>
      <c r="O106" s="3">
        <f t="shared" si="26"/>
        <v>45727.501254050927</v>
      </c>
      <c r="P106" s="3">
        <f t="shared" si="27"/>
        <v>45727.686440439815</v>
      </c>
      <c r="Q106" s="1" t="str">
        <f t="shared" si="16"/>
        <v>Interno</v>
      </c>
      <c r="R106" s="1">
        <f t="shared" si="28"/>
        <v>11</v>
      </c>
      <c r="S106" s="6">
        <f t="shared" si="29"/>
        <v>45726</v>
      </c>
      <c r="T106" s="1">
        <f t="shared" si="30"/>
        <v>11</v>
      </c>
      <c r="U106" s="6">
        <f t="shared" si="31"/>
        <v>45726</v>
      </c>
      <c r="V106" s="1">
        <f t="shared" si="32"/>
        <v>0.18518638888781425</v>
      </c>
      <c r="W106" s="1">
        <f t="shared" si="33"/>
        <v>2025</v>
      </c>
      <c r="X106" s="1">
        <f t="shared" si="34"/>
        <v>2025</v>
      </c>
      <c r="Y106" s="1" t="str">
        <f t="shared" si="24"/>
        <v>2025-03</v>
      </c>
      <c r="Z106" s="1" t="str">
        <f t="shared" si="25"/>
        <v>2025-03</v>
      </c>
    </row>
    <row r="107" spans="1:26" x14ac:dyDescent="0.2">
      <c r="A107" s="2" t="s">
        <v>301</v>
      </c>
      <c r="B107" s="1" t="s">
        <v>302</v>
      </c>
      <c r="C107" s="1" t="s">
        <v>109</v>
      </c>
      <c r="D107" s="3">
        <v>45727.643270891203</v>
      </c>
      <c r="E107" s="3">
        <v>45742.715692685182</v>
      </c>
      <c r="F107" s="1" t="s">
        <v>52</v>
      </c>
      <c r="G107" s="1" t="s">
        <v>21</v>
      </c>
      <c r="H107" s="1" t="s">
        <v>13</v>
      </c>
      <c r="I107" s="1" t="s">
        <v>18</v>
      </c>
      <c r="J107" s="1" t="s">
        <v>16</v>
      </c>
      <c r="K107" s="1" t="s">
        <v>15</v>
      </c>
      <c r="L107" s="1" t="s">
        <v>13</v>
      </c>
      <c r="M107" s="1" t="s">
        <v>1163</v>
      </c>
      <c r="N107" s="1" t="str">
        <f t="shared" si="13"/>
        <v>SOPORTE</v>
      </c>
      <c r="O107" s="3">
        <f t="shared" si="26"/>
        <v>45727.643270891203</v>
      </c>
      <c r="P107" s="3">
        <f t="shared" si="27"/>
        <v>45742.715692685182</v>
      </c>
      <c r="Q107" s="1" t="str">
        <f t="shared" si="16"/>
        <v>Externo</v>
      </c>
      <c r="R107" s="1">
        <f t="shared" si="28"/>
        <v>11</v>
      </c>
      <c r="S107" s="6">
        <f t="shared" si="29"/>
        <v>45726</v>
      </c>
      <c r="T107" s="1">
        <f t="shared" si="30"/>
        <v>13</v>
      </c>
      <c r="U107" s="6">
        <f t="shared" si="31"/>
        <v>45740</v>
      </c>
      <c r="V107" s="1">
        <f t="shared" si="32"/>
        <v>15.07242179397872</v>
      </c>
      <c r="W107" s="1">
        <f t="shared" si="33"/>
        <v>2025</v>
      </c>
      <c r="X107" s="1">
        <f t="shared" si="34"/>
        <v>2025</v>
      </c>
      <c r="Y107" s="1" t="str">
        <f t="shared" si="24"/>
        <v>2025-03</v>
      </c>
      <c r="Z107" s="1" t="str">
        <f t="shared" si="25"/>
        <v>2025-03</v>
      </c>
    </row>
    <row r="108" spans="1:26" x14ac:dyDescent="0.2">
      <c r="A108" s="2" t="s">
        <v>303</v>
      </c>
      <c r="B108" s="1" t="s">
        <v>304</v>
      </c>
      <c r="C108" s="1" t="s">
        <v>103</v>
      </c>
      <c r="D108" s="3">
        <v>45727.679455347221</v>
      </c>
      <c r="E108" s="3">
        <v>45730.489757280091</v>
      </c>
      <c r="F108" s="1" t="s">
        <v>52</v>
      </c>
      <c r="G108" s="1" t="s">
        <v>21</v>
      </c>
      <c r="H108" s="1" t="s">
        <v>13</v>
      </c>
      <c r="I108" s="1" t="s">
        <v>18</v>
      </c>
      <c r="J108" s="1" t="s">
        <v>16</v>
      </c>
      <c r="K108" s="1" t="s">
        <v>15</v>
      </c>
      <c r="L108" s="1" t="s">
        <v>13</v>
      </c>
      <c r="M108" s="1" t="s">
        <v>1163</v>
      </c>
      <c r="N108" s="1" t="str">
        <f t="shared" si="13"/>
        <v>SOPORTE</v>
      </c>
      <c r="O108" s="3">
        <f t="shared" si="26"/>
        <v>45727.679455347221</v>
      </c>
      <c r="P108" s="3">
        <f t="shared" si="27"/>
        <v>45730.489757280091</v>
      </c>
      <c r="Q108" s="1" t="str">
        <f t="shared" si="16"/>
        <v>Externo</v>
      </c>
      <c r="R108" s="1">
        <f t="shared" si="28"/>
        <v>11</v>
      </c>
      <c r="S108" s="6">
        <f t="shared" si="29"/>
        <v>45726</v>
      </c>
      <c r="T108" s="1">
        <f t="shared" si="30"/>
        <v>11</v>
      </c>
      <c r="U108" s="6">
        <f t="shared" si="31"/>
        <v>45726</v>
      </c>
      <c r="V108" s="1">
        <f t="shared" si="32"/>
        <v>2.8103019328700611</v>
      </c>
      <c r="W108" s="1">
        <f t="shared" si="33"/>
        <v>2025</v>
      </c>
      <c r="X108" s="1">
        <f t="shared" si="34"/>
        <v>2025</v>
      </c>
      <c r="Y108" s="1" t="str">
        <f t="shared" si="24"/>
        <v>2025-03</v>
      </c>
      <c r="Z108" s="1" t="str">
        <f t="shared" si="25"/>
        <v>2025-03</v>
      </c>
    </row>
    <row r="109" spans="1:26" x14ac:dyDescent="0.2">
      <c r="A109" s="2" t="s">
        <v>305</v>
      </c>
      <c r="B109" s="1" t="s">
        <v>306</v>
      </c>
      <c r="C109" s="1" t="s">
        <v>162</v>
      </c>
      <c r="D109" s="3">
        <v>45728.737093449075</v>
      </c>
      <c r="E109" s="3">
        <v>45733.481271631943</v>
      </c>
      <c r="F109" s="1" t="s">
        <v>52</v>
      </c>
      <c r="G109" s="1" t="s">
        <v>21</v>
      </c>
      <c r="H109" s="1" t="s">
        <v>13</v>
      </c>
      <c r="I109" s="1" t="s">
        <v>18</v>
      </c>
      <c r="J109" s="1" t="s">
        <v>16</v>
      </c>
      <c r="K109" s="1" t="s">
        <v>15</v>
      </c>
      <c r="L109" s="1" t="s">
        <v>13</v>
      </c>
      <c r="M109" s="1" t="s">
        <v>1162</v>
      </c>
      <c r="N109" s="1" t="str">
        <f t="shared" si="13"/>
        <v>SOPORTE</v>
      </c>
      <c r="O109" s="3">
        <f t="shared" si="26"/>
        <v>45728.737093449075</v>
      </c>
      <c r="P109" s="3">
        <f t="shared" si="27"/>
        <v>45733.481271631943</v>
      </c>
      <c r="Q109" s="1" t="str">
        <f t="shared" si="16"/>
        <v>Externo</v>
      </c>
      <c r="R109" s="1">
        <f t="shared" si="28"/>
        <v>11</v>
      </c>
      <c r="S109" s="6">
        <f t="shared" si="29"/>
        <v>45726</v>
      </c>
      <c r="T109" s="1">
        <f t="shared" si="30"/>
        <v>12</v>
      </c>
      <c r="U109" s="6">
        <f t="shared" si="31"/>
        <v>45733</v>
      </c>
      <c r="V109" s="1">
        <f t="shared" si="32"/>
        <v>4.7441781828674721</v>
      </c>
      <c r="W109" s="1">
        <f t="shared" si="33"/>
        <v>2025</v>
      </c>
      <c r="X109" s="1">
        <f t="shared" si="34"/>
        <v>2025</v>
      </c>
      <c r="Y109" s="1" t="str">
        <f t="shared" si="24"/>
        <v>2025-03</v>
      </c>
      <c r="Z109" s="1" t="str">
        <f t="shared" si="25"/>
        <v>2025-03</v>
      </c>
    </row>
    <row r="110" spans="1:26" x14ac:dyDescent="0.2">
      <c r="A110" s="2" t="s">
        <v>307</v>
      </c>
      <c r="B110" s="1" t="s">
        <v>308</v>
      </c>
      <c r="C110" s="1" t="s">
        <v>184</v>
      </c>
      <c r="D110" s="3">
        <v>45730.563803240744</v>
      </c>
      <c r="E110" s="3">
        <v>45743.424306724541</v>
      </c>
      <c r="F110" s="1" t="s">
        <v>52</v>
      </c>
      <c r="G110" s="1" t="s">
        <v>53</v>
      </c>
      <c r="H110" s="1" t="s">
        <v>13</v>
      </c>
      <c r="I110" s="1" t="s">
        <v>18</v>
      </c>
      <c r="J110" s="1" t="s">
        <v>16</v>
      </c>
      <c r="K110" s="1" t="s">
        <v>15</v>
      </c>
      <c r="L110" s="1" t="s">
        <v>13</v>
      </c>
      <c r="M110" s="1" t="s">
        <v>1163</v>
      </c>
      <c r="N110" s="1" t="str">
        <f t="shared" si="13"/>
        <v>TÉCNICO</v>
      </c>
      <c r="O110" s="3">
        <f t="shared" si="26"/>
        <v>45730.563803240744</v>
      </c>
      <c r="P110" s="3">
        <f t="shared" si="27"/>
        <v>45743.424306724541</v>
      </c>
      <c r="Q110" s="1" t="str">
        <f t="shared" si="16"/>
        <v>Interno</v>
      </c>
      <c r="R110" s="1">
        <f t="shared" si="28"/>
        <v>11</v>
      </c>
      <c r="S110" s="6">
        <f t="shared" si="29"/>
        <v>45726</v>
      </c>
      <c r="T110" s="1">
        <f t="shared" si="30"/>
        <v>13</v>
      </c>
      <c r="U110" s="6">
        <f t="shared" si="31"/>
        <v>45740</v>
      </c>
      <c r="V110" s="1">
        <f t="shared" si="32"/>
        <v>12.860503483796492</v>
      </c>
      <c r="W110" s="1">
        <f t="shared" si="33"/>
        <v>2025</v>
      </c>
      <c r="X110" s="1">
        <f t="shared" si="34"/>
        <v>2025</v>
      </c>
      <c r="Y110" s="1" t="str">
        <f t="shared" si="24"/>
        <v>2025-03</v>
      </c>
      <c r="Z110" s="1" t="str">
        <f t="shared" si="25"/>
        <v>2025-03</v>
      </c>
    </row>
    <row r="111" spans="1:26" x14ac:dyDescent="0.2">
      <c r="A111" s="2" t="s">
        <v>309</v>
      </c>
      <c r="B111" s="1" t="s">
        <v>310</v>
      </c>
      <c r="C111" s="1" t="s">
        <v>184</v>
      </c>
      <c r="D111" s="3">
        <v>45730.60506415509</v>
      </c>
      <c r="E111" s="3">
        <v>45733.457839490744</v>
      </c>
      <c r="F111" s="1" t="s">
        <v>52</v>
      </c>
      <c r="G111" s="1" t="s">
        <v>53</v>
      </c>
      <c r="H111" s="1" t="s">
        <v>13</v>
      </c>
      <c r="I111" s="1" t="s">
        <v>18</v>
      </c>
      <c r="J111" s="1" t="s">
        <v>16</v>
      </c>
      <c r="K111" s="1" t="s">
        <v>15</v>
      </c>
      <c r="L111" s="1" t="s">
        <v>13</v>
      </c>
      <c r="M111" s="1" t="s">
        <v>1163</v>
      </c>
      <c r="N111" s="1" t="str">
        <f t="shared" si="13"/>
        <v>TÉCNICO</v>
      </c>
      <c r="O111" s="3">
        <f t="shared" si="26"/>
        <v>45730.60506415509</v>
      </c>
      <c r="P111" s="3">
        <f t="shared" si="27"/>
        <v>45733.457839490744</v>
      </c>
      <c r="Q111" s="1" t="str">
        <f t="shared" si="16"/>
        <v>Interno</v>
      </c>
      <c r="R111" s="1">
        <f t="shared" si="28"/>
        <v>11</v>
      </c>
      <c r="S111" s="6">
        <f t="shared" si="29"/>
        <v>45726</v>
      </c>
      <c r="T111" s="1">
        <f t="shared" si="30"/>
        <v>12</v>
      </c>
      <c r="U111" s="6">
        <f t="shared" si="31"/>
        <v>45733</v>
      </c>
      <c r="V111" s="1">
        <f t="shared" si="32"/>
        <v>2.8527753356538597</v>
      </c>
      <c r="W111" s="1">
        <f t="shared" si="33"/>
        <v>2025</v>
      </c>
      <c r="X111" s="1">
        <f t="shared" si="34"/>
        <v>2025</v>
      </c>
      <c r="Y111" s="1" t="str">
        <f t="shared" si="24"/>
        <v>2025-03</v>
      </c>
      <c r="Z111" s="1" t="str">
        <f t="shared" si="25"/>
        <v>2025-03</v>
      </c>
    </row>
    <row r="112" spans="1:26" x14ac:dyDescent="0.2">
      <c r="A112" s="2" t="s">
        <v>311</v>
      </c>
      <c r="B112" s="1" t="s">
        <v>312</v>
      </c>
      <c r="C112" s="1" t="s">
        <v>313</v>
      </c>
      <c r="D112" s="3">
        <v>45735.358964953703</v>
      </c>
      <c r="E112" s="3">
        <v>45736.428544826391</v>
      </c>
      <c r="F112" s="1" t="s">
        <v>52</v>
      </c>
      <c r="G112" s="1" t="s">
        <v>21</v>
      </c>
      <c r="H112" s="1" t="s">
        <v>13</v>
      </c>
      <c r="I112" s="1" t="s">
        <v>18</v>
      </c>
      <c r="J112" s="1" t="s">
        <v>16</v>
      </c>
      <c r="K112" s="1" t="s">
        <v>15</v>
      </c>
      <c r="L112" s="1" t="s">
        <v>13</v>
      </c>
      <c r="M112" s="1" t="s">
        <v>1163</v>
      </c>
      <c r="N112" s="1" t="str">
        <f t="shared" si="13"/>
        <v>SOPORTE</v>
      </c>
      <c r="O112" s="3">
        <f t="shared" si="26"/>
        <v>45735.358964953703</v>
      </c>
      <c r="P112" s="3">
        <f t="shared" si="27"/>
        <v>45736.428544826391</v>
      </c>
      <c r="Q112" s="1" t="str">
        <f t="shared" si="16"/>
        <v>Externo</v>
      </c>
      <c r="R112" s="1">
        <f t="shared" si="28"/>
        <v>12</v>
      </c>
      <c r="S112" s="6">
        <f t="shared" si="29"/>
        <v>45733</v>
      </c>
      <c r="T112" s="1">
        <f t="shared" si="30"/>
        <v>12</v>
      </c>
      <c r="U112" s="6">
        <f t="shared" si="31"/>
        <v>45733</v>
      </c>
      <c r="V112" s="1">
        <f t="shared" si="32"/>
        <v>1.0695798726883368</v>
      </c>
      <c r="W112" s="1">
        <f t="shared" si="33"/>
        <v>2025</v>
      </c>
      <c r="X112" s="1">
        <f t="shared" si="34"/>
        <v>2025</v>
      </c>
      <c r="Y112" s="1" t="str">
        <f t="shared" si="24"/>
        <v>2025-03</v>
      </c>
      <c r="Z112" s="1" t="str">
        <f t="shared" si="25"/>
        <v>2025-03</v>
      </c>
    </row>
    <row r="113" spans="1:26" x14ac:dyDescent="0.2">
      <c r="A113" s="2" t="s">
        <v>314</v>
      </c>
      <c r="B113" s="1" t="s">
        <v>315</v>
      </c>
      <c r="C113" s="1" t="s">
        <v>13</v>
      </c>
      <c r="D113" s="3">
        <v>45735.396648240741</v>
      </c>
      <c r="E113" s="3">
        <v>45747.43149087963</v>
      </c>
      <c r="F113" s="1" t="s">
        <v>52</v>
      </c>
      <c r="G113" s="1" t="s">
        <v>53</v>
      </c>
      <c r="H113" s="1" t="s">
        <v>13</v>
      </c>
      <c r="I113" s="1" t="s">
        <v>148</v>
      </c>
      <c r="J113" s="1" t="s">
        <v>16</v>
      </c>
      <c r="K113" s="1" t="s">
        <v>17</v>
      </c>
      <c r="L113" s="1" t="s">
        <v>13</v>
      </c>
      <c r="M113" s="1" t="s">
        <v>13</v>
      </c>
      <c r="N113" s="1" t="str">
        <f t="shared" si="13"/>
        <v>TÉCNICO</v>
      </c>
      <c r="O113" s="3">
        <f t="shared" si="26"/>
        <v>45735.396648240741</v>
      </c>
      <c r="P113" s="3">
        <f t="shared" si="27"/>
        <v>45747.43149087963</v>
      </c>
      <c r="Q113" s="1" t="str">
        <f t="shared" si="16"/>
        <v>Interno</v>
      </c>
      <c r="R113" s="1">
        <f t="shared" si="28"/>
        <v>12</v>
      </c>
      <c r="S113" s="6">
        <f t="shared" si="29"/>
        <v>45733</v>
      </c>
      <c r="T113" s="1">
        <f t="shared" si="30"/>
        <v>14</v>
      </c>
      <c r="U113" s="6">
        <f t="shared" si="31"/>
        <v>45747</v>
      </c>
      <c r="V113" s="1">
        <f t="shared" si="32"/>
        <v>12.034842638888222</v>
      </c>
      <c r="W113" s="1">
        <f t="shared" si="33"/>
        <v>2025</v>
      </c>
      <c r="X113" s="1">
        <f t="shared" si="34"/>
        <v>2025</v>
      </c>
      <c r="Y113" s="1" t="str">
        <f t="shared" si="24"/>
        <v>2025-03</v>
      </c>
      <c r="Z113" s="1" t="str">
        <f t="shared" si="25"/>
        <v>2025-03</v>
      </c>
    </row>
    <row r="114" spans="1:26" x14ac:dyDescent="0.2">
      <c r="A114" s="2" t="s">
        <v>316</v>
      </c>
      <c r="B114" s="1" t="s">
        <v>317</v>
      </c>
      <c r="C114" s="1" t="s">
        <v>127</v>
      </c>
      <c r="D114" s="3">
        <v>45735.546760300924</v>
      </c>
      <c r="E114" s="3">
        <v>45735.558328483799</v>
      </c>
      <c r="F114" s="1" t="s">
        <v>52</v>
      </c>
      <c r="G114" s="1" t="s">
        <v>21</v>
      </c>
      <c r="H114" s="1" t="s">
        <v>13</v>
      </c>
      <c r="I114" s="1" t="s">
        <v>18</v>
      </c>
      <c r="J114" s="1" t="s">
        <v>16</v>
      </c>
      <c r="K114" s="1" t="s">
        <v>15</v>
      </c>
      <c r="L114" s="1" t="s">
        <v>13</v>
      </c>
      <c r="M114" s="1" t="s">
        <v>1163</v>
      </c>
      <c r="N114" s="1" t="str">
        <f t="shared" si="13"/>
        <v>SOPORTE</v>
      </c>
      <c r="O114" s="3">
        <f t="shared" si="26"/>
        <v>45735.546760300924</v>
      </c>
      <c r="P114" s="3">
        <f t="shared" si="27"/>
        <v>45735.558328483799</v>
      </c>
      <c r="Q114" s="1" t="str">
        <f t="shared" si="16"/>
        <v>Externo</v>
      </c>
      <c r="R114" s="1">
        <f t="shared" si="28"/>
        <v>12</v>
      </c>
      <c r="S114" s="6">
        <f t="shared" si="29"/>
        <v>45733</v>
      </c>
      <c r="T114" s="1">
        <f t="shared" si="30"/>
        <v>12</v>
      </c>
      <c r="U114" s="6">
        <f t="shared" si="31"/>
        <v>45733</v>
      </c>
      <c r="V114" s="1">
        <f t="shared" si="32"/>
        <v>1.1568182875635102E-2</v>
      </c>
      <c r="W114" s="1">
        <f t="shared" si="33"/>
        <v>2025</v>
      </c>
      <c r="X114" s="1">
        <f t="shared" si="34"/>
        <v>2025</v>
      </c>
      <c r="Y114" s="1" t="str">
        <f t="shared" si="24"/>
        <v>2025-03</v>
      </c>
      <c r="Z114" s="1" t="str">
        <f t="shared" si="25"/>
        <v>2025-03</v>
      </c>
    </row>
    <row r="115" spans="1:26" x14ac:dyDescent="0.2">
      <c r="A115" s="2" t="s">
        <v>318</v>
      </c>
      <c r="B115" s="1" t="s">
        <v>319</v>
      </c>
      <c r="C115" s="1" t="s">
        <v>13</v>
      </c>
      <c r="D115" s="3">
        <v>45735.561363530091</v>
      </c>
      <c r="E115" s="3">
        <v>45743.446614525463</v>
      </c>
      <c r="F115" s="1" t="s">
        <v>52</v>
      </c>
      <c r="G115" s="1" t="s">
        <v>12</v>
      </c>
      <c r="H115" s="1" t="s">
        <v>13</v>
      </c>
      <c r="I115" s="1" t="s">
        <v>99</v>
      </c>
      <c r="J115" s="1" t="s">
        <v>16</v>
      </c>
      <c r="K115" s="1" t="s">
        <v>15</v>
      </c>
      <c r="L115" s="1" t="s">
        <v>320</v>
      </c>
      <c r="M115" s="1" t="s">
        <v>13</v>
      </c>
      <c r="N115" s="1" t="str">
        <f t="shared" si="13"/>
        <v>DESARROLLO</v>
      </c>
      <c r="O115" s="3">
        <f t="shared" si="26"/>
        <v>45735.561363530091</v>
      </c>
      <c r="P115" s="3">
        <f t="shared" si="27"/>
        <v>45743.446614525463</v>
      </c>
      <c r="Q115" s="1" t="str">
        <f t="shared" si="16"/>
        <v>Interno</v>
      </c>
      <c r="R115" s="1">
        <f t="shared" si="28"/>
        <v>12</v>
      </c>
      <c r="S115" s="6">
        <f t="shared" si="29"/>
        <v>45733</v>
      </c>
      <c r="T115" s="1">
        <f t="shared" si="30"/>
        <v>13</v>
      </c>
      <c r="U115" s="6">
        <f t="shared" si="31"/>
        <v>45740</v>
      </c>
      <c r="V115" s="1">
        <f t="shared" si="32"/>
        <v>7.8852509953721892</v>
      </c>
      <c r="W115" s="1">
        <f t="shared" si="33"/>
        <v>2025</v>
      </c>
      <c r="X115" s="1">
        <f t="shared" si="34"/>
        <v>2025</v>
      </c>
      <c r="Y115" s="1" t="str">
        <f t="shared" si="24"/>
        <v>2025-03</v>
      </c>
      <c r="Z115" s="1" t="str">
        <f t="shared" si="25"/>
        <v>2025-03</v>
      </c>
    </row>
    <row r="116" spans="1:26" x14ac:dyDescent="0.2">
      <c r="A116" s="2" t="s">
        <v>321</v>
      </c>
      <c r="B116" s="1" t="s">
        <v>322</v>
      </c>
      <c r="C116" s="1" t="s">
        <v>139</v>
      </c>
      <c r="D116" s="3">
        <v>45735.64441645833</v>
      </c>
      <c r="E116" s="3">
        <v>45754.454959756942</v>
      </c>
      <c r="F116" s="1" t="s">
        <v>52</v>
      </c>
      <c r="G116" s="1" t="s">
        <v>21</v>
      </c>
      <c r="H116" s="1" t="s">
        <v>13</v>
      </c>
      <c r="I116" s="1" t="s">
        <v>18</v>
      </c>
      <c r="J116" s="1" t="s">
        <v>16</v>
      </c>
      <c r="K116" s="1" t="s">
        <v>15</v>
      </c>
      <c r="L116" s="1" t="s">
        <v>13</v>
      </c>
      <c r="M116" s="1" t="s">
        <v>1163</v>
      </c>
      <c r="N116" s="1" t="str">
        <f t="shared" si="13"/>
        <v>SOPORTE</v>
      </c>
      <c r="O116" s="3">
        <f t="shared" si="26"/>
        <v>45735.64441645833</v>
      </c>
      <c r="P116" s="3">
        <f t="shared" si="27"/>
        <v>45754.454959756942</v>
      </c>
      <c r="Q116" s="1" t="str">
        <f t="shared" si="16"/>
        <v>Externo</v>
      </c>
      <c r="R116" s="1">
        <f t="shared" si="28"/>
        <v>12</v>
      </c>
      <c r="S116" s="6">
        <f t="shared" si="29"/>
        <v>45733</v>
      </c>
      <c r="T116" s="1">
        <f t="shared" si="30"/>
        <v>15</v>
      </c>
      <c r="U116" s="6">
        <f t="shared" si="31"/>
        <v>45754</v>
      </c>
      <c r="V116" s="1">
        <f t="shared" si="32"/>
        <v>18.810543298612174</v>
      </c>
      <c r="W116" s="1">
        <f t="shared" si="33"/>
        <v>2025</v>
      </c>
      <c r="X116" s="1">
        <f t="shared" si="34"/>
        <v>2025</v>
      </c>
      <c r="Y116" s="1" t="str">
        <f t="shared" si="24"/>
        <v>2025-03</v>
      </c>
      <c r="Z116" s="1" t="str">
        <f t="shared" si="25"/>
        <v>2025-04</v>
      </c>
    </row>
    <row r="117" spans="1:26" x14ac:dyDescent="0.2">
      <c r="A117" s="2" t="s">
        <v>323</v>
      </c>
      <c r="B117" s="1" t="s">
        <v>324</v>
      </c>
      <c r="C117" s="1" t="s">
        <v>70</v>
      </c>
      <c r="D117" s="3">
        <v>45735.691991944441</v>
      </c>
      <c r="E117" s="3">
        <v>45755.437278287034</v>
      </c>
      <c r="F117" s="1" t="s">
        <v>52</v>
      </c>
      <c r="G117" s="1" t="s">
        <v>12</v>
      </c>
      <c r="H117" s="1" t="s">
        <v>13</v>
      </c>
      <c r="I117" s="1" t="s">
        <v>18</v>
      </c>
      <c r="J117" s="1" t="s">
        <v>16</v>
      </c>
      <c r="K117" s="1" t="s">
        <v>15</v>
      </c>
      <c r="L117" s="1" t="s">
        <v>13</v>
      </c>
      <c r="M117" s="1" t="s">
        <v>1163</v>
      </c>
      <c r="N117" s="1" t="str">
        <f t="shared" si="13"/>
        <v>DESARROLLO</v>
      </c>
      <c r="O117" s="3">
        <f t="shared" si="26"/>
        <v>45735.691991944441</v>
      </c>
      <c r="P117" s="3">
        <f t="shared" si="27"/>
        <v>45755.437278287034</v>
      </c>
      <c r="Q117" s="1" t="str">
        <f t="shared" si="16"/>
        <v>Interno</v>
      </c>
      <c r="R117" s="1">
        <f t="shared" si="28"/>
        <v>12</v>
      </c>
      <c r="S117" s="6">
        <f t="shared" si="29"/>
        <v>45733</v>
      </c>
      <c r="T117" s="1">
        <f t="shared" si="30"/>
        <v>15</v>
      </c>
      <c r="U117" s="6">
        <f t="shared" si="31"/>
        <v>45754</v>
      </c>
      <c r="V117" s="1">
        <f t="shared" si="32"/>
        <v>19.745286342593317</v>
      </c>
      <c r="W117" s="1">
        <f t="shared" si="33"/>
        <v>2025</v>
      </c>
      <c r="X117" s="1">
        <f t="shared" si="34"/>
        <v>2025</v>
      </c>
      <c r="Y117" s="1" t="str">
        <f t="shared" si="24"/>
        <v>2025-03</v>
      </c>
      <c r="Z117" s="1" t="str">
        <f t="shared" si="25"/>
        <v>2025-04</v>
      </c>
    </row>
    <row r="118" spans="1:26" x14ac:dyDescent="0.2">
      <c r="A118" s="2" t="s">
        <v>325</v>
      </c>
      <c r="B118" s="1" t="s">
        <v>326</v>
      </c>
      <c r="C118" s="1" t="s">
        <v>70</v>
      </c>
      <c r="D118" s="3">
        <v>45735.713645960648</v>
      </c>
      <c r="E118" s="3">
        <v>45895.565006597222</v>
      </c>
      <c r="F118" s="1" t="s">
        <v>52</v>
      </c>
      <c r="G118" s="1" t="s">
        <v>12</v>
      </c>
      <c r="H118" s="1" t="s">
        <v>13</v>
      </c>
      <c r="I118" s="1" t="s">
        <v>18</v>
      </c>
      <c r="J118" s="1" t="s">
        <v>16</v>
      </c>
      <c r="K118" s="1" t="s">
        <v>15</v>
      </c>
      <c r="L118" s="1" t="s">
        <v>13</v>
      </c>
      <c r="M118" s="1" t="s">
        <v>1163</v>
      </c>
      <c r="N118" s="1" t="str">
        <f t="shared" si="13"/>
        <v>DESARROLLO</v>
      </c>
      <c r="O118" s="3">
        <f t="shared" si="26"/>
        <v>45735.713645960648</v>
      </c>
      <c r="P118" s="3">
        <f t="shared" si="27"/>
        <v>45895.565006597222</v>
      </c>
      <c r="Q118" s="1" t="str">
        <f t="shared" si="16"/>
        <v>Interno</v>
      </c>
      <c r="R118" s="1">
        <f t="shared" si="28"/>
        <v>12</v>
      </c>
      <c r="S118" s="6">
        <f t="shared" si="29"/>
        <v>45733</v>
      </c>
      <c r="T118" s="1">
        <f t="shared" si="30"/>
        <v>35</v>
      </c>
      <c r="U118" s="6">
        <f t="shared" si="31"/>
        <v>45894</v>
      </c>
      <c r="V118" s="1">
        <f t="shared" si="32"/>
        <v>159.8513606365741</v>
      </c>
      <c r="W118" s="1">
        <f t="shared" si="33"/>
        <v>2025</v>
      </c>
      <c r="X118" s="1">
        <f t="shared" si="34"/>
        <v>2025</v>
      </c>
      <c r="Y118" s="1" t="str">
        <f t="shared" si="24"/>
        <v>2025-03</v>
      </c>
      <c r="Z118" s="1" t="str">
        <f t="shared" si="25"/>
        <v>2025-08</v>
      </c>
    </row>
    <row r="119" spans="1:26" x14ac:dyDescent="0.2">
      <c r="A119" s="2" t="s">
        <v>327</v>
      </c>
      <c r="B119" s="1" t="s">
        <v>328</v>
      </c>
      <c r="C119" s="1" t="s">
        <v>329</v>
      </c>
      <c r="D119" s="3">
        <v>45740.396243009258</v>
      </c>
      <c r="E119" s="3">
        <v>45754.456244988425</v>
      </c>
      <c r="F119" s="1" t="s">
        <v>52</v>
      </c>
      <c r="G119" s="1" t="s">
        <v>21</v>
      </c>
      <c r="H119" s="1" t="s">
        <v>13</v>
      </c>
      <c r="I119" s="1" t="s">
        <v>18</v>
      </c>
      <c r="J119" s="1" t="s">
        <v>16</v>
      </c>
      <c r="K119" s="1" t="s">
        <v>15</v>
      </c>
      <c r="L119" s="1" t="s">
        <v>13</v>
      </c>
      <c r="M119" s="1" t="s">
        <v>1163</v>
      </c>
      <c r="N119" s="1" t="str">
        <f t="shared" si="13"/>
        <v>SOPORTE</v>
      </c>
      <c r="O119" s="3">
        <f t="shared" si="26"/>
        <v>45740.396243009258</v>
      </c>
      <c r="P119" s="3">
        <f t="shared" si="27"/>
        <v>45754.456244988425</v>
      </c>
      <c r="Q119" s="1" t="str">
        <f t="shared" si="16"/>
        <v>Externo</v>
      </c>
      <c r="R119" s="1">
        <f t="shared" si="28"/>
        <v>13</v>
      </c>
      <c r="S119" s="6">
        <f t="shared" si="29"/>
        <v>45740</v>
      </c>
      <c r="T119" s="1">
        <f t="shared" si="30"/>
        <v>15</v>
      </c>
      <c r="U119" s="6">
        <f t="shared" si="31"/>
        <v>45754</v>
      </c>
      <c r="V119" s="1">
        <f t="shared" si="32"/>
        <v>14.060001979167282</v>
      </c>
      <c r="W119" s="1">
        <f t="shared" si="33"/>
        <v>2025</v>
      </c>
      <c r="X119" s="1">
        <f t="shared" si="34"/>
        <v>2025</v>
      </c>
      <c r="Y119" s="1" t="str">
        <f t="shared" si="24"/>
        <v>2025-03</v>
      </c>
      <c r="Z119" s="1" t="str">
        <f t="shared" si="25"/>
        <v>2025-04</v>
      </c>
    </row>
    <row r="120" spans="1:26" x14ac:dyDescent="0.2">
      <c r="A120" s="2" t="s">
        <v>330</v>
      </c>
      <c r="B120" s="1" t="s">
        <v>331</v>
      </c>
      <c r="C120" s="1" t="s">
        <v>112</v>
      </c>
      <c r="D120" s="3">
        <v>45740.398781851851</v>
      </c>
      <c r="E120" s="3">
        <v>45838.476372083336</v>
      </c>
      <c r="F120" s="1" t="s">
        <v>52</v>
      </c>
      <c r="G120" s="1" t="s">
        <v>53</v>
      </c>
      <c r="H120" s="1" t="s">
        <v>13</v>
      </c>
      <c r="I120" s="1" t="s">
        <v>18</v>
      </c>
      <c r="J120" s="1" t="s">
        <v>16</v>
      </c>
      <c r="K120" s="1" t="s">
        <v>17</v>
      </c>
      <c r="L120" s="1" t="s">
        <v>13</v>
      </c>
      <c r="M120" s="1" t="s">
        <v>1163</v>
      </c>
      <c r="N120" s="1" t="str">
        <f t="shared" si="13"/>
        <v>TÉCNICO</v>
      </c>
      <c r="O120" s="3">
        <f t="shared" si="26"/>
        <v>45740.398781851851</v>
      </c>
      <c r="P120" s="3">
        <f t="shared" si="27"/>
        <v>45838.476372083336</v>
      </c>
      <c r="Q120" s="1" t="str">
        <f t="shared" si="16"/>
        <v>Interno</v>
      </c>
      <c r="R120" s="1">
        <f t="shared" si="28"/>
        <v>13</v>
      </c>
      <c r="S120" s="6">
        <f t="shared" si="29"/>
        <v>45740</v>
      </c>
      <c r="T120" s="1">
        <f t="shared" si="30"/>
        <v>27</v>
      </c>
      <c r="U120" s="6">
        <f t="shared" si="31"/>
        <v>45838</v>
      </c>
      <c r="V120" s="1">
        <f t="shared" si="32"/>
        <v>98.077590231485374</v>
      </c>
      <c r="W120" s="1">
        <f t="shared" si="33"/>
        <v>2025</v>
      </c>
      <c r="X120" s="1">
        <f t="shared" si="34"/>
        <v>2025</v>
      </c>
      <c r="Y120" s="1" t="str">
        <f t="shared" si="24"/>
        <v>2025-03</v>
      </c>
      <c r="Z120" s="1" t="str">
        <f t="shared" si="25"/>
        <v>2025-06</v>
      </c>
    </row>
    <row r="121" spans="1:26" x14ac:dyDescent="0.2">
      <c r="A121" s="2" t="s">
        <v>332</v>
      </c>
      <c r="B121" s="1" t="s">
        <v>333</v>
      </c>
      <c r="C121" s="1" t="s">
        <v>13</v>
      </c>
      <c r="D121" s="3">
        <v>45740.399464224538</v>
      </c>
      <c r="E121" s="3">
        <v>45838.707838750001</v>
      </c>
      <c r="F121" s="1" t="s">
        <v>52</v>
      </c>
      <c r="G121" s="1" t="s">
        <v>53</v>
      </c>
      <c r="H121" s="1" t="s">
        <v>13</v>
      </c>
      <c r="I121" s="1" t="s">
        <v>13</v>
      </c>
      <c r="J121" s="1" t="s">
        <v>16</v>
      </c>
      <c r="K121" s="1" t="s">
        <v>17</v>
      </c>
      <c r="L121" s="1" t="s">
        <v>13</v>
      </c>
      <c r="M121" s="1" t="s">
        <v>13</v>
      </c>
      <c r="N121" s="1" t="str">
        <f t="shared" si="13"/>
        <v>TÉCNICO</v>
      </c>
      <c r="O121" s="3">
        <f t="shared" si="26"/>
        <v>45740.399464224538</v>
      </c>
      <c r="P121" s="3">
        <f t="shared" si="27"/>
        <v>45838.707838750001</v>
      </c>
      <c r="Q121" s="1" t="str">
        <f t="shared" si="16"/>
        <v>Interno</v>
      </c>
      <c r="R121" s="1">
        <f t="shared" si="28"/>
        <v>13</v>
      </c>
      <c r="S121" s="6">
        <f t="shared" si="29"/>
        <v>45740</v>
      </c>
      <c r="T121" s="1">
        <f t="shared" si="30"/>
        <v>27</v>
      </c>
      <c r="U121" s="6">
        <f t="shared" si="31"/>
        <v>45838</v>
      </c>
      <c r="V121" s="1">
        <f t="shared" si="32"/>
        <v>98.308374525462568</v>
      </c>
      <c r="W121" s="1">
        <f t="shared" si="33"/>
        <v>2025</v>
      </c>
      <c r="X121" s="1">
        <f t="shared" si="34"/>
        <v>2025</v>
      </c>
      <c r="Y121" s="1" t="str">
        <f t="shared" si="24"/>
        <v>2025-03</v>
      </c>
      <c r="Z121" s="1" t="str">
        <f t="shared" si="25"/>
        <v>2025-06</v>
      </c>
    </row>
    <row r="122" spans="1:26" x14ac:dyDescent="0.2">
      <c r="A122" s="2" t="s">
        <v>334</v>
      </c>
      <c r="B122" s="1" t="s">
        <v>335</v>
      </c>
      <c r="C122" s="1" t="s">
        <v>13</v>
      </c>
      <c r="D122" s="3">
        <v>45740.445156793983</v>
      </c>
      <c r="E122" s="3">
        <v>45784.11155854167</v>
      </c>
      <c r="F122" s="1" t="s">
        <v>52</v>
      </c>
      <c r="G122" s="1" t="s">
        <v>12</v>
      </c>
      <c r="H122" s="1" t="s">
        <v>13</v>
      </c>
      <c r="I122" s="1" t="s">
        <v>99</v>
      </c>
      <c r="J122" s="1" t="s">
        <v>16</v>
      </c>
      <c r="K122" s="1" t="s">
        <v>15</v>
      </c>
      <c r="L122" s="1" t="s">
        <v>336</v>
      </c>
      <c r="M122" s="1" t="s">
        <v>13</v>
      </c>
      <c r="N122" s="1" t="str">
        <f t="shared" si="13"/>
        <v>DESARROLLO</v>
      </c>
      <c r="O122" s="3">
        <f t="shared" si="26"/>
        <v>45740.445156793983</v>
      </c>
      <c r="P122" s="3">
        <f t="shared" si="27"/>
        <v>45784.11155854167</v>
      </c>
      <c r="Q122" s="1" t="str">
        <f t="shared" si="16"/>
        <v>Interno</v>
      </c>
      <c r="R122" s="1">
        <f t="shared" si="28"/>
        <v>13</v>
      </c>
      <c r="S122" s="6">
        <f t="shared" si="29"/>
        <v>45740</v>
      </c>
      <c r="T122" s="1">
        <f t="shared" si="30"/>
        <v>19</v>
      </c>
      <c r="U122" s="6">
        <f t="shared" si="31"/>
        <v>45782</v>
      </c>
      <c r="V122" s="1">
        <f t="shared" si="32"/>
        <v>43.666401747686905</v>
      </c>
      <c r="W122" s="1">
        <f t="shared" si="33"/>
        <v>2025</v>
      </c>
      <c r="X122" s="1">
        <f t="shared" si="34"/>
        <v>2025</v>
      </c>
      <c r="Y122" s="1" t="str">
        <f t="shared" si="24"/>
        <v>2025-03</v>
      </c>
      <c r="Z122" s="1" t="str">
        <f t="shared" si="25"/>
        <v>2025-05</v>
      </c>
    </row>
    <row r="123" spans="1:26" x14ac:dyDescent="0.2">
      <c r="A123" s="2" t="s">
        <v>337</v>
      </c>
      <c r="B123" s="1" t="s">
        <v>338</v>
      </c>
      <c r="C123" s="1" t="s">
        <v>109</v>
      </c>
      <c r="D123" s="3">
        <v>45741.637428414353</v>
      </c>
      <c r="E123" s="3">
        <v>45742.574991886577</v>
      </c>
      <c r="F123" s="1" t="s">
        <v>52</v>
      </c>
      <c r="G123" s="1" t="s">
        <v>21</v>
      </c>
      <c r="H123" s="1" t="s">
        <v>13</v>
      </c>
      <c r="I123" s="1" t="s">
        <v>18</v>
      </c>
      <c r="J123" s="1" t="s">
        <v>16</v>
      </c>
      <c r="K123" s="1" t="s">
        <v>15</v>
      </c>
      <c r="L123" s="1" t="s">
        <v>13</v>
      </c>
      <c r="M123" s="1" t="s">
        <v>1163</v>
      </c>
      <c r="N123" s="1" t="str">
        <f t="shared" si="13"/>
        <v>SOPORTE</v>
      </c>
      <c r="O123" s="3">
        <f t="shared" si="26"/>
        <v>45741.637428414353</v>
      </c>
      <c r="P123" s="3">
        <f t="shared" si="27"/>
        <v>45742.574991886577</v>
      </c>
      <c r="Q123" s="1" t="str">
        <f t="shared" si="16"/>
        <v>Externo</v>
      </c>
      <c r="R123" s="1">
        <f t="shared" si="28"/>
        <v>13</v>
      </c>
      <c r="S123" s="6">
        <f t="shared" si="29"/>
        <v>45740</v>
      </c>
      <c r="T123" s="1">
        <f t="shared" si="30"/>
        <v>13</v>
      </c>
      <c r="U123" s="6">
        <f t="shared" si="31"/>
        <v>45740</v>
      </c>
      <c r="V123" s="1">
        <f t="shared" si="32"/>
        <v>0.93756347222370096</v>
      </c>
      <c r="W123" s="1">
        <f t="shared" si="33"/>
        <v>2025</v>
      </c>
      <c r="X123" s="1">
        <f t="shared" si="34"/>
        <v>2025</v>
      </c>
      <c r="Y123" s="1" t="str">
        <f t="shared" si="24"/>
        <v>2025-03</v>
      </c>
      <c r="Z123" s="1" t="str">
        <f t="shared" si="25"/>
        <v>2025-03</v>
      </c>
    </row>
    <row r="124" spans="1:26" x14ac:dyDescent="0.2">
      <c r="A124" s="2" t="s">
        <v>339</v>
      </c>
      <c r="B124" s="1" t="s">
        <v>340</v>
      </c>
      <c r="C124" s="1" t="s">
        <v>209</v>
      </c>
      <c r="D124" s="3">
        <v>45742.548032615741</v>
      </c>
      <c r="E124" s="3">
        <v>45768.430372650466</v>
      </c>
      <c r="F124" s="1" t="s">
        <v>52</v>
      </c>
      <c r="G124" s="1" t="s">
        <v>21</v>
      </c>
      <c r="H124" s="1" t="s">
        <v>13</v>
      </c>
      <c r="I124" s="1" t="s">
        <v>18</v>
      </c>
      <c r="J124" s="1" t="s">
        <v>16</v>
      </c>
      <c r="K124" s="1" t="s">
        <v>15</v>
      </c>
      <c r="L124" s="1" t="s">
        <v>13</v>
      </c>
      <c r="M124" s="1" t="s">
        <v>1163</v>
      </c>
      <c r="N124" s="1" t="str">
        <f t="shared" si="13"/>
        <v>SOPORTE</v>
      </c>
      <c r="O124" s="3">
        <f t="shared" si="26"/>
        <v>45742.548032615741</v>
      </c>
      <c r="P124" s="3">
        <f t="shared" si="27"/>
        <v>45768.430372650466</v>
      </c>
      <c r="Q124" s="1" t="str">
        <f t="shared" si="16"/>
        <v>Externo</v>
      </c>
      <c r="R124" s="1">
        <f t="shared" si="28"/>
        <v>13</v>
      </c>
      <c r="S124" s="6">
        <f t="shared" si="29"/>
        <v>45740</v>
      </c>
      <c r="T124" s="1">
        <f t="shared" si="30"/>
        <v>17</v>
      </c>
      <c r="U124" s="6">
        <f t="shared" si="31"/>
        <v>45768</v>
      </c>
      <c r="V124" s="1">
        <f t="shared" si="32"/>
        <v>25.882340034724621</v>
      </c>
      <c r="W124" s="1">
        <f t="shared" si="33"/>
        <v>2025</v>
      </c>
      <c r="X124" s="1">
        <f t="shared" si="34"/>
        <v>2025</v>
      </c>
      <c r="Y124" s="1" t="str">
        <f t="shared" si="24"/>
        <v>2025-03</v>
      </c>
      <c r="Z124" s="1" t="str">
        <f t="shared" si="25"/>
        <v>2025-04</v>
      </c>
    </row>
    <row r="125" spans="1:26" x14ac:dyDescent="0.2">
      <c r="A125" s="2" t="s">
        <v>341</v>
      </c>
      <c r="B125" s="1" t="s">
        <v>342</v>
      </c>
      <c r="C125" s="1" t="s">
        <v>13</v>
      </c>
      <c r="D125" s="3">
        <v>45742.654894120373</v>
      </c>
      <c r="E125" s="3">
        <v>45827.388632071757</v>
      </c>
      <c r="F125" s="1" t="s">
        <v>52</v>
      </c>
      <c r="G125" s="1" t="s">
        <v>12</v>
      </c>
      <c r="H125" s="1" t="s">
        <v>13</v>
      </c>
      <c r="I125" s="1" t="s">
        <v>18</v>
      </c>
      <c r="J125" s="1" t="s">
        <v>16</v>
      </c>
      <c r="K125" s="1" t="s">
        <v>15</v>
      </c>
      <c r="L125" s="1" t="s">
        <v>13</v>
      </c>
      <c r="M125" s="1" t="s">
        <v>13</v>
      </c>
      <c r="N125" s="1" t="str">
        <f t="shared" si="13"/>
        <v>DESARROLLO</v>
      </c>
      <c r="O125" s="3">
        <f t="shared" si="26"/>
        <v>45742.654894120373</v>
      </c>
      <c r="P125" s="3">
        <f t="shared" si="27"/>
        <v>45827.388632071757</v>
      </c>
      <c r="Q125" s="1" t="str">
        <f t="shared" si="16"/>
        <v>Interno</v>
      </c>
      <c r="R125" s="1">
        <f t="shared" si="28"/>
        <v>13</v>
      </c>
      <c r="S125" s="6">
        <f t="shared" si="29"/>
        <v>45740</v>
      </c>
      <c r="T125" s="1">
        <f t="shared" si="30"/>
        <v>25</v>
      </c>
      <c r="U125" s="6">
        <f t="shared" si="31"/>
        <v>45824</v>
      </c>
      <c r="V125" s="1">
        <f t="shared" si="32"/>
        <v>84.733737951384683</v>
      </c>
      <c r="W125" s="1">
        <f t="shared" si="33"/>
        <v>2025</v>
      </c>
      <c r="X125" s="1">
        <f t="shared" si="34"/>
        <v>2025</v>
      </c>
      <c r="Y125" s="1" t="str">
        <f t="shared" si="24"/>
        <v>2025-03</v>
      </c>
      <c r="Z125" s="1" t="str">
        <f t="shared" si="25"/>
        <v>2025-06</v>
      </c>
    </row>
    <row r="126" spans="1:26" x14ac:dyDescent="0.2">
      <c r="A126" s="2" t="s">
        <v>343</v>
      </c>
      <c r="B126" s="1" t="s">
        <v>344</v>
      </c>
      <c r="C126" s="1" t="s">
        <v>78</v>
      </c>
      <c r="D126" s="3">
        <v>45742.670294270836</v>
      </c>
      <c r="E126" s="3">
        <v>45749.537975960651</v>
      </c>
      <c r="F126" s="1" t="s">
        <v>52</v>
      </c>
      <c r="G126" s="1" t="s">
        <v>21</v>
      </c>
      <c r="H126" s="1" t="s">
        <v>13</v>
      </c>
      <c r="I126" s="1" t="s">
        <v>18</v>
      </c>
      <c r="J126" s="1" t="s">
        <v>16</v>
      </c>
      <c r="K126" s="1" t="s">
        <v>15</v>
      </c>
      <c r="L126" s="1" t="s">
        <v>13</v>
      </c>
      <c r="M126" s="1" t="s">
        <v>1163</v>
      </c>
      <c r="N126" s="1" t="str">
        <f t="shared" si="13"/>
        <v>SOPORTE</v>
      </c>
      <c r="O126" s="3">
        <f t="shared" si="26"/>
        <v>45742.670294270836</v>
      </c>
      <c r="P126" s="3">
        <f t="shared" si="27"/>
        <v>45749.537975960651</v>
      </c>
      <c r="Q126" s="1" t="str">
        <f t="shared" si="16"/>
        <v>Externo</v>
      </c>
      <c r="R126" s="1">
        <f t="shared" si="28"/>
        <v>13</v>
      </c>
      <c r="S126" s="6">
        <f t="shared" si="29"/>
        <v>45740</v>
      </c>
      <c r="T126" s="1">
        <f t="shared" si="30"/>
        <v>14</v>
      </c>
      <c r="U126" s="6">
        <f t="shared" si="31"/>
        <v>45747</v>
      </c>
      <c r="V126" s="1">
        <f t="shared" si="32"/>
        <v>6.8676816898150719</v>
      </c>
      <c r="W126" s="1">
        <f t="shared" si="33"/>
        <v>2025</v>
      </c>
      <c r="X126" s="1">
        <f t="shared" si="34"/>
        <v>2025</v>
      </c>
      <c r="Y126" s="1" t="str">
        <f t="shared" si="24"/>
        <v>2025-03</v>
      </c>
      <c r="Z126" s="1" t="str">
        <f t="shared" si="25"/>
        <v>2025-03</v>
      </c>
    </row>
    <row r="127" spans="1:26" x14ac:dyDescent="0.2">
      <c r="A127" s="2" t="s">
        <v>345</v>
      </c>
      <c r="B127" s="1" t="s">
        <v>346</v>
      </c>
      <c r="C127" s="1" t="s">
        <v>13</v>
      </c>
      <c r="D127" s="3">
        <v>45744.472510127314</v>
      </c>
      <c r="E127" s="3">
        <v>45747.431535763892</v>
      </c>
      <c r="F127" s="1" t="s">
        <v>52</v>
      </c>
      <c r="G127" s="1" t="s">
        <v>53</v>
      </c>
      <c r="H127" s="1" t="s">
        <v>13</v>
      </c>
      <c r="I127" s="1" t="s">
        <v>13</v>
      </c>
      <c r="J127" s="1" t="s">
        <v>16</v>
      </c>
      <c r="K127" s="1" t="s">
        <v>17</v>
      </c>
      <c r="L127" s="1" t="s">
        <v>13</v>
      </c>
      <c r="M127" s="1" t="s">
        <v>13</v>
      </c>
      <c r="N127" s="1" t="str">
        <f t="shared" si="13"/>
        <v>TÉCNICO</v>
      </c>
      <c r="O127" s="3">
        <f t="shared" si="26"/>
        <v>45744.472510127314</v>
      </c>
      <c r="P127" s="3">
        <f t="shared" si="27"/>
        <v>45747.431535763892</v>
      </c>
      <c r="Q127" s="1" t="str">
        <f t="shared" si="16"/>
        <v>Interno</v>
      </c>
      <c r="R127" s="1">
        <f t="shared" si="28"/>
        <v>13</v>
      </c>
      <c r="S127" s="6">
        <f t="shared" si="29"/>
        <v>45740</v>
      </c>
      <c r="T127" s="1">
        <f t="shared" si="30"/>
        <v>14</v>
      </c>
      <c r="U127" s="6">
        <f t="shared" si="31"/>
        <v>45747</v>
      </c>
      <c r="V127" s="1">
        <f t="shared" si="32"/>
        <v>2.9590256365772802</v>
      </c>
      <c r="W127" s="1">
        <f t="shared" si="33"/>
        <v>2025</v>
      </c>
      <c r="X127" s="1">
        <f t="shared" si="34"/>
        <v>2025</v>
      </c>
      <c r="Y127" s="1" t="str">
        <f t="shared" si="24"/>
        <v>2025-03</v>
      </c>
      <c r="Z127" s="1" t="str">
        <f t="shared" si="25"/>
        <v>2025-03</v>
      </c>
    </row>
    <row r="128" spans="1:26" x14ac:dyDescent="0.2">
      <c r="A128" s="2" t="s">
        <v>347</v>
      </c>
      <c r="B128" s="1" t="s">
        <v>348</v>
      </c>
      <c r="C128" s="1" t="s">
        <v>13</v>
      </c>
      <c r="D128" s="3">
        <v>45744.473940914351</v>
      </c>
      <c r="E128" s="3">
        <v>45747.431572777779</v>
      </c>
      <c r="F128" s="1" t="s">
        <v>52</v>
      </c>
      <c r="G128" s="1" t="s">
        <v>53</v>
      </c>
      <c r="H128" s="1" t="s">
        <v>13</v>
      </c>
      <c r="I128" s="1" t="s">
        <v>13</v>
      </c>
      <c r="J128" s="1" t="s">
        <v>16</v>
      </c>
      <c r="K128" s="1" t="s">
        <v>17</v>
      </c>
      <c r="L128" s="1" t="s">
        <v>13</v>
      </c>
      <c r="M128" s="1" t="s">
        <v>13</v>
      </c>
      <c r="N128" s="1" t="str">
        <f t="shared" si="13"/>
        <v>TÉCNICO</v>
      </c>
      <c r="O128" s="3">
        <f t="shared" si="26"/>
        <v>45744.473940914351</v>
      </c>
      <c r="P128" s="3">
        <f t="shared" si="27"/>
        <v>45747.431572777779</v>
      </c>
      <c r="Q128" s="1" t="str">
        <f t="shared" si="16"/>
        <v>Interno</v>
      </c>
      <c r="R128" s="1">
        <f t="shared" si="28"/>
        <v>13</v>
      </c>
      <c r="S128" s="6">
        <f t="shared" si="29"/>
        <v>45740</v>
      </c>
      <c r="T128" s="1">
        <f t="shared" si="30"/>
        <v>14</v>
      </c>
      <c r="U128" s="6">
        <f t="shared" si="31"/>
        <v>45747</v>
      </c>
      <c r="V128" s="1">
        <f t="shared" si="32"/>
        <v>2.9576318634281051</v>
      </c>
      <c r="W128" s="1">
        <f t="shared" si="33"/>
        <v>2025</v>
      </c>
      <c r="X128" s="1">
        <f t="shared" si="34"/>
        <v>2025</v>
      </c>
      <c r="Y128" s="1" t="str">
        <f t="shared" si="24"/>
        <v>2025-03</v>
      </c>
      <c r="Z128" s="1" t="str">
        <f t="shared" si="25"/>
        <v>2025-03</v>
      </c>
    </row>
    <row r="129" spans="1:26" x14ac:dyDescent="0.2">
      <c r="A129" s="2" t="s">
        <v>349</v>
      </c>
      <c r="B129" s="1" t="s">
        <v>350</v>
      </c>
      <c r="C129" s="1" t="s">
        <v>13</v>
      </c>
      <c r="D129" s="3">
        <v>45744.47438216435</v>
      </c>
      <c r="E129" s="3">
        <v>45747.43161078704</v>
      </c>
      <c r="F129" s="1" t="s">
        <v>52</v>
      </c>
      <c r="G129" s="1" t="s">
        <v>53</v>
      </c>
      <c r="H129" s="1" t="s">
        <v>13</v>
      </c>
      <c r="I129" s="1" t="s">
        <v>13</v>
      </c>
      <c r="J129" s="1" t="s">
        <v>16</v>
      </c>
      <c r="K129" s="1" t="s">
        <v>17</v>
      </c>
      <c r="L129" s="1" t="s">
        <v>13</v>
      </c>
      <c r="M129" s="1" t="s">
        <v>13</v>
      </c>
      <c r="N129" s="1" t="str">
        <f t="shared" si="13"/>
        <v>TÉCNICO</v>
      </c>
      <c r="O129" s="3">
        <f t="shared" si="26"/>
        <v>45744.47438216435</v>
      </c>
      <c r="P129" s="3">
        <f t="shared" si="27"/>
        <v>45747.43161078704</v>
      </c>
      <c r="Q129" s="1" t="str">
        <f t="shared" si="16"/>
        <v>Interno</v>
      </c>
      <c r="R129" s="1">
        <f t="shared" si="28"/>
        <v>13</v>
      </c>
      <c r="S129" s="6">
        <f t="shared" si="29"/>
        <v>45740</v>
      </c>
      <c r="T129" s="1">
        <f t="shared" si="30"/>
        <v>14</v>
      </c>
      <c r="U129" s="6">
        <f t="shared" si="31"/>
        <v>45747</v>
      </c>
      <c r="V129" s="1">
        <f t="shared" si="32"/>
        <v>2.9572286226903088</v>
      </c>
      <c r="W129" s="1">
        <f t="shared" si="33"/>
        <v>2025</v>
      </c>
      <c r="X129" s="1">
        <f t="shared" si="34"/>
        <v>2025</v>
      </c>
      <c r="Y129" s="1" t="str">
        <f t="shared" si="24"/>
        <v>2025-03</v>
      </c>
      <c r="Z129" s="1" t="str">
        <f t="shared" si="25"/>
        <v>2025-03</v>
      </c>
    </row>
    <row r="130" spans="1:26" x14ac:dyDescent="0.2">
      <c r="A130" s="2" t="s">
        <v>351</v>
      </c>
      <c r="B130" s="1" t="s">
        <v>352</v>
      </c>
      <c r="C130" s="1" t="s">
        <v>13</v>
      </c>
      <c r="D130" s="3">
        <v>45744.47509644676</v>
      </c>
      <c r="E130" s="3">
        <v>45747.431658900467</v>
      </c>
      <c r="F130" s="1" t="s">
        <v>52</v>
      </c>
      <c r="G130" s="1" t="s">
        <v>53</v>
      </c>
      <c r="H130" s="1" t="s">
        <v>13</v>
      </c>
      <c r="I130" s="1" t="s">
        <v>13</v>
      </c>
      <c r="J130" s="1" t="s">
        <v>16</v>
      </c>
      <c r="K130" s="1" t="s">
        <v>17</v>
      </c>
      <c r="L130" s="1" t="s">
        <v>13</v>
      </c>
      <c r="M130" s="1" t="s">
        <v>13</v>
      </c>
      <c r="N130" s="1" t="str">
        <f t="shared" si="13"/>
        <v>TÉCNICO</v>
      </c>
      <c r="O130" s="3">
        <f t="shared" si="26"/>
        <v>45744.47509644676</v>
      </c>
      <c r="P130" s="3">
        <f t="shared" si="27"/>
        <v>45747.431658900467</v>
      </c>
      <c r="Q130" s="1" t="str">
        <f t="shared" si="16"/>
        <v>Interno</v>
      </c>
      <c r="R130" s="1">
        <f t="shared" si="28"/>
        <v>13</v>
      </c>
      <c r="S130" s="6">
        <f t="shared" si="29"/>
        <v>45740</v>
      </c>
      <c r="T130" s="1">
        <f t="shared" si="30"/>
        <v>14</v>
      </c>
      <c r="U130" s="6">
        <f t="shared" si="31"/>
        <v>45747</v>
      </c>
      <c r="V130" s="1">
        <f t="shared" si="32"/>
        <v>2.9565624537062831</v>
      </c>
      <c r="W130" s="1">
        <f t="shared" si="33"/>
        <v>2025</v>
      </c>
      <c r="X130" s="1">
        <f t="shared" si="34"/>
        <v>2025</v>
      </c>
      <c r="Y130" s="1" t="str">
        <f t="shared" si="24"/>
        <v>2025-03</v>
      </c>
      <c r="Z130" s="1" t="str">
        <f t="shared" si="25"/>
        <v>2025-03</v>
      </c>
    </row>
    <row r="131" spans="1:26" x14ac:dyDescent="0.2">
      <c r="A131" s="2" t="s">
        <v>353</v>
      </c>
      <c r="B131" s="1" t="s">
        <v>354</v>
      </c>
      <c r="C131" s="1" t="s">
        <v>13</v>
      </c>
      <c r="D131" s="3">
        <v>45744.475423865741</v>
      </c>
      <c r="E131" s="3">
        <v>45747.43170025463</v>
      </c>
      <c r="F131" s="1" t="s">
        <v>52</v>
      </c>
      <c r="G131" s="1" t="s">
        <v>53</v>
      </c>
      <c r="H131" s="1" t="s">
        <v>13</v>
      </c>
      <c r="I131" s="1" t="s">
        <v>13</v>
      </c>
      <c r="J131" s="1" t="s">
        <v>16</v>
      </c>
      <c r="K131" s="1" t="s">
        <v>17</v>
      </c>
      <c r="L131" s="1" t="s">
        <v>13</v>
      </c>
      <c r="M131" s="1" t="s">
        <v>13</v>
      </c>
      <c r="N131" s="1" t="str">
        <f t="shared" ref="N131:N194" si="35">G131</f>
        <v>TÉCNICO</v>
      </c>
      <c r="O131" s="3">
        <f t="shared" si="26"/>
        <v>45744.475423865741</v>
      </c>
      <c r="P131" s="3">
        <f t="shared" si="27"/>
        <v>45747.43170025463</v>
      </c>
      <c r="Q131" s="1" t="str">
        <f t="shared" ref="Q131:Q194" si="36">IF(OR(N131="Soporte",N131="Definición",N131="Origen"),"Externo",
IF(OR(N131="Funcional",N131="Técnico",N131="Desarrollo",N131="Reproceso"),"Interno",
IF(OR(N131="",N131="Selecciona (SOPORTE/DEFINICIÓN/FUNCIONAL/TÉCNICO/DESARROLLO)"),"Pendiente clasificar","")))</f>
        <v>Interno</v>
      </c>
      <c r="R131" s="1">
        <f t="shared" si="28"/>
        <v>13</v>
      </c>
      <c r="S131" s="6">
        <f t="shared" si="29"/>
        <v>45740</v>
      </c>
      <c r="T131" s="1">
        <f t="shared" si="30"/>
        <v>14</v>
      </c>
      <c r="U131" s="6">
        <f t="shared" si="31"/>
        <v>45747</v>
      </c>
      <c r="V131" s="1">
        <f t="shared" si="32"/>
        <v>2.9562763888898189</v>
      </c>
      <c r="W131" s="1">
        <f t="shared" si="33"/>
        <v>2025</v>
      </c>
      <c r="X131" s="1">
        <f t="shared" si="34"/>
        <v>2025</v>
      </c>
      <c r="Y131" s="1" t="str">
        <f t="shared" ref="Y131:Y194" si="37">(TEXT(S131,"aaaa-mm"))</f>
        <v>2025-03</v>
      </c>
      <c r="Z131" s="1" t="str">
        <f t="shared" ref="Z131:Z194" si="38">(TEXT(U131,"aaaa-mm"))</f>
        <v>2025-03</v>
      </c>
    </row>
    <row r="132" spans="1:26" x14ac:dyDescent="0.2">
      <c r="A132" s="2" t="s">
        <v>355</v>
      </c>
      <c r="B132" s="1" t="s">
        <v>356</v>
      </c>
      <c r="C132" s="1" t="s">
        <v>13</v>
      </c>
      <c r="D132" s="3">
        <v>45744.475811979166</v>
      </c>
      <c r="E132" s="3">
        <v>45747.431750057869</v>
      </c>
      <c r="F132" s="1" t="s">
        <v>52</v>
      </c>
      <c r="G132" s="1" t="s">
        <v>53</v>
      </c>
      <c r="H132" s="1" t="s">
        <v>13</v>
      </c>
      <c r="I132" s="1" t="s">
        <v>13</v>
      </c>
      <c r="J132" s="1" t="s">
        <v>16</v>
      </c>
      <c r="K132" s="1" t="s">
        <v>17</v>
      </c>
      <c r="L132" s="1" t="s">
        <v>13</v>
      </c>
      <c r="M132" s="1" t="s">
        <v>13</v>
      </c>
      <c r="N132" s="1" t="str">
        <f t="shared" si="35"/>
        <v>TÉCNICO</v>
      </c>
      <c r="O132" s="3">
        <f t="shared" si="26"/>
        <v>45744.475811979166</v>
      </c>
      <c r="P132" s="3">
        <f t="shared" si="27"/>
        <v>45747.431750057869</v>
      </c>
      <c r="Q132" s="1" t="str">
        <f t="shared" si="36"/>
        <v>Interno</v>
      </c>
      <c r="R132" s="1">
        <f t="shared" si="28"/>
        <v>13</v>
      </c>
      <c r="S132" s="6">
        <f t="shared" si="29"/>
        <v>45740</v>
      </c>
      <c r="T132" s="1">
        <f t="shared" si="30"/>
        <v>14</v>
      </c>
      <c r="U132" s="6">
        <f t="shared" si="31"/>
        <v>45747</v>
      </c>
      <c r="V132" s="1">
        <f t="shared" si="32"/>
        <v>2.9559380787031841</v>
      </c>
      <c r="W132" s="1">
        <f t="shared" si="33"/>
        <v>2025</v>
      </c>
      <c r="X132" s="1">
        <f t="shared" si="34"/>
        <v>2025</v>
      </c>
      <c r="Y132" s="1" t="str">
        <f t="shared" si="37"/>
        <v>2025-03</v>
      </c>
      <c r="Z132" s="1" t="str">
        <f t="shared" si="38"/>
        <v>2025-03</v>
      </c>
    </row>
    <row r="133" spans="1:26" x14ac:dyDescent="0.2">
      <c r="A133" s="2" t="s">
        <v>357</v>
      </c>
      <c r="B133" s="1" t="s">
        <v>358</v>
      </c>
      <c r="C133" s="1" t="s">
        <v>209</v>
      </c>
      <c r="D133" s="3">
        <v>45747.405411550928</v>
      </c>
      <c r="E133" s="3">
        <v>45756.391646608798</v>
      </c>
      <c r="F133" s="1" t="s">
        <v>52</v>
      </c>
      <c r="G133" s="1" t="s">
        <v>21</v>
      </c>
      <c r="H133" s="1" t="s">
        <v>13</v>
      </c>
      <c r="I133" s="1" t="s">
        <v>18</v>
      </c>
      <c r="J133" s="1" t="s">
        <v>16</v>
      </c>
      <c r="K133" s="1" t="s">
        <v>15</v>
      </c>
      <c r="L133" s="1" t="s">
        <v>13</v>
      </c>
      <c r="M133" s="1" t="s">
        <v>1163</v>
      </c>
      <c r="N133" s="1" t="str">
        <f t="shared" si="35"/>
        <v>SOPORTE</v>
      </c>
      <c r="O133" s="3">
        <f t="shared" si="26"/>
        <v>45747.405411550928</v>
      </c>
      <c r="P133" s="3">
        <f t="shared" si="27"/>
        <v>45756.391646608798</v>
      </c>
      <c r="Q133" s="1" t="str">
        <f t="shared" si="36"/>
        <v>Externo</v>
      </c>
      <c r="R133" s="1">
        <f t="shared" si="28"/>
        <v>14</v>
      </c>
      <c r="S133" s="6">
        <f t="shared" si="29"/>
        <v>45747</v>
      </c>
      <c r="T133" s="1">
        <f t="shared" si="30"/>
        <v>15</v>
      </c>
      <c r="U133" s="6">
        <f t="shared" si="31"/>
        <v>45754</v>
      </c>
      <c r="V133" s="1">
        <f t="shared" si="32"/>
        <v>8.9862350578696351</v>
      </c>
      <c r="W133" s="1">
        <f t="shared" si="33"/>
        <v>2025</v>
      </c>
      <c r="X133" s="1">
        <f t="shared" si="34"/>
        <v>2025</v>
      </c>
      <c r="Y133" s="1" t="str">
        <f t="shared" si="37"/>
        <v>2025-03</v>
      </c>
      <c r="Z133" s="1" t="str">
        <f t="shared" si="38"/>
        <v>2025-04</v>
      </c>
    </row>
    <row r="134" spans="1:26" x14ac:dyDescent="0.2">
      <c r="A134" s="2" t="s">
        <v>359</v>
      </c>
      <c r="B134" s="1" t="s">
        <v>360</v>
      </c>
      <c r="C134" s="1" t="s">
        <v>109</v>
      </c>
      <c r="D134" s="3">
        <v>45747.69136315972</v>
      </c>
      <c r="E134" s="3">
        <v>45751.43411321759</v>
      </c>
      <c r="F134" s="1" t="s">
        <v>52</v>
      </c>
      <c r="G134" s="1" t="s">
        <v>21</v>
      </c>
      <c r="H134" s="1" t="s">
        <v>13</v>
      </c>
      <c r="I134" s="1" t="s">
        <v>18</v>
      </c>
      <c r="J134" s="1" t="s">
        <v>16</v>
      </c>
      <c r="K134" s="1" t="s">
        <v>15</v>
      </c>
      <c r="L134" s="1" t="s">
        <v>13</v>
      </c>
      <c r="M134" s="1" t="s">
        <v>1163</v>
      </c>
      <c r="N134" s="1" t="str">
        <f t="shared" si="35"/>
        <v>SOPORTE</v>
      </c>
      <c r="O134" s="3">
        <f t="shared" ref="O134:O197" si="39">D134</f>
        <v>45747.69136315972</v>
      </c>
      <c r="P134" s="3">
        <f t="shared" ref="P134:P197" si="40">E134</f>
        <v>45751.43411321759</v>
      </c>
      <c r="Q134" s="1" t="str">
        <f t="shared" si="36"/>
        <v>Externo</v>
      </c>
      <c r="R134" s="1">
        <f t="shared" ref="R134:R197" si="41">WEEKNUM(O134,1)</f>
        <v>14</v>
      </c>
      <c r="S134" s="6">
        <f t="shared" ref="S134:S197" si="42">DATE(W134,1,4) + (R134-1)*7 - WEEKDAY(DATE(W134,1,4),2) +1</f>
        <v>45747</v>
      </c>
      <c r="T134" s="1">
        <f t="shared" ref="T134:T197" si="43">WEEKNUM(P134,1)</f>
        <v>14</v>
      </c>
      <c r="U134" s="6">
        <f t="shared" ref="U134:U197" si="44">DATE(X134,1,4) + (T134-1)*7 - WEEKDAY(DATE(X134,1,4),2) +1</f>
        <v>45747</v>
      </c>
      <c r="V134" s="1">
        <f t="shared" ref="V134:V197" si="45">ABS(P134-O134)</f>
        <v>3.7427500578705803</v>
      </c>
      <c r="W134" s="1">
        <f t="shared" ref="W134:W197" si="46">YEAR(O134)</f>
        <v>2025</v>
      </c>
      <c r="X134" s="1">
        <f t="shared" ref="X134:X197" si="47">YEAR(P134)</f>
        <v>2025</v>
      </c>
      <c r="Y134" s="1" t="str">
        <f t="shared" si="37"/>
        <v>2025-03</v>
      </c>
      <c r="Z134" s="1" t="str">
        <f t="shared" si="38"/>
        <v>2025-03</v>
      </c>
    </row>
    <row r="135" spans="1:26" x14ac:dyDescent="0.2">
      <c r="A135" s="2" t="s">
        <v>361</v>
      </c>
      <c r="B135" s="1" t="s">
        <v>362</v>
      </c>
      <c r="C135" s="1" t="s">
        <v>109</v>
      </c>
      <c r="D135" s="4">
        <v>45748.499112280093</v>
      </c>
      <c r="E135" s="3">
        <v>45750.372490312497</v>
      </c>
      <c r="F135" s="1" t="s">
        <v>52</v>
      </c>
      <c r="G135" s="1" t="s">
        <v>21</v>
      </c>
      <c r="H135" s="1" t="s">
        <v>13</v>
      </c>
      <c r="I135" s="1" t="s">
        <v>18</v>
      </c>
      <c r="J135" s="1" t="s">
        <v>16</v>
      </c>
      <c r="K135" s="1" t="s">
        <v>15</v>
      </c>
      <c r="L135" s="1" t="s">
        <v>13</v>
      </c>
      <c r="M135" s="1" t="s">
        <v>1163</v>
      </c>
      <c r="N135" s="1" t="str">
        <f t="shared" si="35"/>
        <v>SOPORTE</v>
      </c>
      <c r="O135" s="3">
        <f t="shared" si="39"/>
        <v>45748.499112280093</v>
      </c>
      <c r="P135" s="3">
        <f t="shared" si="40"/>
        <v>45750.372490312497</v>
      </c>
      <c r="Q135" s="1" t="str">
        <f t="shared" si="36"/>
        <v>Externo</v>
      </c>
      <c r="R135" s="1">
        <f t="shared" si="41"/>
        <v>14</v>
      </c>
      <c r="S135" s="6">
        <f t="shared" si="42"/>
        <v>45747</v>
      </c>
      <c r="T135" s="1">
        <f t="shared" si="43"/>
        <v>14</v>
      </c>
      <c r="U135" s="6">
        <f t="shared" si="44"/>
        <v>45747</v>
      </c>
      <c r="V135" s="1">
        <f t="shared" si="45"/>
        <v>1.873378032403707</v>
      </c>
      <c r="W135" s="1">
        <f t="shared" si="46"/>
        <v>2025</v>
      </c>
      <c r="X135" s="1">
        <f t="shared" si="47"/>
        <v>2025</v>
      </c>
      <c r="Y135" s="1" t="str">
        <f t="shared" si="37"/>
        <v>2025-03</v>
      </c>
      <c r="Z135" s="1" t="str">
        <f t="shared" si="38"/>
        <v>2025-03</v>
      </c>
    </row>
    <row r="136" spans="1:26" x14ac:dyDescent="0.2">
      <c r="A136" s="2" t="s">
        <v>363</v>
      </c>
      <c r="B136" s="1" t="s">
        <v>364</v>
      </c>
      <c r="C136" s="1" t="s">
        <v>13</v>
      </c>
      <c r="D136" s="3">
        <v>45749.354020254628</v>
      </c>
      <c r="E136" s="3">
        <v>45835.59639835648</v>
      </c>
      <c r="F136" s="1" t="s">
        <v>52</v>
      </c>
      <c r="G136" s="1" t="s">
        <v>19</v>
      </c>
      <c r="H136" s="1" t="s">
        <v>13</v>
      </c>
      <c r="I136" s="1" t="s">
        <v>99</v>
      </c>
      <c r="J136" s="1" t="s">
        <v>16</v>
      </c>
      <c r="K136" s="1" t="s">
        <v>15</v>
      </c>
      <c r="L136" s="1" t="s">
        <v>336</v>
      </c>
      <c r="M136" s="1" t="s">
        <v>13</v>
      </c>
      <c r="N136" s="1" t="str">
        <f t="shared" si="35"/>
        <v>DEFINICIÓN</v>
      </c>
      <c r="O136" s="3">
        <f t="shared" si="39"/>
        <v>45749.354020254628</v>
      </c>
      <c r="P136" s="3">
        <f t="shared" si="40"/>
        <v>45835.59639835648</v>
      </c>
      <c r="Q136" s="1" t="str">
        <f t="shared" si="36"/>
        <v>Externo</v>
      </c>
      <c r="R136" s="1">
        <f t="shared" si="41"/>
        <v>14</v>
      </c>
      <c r="S136" s="6">
        <f t="shared" si="42"/>
        <v>45747</v>
      </c>
      <c r="T136" s="1">
        <f t="shared" si="43"/>
        <v>26</v>
      </c>
      <c r="U136" s="6">
        <f t="shared" si="44"/>
        <v>45831</v>
      </c>
      <c r="V136" s="1">
        <f t="shared" si="45"/>
        <v>86.2423781018515</v>
      </c>
      <c r="W136" s="1">
        <f t="shared" si="46"/>
        <v>2025</v>
      </c>
      <c r="X136" s="1">
        <f t="shared" si="47"/>
        <v>2025</v>
      </c>
      <c r="Y136" s="1" t="str">
        <f t="shared" si="37"/>
        <v>2025-03</v>
      </c>
      <c r="Z136" s="1" t="str">
        <f t="shared" si="38"/>
        <v>2025-06</v>
      </c>
    </row>
    <row r="137" spans="1:26" x14ac:dyDescent="0.2">
      <c r="A137" s="2" t="s">
        <v>365</v>
      </c>
      <c r="B137" s="1" t="s">
        <v>366</v>
      </c>
      <c r="C137" s="1" t="s">
        <v>184</v>
      </c>
      <c r="D137" s="3">
        <v>45749.534133564812</v>
      </c>
      <c r="E137" s="3">
        <v>45755.426268946758</v>
      </c>
      <c r="F137" s="1" t="s">
        <v>52</v>
      </c>
      <c r="G137" s="1" t="s">
        <v>12</v>
      </c>
      <c r="H137" s="1" t="s">
        <v>13</v>
      </c>
      <c r="I137" s="1" t="s">
        <v>18</v>
      </c>
      <c r="J137" s="1" t="s">
        <v>16</v>
      </c>
      <c r="K137" s="1" t="s">
        <v>15</v>
      </c>
      <c r="L137" s="1" t="s">
        <v>13</v>
      </c>
      <c r="M137" s="1" t="s">
        <v>1163</v>
      </c>
      <c r="N137" s="1" t="str">
        <f t="shared" si="35"/>
        <v>DESARROLLO</v>
      </c>
      <c r="O137" s="3">
        <f t="shared" si="39"/>
        <v>45749.534133564812</v>
      </c>
      <c r="P137" s="3">
        <f t="shared" si="40"/>
        <v>45755.426268946758</v>
      </c>
      <c r="Q137" s="1" t="str">
        <f t="shared" si="36"/>
        <v>Interno</v>
      </c>
      <c r="R137" s="1">
        <f t="shared" si="41"/>
        <v>14</v>
      </c>
      <c r="S137" s="6">
        <f t="shared" si="42"/>
        <v>45747</v>
      </c>
      <c r="T137" s="1">
        <f t="shared" si="43"/>
        <v>15</v>
      </c>
      <c r="U137" s="6">
        <f t="shared" si="44"/>
        <v>45754</v>
      </c>
      <c r="V137" s="1">
        <f t="shared" si="45"/>
        <v>5.892135381945991</v>
      </c>
      <c r="W137" s="1">
        <f t="shared" si="46"/>
        <v>2025</v>
      </c>
      <c r="X137" s="1">
        <f t="shared" si="47"/>
        <v>2025</v>
      </c>
      <c r="Y137" s="1" t="str">
        <f t="shared" si="37"/>
        <v>2025-03</v>
      </c>
      <c r="Z137" s="1" t="str">
        <f t="shared" si="38"/>
        <v>2025-04</v>
      </c>
    </row>
    <row r="138" spans="1:26" x14ac:dyDescent="0.2">
      <c r="A138" s="2" t="s">
        <v>367</v>
      </c>
      <c r="B138" s="1" t="s">
        <v>368</v>
      </c>
      <c r="C138" s="1" t="s">
        <v>13</v>
      </c>
      <c r="D138" s="3">
        <v>45750.399140497684</v>
      </c>
      <c r="E138" s="3">
        <v>45784.111363495373</v>
      </c>
      <c r="F138" s="1" t="s">
        <v>52</v>
      </c>
      <c r="G138" s="1" t="s">
        <v>12</v>
      </c>
      <c r="H138" s="1" t="s">
        <v>13</v>
      </c>
      <c r="I138" s="1" t="s">
        <v>13</v>
      </c>
      <c r="J138" s="1" t="s">
        <v>16</v>
      </c>
      <c r="K138" s="1" t="s">
        <v>15</v>
      </c>
      <c r="L138" s="1" t="s">
        <v>13</v>
      </c>
      <c r="M138" s="1" t="s">
        <v>13</v>
      </c>
      <c r="N138" s="1" t="str">
        <f t="shared" si="35"/>
        <v>DESARROLLO</v>
      </c>
      <c r="O138" s="3">
        <f t="shared" si="39"/>
        <v>45750.399140497684</v>
      </c>
      <c r="P138" s="3">
        <f t="shared" si="40"/>
        <v>45784.111363495373</v>
      </c>
      <c r="Q138" s="1" t="str">
        <f t="shared" si="36"/>
        <v>Interno</v>
      </c>
      <c r="R138" s="1">
        <f t="shared" si="41"/>
        <v>14</v>
      </c>
      <c r="S138" s="6">
        <f t="shared" si="42"/>
        <v>45747</v>
      </c>
      <c r="T138" s="1">
        <f t="shared" si="43"/>
        <v>19</v>
      </c>
      <c r="U138" s="6">
        <f t="shared" si="44"/>
        <v>45782</v>
      </c>
      <c r="V138" s="1">
        <f t="shared" si="45"/>
        <v>33.712222997688514</v>
      </c>
      <c r="W138" s="1">
        <f t="shared" si="46"/>
        <v>2025</v>
      </c>
      <c r="X138" s="1">
        <f t="shared" si="47"/>
        <v>2025</v>
      </c>
      <c r="Y138" s="1" t="str">
        <f t="shared" si="37"/>
        <v>2025-03</v>
      </c>
      <c r="Z138" s="1" t="str">
        <f t="shared" si="38"/>
        <v>2025-05</v>
      </c>
    </row>
    <row r="139" spans="1:26" x14ac:dyDescent="0.2">
      <c r="A139" s="2" t="s">
        <v>369</v>
      </c>
      <c r="B139" s="1" t="s">
        <v>370</v>
      </c>
      <c r="C139" s="1" t="s">
        <v>371</v>
      </c>
      <c r="D139" s="3">
        <v>45750.422221423614</v>
      </c>
      <c r="E139" s="3">
        <v>45784.111707453703</v>
      </c>
      <c r="F139" s="1" t="s">
        <v>52</v>
      </c>
      <c r="G139" s="1" t="s">
        <v>12</v>
      </c>
      <c r="H139" s="1" t="s">
        <v>13</v>
      </c>
      <c r="I139" s="1" t="s">
        <v>18</v>
      </c>
      <c r="J139" s="1" t="s">
        <v>16</v>
      </c>
      <c r="K139" s="1" t="s">
        <v>15</v>
      </c>
      <c r="L139" s="1" t="s">
        <v>13</v>
      </c>
      <c r="M139" s="1" t="s">
        <v>1162</v>
      </c>
      <c r="N139" s="1" t="str">
        <f t="shared" si="35"/>
        <v>DESARROLLO</v>
      </c>
      <c r="O139" s="3">
        <f t="shared" si="39"/>
        <v>45750.422221423614</v>
      </c>
      <c r="P139" s="3">
        <f t="shared" si="40"/>
        <v>45784.111707453703</v>
      </c>
      <c r="Q139" s="1" t="str">
        <f t="shared" si="36"/>
        <v>Interno</v>
      </c>
      <c r="R139" s="1">
        <f t="shared" si="41"/>
        <v>14</v>
      </c>
      <c r="S139" s="6">
        <f t="shared" si="42"/>
        <v>45747</v>
      </c>
      <c r="T139" s="1">
        <f t="shared" si="43"/>
        <v>19</v>
      </c>
      <c r="U139" s="6">
        <f t="shared" si="44"/>
        <v>45782</v>
      </c>
      <c r="V139" s="1">
        <f t="shared" si="45"/>
        <v>33.689486030089029</v>
      </c>
      <c r="W139" s="1">
        <f t="shared" si="46"/>
        <v>2025</v>
      </c>
      <c r="X139" s="1">
        <f t="shared" si="47"/>
        <v>2025</v>
      </c>
      <c r="Y139" s="1" t="str">
        <f t="shared" si="37"/>
        <v>2025-03</v>
      </c>
      <c r="Z139" s="1" t="str">
        <f t="shared" si="38"/>
        <v>2025-05</v>
      </c>
    </row>
    <row r="140" spans="1:26" x14ac:dyDescent="0.2">
      <c r="A140" s="2" t="s">
        <v>372</v>
      </c>
      <c r="B140" s="1" t="s">
        <v>373</v>
      </c>
      <c r="C140" s="1" t="s">
        <v>83</v>
      </c>
      <c r="D140" s="3">
        <v>45755.397866041669</v>
      </c>
      <c r="E140" s="3">
        <v>45861.488225671295</v>
      </c>
      <c r="F140" s="1" t="s">
        <v>52</v>
      </c>
      <c r="G140" s="1" t="s">
        <v>20</v>
      </c>
      <c r="H140" s="1" t="s">
        <v>13</v>
      </c>
      <c r="I140" s="1" t="s">
        <v>18</v>
      </c>
      <c r="J140" s="1" t="s">
        <v>16</v>
      </c>
      <c r="K140" s="1" t="s">
        <v>15</v>
      </c>
      <c r="L140" s="1" t="s">
        <v>13</v>
      </c>
      <c r="M140" s="1" t="s">
        <v>1163</v>
      </c>
      <c r="N140" s="1" t="str">
        <f t="shared" si="35"/>
        <v>FUNCIONAL</v>
      </c>
      <c r="O140" s="3">
        <f t="shared" si="39"/>
        <v>45755.397866041669</v>
      </c>
      <c r="P140" s="3">
        <f t="shared" si="40"/>
        <v>45861.488225671295</v>
      </c>
      <c r="Q140" s="1" t="str">
        <f t="shared" si="36"/>
        <v>Interno</v>
      </c>
      <c r="R140" s="1">
        <f t="shared" si="41"/>
        <v>15</v>
      </c>
      <c r="S140" s="6">
        <f t="shared" si="42"/>
        <v>45754</v>
      </c>
      <c r="T140" s="1">
        <f t="shared" si="43"/>
        <v>30</v>
      </c>
      <c r="U140" s="6">
        <f t="shared" si="44"/>
        <v>45859</v>
      </c>
      <c r="V140" s="1">
        <f t="shared" si="45"/>
        <v>106.09035962962662</v>
      </c>
      <c r="W140" s="1">
        <f t="shared" si="46"/>
        <v>2025</v>
      </c>
      <c r="X140" s="1">
        <f t="shared" si="47"/>
        <v>2025</v>
      </c>
      <c r="Y140" s="1" t="str">
        <f t="shared" si="37"/>
        <v>2025-04</v>
      </c>
      <c r="Z140" s="1" t="str">
        <f t="shared" si="38"/>
        <v>2025-07</v>
      </c>
    </row>
    <row r="141" spans="1:26" x14ac:dyDescent="0.2">
      <c r="A141" s="2" t="s">
        <v>374</v>
      </c>
      <c r="B141" s="1" t="s">
        <v>375</v>
      </c>
      <c r="C141" s="1" t="s">
        <v>13</v>
      </c>
      <c r="D141" s="3">
        <v>45755.42396641204</v>
      </c>
      <c r="E141" s="3">
        <v>45835.595998124998</v>
      </c>
      <c r="F141" s="1" t="s">
        <v>52</v>
      </c>
      <c r="G141" s="1" t="s">
        <v>376</v>
      </c>
      <c r="H141" s="1" t="s">
        <v>13</v>
      </c>
      <c r="I141" s="1" t="s">
        <v>148</v>
      </c>
      <c r="J141" s="1" t="s">
        <v>16</v>
      </c>
      <c r="K141" s="1" t="s">
        <v>15</v>
      </c>
      <c r="L141" s="1" t="s">
        <v>377</v>
      </c>
      <c r="M141" s="1" t="s">
        <v>1166</v>
      </c>
      <c r="N141" s="1" t="str">
        <f t="shared" si="35"/>
        <v>Desarrollo</v>
      </c>
      <c r="O141" s="3">
        <f t="shared" si="39"/>
        <v>45755.42396641204</v>
      </c>
      <c r="P141" s="3">
        <f t="shared" si="40"/>
        <v>45835.595998124998</v>
      </c>
      <c r="Q141" s="1" t="str">
        <f t="shared" si="36"/>
        <v>Interno</v>
      </c>
      <c r="R141" s="1">
        <f t="shared" si="41"/>
        <v>15</v>
      </c>
      <c r="S141" s="6">
        <f t="shared" si="42"/>
        <v>45754</v>
      </c>
      <c r="T141" s="1">
        <f t="shared" si="43"/>
        <v>26</v>
      </c>
      <c r="U141" s="6">
        <f t="shared" si="44"/>
        <v>45831</v>
      </c>
      <c r="V141" s="1">
        <f t="shared" si="45"/>
        <v>80.172031712958415</v>
      </c>
      <c r="W141" s="1">
        <f t="shared" si="46"/>
        <v>2025</v>
      </c>
      <c r="X141" s="1">
        <f t="shared" si="47"/>
        <v>2025</v>
      </c>
      <c r="Y141" s="1" t="str">
        <f t="shared" si="37"/>
        <v>2025-04</v>
      </c>
      <c r="Z141" s="1" t="str">
        <f t="shared" si="38"/>
        <v>2025-06</v>
      </c>
    </row>
    <row r="142" spans="1:26" x14ac:dyDescent="0.2">
      <c r="A142" s="2" t="s">
        <v>378</v>
      </c>
      <c r="B142" s="1" t="s">
        <v>379</v>
      </c>
      <c r="C142" s="1" t="s">
        <v>112</v>
      </c>
      <c r="D142" s="3">
        <v>45756.684593240738</v>
      </c>
      <c r="E142" s="3">
        <v>45785.665901689812</v>
      </c>
      <c r="F142" s="1" t="s">
        <v>52</v>
      </c>
      <c r="G142" s="1" t="s">
        <v>12</v>
      </c>
      <c r="H142" s="1" t="s">
        <v>13</v>
      </c>
      <c r="I142" s="1" t="s">
        <v>18</v>
      </c>
      <c r="J142" s="1" t="s">
        <v>16</v>
      </c>
      <c r="K142" s="1" t="s">
        <v>15</v>
      </c>
      <c r="L142" s="1" t="s">
        <v>13</v>
      </c>
      <c r="M142" s="1" t="s">
        <v>1163</v>
      </c>
      <c r="N142" s="1" t="str">
        <f t="shared" si="35"/>
        <v>DESARROLLO</v>
      </c>
      <c r="O142" s="3">
        <f t="shared" si="39"/>
        <v>45756.684593240738</v>
      </c>
      <c r="P142" s="3">
        <f t="shared" si="40"/>
        <v>45785.665901689812</v>
      </c>
      <c r="Q142" s="1" t="str">
        <f t="shared" si="36"/>
        <v>Interno</v>
      </c>
      <c r="R142" s="1">
        <f t="shared" si="41"/>
        <v>15</v>
      </c>
      <c r="S142" s="6">
        <f t="shared" si="42"/>
        <v>45754</v>
      </c>
      <c r="T142" s="1">
        <f t="shared" si="43"/>
        <v>19</v>
      </c>
      <c r="U142" s="6">
        <f t="shared" si="44"/>
        <v>45782</v>
      </c>
      <c r="V142" s="1">
        <f t="shared" si="45"/>
        <v>28.981308449074277</v>
      </c>
      <c r="W142" s="1">
        <f t="shared" si="46"/>
        <v>2025</v>
      </c>
      <c r="X142" s="1">
        <f t="shared" si="47"/>
        <v>2025</v>
      </c>
      <c r="Y142" s="1" t="str">
        <f t="shared" si="37"/>
        <v>2025-04</v>
      </c>
      <c r="Z142" s="1" t="str">
        <f t="shared" si="38"/>
        <v>2025-05</v>
      </c>
    </row>
    <row r="143" spans="1:26" x14ac:dyDescent="0.2">
      <c r="A143" s="2" t="s">
        <v>380</v>
      </c>
      <c r="B143" s="1" t="s">
        <v>381</v>
      </c>
      <c r="C143" s="1" t="s">
        <v>58</v>
      </c>
      <c r="D143" s="3">
        <v>45757.411357337965</v>
      </c>
      <c r="E143" s="3">
        <v>45757.425114722224</v>
      </c>
      <c r="F143" s="1" t="s">
        <v>52</v>
      </c>
      <c r="G143" s="1" t="s">
        <v>21</v>
      </c>
      <c r="H143" s="1" t="s">
        <v>13</v>
      </c>
      <c r="I143" s="1" t="s">
        <v>18</v>
      </c>
      <c r="J143" s="1" t="s">
        <v>16</v>
      </c>
      <c r="K143" s="1" t="s">
        <v>15</v>
      </c>
      <c r="L143" s="1" t="s">
        <v>13</v>
      </c>
      <c r="M143" s="1" t="s">
        <v>1163</v>
      </c>
      <c r="N143" s="1" t="str">
        <f t="shared" si="35"/>
        <v>SOPORTE</v>
      </c>
      <c r="O143" s="3">
        <f t="shared" si="39"/>
        <v>45757.411357337965</v>
      </c>
      <c r="P143" s="3">
        <f t="shared" si="40"/>
        <v>45757.425114722224</v>
      </c>
      <c r="Q143" s="1" t="str">
        <f t="shared" si="36"/>
        <v>Externo</v>
      </c>
      <c r="R143" s="1">
        <f t="shared" si="41"/>
        <v>15</v>
      </c>
      <c r="S143" s="6">
        <f t="shared" si="42"/>
        <v>45754</v>
      </c>
      <c r="T143" s="1">
        <f t="shared" si="43"/>
        <v>15</v>
      </c>
      <c r="U143" s="6">
        <f t="shared" si="44"/>
        <v>45754</v>
      </c>
      <c r="V143" s="1">
        <f t="shared" si="45"/>
        <v>1.3757384258497041E-2</v>
      </c>
      <c r="W143" s="1">
        <f t="shared" si="46"/>
        <v>2025</v>
      </c>
      <c r="X143" s="1">
        <f t="shared" si="47"/>
        <v>2025</v>
      </c>
      <c r="Y143" s="1" t="str">
        <f t="shared" si="37"/>
        <v>2025-04</v>
      </c>
      <c r="Z143" s="1" t="str">
        <f t="shared" si="38"/>
        <v>2025-04</v>
      </c>
    </row>
    <row r="144" spans="1:26" x14ac:dyDescent="0.2">
      <c r="A144" s="2" t="s">
        <v>382</v>
      </c>
      <c r="B144" s="1" t="s">
        <v>383</v>
      </c>
      <c r="C144" s="1" t="s">
        <v>384</v>
      </c>
      <c r="D144" s="3">
        <v>45757.524207303242</v>
      </c>
      <c r="E144" s="3">
        <v>45785.39176510417</v>
      </c>
      <c r="F144" s="1" t="s">
        <v>52</v>
      </c>
      <c r="G144" s="1" t="s">
        <v>21</v>
      </c>
      <c r="H144" s="1" t="s">
        <v>13</v>
      </c>
      <c r="I144" s="1" t="s">
        <v>18</v>
      </c>
      <c r="J144" s="1" t="s">
        <v>16</v>
      </c>
      <c r="K144" s="1" t="s">
        <v>15</v>
      </c>
      <c r="L144" s="1" t="s">
        <v>13</v>
      </c>
      <c r="M144" s="1" t="s">
        <v>1163</v>
      </c>
      <c r="N144" s="1" t="str">
        <f t="shared" si="35"/>
        <v>SOPORTE</v>
      </c>
      <c r="O144" s="3">
        <f t="shared" si="39"/>
        <v>45757.524207303242</v>
      </c>
      <c r="P144" s="3">
        <f t="shared" si="40"/>
        <v>45785.39176510417</v>
      </c>
      <c r="Q144" s="1" t="str">
        <f t="shared" si="36"/>
        <v>Externo</v>
      </c>
      <c r="R144" s="1">
        <f t="shared" si="41"/>
        <v>15</v>
      </c>
      <c r="S144" s="6">
        <f t="shared" si="42"/>
        <v>45754</v>
      </c>
      <c r="T144" s="1">
        <f t="shared" si="43"/>
        <v>19</v>
      </c>
      <c r="U144" s="6">
        <f t="shared" si="44"/>
        <v>45782</v>
      </c>
      <c r="V144" s="1">
        <f t="shared" si="45"/>
        <v>27.867557800927898</v>
      </c>
      <c r="W144" s="1">
        <f t="shared" si="46"/>
        <v>2025</v>
      </c>
      <c r="X144" s="1">
        <f t="shared" si="47"/>
        <v>2025</v>
      </c>
      <c r="Y144" s="1" t="str">
        <f t="shared" si="37"/>
        <v>2025-04</v>
      </c>
      <c r="Z144" s="1" t="str">
        <f t="shared" si="38"/>
        <v>2025-05</v>
      </c>
    </row>
    <row r="145" spans="1:26" x14ac:dyDescent="0.2">
      <c r="A145" s="2" t="s">
        <v>385</v>
      </c>
      <c r="B145" s="1" t="s">
        <v>386</v>
      </c>
      <c r="C145" s="1" t="s">
        <v>127</v>
      </c>
      <c r="D145" s="3">
        <v>45757.658271712964</v>
      </c>
      <c r="E145" s="3">
        <v>45761.496954664355</v>
      </c>
      <c r="F145" s="1" t="s">
        <v>52</v>
      </c>
      <c r="G145" s="1" t="s">
        <v>21</v>
      </c>
      <c r="H145" s="1" t="s">
        <v>13</v>
      </c>
      <c r="I145" s="1" t="s">
        <v>18</v>
      </c>
      <c r="J145" s="1" t="s">
        <v>16</v>
      </c>
      <c r="K145" s="1" t="s">
        <v>15</v>
      </c>
      <c r="L145" s="1" t="s">
        <v>13</v>
      </c>
      <c r="M145" s="1" t="s">
        <v>1163</v>
      </c>
      <c r="N145" s="1" t="str">
        <f t="shared" si="35"/>
        <v>SOPORTE</v>
      </c>
      <c r="O145" s="3">
        <f t="shared" si="39"/>
        <v>45757.658271712964</v>
      </c>
      <c r="P145" s="3">
        <f t="shared" si="40"/>
        <v>45761.496954664355</v>
      </c>
      <c r="Q145" s="1" t="str">
        <f t="shared" si="36"/>
        <v>Externo</v>
      </c>
      <c r="R145" s="1">
        <f t="shared" si="41"/>
        <v>15</v>
      </c>
      <c r="S145" s="6">
        <f t="shared" si="42"/>
        <v>45754</v>
      </c>
      <c r="T145" s="1">
        <f t="shared" si="43"/>
        <v>16</v>
      </c>
      <c r="U145" s="6">
        <f t="shared" si="44"/>
        <v>45761</v>
      </c>
      <c r="V145" s="1">
        <f t="shared" si="45"/>
        <v>3.8386829513910925</v>
      </c>
      <c r="W145" s="1">
        <f t="shared" si="46"/>
        <v>2025</v>
      </c>
      <c r="X145" s="1">
        <f t="shared" si="47"/>
        <v>2025</v>
      </c>
      <c r="Y145" s="1" t="str">
        <f t="shared" si="37"/>
        <v>2025-04</v>
      </c>
      <c r="Z145" s="1" t="str">
        <f t="shared" si="38"/>
        <v>2025-04</v>
      </c>
    </row>
    <row r="146" spans="1:26" x14ac:dyDescent="0.2">
      <c r="A146" s="2" t="s">
        <v>387</v>
      </c>
      <c r="B146" s="1" t="s">
        <v>388</v>
      </c>
      <c r="C146" s="1" t="s">
        <v>184</v>
      </c>
      <c r="D146" s="3">
        <v>45758.412739664353</v>
      </c>
      <c r="E146" s="3">
        <v>45758.542897013889</v>
      </c>
      <c r="F146" s="1" t="s">
        <v>52</v>
      </c>
      <c r="G146" s="1" t="s">
        <v>12</v>
      </c>
      <c r="H146" s="1" t="s">
        <v>13</v>
      </c>
      <c r="I146" s="1" t="s">
        <v>18</v>
      </c>
      <c r="J146" s="1" t="s">
        <v>16</v>
      </c>
      <c r="K146" s="1" t="s">
        <v>15</v>
      </c>
      <c r="L146" s="1" t="s">
        <v>13</v>
      </c>
      <c r="M146" s="1" t="s">
        <v>1163</v>
      </c>
      <c r="N146" s="1" t="str">
        <f t="shared" si="35"/>
        <v>DESARROLLO</v>
      </c>
      <c r="O146" s="3">
        <f t="shared" si="39"/>
        <v>45758.412739664353</v>
      </c>
      <c r="P146" s="3">
        <f t="shared" si="40"/>
        <v>45758.542897013889</v>
      </c>
      <c r="Q146" s="1" t="str">
        <f t="shared" si="36"/>
        <v>Interno</v>
      </c>
      <c r="R146" s="1">
        <f t="shared" si="41"/>
        <v>15</v>
      </c>
      <c r="S146" s="6">
        <f t="shared" si="42"/>
        <v>45754</v>
      </c>
      <c r="T146" s="1">
        <f t="shared" si="43"/>
        <v>15</v>
      </c>
      <c r="U146" s="6">
        <f t="shared" si="44"/>
        <v>45754</v>
      </c>
      <c r="V146" s="1">
        <f t="shared" si="45"/>
        <v>0.13015734953660285</v>
      </c>
      <c r="W146" s="1">
        <f t="shared" si="46"/>
        <v>2025</v>
      </c>
      <c r="X146" s="1">
        <f t="shared" si="47"/>
        <v>2025</v>
      </c>
      <c r="Y146" s="1" t="str">
        <f t="shared" si="37"/>
        <v>2025-04</v>
      </c>
      <c r="Z146" s="1" t="str">
        <f t="shared" si="38"/>
        <v>2025-04</v>
      </c>
    </row>
    <row r="147" spans="1:26" x14ac:dyDescent="0.2">
      <c r="A147" s="2" t="s">
        <v>389</v>
      </c>
      <c r="B147" s="1" t="s">
        <v>390</v>
      </c>
      <c r="C147" s="1" t="s">
        <v>83</v>
      </c>
      <c r="D147" s="3">
        <v>45761.479025474539</v>
      </c>
      <c r="E147" s="3">
        <v>45768.427491909722</v>
      </c>
      <c r="F147" s="1" t="s">
        <v>52</v>
      </c>
      <c r="G147" s="1" t="s">
        <v>21</v>
      </c>
      <c r="H147" s="1" t="s">
        <v>13</v>
      </c>
      <c r="I147" s="1" t="s">
        <v>18</v>
      </c>
      <c r="J147" s="1" t="s">
        <v>16</v>
      </c>
      <c r="K147" s="1" t="s">
        <v>15</v>
      </c>
      <c r="L147" s="1" t="s">
        <v>13</v>
      </c>
      <c r="M147" s="1" t="s">
        <v>1163</v>
      </c>
      <c r="N147" s="1" t="str">
        <f t="shared" si="35"/>
        <v>SOPORTE</v>
      </c>
      <c r="O147" s="3">
        <f t="shared" si="39"/>
        <v>45761.479025474539</v>
      </c>
      <c r="P147" s="3">
        <f t="shared" si="40"/>
        <v>45768.427491909722</v>
      </c>
      <c r="Q147" s="1" t="str">
        <f t="shared" si="36"/>
        <v>Externo</v>
      </c>
      <c r="R147" s="1">
        <f t="shared" si="41"/>
        <v>16</v>
      </c>
      <c r="S147" s="6">
        <f t="shared" si="42"/>
        <v>45761</v>
      </c>
      <c r="T147" s="1">
        <f t="shared" si="43"/>
        <v>17</v>
      </c>
      <c r="U147" s="6">
        <f t="shared" si="44"/>
        <v>45768</v>
      </c>
      <c r="V147" s="1">
        <f t="shared" si="45"/>
        <v>6.9484664351839456</v>
      </c>
      <c r="W147" s="1">
        <f t="shared" si="46"/>
        <v>2025</v>
      </c>
      <c r="X147" s="1">
        <f t="shared" si="47"/>
        <v>2025</v>
      </c>
      <c r="Y147" s="1" t="str">
        <f t="shared" si="37"/>
        <v>2025-04</v>
      </c>
      <c r="Z147" s="1" t="str">
        <f t="shared" si="38"/>
        <v>2025-04</v>
      </c>
    </row>
    <row r="148" spans="1:26" x14ac:dyDescent="0.2">
      <c r="A148" s="2" t="s">
        <v>391</v>
      </c>
      <c r="B148" s="1" t="s">
        <v>392</v>
      </c>
      <c r="C148" s="1" t="s">
        <v>109</v>
      </c>
      <c r="D148" s="3">
        <v>45761.549220706016</v>
      </c>
      <c r="E148" s="3">
        <v>45770.605833449074</v>
      </c>
      <c r="F148" s="1" t="s">
        <v>52</v>
      </c>
      <c r="G148" s="1" t="s">
        <v>21</v>
      </c>
      <c r="H148" s="1" t="s">
        <v>13</v>
      </c>
      <c r="I148" s="1" t="s">
        <v>18</v>
      </c>
      <c r="J148" s="1" t="s">
        <v>16</v>
      </c>
      <c r="K148" s="1" t="s">
        <v>15</v>
      </c>
      <c r="L148" s="1" t="s">
        <v>13</v>
      </c>
      <c r="M148" s="1" t="s">
        <v>1163</v>
      </c>
      <c r="N148" s="1" t="str">
        <f t="shared" si="35"/>
        <v>SOPORTE</v>
      </c>
      <c r="O148" s="3">
        <f t="shared" si="39"/>
        <v>45761.549220706016</v>
      </c>
      <c r="P148" s="3">
        <f t="shared" si="40"/>
        <v>45770.605833449074</v>
      </c>
      <c r="Q148" s="1" t="str">
        <f t="shared" si="36"/>
        <v>Externo</v>
      </c>
      <c r="R148" s="1">
        <f t="shared" si="41"/>
        <v>16</v>
      </c>
      <c r="S148" s="6">
        <f t="shared" si="42"/>
        <v>45761</v>
      </c>
      <c r="T148" s="1">
        <f t="shared" si="43"/>
        <v>17</v>
      </c>
      <c r="U148" s="6">
        <f t="shared" si="44"/>
        <v>45768</v>
      </c>
      <c r="V148" s="1">
        <f t="shared" si="45"/>
        <v>9.0566127430574852</v>
      </c>
      <c r="W148" s="1">
        <f t="shared" si="46"/>
        <v>2025</v>
      </c>
      <c r="X148" s="1">
        <f t="shared" si="47"/>
        <v>2025</v>
      </c>
      <c r="Y148" s="1" t="str">
        <f t="shared" si="37"/>
        <v>2025-04</v>
      </c>
      <c r="Z148" s="1" t="str">
        <f t="shared" si="38"/>
        <v>2025-04</v>
      </c>
    </row>
    <row r="149" spans="1:26" x14ac:dyDescent="0.2">
      <c r="A149" s="2" t="s">
        <v>393</v>
      </c>
      <c r="B149" s="1" t="s">
        <v>394</v>
      </c>
      <c r="C149" s="1" t="s">
        <v>209</v>
      </c>
      <c r="D149" s="3">
        <v>45761.755472175922</v>
      </c>
      <c r="E149" s="3">
        <v>45777.628221319443</v>
      </c>
      <c r="F149" s="1" t="s">
        <v>52</v>
      </c>
      <c r="G149" s="1" t="s">
        <v>21</v>
      </c>
      <c r="H149" s="1" t="s">
        <v>13</v>
      </c>
      <c r="I149" s="1" t="s">
        <v>18</v>
      </c>
      <c r="J149" s="1" t="s">
        <v>16</v>
      </c>
      <c r="K149" s="1" t="s">
        <v>15</v>
      </c>
      <c r="L149" s="1" t="s">
        <v>13</v>
      </c>
      <c r="M149" s="1" t="s">
        <v>1163</v>
      </c>
      <c r="N149" s="1" t="str">
        <f t="shared" si="35"/>
        <v>SOPORTE</v>
      </c>
      <c r="O149" s="3">
        <f t="shared" si="39"/>
        <v>45761.755472175922</v>
      </c>
      <c r="P149" s="3">
        <f t="shared" si="40"/>
        <v>45777.628221319443</v>
      </c>
      <c r="Q149" s="1" t="str">
        <f t="shared" si="36"/>
        <v>Externo</v>
      </c>
      <c r="R149" s="1">
        <f t="shared" si="41"/>
        <v>16</v>
      </c>
      <c r="S149" s="6">
        <f t="shared" si="42"/>
        <v>45761</v>
      </c>
      <c r="T149" s="1">
        <f t="shared" si="43"/>
        <v>18</v>
      </c>
      <c r="U149" s="6">
        <f t="shared" si="44"/>
        <v>45775</v>
      </c>
      <c r="V149" s="1">
        <f t="shared" si="45"/>
        <v>15.872749143520196</v>
      </c>
      <c r="W149" s="1">
        <f t="shared" si="46"/>
        <v>2025</v>
      </c>
      <c r="X149" s="1">
        <f t="shared" si="47"/>
        <v>2025</v>
      </c>
      <c r="Y149" s="1" t="str">
        <f t="shared" si="37"/>
        <v>2025-04</v>
      </c>
      <c r="Z149" s="1" t="str">
        <f t="shared" si="38"/>
        <v>2025-04</v>
      </c>
    </row>
    <row r="150" spans="1:26" x14ac:dyDescent="0.2">
      <c r="A150" s="2" t="s">
        <v>395</v>
      </c>
      <c r="B150" s="1" t="s">
        <v>396</v>
      </c>
      <c r="C150" s="1" t="s">
        <v>109</v>
      </c>
      <c r="D150" s="3">
        <v>45762.332119687497</v>
      </c>
      <c r="E150" s="3">
        <v>45770.607117141204</v>
      </c>
      <c r="F150" s="1" t="s">
        <v>52</v>
      </c>
      <c r="G150" s="1" t="s">
        <v>21</v>
      </c>
      <c r="H150" s="1" t="s">
        <v>13</v>
      </c>
      <c r="I150" s="1" t="s">
        <v>18</v>
      </c>
      <c r="J150" s="1" t="s">
        <v>16</v>
      </c>
      <c r="K150" s="1" t="s">
        <v>15</v>
      </c>
      <c r="L150" s="1" t="s">
        <v>13</v>
      </c>
      <c r="M150" s="1" t="s">
        <v>1163</v>
      </c>
      <c r="N150" s="1" t="str">
        <f t="shared" si="35"/>
        <v>SOPORTE</v>
      </c>
      <c r="O150" s="3">
        <f t="shared" si="39"/>
        <v>45762.332119687497</v>
      </c>
      <c r="P150" s="3">
        <f t="shared" si="40"/>
        <v>45770.607117141204</v>
      </c>
      <c r="Q150" s="1" t="str">
        <f t="shared" si="36"/>
        <v>Externo</v>
      </c>
      <c r="R150" s="1">
        <f t="shared" si="41"/>
        <v>16</v>
      </c>
      <c r="S150" s="6">
        <f t="shared" si="42"/>
        <v>45761</v>
      </c>
      <c r="T150" s="1">
        <f t="shared" si="43"/>
        <v>17</v>
      </c>
      <c r="U150" s="6">
        <f t="shared" si="44"/>
        <v>45768</v>
      </c>
      <c r="V150" s="1">
        <f t="shared" si="45"/>
        <v>8.2749974537073285</v>
      </c>
      <c r="W150" s="1">
        <f t="shared" si="46"/>
        <v>2025</v>
      </c>
      <c r="X150" s="1">
        <f t="shared" si="47"/>
        <v>2025</v>
      </c>
      <c r="Y150" s="1" t="str">
        <f t="shared" si="37"/>
        <v>2025-04</v>
      </c>
      <c r="Z150" s="1" t="str">
        <f t="shared" si="38"/>
        <v>2025-04</v>
      </c>
    </row>
    <row r="151" spans="1:26" x14ac:dyDescent="0.2">
      <c r="A151" s="2" t="s">
        <v>397</v>
      </c>
      <c r="B151" s="1" t="s">
        <v>398</v>
      </c>
      <c r="C151" s="1" t="s">
        <v>13</v>
      </c>
      <c r="D151" s="3">
        <v>45763.448632256943</v>
      </c>
      <c r="E151" s="3">
        <v>45799.552846770835</v>
      </c>
      <c r="F151" s="1" t="s">
        <v>52</v>
      </c>
      <c r="G151" s="1" t="s">
        <v>12</v>
      </c>
      <c r="H151" s="1" t="s">
        <v>13</v>
      </c>
      <c r="I151" s="1" t="s">
        <v>99</v>
      </c>
      <c r="J151" s="1" t="s">
        <v>16</v>
      </c>
      <c r="K151" s="1" t="s">
        <v>15</v>
      </c>
      <c r="L151" s="1" t="s">
        <v>336</v>
      </c>
      <c r="M151" s="1" t="s">
        <v>13</v>
      </c>
      <c r="N151" s="1" t="str">
        <f t="shared" si="35"/>
        <v>DESARROLLO</v>
      </c>
      <c r="O151" s="3">
        <f t="shared" si="39"/>
        <v>45763.448632256943</v>
      </c>
      <c r="P151" s="3">
        <f t="shared" si="40"/>
        <v>45799.552846770835</v>
      </c>
      <c r="Q151" s="1" t="str">
        <f t="shared" si="36"/>
        <v>Interno</v>
      </c>
      <c r="R151" s="1">
        <f t="shared" si="41"/>
        <v>16</v>
      </c>
      <c r="S151" s="6">
        <f t="shared" si="42"/>
        <v>45761</v>
      </c>
      <c r="T151" s="1">
        <f t="shared" si="43"/>
        <v>21</v>
      </c>
      <c r="U151" s="6">
        <f t="shared" si="44"/>
        <v>45796</v>
      </c>
      <c r="V151" s="1">
        <f t="shared" si="45"/>
        <v>36.104214513892657</v>
      </c>
      <c r="W151" s="1">
        <f t="shared" si="46"/>
        <v>2025</v>
      </c>
      <c r="X151" s="1">
        <f t="shared" si="47"/>
        <v>2025</v>
      </c>
      <c r="Y151" s="1" t="str">
        <f t="shared" si="37"/>
        <v>2025-04</v>
      </c>
      <c r="Z151" s="1" t="str">
        <f t="shared" si="38"/>
        <v>2025-05</v>
      </c>
    </row>
    <row r="152" spans="1:26" x14ac:dyDescent="0.2">
      <c r="A152" s="2" t="s">
        <v>399</v>
      </c>
      <c r="B152" s="1" t="s">
        <v>400</v>
      </c>
      <c r="C152" s="1" t="s">
        <v>13</v>
      </c>
      <c r="D152" s="3">
        <v>45763.4495537037</v>
      </c>
      <c r="E152" s="3">
        <v>45799.552883321761</v>
      </c>
      <c r="F152" s="1" t="s">
        <v>52</v>
      </c>
      <c r="G152" s="1" t="s">
        <v>12</v>
      </c>
      <c r="H152" s="1" t="s">
        <v>13</v>
      </c>
      <c r="I152" s="1" t="s">
        <v>99</v>
      </c>
      <c r="J152" s="1" t="s">
        <v>16</v>
      </c>
      <c r="K152" s="1" t="s">
        <v>15</v>
      </c>
      <c r="L152" s="1" t="s">
        <v>336</v>
      </c>
      <c r="M152" s="1" t="s">
        <v>1163</v>
      </c>
      <c r="N152" s="1" t="str">
        <f t="shared" si="35"/>
        <v>DESARROLLO</v>
      </c>
      <c r="O152" s="3">
        <f t="shared" si="39"/>
        <v>45763.4495537037</v>
      </c>
      <c r="P152" s="3">
        <f t="shared" si="40"/>
        <v>45799.552883321761</v>
      </c>
      <c r="Q152" s="1" t="str">
        <f t="shared" si="36"/>
        <v>Interno</v>
      </c>
      <c r="R152" s="1">
        <f t="shared" si="41"/>
        <v>16</v>
      </c>
      <c r="S152" s="6">
        <f t="shared" si="42"/>
        <v>45761</v>
      </c>
      <c r="T152" s="1">
        <f t="shared" si="43"/>
        <v>21</v>
      </c>
      <c r="U152" s="6">
        <f t="shared" si="44"/>
        <v>45796</v>
      </c>
      <c r="V152" s="1">
        <f t="shared" si="45"/>
        <v>36.103329618061252</v>
      </c>
      <c r="W152" s="1">
        <f t="shared" si="46"/>
        <v>2025</v>
      </c>
      <c r="X152" s="1">
        <f t="shared" si="47"/>
        <v>2025</v>
      </c>
      <c r="Y152" s="1" t="str">
        <f t="shared" si="37"/>
        <v>2025-04</v>
      </c>
      <c r="Z152" s="1" t="str">
        <f t="shared" si="38"/>
        <v>2025-05</v>
      </c>
    </row>
    <row r="153" spans="1:26" x14ac:dyDescent="0.2">
      <c r="A153" s="2" t="s">
        <v>401</v>
      </c>
      <c r="B153" s="1" t="s">
        <v>402</v>
      </c>
      <c r="C153" s="1" t="s">
        <v>13</v>
      </c>
      <c r="D153" s="3">
        <v>45767.990438587964</v>
      </c>
      <c r="E153" s="3">
        <v>45784.111559618053</v>
      </c>
      <c r="F153" s="1" t="s">
        <v>52</v>
      </c>
      <c r="G153" s="1" t="s">
        <v>12</v>
      </c>
      <c r="H153" s="1" t="s">
        <v>13</v>
      </c>
      <c r="I153" s="1" t="s">
        <v>148</v>
      </c>
      <c r="J153" s="1" t="s">
        <v>16</v>
      </c>
      <c r="K153" s="1" t="s">
        <v>15</v>
      </c>
      <c r="L153" s="1" t="s">
        <v>403</v>
      </c>
      <c r="M153" s="1" t="s">
        <v>1163</v>
      </c>
      <c r="N153" s="1" t="str">
        <f t="shared" si="35"/>
        <v>DESARROLLO</v>
      </c>
      <c r="O153" s="3">
        <f t="shared" si="39"/>
        <v>45767.990438587964</v>
      </c>
      <c r="P153" s="3">
        <f t="shared" si="40"/>
        <v>45784.111559618053</v>
      </c>
      <c r="Q153" s="1" t="str">
        <f t="shared" si="36"/>
        <v>Interno</v>
      </c>
      <c r="R153" s="1">
        <f t="shared" si="41"/>
        <v>17</v>
      </c>
      <c r="S153" s="6">
        <f t="shared" si="42"/>
        <v>45768</v>
      </c>
      <c r="T153" s="1">
        <f t="shared" si="43"/>
        <v>19</v>
      </c>
      <c r="U153" s="6">
        <f t="shared" si="44"/>
        <v>45782</v>
      </c>
      <c r="V153" s="1">
        <f t="shared" si="45"/>
        <v>16.121121030089853</v>
      </c>
      <c r="W153" s="1">
        <f t="shared" si="46"/>
        <v>2025</v>
      </c>
      <c r="X153" s="1">
        <f t="shared" si="47"/>
        <v>2025</v>
      </c>
      <c r="Y153" s="1" t="str">
        <f t="shared" si="37"/>
        <v>2025-04</v>
      </c>
      <c r="Z153" s="1" t="str">
        <f t="shared" si="38"/>
        <v>2025-05</v>
      </c>
    </row>
    <row r="154" spans="1:26" x14ac:dyDescent="0.2">
      <c r="A154" s="2" t="s">
        <v>404</v>
      </c>
      <c r="B154" s="1" t="s">
        <v>405</v>
      </c>
      <c r="C154" s="1" t="s">
        <v>406</v>
      </c>
      <c r="D154" s="3">
        <v>45768.490726689815</v>
      </c>
      <c r="E154" s="3">
        <v>45782.375823703704</v>
      </c>
      <c r="F154" s="1" t="s">
        <v>52</v>
      </c>
      <c r="G154" s="1" t="s">
        <v>21</v>
      </c>
      <c r="H154" s="1" t="s">
        <v>13</v>
      </c>
      <c r="I154" s="1" t="s">
        <v>18</v>
      </c>
      <c r="J154" s="1" t="s">
        <v>16</v>
      </c>
      <c r="K154" s="1" t="s">
        <v>15</v>
      </c>
      <c r="L154" s="1" t="s">
        <v>13</v>
      </c>
      <c r="M154" s="1" t="s">
        <v>1163</v>
      </c>
      <c r="N154" s="1" t="str">
        <f t="shared" si="35"/>
        <v>SOPORTE</v>
      </c>
      <c r="O154" s="3">
        <f t="shared" si="39"/>
        <v>45768.490726689815</v>
      </c>
      <c r="P154" s="3">
        <f t="shared" si="40"/>
        <v>45782.375823703704</v>
      </c>
      <c r="Q154" s="1" t="str">
        <f t="shared" si="36"/>
        <v>Externo</v>
      </c>
      <c r="R154" s="1">
        <f t="shared" si="41"/>
        <v>17</v>
      </c>
      <c r="S154" s="6">
        <f t="shared" si="42"/>
        <v>45768</v>
      </c>
      <c r="T154" s="1">
        <f t="shared" si="43"/>
        <v>19</v>
      </c>
      <c r="U154" s="6">
        <f t="shared" si="44"/>
        <v>45782</v>
      </c>
      <c r="V154" s="1">
        <f t="shared" si="45"/>
        <v>13.885097013888299</v>
      </c>
      <c r="W154" s="1">
        <f t="shared" si="46"/>
        <v>2025</v>
      </c>
      <c r="X154" s="1">
        <f t="shared" si="47"/>
        <v>2025</v>
      </c>
      <c r="Y154" s="1" t="str">
        <f t="shared" si="37"/>
        <v>2025-04</v>
      </c>
      <c r="Z154" s="1" t="str">
        <f t="shared" si="38"/>
        <v>2025-05</v>
      </c>
    </row>
    <row r="155" spans="1:26" x14ac:dyDescent="0.2">
      <c r="A155" s="2" t="s">
        <v>407</v>
      </c>
      <c r="B155" s="1" t="s">
        <v>408</v>
      </c>
      <c r="C155" s="1" t="s">
        <v>13</v>
      </c>
      <c r="D155" s="3">
        <v>45768.582914548613</v>
      </c>
      <c r="E155" s="3">
        <v>45834.65771457176</v>
      </c>
      <c r="F155" s="1" t="s">
        <v>52</v>
      </c>
      <c r="G155" s="1" t="s">
        <v>53</v>
      </c>
      <c r="H155" s="1" t="s">
        <v>13</v>
      </c>
      <c r="I155" s="1" t="s">
        <v>99</v>
      </c>
      <c r="J155" s="1" t="s">
        <v>16</v>
      </c>
      <c r="K155" s="1" t="s">
        <v>15</v>
      </c>
      <c r="L155" s="1" t="s">
        <v>409</v>
      </c>
      <c r="M155" s="1" t="s">
        <v>13</v>
      </c>
      <c r="N155" s="1" t="str">
        <f t="shared" si="35"/>
        <v>TÉCNICO</v>
      </c>
      <c r="O155" s="3">
        <f t="shared" si="39"/>
        <v>45768.582914548613</v>
      </c>
      <c r="P155" s="3">
        <f t="shared" si="40"/>
        <v>45834.65771457176</v>
      </c>
      <c r="Q155" s="1" t="str">
        <f t="shared" si="36"/>
        <v>Interno</v>
      </c>
      <c r="R155" s="1">
        <f t="shared" si="41"/>
        <v>17</v>
      </c>
      <c r="S155" s="6">
        <f t="shared" si="42"/>
        <v>45768</v>
      </c>
      <c r="T155" s="1">
        <f t="shared" si="43"/>
        <v>26</v>
      </c>
      <c r="U155" s="6">
        <f t="shared" si="44"/>
        <v>45831</v>
      </c>
      <c r="V155" s="1">
        <f t="shared" si="45"/>
        <v>66.074800023146963</v>
      </c>
      <c r="W155" s="1">
        <f t="shared" si="46"/>
        <v>2025</v>
      </c>
      <c r="X155" s="1">
        <f t="shared" si="47"/>
        <v>2025</v>
      </c>
      <c r="Y155" s="1" t="str">
        <f t="shared" si="37"/>
        <v>2025-04</v>
      </c>
      <c r="Z155" s="1" t="str">
        <f t="shared" si="38"/>
        <v>2025-06</v>
      </c>
    </row>
    <row r="156" spans="1:26" x14ac:dyDescent="0.2">
      <c r="A156" s="2" t="s">
        <v>410</v>
      </c>
      <c r="B156" s="1" t="s">
        <v>411</v>
      </c>
      <c r="C156" s="1" t="s">
        <v>209</v>
      </c>
      <c r="D156" s="3">
        <v>45768.722147928238</v>
      </c>
      <c r="E156" s="3">
        <v>45770.60807195602</v>
      </c>
      <c r="F156" s="1" t="s">
        <v>52</v>
      </c>
      <c r="G156" s="1" t="s">
        <v>21</v>
      </c>
      <c r="H156" s="1" t="s">
        <v>13</v>
      </c>
      <c r="I156" s="1" t="s">
        <v>18</v>
      </c>
      <c r="J156" s="1" t="s">
        <v>16</v>
      </c>
      <c r="K156" s="1" t="s">
        <v>15</v>
      </c>
      <c r="L156" s="1" t="s">
        <v>13</v>
      </c>
      <c r="M156" s="1" t="s">
        <v>1163</v>
      </c>
      <c r="N156" s="1" t="str">
        <f t="shared" si="35"/>
        <v>SOPORTE</v>
      </c>
      <c r="O156" s="3">
        <f t="shared" si="39"/>
        <v>45768.722147928238</v>
      </c>
      <c r="P156" s="3">
        <f t="shared" si="40"/>
        <v>45770.60807195602</v>
      </c>
      <c r="Q156" s="1" t="str">
        <f t="shared" si="36"/>
        <v>Externo</v>
      </c>
      <c r="R156" s="1">
        <f t="shared" si="41"/>
        <v>17</v>
      </c>
      <c r="S156" s="6">
        <f t="shared" si="42"/>
        <v>45768</v>
      </c>
      <c r="T156" s="1">
        <f t="shared" si="43"/>
        <v>17</v>
      </c>
      <c r="U156" s="6">
        <f t="shared" si="44"/>
        <v>45768</v>
      </c>
      <c r="V156" s="1">
        <f t="shared" si="45"/>
        <v>1.8859240277815843</v>
      </c>
      <c r="W156" s="1">
        <f t="shared" si="46"/>
        <v>2025</v>
      </c>
      <c r="X156" s="1">
        <f t="shared" si="47"/>
        <v>2025</v>
      </c>
      <c r="Y156" s="1" t="str">
        <f t="shared" si="37"/>
        <v>2025-04</v>
      </c>
      <c r="Z156" s="1" t="str">
        <f t="shared" si="38"/>
        <v>2025-04</v>
      </c>
    </row>
    <row r="157" spans="1:26" x14ac:dyDescent="0.2">
      <c r="A157" s="2" t="s">
        <v>412</v>
      </c>
      <c r="B157" s="1" t="s">
        <v>413</v>
      </c>
      <c r="C157" s="1" t="s">
        <v>156</v>
      </c>
      <c r="D157" s="3">
        <v>45770.699656736113</v>
      </c>
      <c r="E157" s="3">
        <v>45777.629767152779</v>
      </c>
      <c r="F157" s="1" t="s">
        <v>52</v>
      </c>
      <c r="G157" s="1" t="s">
        <v>21</v>
      </c>
      <c r="H157" s="1" t="s">
        <v>13</v>
      </c>
      <c r="I157" s="1" t="s">
        <v>18</v>
      </c>
      <c r="J157" s="1" t="s">
        <v>16</v>
      </c>
      <c r="K157" s="1" t="s">
        <v>15</v>
      </c>
      <c r="L157" s="1" t="s">
        <v>13</v>
      </c>
      <c r="M157" s="1" t="s">
        <v>1163</v>
      </c>
      <c r="N157" s="1" t="str">
        <f t="shared" si="35"/>
        <v>SOPORTE</v>
      </c>
      <c r="O157" s="3">
        <f t="shared" si="39"/>
        <v>45770.699656736113</v>
      </c>
      <c r="P157" s="3">
        <f t="shared" si="40"/>
        <v>45777.629767152779</v>
      </c>
      <c r="Q157" s="1" t="str">
        <f t="shared" si="36"/>
        <v>Externo</v>
      </c>
      <c r="R157" s="1">
        <f t="shared" si="41"/>
        <v>17</v>
      </c>
      <c r="S157" s="6">
        <f t="shared" si="42"/>
        <v>45768</v>
      </c>
      <c r="T157" s="1">
        <f t="shared" si="43"/>
        <v>18</v>
      </c>
      <c r="U157" s="6">
        <f t="shared" si="44"/>
        <v>45775</v>
      </c>
      <c r="V157" s="1">
        <f t="shared" si="45"/>
        <v>6.9301104166661389</v>
      </c>
      <c r="W157" s="1">
        <f t="shared" si="46"/>
        <v>2025</v>
      </c>
      <c r="X157" s="1">
        <f t="shared" si="47"/>
        <v>2025</v>
      </c>
      <c r="Y157" s="1" t="str">
        <f t="shared" si="37"/>
        <v>2025-04</v>
      </c>
      <c r="Z157" s="1" t="str">
        <f t="shared" si="38"/>
        <v>2025-04</v>
      </c>
    </row>
    <row r="158" spans="1:26" x14ac:dyDescent="0.2">
      <c r="A158" s="2" t="s">
        <v>414</v>
      </c>
      <c r="B158" s="1" t="s">
        <v>415</v>
      </c>
      <c r="C158" s="1" t="s">
        <v>83</v>
      </c>
      <c r="D158" s="3">
        <v>45771.373304641202</v>
      </c>
      <c r="E158" s="3">
        <v>45771.679767337962</v>
      </c>
      <c r="F158" s="1" t="s">
        <v>52</v>
      </c>
      <c r="G158" s="1" t="s">
        <v>53</v>
      </c>
      <c r="H158" s="1" t="s">
        <v>13</v>
      </c>
      <c r="I158" s="1" t="s">
        <v>18</v>
      </c>
      <c r="J158" s="1" t="s">
        <v>16</v>
      </c>
      <c r="K158" s="1" t="s">
        <v>15</v>
      </c>
      <c r="L158" s="1" t="s">
        <v>13</v>
      </c>
      <c r="M158" s="1" t="s">
        <v>1163</v>
      </c>
      <c r="N158" s="1" t="str">
        <f t="shared" si="35"/>
        <v>TÉCNICO</v>
      </c>
      <c r="O158" s="3">
        <f t="shared" si="39"/>
        <v>45771.373304641202</v>
      </c>
      <c r="P158" s="3">
        <f t="shared" si="40"/>
        <v>45771.679767337962</v>
      </c>
      <c r="Q158" s="1" t="str">
        <f t="shared" si="36"/>
        <v>Interno</v>
      </c>
      <c r="R158" s="1">
        <f t="shared" si="41"/>
        <v>17</v>
      </c>
      <c r="S158" s="6">
        <f t="shared" si="42"/>
        <v>45768</v>
      </c>
      <c r="T158" s="1">
        <f t="shared" si="43"/>
        <v>17</v>
      </c>
      <c r="U158" s="6">
        <f t="shared" si="44"/>
        <v>45768</v>
      </c>
      <c r="V158" s="1">
        <f t="shared" si="45"/>
        <v>0.30646269676071825</v>
      </c>
      <c r="W158" s="1">
        <f t="shared" si="46"/>
        <v>2025</v>
      </c>
      <c r="X158" s="1">
        <f t="shared" si="47"/>
        <v>2025</v>
      </c>
      <c r="Y158" s="1" t="str">
        <f t="shared" si="37"/>
        <v>2025-04</v>
      </c>
      <c r="Z158" s="1" t="str">
        <f t="shared" si="38"/>
        <v>2025-04</v>
      </c>
    </row>
    <row r="159" spans="1:26" x14ac:dyDescent="0.2">
      <c r="A159" s="2" t="s">
        <v>416</v>
      </c>
      <c r="B159" s="1" t="s">
        <v>417</v>
      </c>
      <c r="C159" s="1" t="s">
        <v>78</v>
      </c>
      <c r="D159" s="3">
        <v>45771.385872222221</v>
      </c>
      <c r="E159" s="3">
        <v>45772.42944767361</v>
      </c>
      <c r="F159" s="1" t="s">
        <v>52</v>
      </c>
      <c r="G159" s="1" t="s">
        <v>21</v>
      </c>
      <c r="H159" s="1" t="s">
        <v>13</v>
      </c>
      <c r="I159" s="1" t="s">
        <v>18</v>
      </c>
      <c r="J159" s="1" t="s">
        <v>16</v>
      </c>
      <c r="K159" s="1" t="s">
        <v>15</v>
      </c>
      <c r="L159" s="1" t="s">
        <v>13</v>
      </c>
      <c r="M159" s="1" t="s">
        <v>1163</v>
      </c>
      <c r="N159" s="1" t="str">
        <f t="shared" si="35"/>
        <v>SOPORTE</v>
      </c>
      <c r="O159" s="3">
        <f t="shared" si="39"/>
        <v>45771.385872222221</v>
      </c>
      <c r="P159" s="3">
        <f t="shared" si="40"/>
        <v>45772.42944767361</v>
      </c>
      <c r="Q159" s="1" t="str">
        <f t="shared" si="36"/>
        <v>Externo</v>
      </c>
      <c r="R159" s="1">
        <f t="shared" si="41"/>
        <v>17</v>
      </c>
      <c r="S159" s="6">
        <f t="shared" si="42"/>
        <v>45768</v>
      </c>
      <c r="T159" s="1">
        <f t="shared" si="43"/>
        <v>17</v>
      </c>
      <c r="U159" s="6">
        <f t="shared" si="44"/>
        <v>45768</v>
      </c>
      <c r="V159" s="1">
        <f t="shared" si="45"/>
        <v>1.0435754513891879</v>
      </c>
      <c r="W159" s="1">
        <f t="shared" si="46"/>
        <v>2025</v>
      </c>
      <c r="X159" s="1">
        <f t="shared" si="47"/>
        <v>2025</v>
      </c>
      <c r="Y159" s="1" t="str">
        <f t="shared" si="37"/>
        <v>2025-04</v>
      </c>
      <c r="Z159" s="1" t="str">
        <f t="shared" si="38"/>
        <v>2025-04</v>
      </c>
    </row>
    <row r="160" spans="1:26" x14ac:dyDescent="0.2">
      <c r="A160" s="2" t="s">
        <v>418</v>
      </c>
      <c r="B160" s="1" t="s">
        <v>419</v>
      </c>
      <c r="C160" s="1" t="s">
        <v>127</v>
      </c>
      <c r="D160" s="3">
        <v>45771.541534456017</v>
      </c>
      <c r="E160" s="3">
        <v>45772.427180995372</v>
      </c>
      <c r="F160" s="1" t="s">
        <v>52</v>
      </c>
      <c r="G160" s="1" t="s">
        <v>21</v>
      </c>
      <c r="H160" s="1" t="s">
        <v>13</v>
      </c>
      <c r="I160" s="1" t="s">
        <v>18</v>
      </c>
      <c r="J160" s="1" t="s">
        <v>16</v>
      </c>
      <c r="K160" s="1" t="s">
        <v>15</v>
      </c>
      <c r="L160" s="1" t="s">
        <v>13</v>
      </c>
      <c r="M160" s="1" t="s">
        <v>13</v>
      </c>
      <c r="N160" s="1" t="str">
        <f t="shared" si="35"/>
        <v>SOPORTE</v>
      </c>
      <c r="O160" s="3">
        <f t="shared" si="39"/>
        <v>45771.541534456017</v>
      </c>
      <c r="P160" s="3">
        <f t="shared" si="40"/>
        <v>45772.427180995372</v>
      </c>
      <c r="Q160" s="1" t="str">
        <f t="shared" si="36"/>
        <v>Externo</v>
      </c>
      <c r="R160" s="1">
        <f t="shared" si="41"/>
        <v>17</v>
      </c>
      <c r="S160" s="6">
        <f t="shared" si="42"/>
        <v>45768</v>
      </c>
      <c r="T160" s="1">
        <f t="shared" si="43"/>
        <v>17</v>
      </c>
      <c r="U160" s="6">
        <f t="shared" si="44"/>
        <v>45768</v>
      </c>
      <c r="V160" s="1">
        <f t="shared" si="45"/>
        <v>0.88564653935463866</v>
      </c>
      <c r="W160" s="1">
        <f t="shared" si="46"/>
        <v>2025</v>
      </c>
      <c r="X160" s="1">
        <f t="shared" si="47"/>
        <v>2025</v>
      </c>
      <c r="Y160" s="1" t="str">
        <f t="shared" si="37"/>
        <v>2025-04</v>
      </c>
      <c r="Z160" s="1" t="str">
        <f t="shared" si="38"/>
        <v>2025-04</v>
      </c>
    </row>
    <row r="161" spans="1:26" x14ac:dyDescent="0.2">
      <c r="A161" s="1" t="s">
        <v>420</v>
      </c>
      <c r="B161" s="1" t="s">
        <v>421</v>
      </c>
      <c r="C161" s="1" t="s">
        <v>371</v>
      </c>
      <c r="D161" s="3">
        <v>45772.449044236113</v>
      </c>
      <c r="E161" s="3">
        <v>45805.619550451389</v>
      </c>
      <c r="F161" s="1" t="s">
        <v>52</v>
      </c>
      <c r="G161" s="1" t="s">
        <v>12</v>
      </c>
      <c r="H161" s="1" t="s">
        <v>13</v>
      </c>
      <c r="I161" s="1" t="s">
        <v>18</v>
      </c>
      <c r="J161" s="1" t="s">
        <v>16</v>
      </c>
      <c r="K161" s="1" t="s">
        <v>15</v>
      </c>
      <c r="L161" s="1" t="s">
        <v>13</v>
      </c>
      <c r="M161" s="1" t="s">
        <v>1162</v>
      </c>
      <c r="N161" s="1" t="str">
        <f t="shared" si="35"/>
        <v>DESARROLLO</v>
      </c>
      <c r="O161" s="3">
        <f t="shared" si="39"/>
        <v>45772.449044236113</v>
      </c>
      <c r="P161" s="3">
        <f t="shared" si="40"/>
        <v>45805.619550451389</v>
      </c>
      <c r="Q161" s="1" t="str">
        <f t="shared" si="36"/>
        <v>Interno</v>
      </c>
      <c r="R161" s="1">
        <f t="shared" si="41"/>
        <v>17</v>
      </c>
      <c r="S161" s="6">
        <f t="shared" si="42"/>
        <v>45768</v>
      </c>
      <c r="T161" s="1">
        <f t="shared" si="43"/>
        <v>22</v>
      </c>
      <c r="U161" s="6">
        <f t="shared" si="44"/>
        <v>45803</v>
      </c>
      <c r="V161" s="1">
        <f t="shared" si="45"/>
        <v>33.170506215275964</v>
      </c>
      <c r="W161" s="1">
        <f t="shared" si="46"/>
        <v>2025</v>
      </c>
      <c r="X161" s="1">
        <f t="shared" si="47"/>
        <v>2025</v>
      </c>
      <c r="Y161" s="1" t="str">
        <f t="shared" si="37"/>
        <v>2025-04</v>
      </c>
      <c r="Z161" s="1" t="str">
        <f t="shared" si="38"/>
        <v>2025-05</v>
      </c>
    </row>
    <row r="162" spans="1:26" x14ac:dyDescent="0.2">
      <c r="A162" s="1" t="s">
        <v>422</v>
      </c>
      <c r="B162" s="1" t="s">
        <v>423</v>
      </c>
      <c r="C162" s="1" t="s">
        <v>424</v>
      </c>
      <c r="D162" s="3">
        <v>45775.443542465277</v>
      </c>
      <c r="E162" s="3">
        <v>45805.685550798611</v>
      </c>
      <c r="F162" s="1" t="s">
        <v>52</v>
      </c>
      <c r="G162" s="1" t="s">
        <v>12</v>
      </c>
      <c r="H162" s="1" t="s">
        <v>13</v>
      </c>
      <c r="I162" s="1" t="s">
        <v>99</v>
      </c>
      <c r="J162" s="1" t="s">
        <v>16</v>
      </c>
      <c r="K162" s="1" t="s">
        <v>15</v>
      </c>
      <c r="L162" s="1" t="s">
        <v>377</v>
      </c>
      <c r="M162" s="1" t="s">
        <v>1162</v>
      </c>
      <c r="N162" s="1" t="str">
        <f t="shared" si="35"/>
        <v>DESARROLLO</v>
      </c>
      <c r="O162" s="3">
        <f t="shared" si="39"/>
        <v>45775.443542465277</v>
      </c>
      <c r="P162" s="3">
        <f t="shared" si="40"/>
        <v>45805.685550798611</v>
      </c>
      <c r="Q162" s="1" t="str">
        <f t="shared" si="36"/>
        <v>Interno</v>
      </c>
      <c r="R162" s="1">
        <f t="shared" si="41"/>
        <v>18</v>
      </c>
      <c r="S162" s="6">
        <f t="shared" si="42"/>
        <v>45775</v>
      </c>
      <c r="T162" s="1">
        <f t="shared" si="43"/>
        <v>22</v>
      </c>
      <c r="U162" s="6">
        <f t="shared" si="44"/>
        <v>45803</v>
      </c>
      <c r="V162" s="1">
        <f t="shared" si="45"/>
        <v>30.242008333334525</v>
      </c>
      <c r="W162" s="1">
        <f t="shared" si="46"/>
        <v>2025</v>
      </c>
      <c r="X162" s="1">
        <f t="shared" si="47"/>
        <v>2025</v>
      </c>
      <c r="Y162" s="1" t="str">
        <f t="shared" si="37"/>
        <v>2025-04</v>
      </c>
      <c r="Z162" s="1" t="str">
        <f t="shared" si="38"/>
        <v>2025-05</v>
      </c>
    </row>
    <row r="163" spans="1:26" x14ac:dyDescent="0.2">
      <c r="A163" s="1" t="s">
        <v>425</v>
      </c>
      <c r="B163" s="1" t="s">
        <v>426</v>
      </c>
      <c r="C163" s="1" t="s">
        <v>230</v>
      </c>
      <c r="D163" s="3">
        <v>45775.488937638889</v>
      </c>
      <c r="E163" s="3">
        <v>45782.37738017361</v>
      </c>
      <c r="F163" s="1" t="s">
        <v>52</v>
      </c>
      <c r="G163" s="1" t="s">
        <v>21</v>
      </c>
      <c r="H163" s="1" t="s">
        <v>13</v>
      </c>
      <c r="I163" s="1" t="s">
        <v>18</v>
      </c>
      <c r="J163" s="1" t="s">
        <v>16</v>
      </c>
      <c r="K163" s="1" t="s">
        <v>15</v>
      </c>
      <c r="L163" s="1" t="s">
        <v>13</v>
      </c>
      <c r="M163" s="1" t="s">
        <v>1163</v>
      </c>
      <c r="N163" s="1" t="str">
        <f t="shared" si="35"/>
        <v>SOPORTE</v>
      </c>
      <c r="O163" s="3">
        <f t="shared" si="39"/>
        <v>45775.488937638889</v>
      </c>
      <c r="P163" s="3">
        <f t="shared" si="40"/>
        <v>45782.37738017361</v>
      </c>
      <c r="Q163" s="1" t="str">
        <f t="shared" si="36"/>
        <v>Externo</v>
      </c>
      <c r="R163" s="1">
        <f t="shared" si="41"/>
        <v>18</v>
      </c>
      <c r="S163" s="6">
        <f t="shared" si="42"/>
        <v>45775</v>
      </c>
      <c r="T163" s="1">
        <f t="shared" si="43"/>
        <v>19</v>
      </c>
      <c r="U163" s="6">
        <f t="shared" si="44"/>
        <v>45782</v>
      </c>
      <c r="V163" s="1">
        <f t="shared" si="45"/>
        <v>6.8884425347205251</v>
      </c>
      <c r="W163" s="1">
        <f t="shared" si="46"/>
        <v>2025</v>
      </c>
      <c r="X163" s="1">
        <f t="shared" si="47"/>
        <v>2025</v>
      </c>
      <c r="Y163" s="1" t="str">
        <f t="shared" si="37"/>
        <v>2025-04</v>
      </c>
      <c r="Z163" s="1" t="str">
        <f t="shared" si="38"/>
        <v>2025-05</v>
      </c>
    </row>
    <row r="164" spans="1:26" x14ac:dyDescent="0.2">
      <c r="A164" s="1" t="s">
        <v>427</v>
      </c>
      <c r="B164" s="1" t="s">
        <v>428</v>
      </c>
      <c r="C164" s="1" t="s">
        <v>70</v>
      </c>
      <c r="D164" s="3">
        <v>45782.536783553238</v>
      </c>
      <c r="E164" s="3">
        <v>45785.665809259262</v>
      </c>
      <c r="F164" s="1" t="s">
        <v>52</v>
      </c>
      <c r="G164" s="1" t="s">
        <v>12</v>
      </c>
      <c r="H164" s="1" t="s">
        <v>13</v>
      </c>
      <c r="I164" s="1" t="s">
        <v>18</v>
      </c>
      <c r="J164" s="1" t="s">
        <v>16</v>
      </c>
      <c r="K164" s="1" t="s">
        <v>15</v>
      </c>
      <c r="L164" s="1" t="s">
        <v>13</v>
      </c>
      <c r="M164" s="1" t="s">
        <v>1163</v>
      </c>
      <c r="N164" s="1" t="str">
        <f t="shared" si="35"/>
        <v>DESARROLLO</v>
      </c>
      <c r="O164" s="3">
        <f t="shared" si="39"/>
        <v>45782.536783553238</v>
      </c>
      <c r="P164" s="3">
        <f t="shared" si="40"/>
        <v>45785.665809259262</v>
      </c>
      <c r="Q164" s="1" t="str">
        <f t="shared" si="36"/>
        <v>Interno</v>
      </c>
      <c r="R164" s="1">
        <f t="shared" si="41"/>
        <v>19</v>
      </c>
      <c r="S164" s="6">
        <f t="shared" si="42"/>
        <v>45782</v>
      </c>
      <c r="T164" s="1">
        <f t="shared" si="43"/>
        <v>19</v>
      </c>
      <c r="U164" s="6">
        <f t="shared" si="44"/>
        <v>45782</v>
      </c>
      <c r="V164" s="1">
        <f t="shared" si="45"/>
        <v>3.1290257060245494</v>
      </c>
      <c r="W164" s="1">
        <f t="shared" si="46"/>
        <v>2025</v>
      </c>
      <c r="X164" s="1">
        <f t="shared" si="47"/>
        <v>2025</v>
      </c>
      <c r="Y164" s="1" t="str">
        <f t="shared" si="37"/>
        <v>2025-05</v>
      </c>
      <c r="Z164" s="1" t="str">
        <f t="shared" si="38"/>
        <v>2025-05</v>
      </c>
    </row>
    <row r="165" spans="1:26" x14ac:dyDescent="0.2">
      <c r="A165" s="1" t="s">
        <v>429</v>
      </c>
      <c r="B165" s="1" t="s">
        <v>430</v>
      </c>
      <c r="C165" s="1" t="s">
        <v>83</v>
      </c>
      <c r="D165" s="3">
        <v>45782.757396527777</v>
      </c>
      <c r="E165" s="3">
        <v>45785.370547349536</v>
      </c>
      <c r="F165" s="1" t="s">
        <v>52</v>
      </c>
      <c r="G165" s="1" t="s">
        <v>12</v>
      </c>
      <c r="H165" s="1" t="s">
        <v>13</v>
      </c>
      <c r="I165" s="1" t="s">
        <v>18</v>
      </c>
      <c r="J165" s="1" t="s">
        <v>16</v>
      </c>
      <c r="K165" s="1" t="s">
        <v>15</v>
      </c>
      <c r="L165" s="1" t="s">
        <v>13</v>
      </c>
      <c r="M165" s="1" t="s">
        <v>1163</v>
      </c>
      <c r="N165" s="1" t="str">
        <f t="shared" si="35"/>
        <v>DESARROLLO</v>
      </c>
      <c r="O165" s="3">
        <f t="shared" si="39"/>
        <v>45782.757396527777</v>
      </c>
      <c r="P165" s="3">
        <f t="shared" si="40"/>
        <v>45785.370547349536</v>
      </c>
      <c r="Q165" s="1" t="str">
        <f t="shared" si="36"/>
        <v>Interno</v>
      </c>
      <c r="R165" s="1">
        <f t="shared" si="41"/>
        <v>19</v>
      </c>
      <c r="S165" s="6">
        <f t="shared" si="42"/>
        <v>45782</v>
      </c>
      <c r="T165" s="1">
        <f t="shared" si="43"/>
        <v>19</v>
      </c>
      <c r="U165" s="6">
        <f t="shared" si="44"/>
        <v>45782</v>
      </c>
      <c r="V165" s="1">
        <f t="shared" si="45"/>
        <v>2.6131508217586088</v>
      </c>
      <c r="W165" s="1">
        <f t="shared" si="46"/>
        <v>2025</v>
      </c>
      <c r="X165" s="1">
        <f t="shared" si="47"/>
        <v>2025</v>
      </c>
      <c r="Y165" s="1" t="str">
        <f t="shared" si="37"/>
        <v>2025-05</v>
      </c>
      <c r="Z165" s="1" t="str">
        <f t="shared" si="38"/>
        <v>2025-05</v>
      </c>
    </row>
    <row r="166" spans="1:26" x14ac:dyDescent="0.2">
      <c r="A166" s="1" t="s">
        <v>431</v>
      </c>
      <c r="B166" s="1" t="s">
        <v>432</v>
      </c>
      <c r="C166" s="1" t="s">
        <v>70</v>
      </c>
      <c r="D166" s="3">
        <v>45783.783123645837</v>
      </c>
      <c r="E166" s="3">
        <v>45785.389024606484</v>
      </c>
      <c r="F166" s="1" t="s">
        <v>52</v>
      </c>
      <c r="G166" s="1" t="s">
        <v>12</v>
      </c>
      <c r="H166" s="1" t="s">
        <v>13</v>
      </c>
      <c r="I166" s="1" t="s">
        <v>18</v>
      </c>
      <c r="J166" s="1" t="s">
        <v>16</v>
      </c>
      <c r="K166" s="1" t="s">
        <v>15</v>
      </c>
      <c r="L166" s="1" t="s">
        <v>13</v>
      </c>
      <c r="M166" s="1" t="s">
        <v>1163</v>
      </c>
      <c r="N166" s="1" t="str">
        <f t="shared" si="35"/>
        <v>DESARROLLO</v>
      </c>
      <c r="O166" s="3">
        <f t="shared" si="39"/>
        <v>45783.783123645837</v>
      </c>
      <c r="P166" s="3">
        <f t="shared" si="40"/>
        <v>45785.389024606484</v>
      </c>
      <c r="Q166" s="1" t="str">
        <f t="shared" si="36"/>
        <v>Interno</v>
      </c>
      <c r="R166" s="1">
        <f t="shared" si="41"/>
        <v>19</v>
      </c>
      <c r="S166" s="6">
        <f t="shared" si="42"/>
        <v>45782</v>
      </c>
      <c r="T166" s="1">
        <f t="shared" si="43"/>
        <v>19</v>
      </c>
      <c r="U166" s="6">
        <f t="shared" si="44"/>
        <v>45782</v>
      </c>
      <c r="V166" s="1">
        <f t="shared" si="45"/>
        <v>1.6059009606469772</v>
      </c>
      <c r="W166" s="1">
        <f t="shared" si="46"/>
        <v>2025</v>
      </c>
      <c r="X166" s="1">
        <f t="shared" si="47"/>
        <v>2025</v>
      </c>
      <c r="Y166" s="1" t="str">
        <f t="shared" si="37"/>
        <v>2025-05</v>
      </c>
      <c r="Z166" s="1" t="str">
        <f t="shared" si="38"/>
        <v>2025-05</v>
      </c>
    </row>
    <row r="167" spans="1:26" x14ac:dyDescent="0.2">
      <c r="A167" s="1" t="s">
        <v>433</v>
      </c>
      <c r="B167" s="1" t="s">
        <v>434</v>
      </c>
      <c r="C167" s="1" t="s">
        <v>109</v>
      </c>
      <c r="D167" s="3">
        <v>45785.664397916669</v>
      </c>
      <c r="E167" s="3">
        <v>45789.376638379632</v>
      </c>
      <c r="F167" s="1" t="s">
        <v>52</v>
      </c>
      <c r="G167" s="1" t="s">
        <v>21</v>
      </c>
      <c r="H167" s="1" t="s">
        <v>13</v>
      </c>
      <c r="I167" s="1" t="s">
        <v>18</v>
      </c>
      <c r="J167" s="1" t="s">
        <v>16</v>
      </c>
      <c r="K167" s="1" t="s">
        <v>15</v>
      </c>
      <c r="L167" s="1" t="s">
        <v>13</v>
      </c>
      <c r="M167" s="1" t="s">
        <v>1163</v>
      </c>
      <c r="N167" s="1" t="str">
        <f t="shared" si="35"/>
        <v>SOPORTE</v>
      </c>
      <c r="O167" s="3">
        <f t="shared" si="39"/>
        <v>45785.664397916669</v>
      </c>
      <c r="P167" s="3">
        <f t="shared" si="40"/>
        <v>45789.376638379632</v>
      </c>
      <c r="Q167" s="1" t="str">
        <f t="shared" si="36"/>
        <v>Externo</v>
      </c>
      <c r="R167" s="1">
        <f t="shared" si="41"/>
        <v>19</v>
      </c>
      <c r="S167" s="6">
        <f t="shared" si="42"/>
        <v>45782</v>
      </c>
      <c r="T167" s="1">
        <f t="shared" si="43"/>
        <v>20</v>
      </c>
      <c r="U167" s="6">
        <f t="shared" si="44"/>
        <v>45789</v>
      </c>
      <c r="V167" s="1">
        <f t="shared" si="45"/>
        <v>3.7122404629626544</v>
      </c>
      <c r="W167" s="1">
        <f t="shared" si="46"/>
        <v>2025</v>
      </c>
      <c r="X167" s="1">
        <f t="shared" si="47"/>
        <v>2025</v>
      </c>
      <c r="Y167" s="1" t="str">
        <f t="shared" si="37"/>
        <v>2025-05</v>
      </c>
      <c r="Z167" s="1" t="str">
        <f t="shared" si="38"/>
        <v>2025-05</v>
      </c>
    </row>
    <row r="168" spans="1:26" x14ac:dyDescent="0.2">
      <c r="A168" s="1" t="s">
        <v>435</v>
      </c>
      <c r="B168" s="1" t="s">
        <v>436</v>
      </c>
      <c r="C168" s="1" t="s">
        <v>127</v>
      </c>
      <c r="D168" s="3">
        <v>45785.717432962963</v>
      </c>
      <c r="E168" s="3">
        <v>45789.377173067129</v>
      </c>
      <c r="F168" s="1" t="s">
        <v>52</v>
      </c>
      <c r="G168" s="1" t="s">
        <v>21</v>
      </c>
      <c r="H168" s="1" t="s">
        <v>13</v>
      </c>
      <c r="I168" s="1" t="s">
        <v>18</v>
      </c>
      <c r="J168" s="1" t="s">
        <v>16</v>
      </c>
      <c r="K168" s="1" t="s">
        <v>15</v>
      </c>
      <c r="L168" s="1" t="s">
        <v>13</v>
      </c>
      <c r="M168" s="1" t="s">
        <v>1163</v>
      </c>
      <c r="N168" s="1" t="str">
        <f t="shared" si="35"/>
        <v>SOPORTE</v>
      </c>
      <c r="O168" s="3">
        <f t="shared" si="39"/>
        <v>45785.717432962963</v>
      </c>
      <c r="P168" s="3">
        <f t="shared" si="40"/>
        <v>45789.377173067129</v>
      </c>
      <c r="Q168" s="1" t="str">
        <f t="shared" si="36"/>
        <v>Externo</v>
      </c>
      <c r="R168" s="1">
        <f t="shared" si="41"/>
        <v>19</v>
      </c>
      <c r="S168" s="6">
        <f t="shared" si="42"/>
        <v>45782</v>
      </c>
      <c r="T168" s="1">
        <f t="shared" si="43"/>
        <v>20</v>
      </c>
      <c r="U168" s="6">
        <f t="shared" si="44"/>
        <v>45789</v>
      </c>
      <c r="V168" s="1">
        <f t="shared" si="45"/>
        <v>3.6597401041653939</v>
      </c>
      <c r="W168" s="1">
        <f t="shared" si="46"/>
        <v>2025</v>
      </c>
      <c r="X168" s="1">
        <f t="shared" si="47"/>
        <v>2025</v>
      </c>
      <c r="Y168" s="1" t="str">
        <f t="shared" si="37"/>
        <v>2025-05</v>
      </c>
      <c r="Z168" s="1" t="str">
        <f t="shared" si="38"/>
        <v>2025-05</v>
      </c>
    </row>
    <row r="169" spans="1:26" x14ac:dyDescent="0.2">
      <c r="A169" s="1" t="s">
        <v>437</v>
      </c>
      <c r="B169" s="1" t="s">
        <v>438</v>
      </c>
      <c r="C169" s="1" t="s">
        <v>127</v>
      </c>
      <c r="D169" s="3">
        <v>45789.36648207176</v>
      </c>
      <c r="E169" s="3">
        <v>45793.523508402781</v>
      </c>
      <c r="F169" s="1" t="s">
        <v>52</v>
      </c>
      <c r="G169" s="1" t="s">
        <v>21</v>
      </c>
      <c r="H169" s="1" t="s">
        <v>13</v>
      </c>
      <c r="I169" s="1" t="s">
        <v>18</v>
      </c>
      <c r="J169" s="1" t="s">
        <v>16</v>
      </c>
      <c r="K169" s="1" t="s">
        <v>15</v>
      </c>
      <c r="L169" s="1" t="s">
        <v>13</v>
      </c>
      <c r="M169" s="1" t="s">
        <v>1163</v>
      </c>
      <c r="N169" s="1" t="str">
        <f t="shared" si="35"/>
        <v>SOPORTE</v>
      </c>
      <c r="O169" s="3">
        <f t="shared" si="39"/>
        <v>45789.36648207176</v>
      </c>
      <c r="P169" s="3">
        <f t="shared" si="40"/>
        <v>45793.523508402781</v>
      </c>
      <c r="Q169" s="1" t="str">
        <f t="shared" si="36"/>
        <v>Externo</v>
      </c>
      <c r="R169" s="1">
        <f t="shared" si="41"/>
        <v>20</v>
      </c>
      <c r="S169" s="6">
        <f t="shared" si="42"/>
        <v>45789</v>
      </c>
      <c r="T169" s="1">
        <f t="shared" si="43"/>
        <v>20</v>
      </c>
      <c r="U169" s="6">
        <f t="shared" si="44"/>
        <v>45789</v>
      </c>
      <c r="V169" s="1">
        <f t="shared" si="45"/>
        <v>4.1570263310204609</v>
      </c>
      <c r="W169" s="1">
        <f t="shared" si="46"/>
        <v>2025</v>
      </c>
      <c r="X169" s="1">
        <f t="shared" si="47"/>
        <v>2025</v>
      </c>
      <c r="Y169" s="1" t="str">
        <f t="shared" si="37"/>
        <v>2025-05</v>
      </c>
      <c r="Z169" s="1" t="str">
        <f t="shared" si="38"/>
        <v>2025-05</v>
      </c>
    </row>
    <row r="170" spans="1:26" x14ac:dyDescent="0.2">
      <c r="A170" s="1" t="s">
        <v>439</v>
      </c>
      <c r="B170" s="1" t="s">
        <v>440</v>
      </c>
      <c r="C170" s="1" t="s">
        <v>13</v>
      </c>
      <c r="D170" s="3">
        <v>45793.390008055554</v>
      </c>
      <c r="E170" s="3">
        <v>45798.447450520835</v>
      </c>
      <c r="F170" s="1" t="s">
        <v>52</v>
      </c>
      <c r="G170" s="1" t="s">
        <v>21</v>
      </c>
      <c r="H170" s="1" t="s">
        <v>13</v>
      </c>
      <c r="I170" s="1" t="s">
        <v>18</v>
      </c>
      <c r="J170" s="1" t="s">
        <v>16</v>
      </c>
      <c r="K170" s="1" t="s">
        <v>15</v>
      </c>
      <c r="L170" s="1" t="s">
        <v>13</v>
      </c>
      <c r="M170" s="1" t="s">
        <v>1163</v>
      </c>
      <c r="N170" s="1" t="str">
        <f t="shared" si="35"/>
        <v>SOPORTE</v>
      </c>
      <c r="O170" s="3">
        <f t="shared" si="39"/>
        <v>45793.390008055554</v>
      </c>
      <c r="P170" s="3">
        <f t="shared" si="40"/>
        <v>45798.447450520835</v>
      </c>
      <c r="Q170" s="1" t="str">
        <f t="shared" si="36"/>
        <v>Externo</v>
      </c>
      <c r="R170" s="1">
        <f t="shared" si="41"/>
        <v>20</v>
      </c>
      <c r="S170" s="6">
        <f t="shared" si="42"/>
        <v>45789</v>
      </c>
      <c r="T170" s="1">
        <f t="shared" si="43"/>
        <v>21</v>
      </c>
      <c r="U170" s="6">
        <f t="shared" si="44"/>
        <v>45796</v>
      </c>
      <c r="V170" s="1">
        <f t="shared" si="45"/>
        <v>5.0574424652804737</v>
      </c>
      <c r="W170" s="1">
        <f t="shared" si="46"/>
        <v>2025</v>
      </c>
      <c r="X170" s="1">
        <f t="shared" si="47"/>
        <v>2025</v>
      </c>
      <c r="Y170" s="1" t="str">
        <f t="shared" si="37"/>
        <v>2025-05</v>
      </c>
      <c r="Z170" s="1" t="str">
        <f t="shared" si="38"/>
        <v>2025-05</v>
      </c>
    </row>
    <row r="171" spans="1:26" x14ac:dyDescent="0.2">
      <c r="A171" s="1" t="s">
        <v>441</v>
      </c>
      <c r="B171" s="1" t="s">
        <v>442</v>
      </c>
      <c r="C171" s="1" t="s">
        <v>209</v>
      </c>
      <c r="D171" s="3">
        <v>45793.42598284722</v>
      </c>
      <c r="E171" s="3">
        <v>45796.693697395836</v>
      </c>
      <c r="F171" s="1" t="s">
        <v>52</v>
      </c>
      <c r="G171" s="1" t="s">
        <v>21</v>
      </c>
      <c r="H171" s="1" t="s">
        <v>13</v>
      </c>
      <c r="I171" s="1" t="s">
        <v>18</v>
      </c>
      <c r="J171" s="1" t="s">
        <v>16</v>
      </c>
      <c r="K171" s="1" t="s">
        <v>15</v>
      </c>
      <c r="L171" s="1" t="s">
        <v>13</v>
      </c>
      <c r="M171" s="1" t="s">
        <v>13</v>
      </c>
      <c r="N171" s="1" t="str">
        <f t="shared" si="35"/>
        <v>SOPORTE</v>
      </c>
      <c r="O171" s="3">
        <f t="shared" si="39"/>
        <v>45793.42598284722</v>
      </c>
      <c r="P171" s="3">
        <f t="shared" si="40"/>
        <v>45796.693697395836</v>
      </c>
      <c r="Q171" s="1" t="str">
        <f t="shared" si="36"/>
        <v>Externo</v>
      </c>
      <c r="R171" s="1">
        <f t="shared" si="41"/>
        <v>20</v>
      </c>
      <c r="S171" s="6">
        <f t="shared" si="42"/>
        <v>45789</v>
      </c>
      <c r="T171" s="1">
        <f t="shared" si="43"/>
        <v>21</v>
      </c>
      <c r="U171" s="6">
        <f t="shared" si="44"/>
        <v>45796</v>
      </c>
      <c r="V171" s="1">
        <f t="shared" si="45"/>
        <v>3.2677145486159134</v>
      </c>
      <c r="W171" s="1">
        <f t="shared" si="46"/>
        <v>2025</v>
      </c>
      <c r="X171" s="1">
        <f t="shared" si="47"/>
        <v>2025</v>
      </c>
      <c r="Y171" s="1" t="str">
        <f t="shared" si="37"/>
        <v>2025-05</v>
      </c>
      <c r="Z171" s="1" t="str">
        <f t="shared" si="38"/>
        <v>2025-05</v>
      </c>
    </row>
    <row r="172" spans="1:26" x14ac:dyDescent="0.2">
      <c r="A172" s="1" t="s">
        <v>443</v>
      </c>
      <c r="B172" s="1" t="s">
        <v>444</v>
      </c>
      <c r="C172" s="1" t="s">
        <v>112</v>
      </c>
      <c r="D172" s="3">
        <v>45793.522393842592</v>
      </c>
      <c r="E172" s="3">
        <v>45805.495355613428</v>
      </c>
      <c r="F172" s="1" t="s">
        <v>52</v>
      </c>
      <c r="G172" s="1" t="s">
        <v>12</v>
      </c>
      <c r="H172" s="1" t="s">
        <v>13</v>
      </c>
      <c r="I172" s="1" t="s">
        <v>18</v>
      </c>
      <c r="J172" s="1" t="s">
        <v>16</v>
      </c>
      <c r="K172" s="1" t="s">
        <v>15</v>
      </c>
      <c r="L172" s="1" t="s">
        <v>13</v>
      </c>
      <c r="M172" s="1" t="s">
        <v>1163</v>
      </c>
      <c r="N172" s="1" t="str">
        <f t="shared" si="35"/>
        <v>DESARROLLO</v>
      </c>
      <c r="O172" s="3">
        <f t="shared" si="39"/>
        <v>45793.522393842592</v>
      </c>
      <c r="P172" s="3">
        <f t="shared" si="40"/>
        <v>45805.495355613428</v>
      </c>
      <c r="Q172" s="1" t="str">
        <f t="shared" si="36"/>
        <v>Interno</v>
      </c>
      <c r="R172" s="1">
        <f t="shared" si="41"/>
        <v>20</v>
      </c>
      <c r="S172" s="6">
        <f t="shared" si="42"/>
        <v>45789</v>
      </c>
      <c r="T172" s="1">
        <f t="shared" si="43"/>
        <v>22</v>
      </c>
      <c r="U172" s="6">
        <f t="shared" si="44"/>
        <v>45803</v>
      </c>
      <c r="V172" s="1">
        <f t="shared" si="45"/>
        <v>11.972961770836264</v>
      </c>
      <c r="W172" s="1">
        <f t="shared" si="46"/>
        <v>2025</v>
      </c>
      <c r="X172" s="1">
        <f t="shared" si="47"/>
        <v>2025</v>
      </c>
      <c r="Y172" s="1" t="str">
        <f t="shared" si="37"/>
        <v>2025-05</v>
      </c>
      <c r="Z172" s="1" t="str">
        <f t="shared" si="38"/>
        <v>2025-05</v>
      </c>
    </row>
    <row r="173" spans="1:26" x14ac:dyDescent="0.2">
      <c r="A173" s="1" t="s">
        <v>445</v>
      </c>
      <c r="B173" s="1" t="s">
        <v>446</v>
      </c>
      <c r="C173" s="1" t="s">
        <v>58</v>
      </c>
      <c r="D173" s="3">
        <v>45796.503207546295</v>
      </c>
      <c r="E173" s="3">
        <v>45798.445655659722</v>
      </c>
      <c r="F173" s="1" t="s">
        <v>52</v>
      </c>
      <c r="G173" s="1" t="s">
        <v>259</v>
      </c>
      <c r="H173" s="1" t="s">
        <v>13</v>
      </c>
      <c r="I173" s="1" t="s">
        <v>18</v>
      </c>
      <c r="J173" s="1" t="s">
        <v>16</v>
      </c>
      <c r="K173" s="1" t="s">
        <v>15</v>
      </c>
      <c r="L173" s="1" t="s">
        <v>13</v>
      </c>
      <c r="M173" s="1" t="s">
        <v>1163</v>
      </c>
      <c r="N173" s="1" t="str">
        <f t="shared" si="35"/>
        <v>Técnico</v>
      </c>
      <c r="O173" s="3">
        <f t="shared" si="39"/>
        <v>45796.503207546295</v>
      </c>
      <c r="P173" s="3">
        <f t="shared" si="40"/>
        <v>45798.445655659722</v>
      </c>
      <c r="Q173" s="1" t="str">
        <f t="shared" si="36"/>
        <v>Interno</v>
      </c>
      <c r="R173" s="1">
        <f t="shared" si="41"/>
        <v>21</v>
      </c>
      <c r="S173" s="6">
        <f t="shared" si="42"/>
        <v>45796</v>
      </c>
      <c r="T173" s="1">
        <f t="shared" si="43"/>
        <v>21</v>
      </c>
      <c r="U173" s="6">
        <f t="shared" si="44"/>
        <v>45796</v>
      </c>
      <c r="V173" s="1">
        <f t="shared" si="45"/>
        <v>1.9424481134265079</v>
      </c>
      <c r="W173" s="1">
        <f t="shared" si="46"/>
        <v>2025</v>
      </c>
      <c r="X173" s="1">
        <f t="shared" si="47"/>
        <v>2025</v>
      </c>
      <c r="Y173" s="1" t="str">
        <f t="shared" si="37"/>
        <v>2025-05</v>
      </c>
      <c r="Z173" s="1" t="str">
        <f t="shared" si="38"/>
        <v>2025-05</v>
      </c>
    </row>
    <row r="174" spans="1:26" x14ac:dyDescent="0.2">
      <c r="A174" s="1" t="s">
        <v>447</v>
      </c>
      <c r="B174" s="1" t="s">
        <v>448</v>
      </c>
      <c r="C174" s="1" t="s">
        <v>70</v>
      </c>
      <c r="D174" s="3">
        <v>45796.538777256945</v>
      </c>
      <c r="E174" s="3">
        <v>45796.690037511573</v>
      </c>
      <c r="F174" s="1" t="s">
        <v>52</v>
      </c>
      <c r="G174" s="1" t="s">
        <v>21</v>
      </c>
      <c r="H174" s="1" t="s">
        <v>13</v>
      </c>
      <c r="I174" s="1" t="s">
        <v>18</v>
      </c>
      <c r="J174" s="1" t="s">
        <v>16</v>
      </c>
      <c r="K174" s="1" t="s">
        <v>15</v>
      </c>
      <c r="L174" s="1" t="s">
        <v>13</v>
      </c>
      <c r="M174" s="1" t="s">
        <v>1163</v>
      </c>
      <c r="N174" s="1" t="str">
        <f t="shared" si="35"/>
        <v>SOPORTE</v>
      </c>
      <c r="O174" s="3">
        <f t="shared" si="39"/>
        <v>45796.538777256945</v>
      </c>
      <c r="P174" s="3">
        <f t="shared" si="40"/>
        <v>45796.690037511573</v>
      </c>
      <c r="Q174" s="1" t="str">
        <f t="shared" si="36"/>
        <v>Externo</v>
      </c>
      <c r="R174" s="1">
        <f t="shared" si="41"/>
        <v>21</v>
      </c>
      <c r="S174" s="6">
        <f t="shared" si="42"/>
        <v>45796</v>
      </c>
      <c r="T174" s="1">
        <f t="shared" si="43"/>
        <v>21</v>
      </c>
      <c r="U174" s="6">
        <f t="shared" si="44"/>
        <v>45796</v>
      </c>
      <c r="V174" s="1">
        <f t="shared" si="45"/>
        <v>0.15126025462814141</v>
      </c>
      <c r="W174" s="1">
        <f t="shared" si="46"/>
        <v>2025</v>
      </c>
      <c r="X174" s="1">
        <f t="shared" si="47"/>
        <v>2025</v>
      </c>
      <c r="Y174" s="1" t="str">
        <f t="shared" si="37"/>
        <v>2025-05</v>
      </c>
      <c r="Z174" s="1" t="str">
        <f t="shared" si="38"/>
        <v>2025-05</v>
      </c>
    </row>
    <row r="175" spans="1:26" x14ac:dyDescent="0.2">
      <c r="A175" s="1" t="s">
        <v>449</v>
      </c>
      <c r="B175" s="1" t="s">
        <v>450</v>
      </c>
      <c r="C175" s="1" t="s">
        <v>109</v>
      </c>
      <c r="D175" s="3">
        <v>45796.594544317129</v>
      </c>
      <c r="E175" s="3">
        <v>45805.495138148151</v>
      </c>
      <c r="F175" s="1" t="s">
        <v>52</v>
      </c>
      <c r="G175" s="1" t="s">
        <v>21</v>
      </c>
      <c r="H175" s="1" t="s">
        <v>13</v>
      </c>
      <c r="I175" s="1" t="s">
        <v>18</v>
      </c>
      <c r="J175" s="1" t="s">
        <v>16</v>
      </c>
      <c r="K175" s="1" t="s">
        <v>15</v>
      </c>
      <c r="L175" s="1" t="s">
        <v>13</v>
      </c>
      <c r="M175" s="1" t="s">
        <v>1163</v>
      </c>
      <c r="N175" s="1" t="str">
        <f t="shared" si="35"/>
        <v>SOPORTE</v>
      </c>
      <c r="O175" s="3">
        <f t="shared" si="39"/>
        <v>45796.594544317129</v>
      </c>
      <c r="P175" s="3">
        <f t="shared" si="40"/>
        <v>45805.495138148151</v>
      </c>
      <c r="Q175" s="1" t="str">
        <f t="shared" si="36"/>
        <v>Externo</v>
      </c>
      <c r="R175" s="1">
        <f t="shared" si="41"/>
        <v>21</v>
      </c>
      <c r="S175" s="6">
        <f t="shared" si="42"/>
        <v>45796</v>
      </c>
      <c r="T175" s="1">
        <f t="shared" si="43"/>
        <v>22</v>
      </c>
      <c r="U175" s="6">
        <f t="shared" si="44"/>
        <v>45803</v>
      </c>
      <c r="V175" s="1">
        <f t="shared" si="45"/>
        <v>8.900593831021979</v>
      </c>
      <c r="W175" s="1">
        <f t="shared" si="46"/>
        <v>2025</v>
      </c>
      <c r="X175" s="1">
        <f t="shared" si="47"/>
        <v>2025</v>
      </c>
      <c r="Y175" s="1" t="str">
        <f t="shared" si="37"/>
        <v>2025-05</v>
      </c>
      <c r="Z175" s="1" t="str">
        <f t="shared" si="38"/>
        <v>2025-05</v>
      </c>
    </row>
    <row r="176" spans="1:26" x14ac:dyDescent="0.2">
      <c r="A176" s="1" t="s">
        <v>451</v>
      </c>
      <c r="B176" s="1" t="s">
        <v>452</v>
      </c>
      <c r="C176" s="1" t="s">
        <v>109</v>
      </c>
      <c r="D176" s="3">
        <v>45796.607698877313</v>
      </c>
      <c r="E176" s="3">
        <v>45798.443833599536</v>
      </c>
      <c r="F176" s="1" t="s">
        <v>52</v>
      </c>
      <c r="G176" s="1" t="s">
        <v>21</v>
      </c>
      <c r="H176" s="1" t="s">
        <v>13</v>
      </c>
      <c r="I176" s="1" t="s">
        <v>18</v>
      </c>
      <c r="J176" s="1" t="s">
        <v>16</v>
      </c>
      <c r="K176" s="1" t="s">
        <v>15</v>
      </c>
      <c r="L176" s="1" t="s">
        <v>13</v>
      </c>
      <c r="M176" s="1" t="s">
        <v>1163</v>
      </c>
      <c r="N176" s="1" t="str">
        <f t="shared" si="35"/>
        <v>SOPORTE</v>
      </c>
      <c r="O176" s="3">
        <f t="shared" si="39"/>
        <v>45796.607698877313</v>
      </c>
      <c r="P176" s="3">
        <f t="shared" si="40"/>
        <v>45798.443833599536</v>
      </c>
      <c r="Q176" s="1" t="str">
        <f t="shared" si="36"/>
        <v>Externo</v>
      </c>
      <c r="R176" s="1">
        <f t="shared" si="41"/>
        <v>21</v>
      </c>
      <c r="S176" s="6">
        <f t="shared" si="42"/>
        <v>45796</v>
      </c>
      <c r="T176" s="1">
        <f t="shared" si="43"/>
        <v>21</v>
      </c>
      <c r="U176" s="6">
        <f t="shared" si="44"/>
        <v>45796</v>
      </c>
      <c r="V176" s="1">
        <f t="shared" si="45"/>
        <v>1.8361347222235054</v>
      </c>
      <c r="W176" s="1">
        <f t="shared" si="46"/>
        <v>2025</v>
      </c>
      <c r="X176" s="1">
        <f t="shared" si="47"/>
        <v>2025</v>
      </c>
      <c r="Y176" s="1" t="str">
        <f t="shared" si="37"/>
        <v>2025-05</v>
      </c>
      <c r="Z176" s="1" t="str">
        <f t="shared" si="38"/>
        <v>2025-05</v>
      </c>
    </row>
    <row r="177" spans="1:26" x14ac:dyDescent="0.2">
      <c r="A177" s="1" t="s">
        <v>453</v>
      </c>
      <c r="B177" s="1" t="s">
        <v>454</v>
      </c>
      <c r="C177" s="1" t="s">
        <v>13</v>
      </c>
      <c r="D177" s="3">
        <v>45797.445617800928</v>
      </c>
      <c r="E177" s="1" t="s">
        <v>13</v>
      </c>
      <c r="F177" s="1" t="s">
        <v>52</v>
      </c>
      <c r="G177" s="1" t="s">
        <v>12</v>
      </c>
      <c r="H177" s="1" t="s">
        <v>13</v>
      </c>
      <c r="I177" s="1" t="s">
        <v>148</v>
      </c>
      <c r="J177" s="1" t="s">
        <v>16</v>
      </c>
      <c r="K177" s="1" t="s">
        <v>455</v>
      </c>
      <c r="L177" s="1" t="s">
        <v>13</v>
      </c>
      <c r="M177" s="1" t="s">
        <v>13</v>
      </c>
      <c r="N177" s="1" t="str">
        <f t="shared" si="35"/>
        <v>DESARROLLO</v>
      </c>
      <c r="O177" s="3">
        <f t="shared" si="39"/>
        <v>45797.445617800928</v>
      </c>
      <c r="P177" s="3" t="str">
        <f t="shared" si="40"/>
        <v/>
      </c>
      <c r="Q177" s="1" t="str">
        <f t="shared" si="36"/>
        <v>Interno</v>
      </c>
      <c r="R177" s="1">
        <f t="shared" si="41"/>
        <v>21</v>
      </c>
      <c r="S177" s="6">
        <f t="shared" si="42"/>
        <v>45796</v>
      </c>
      <c r="T177" s="1" t="e">
        <f t="shared" si="43"/>
        <v>#VALUE!</v>
      </c>
      <c r="U177" s="6" t="e">
        <f t="shared" si="44"/>
        <v>#VALUE!</v>
      </c>
      <c r="V177" s="1" t="e">
        <f t="shared" si="45"/>
        <v>#VALUE!</v>
      </c>
      <c r="W177" s="1">
        <f t="shared" si="46"/>
        <v>2025</v>
      </c>
      <c r="X177" s="1" t="e">
        <f t="shared" si="47"/>
        <v>#VALUE!</v>
      </c>
      <c r="Y177" s="1" t="str">
        <f t="shared" si="37"/>
        <v>2025-05</v>
      </c>
      <c r="Z177" s="1" t="e">
        <f t="shared" si="38"/>
        <v>#VALUE!</v>
      </c>
    </row>
    <row r="178" spans="1:26" x14ac:dyDescent="0.2">
      <c r="A178" s="1" t="s">
        <v>456</v>
      </c>
      <c r="B178" s="1" t="s">
        <v>457</v>
      </c>
      <c r="C178" s="1" t="s">
        <v>83</v>
      </c>
      <c r="D178" s="3">
        <v>45797.449078923608</v>
      </c>
      <c r="E178" s="3">
        <v>45798.446758252314</v>
      </c>
      <c r="F178" s="1" t="s">
        <v>52</v>
      </c>
      <c r="G178" s="1" t="s">
        <v>12</v>
      </c>
      <c r="H178" s="1" t="s">
        <v>13</v>
      </c>
      <c r="I178" s="1" t="s">
        <v>18</v>
      </c>
      <c r="J178" s="1" t="s">
        <v>16</v>
      </c>
      <c r="K178" s="1" t="s">
        <v>15</v>
      </c>
      <c r="L178" s="1" t="s">
        <v>13</v>
      </c>
      <c r="M178" s="1" t="s">
        <v>1163</v>
      </c>
      <c r="N178" s="1" t="str">
        <f t="shared" si="35"/>
        <v>DESARROLLO</v>
      </c>
      <c r="O178" s="3">
        <f t="shared" si="39"/>
        <v>45797.449078923608</v>
      </c>
      <c r="P178" s="3">
        <f t="shared" si="40"/>
        <v>45798.446758252314</v>
      </c>
      <c r="Q178" s="1" t="str">
        <f t="shared" si="36"/>
        <v>Interno</v>
      </c>
      <c r="R178" s="1">
        <f t="shared" si="41"/>
        <v>21</v>
      </c>
      <c r="S178" s="6">
        <f t="shared" si="42"/>
        <v>45796</v>
      </c>
      <c r="T178" s="1">
        <f t="shared" si="43"/>
        <v>21</v>
      </c>
      <c r="U178" s="6">
        <f t="shared" si="44"/>
        <v>45796</v>
      </c>
      <c r="V178" s="1">
        <f t="shared" si="45"/>
        <v>0.99767932870599907</v>
      </c>
      <c r="W178" s="1">
        <f t="shared" si="46"/>
        <v>2025</v>
      </c>
      <c r="X178" s="1">
        <f t="shared" si="47"/>
        <v>2025</v>
      </c>
      <c r="Y178" s="1" t="str">
        <f t="shared" si="37"/>
        <v>2025-05</v>
      </c>
      <c r="Z178" s="1" t="str">
        <f t="shared" si="38"/>
        <v>2025-05</v>
      </c>
    </row>
    <row r="179" spans="1:26" x14ac:dyDescent="0.2">
      <c r="A179" s="1" t="s">
        <v>458</v>
      </c>
      <c r="B179" s="1" t="s">
        <v>459</v>
      </c>
      <c r="C179" s="1" t="s">
        <v>460</v>
      </c>
      <c r="D179" s="3">
        <v>45797.571277719908</v>
      </c>
      <c r="E179" s="3">
        <v>45800.436013344908</v>
      </c>
      <c r="F179" s="1" t="s">
        <v>52</v>
      </c>
      <c r="G179" s="1" t="s">
        <v>21</v>
      </c>
      <c r="H179" s="1" t="s">
        <v>13</v>
      </c>
      <c r="I179" s="1" t="s">
        <v>18</v>
      </c>
      <c r="J179" s="1" t="s">
        <v>16</v>
      </c>
      <c r="K179" s="1" t="s">
        <v>15</v>
      </c>
      <c r="L179" s="1" t="s">
        <v>13</v>
      </c>
      <c r="M179" s="1" t="s">
        <v>1163</v>
      </c>
      <c r="N179" s="1" t="str">
        <f t="shared" si="35"/>
        <v>SOPORTE</v>
      </c>
      <c r="O179" s="3">
        <f t="shared" si="39"/>
        <v>45797.571277719908</v>
      </c>
      <c r="P179" s="3">
        <f t="shared" si="40"/>
        <v>45800.436013344908</v>
      </c>
      <c r="Q179" s="1" t="str">
        <f t="shared" si="36"/>
        <v>Externo</v>
      </c>
      <c r="R179" s="1">
        <f t="shared" si="41"/>
        <v>21</v>
      </c>
      <c r="S179" s="6">
        <f t="shared" si="42"/>
        <v>45796</v>
      </c>
      <c r="T179" s="1">
        <f t="shared" si="43"/>
        <v>21</v>
      </c>
      <c r="U179" s="6">
        <f t="shared" si="44"/>
        <v>45796</v>
      </c>
      <c r="V179" s="1">
        <f t="shared" si="45"/>
        <v>2.8647356250003213</v>
      </c>
      <c r="W179" s="1">
        <f t="shared" si="46"/>
        <v>2025</v>
      </c>
      <c r="X179" s="1">
        <f t="shared" si="47"/>
        <v>2025</v>
      </c>
      <c r="Y179" s="1" t="str">
        <f t="shared" si="37"/>
        <v>2025-05</v>
      </c>
      <c r="Z179" s="1" t="str">
        <f t="shared" si="38"/>
        <v>2025-05</v>
      </c>
    </row>
    <row r="180" spans="1:26" x14ac:dyDescent="0.2">
      <c r="A180" s="1" t="s">
        <v>461</v>
      </c>
      <c r="B180" s="1" t="s">
        <v>462</v>
      </c>
      <c r="C180" s="1" t="s">
        <v>13</v>
      </c>
      <c r="D180" s="3">
        <v>45798.375356354169</v>
      </c>
      <c r="E180" s="3">
        <v>45916.7058200463</v>
      </c>
      <c r="F180" s="1" t="s">
        <v>52</v>
      </c>
      <c r="G180" s="1" t="s">
        <v>53</v>
      </c>
      <c r="H180" s="1" t="s">
        <v>13</v>
      </c>
      <c r="I180" s="1" t="s">
        <v>18</v>
      </c>
      <c r="J180" s="1" t="s">
        <v>16</v>
      </c>
      <c r="K180" s="1" t="s">
        <v>15</v>
      </c>
      <c r="L180" s="1" t="s">
        <v>13</v>
      </c>
      <c r="M180" s="1" t="s">
        <v>13</v>
      </c>
      <c r="N180" s="1" t="str">
        <f t="shared" si="35"/>
        <v>TÉCNICO</v>
      </c>
      <c r="O180" s="3">
        <f t="shared" si="39"/>
        <v>45798.375356354169</v>
      </c>
      <c r="P180" s="3">
        <f t="shared" si="40"/>
        <v>45916.7058200463</v>
      </c>
      <c r="Q180" s="1" t="str">
        <f t="shared" si="36"/>
        <v>Interno</v>
      </c>
      <c r="R180" s="1">
        <f t="shared" si="41"/>
        <v>21</v>
      </c>
      <c r="S180" s="6">
        <f t="shared" si="42"/>
        <v>45796</v>
      </c>
      <c r="T180" s="1">
        <f t="shared" si="43"/>
        <v>38</v>
      </c>
      <c r="U180" s="6">
        <f t="shared" si="44"/>
        <v>45915</v>
      </c>
      <c r="V180" s="1">
        <f t="shared" si="45"/>
        <v>118.33046369213116</v>
      </c>
      <c r="W180" s="1">
        <f t="shared" si="46"/>
        <v>2025</v>
      </c>
      <c r="X180" s="1">
        <f t="shared" si="47"/>
        <v>2025</v>
      </c>
      <c r="Y180" s="1" t="str">
        <f t="shared" si="37"/>
        <v>2025-05</v>
      </c>
      <c r="Z180" s="1" t="str">
        <f t="shared" si="38"/>
        <v>2025-09</v>
      </c>
    </row>
    <row r="181" spans="1:26" x14ac:dyDescent="0.2">
      <c r="A181" s="1" t="s">
        <v>463</v>
      </c>
      <c r="B181" s="1" t="s">
        <v>464</v>
      </c>
      <c r="C181" s="1" t="s">
        <v>13</v>
      </c>
      <c r="D181" s="3">
        <v>45798.667366388887</v>
      </c>
      <c r="E181" s="3">
        <v>45833.742480451387</v>
      </c>
      <c r="F181" s="1" t="s">
        <v>52</v>
      </c>
      <c r="G181" s="1" t="s">
        <v>12</v>
      </c>
      <c r="H181" s="1" t="s">
        <v>13</v>
      </c>
      <c r="I181" s="1" t="s">
        <v>148</v>
      </c>
      <c r="J181" s="1" t="s">
        <v>16</v>
      </c>
      <c r="K181" s="1" t="s">
        <v>15</v>
      </c>
      <c r="L181" s="1" t="s">
        <v>465</v>
      </c>
      <c r="M181" s="1" t="s">
        <v>13</v>
      </c>
      <c r="N181" s="1" t="str">
        <f t="shared" si="35"/>
        <v>DESARROLLO</v>
      </c>
      <c r="O181" s="3">
        <f t="shared" si="39"/>
        <v>45798.667366388887</v>
      </c>
      <c r="P181" s="3">
        <f t="shared" si="40"/>
        <v>45833.742480451387</v>
      </c>
      <c r="Q181" s="1" t="str">
        <f t="shared" si="36"/>
        <v>Interno</v>
      </c>
      <c r="R181" s="1">
        <f t="shared" si="41"/>
        <v>21</v>
      </c>
      <c r="S181" s="6">
        <f t="shared" si="42"/>
        <v>45796</v>
      </c>
      <c r="T181" s="1">
        <f t="shared" si="43"/>
        <v>26</v>
      </c>
      <c r="U181" s="6">
        <f t="shared" si="44"/>
        <v>45831</v>
      </c>
      <c r="V181" s="1">
        <f t="shared" si="45"/>
        <v>35.075114062499779</v>
      </c>
      <c r="W181" s="1">
        <f t="shared" si="46"/>
        <v>2025</v>
      </c>
      <c r="X181" s="1">
        <f t="shared" si="47"/>
        <v>2025</v>
      </c>
      <c r="Y181" s="1" t="str">
        <f t="shared" si="37"/>
        <v>2025-05</v>
      </c>
      <c r="Z181" s="1" t="str">
        <f t="shared" si="38"/>
        <v>2025-06</v>
      </c>
    </row>
    <row r="182" spans="1:26" x14ac:dyDescent="0.2">
      <c r="A182" s="1" t="s">
        <v>466</v>
      </c>
      <c r="B182" s="1" t="s">
        <v>467</v>
      </c>
      <c r="C182" s="1" t="s">
        <v>13</v>
      </c>
      <c r="D182" s="3">
        <v>45798.686086956019</v>
      </c>
      <c r="E182" s="3">
        <v>45800.430678020835</v>
      </c>
      <c r="F182" s="1" t="s">
        <v>52</v>
      </c>
      <c r="G182" s="1" t="s">
        <v>21</v>
      </c>
      <c r="H182" s="1" t="s">
        <v>468</v>
      </c>
      <c r="I182" s="1" t="s">
        <v>18</v>
      </c>
      <c r="J182" s="1" t="s">
        <v>16</v>
      </c>
      <c r="K182" s="1" t="s">
        <v>15</v>
      </c>
      <c r="L182" s="1" t="s">
        <v>13</v>
      </c>
      <c r="M182" s="1" t="s">
        <v>13</v>
      </c>
      <c r="N182" s="1" t="str">
        <f t="shared" si="35"/>
        <v>SOPORTE</v>
      </c>
      <c r="O182" s="3">
        <f t="shared" si="39"/>
        <v>45798.686086956019</v>
      </c>
      <c r="P182" s="3">
        <f t="shared" si="40"/>
        <v>45800.430678020835</v>
      </c>
      <c r="Q182" s="1" t="str">
        <f t="shared" si="36"/>
        <v>Externo</v>
      </c>
      <c r="R182" s="1">
        <f t="shared" si="41"/>
        <v>21</v>
      </c>
      <c r="S182" s="6">
        <f t="shared" si="42"/>
        <v>45796</v>
      </c>
      <c r="T182" s="1">
        <f t="shared" si="43"/>
        <v>21</v>
      </c>
      <c r="U182" s="6">
        <f t="shared" si="44"/>
        <v>45796</v>
      </c>
      <c r="V182" s="1">
        <f t="shared" si="45"/>
        <v>1.7445910648166318</v>
      </c>
      <c r="W182" s="1">
        <f t="shared" si="46"/>
        <v>2025</v>
      </c>
      <c r="X182" s="1">
        <f t="shared" si="47"/>
        <v>2025</v>
      </c>
      <c r="Y182" s="1" t="str">
        <f t="shared" si="37"/>
        <v>2025-05</v>
      </c>
      <c r="Z182" s="1" t="str">
        <f t="shared" si="38"/>
        <v>2025-05</v>
      </c>
    </row>
    <row r="183" spans="1:26" x14ac:dyDescent="0.2">
      <c r="A183" s="1" t="s">
        <v>469</v>
      </c>
      <c r="B183" s="1" t="s">
        <v>470</v>
      </c>
      <c r="C183" s="1" t="s">
        <v>124</v>
      </c>
      <c r="D183" s="3">
        <v>45799.495642557871</v>
      </c>
      <c r="E183" s="3">
        <v>45804.533078333334</v>
      </c>
      <c r="F183" s="1" t="s">
        <v>52</v>
      </c>
      <c r="G183" s="1" t="s">
        <v>21</v>
      </c>
      <c r="H183" s="1" t="s">
        <v>13</v>
      </c>
      <c r="I183" s="1" t="s">
        <v>18</v>
      </c>
      <c r="J183" s="1" t="s">
        <v>16</v>
      </c>
      <c r="K183" s="1" t="s">
        <v>15</v>
      </c>
      <c r="L183" s="1" t="s">
        <v>13</v>
      </c>
      <c r="M183" s="1" t="s">
        <v>1163</v>
      </c>
      <c r="N183" s="1" t="str">
        <f t="shared" si="35"/>
        <v>SOPORTE</v>
      </c>
      <c r="O183" s="3">
        <f t="shared" si="39"/>
        <v>45799.495642557871</v>
      </c>
      <c r="P183" s="3">
        <f t="shared" si="40"/>
        <v>45804.533078333334</v>
      </c>
      <c r="Q183" s="1" t="str">
        <f t="shared" si="36"/>
        <v>Externo</v>
      </c>
      <c r="R183" s="1">
        <f t="shared" si="41"/>
        <v>21</v>
      </c>
      <c r="S183" s="6">
        <f t="shared" si="42"/>
        <v>45796</v>
      </c>
      <c r="T183" s="1">
        <f t="shared" si="43"/>
        <v>22</v>
      </c>
      <c r="U183" s="6">
        <f t="shared" si="44"/>
        <v>45803</v>
      </c>
      <c r="V183" s="1">
        <f t="shared" si="45"/>
        <v>5.0374357754626544</v>
      </c>
      <c r="W183" s="1">
        <f t="shared" si="46"/>
        <v>2025</v>
      </c>
      <c r="X183" s="1">
        <f t="shared" si="47"/>
        <v>2025</v>
      </c>
      <c r="Y183" s="1" t="str">
        <f t="shared" si="37"/>
        <v>2025-05</v>
      </c>
      <c r="Z183" s="1" t="str">
        <f t="shared" si="38"/>
        <v>2025-05</v>
      </c>
    </row>
    <row r="184" spans="1:26" x14ac:dyDescent="0.2">
      <c r="A184" s="1" t="s">
        <v>471</v>
      </c>
      <c r="B184" s="1" t="s">
        <v>472</v>
      </c>
      <c r="C184" s="1" t="s">
        <v>127</v>
      </c>
      <c r="D184" s="3">
        <v>45803.523633819445</v>
      </c>
      <c r="E184" s="3">
        <v>45803.539396435182</v>
      </c>
      <c r="F184" s="1" t="s">
        <v>52</v>
      </c>
      <c r="G184" s="1" t="s">
        <v>21</v>
      </c>
      <c r="H184" s="1" t="s">
        <v>13</v>
      </c>
      <c r="I184" s="1" t="s">
        <v>18</v>
      </c>
      <c r="J184" s="1" t="s">
        <v>16</v>
      </c>
      <c r="K184" s="1" t="s">
        <v>15</v>
      </c>
      <c r="L184" s="1" t="s">
        <v>13</v>
      </c>
      <c r="M184" s="1" t="s">
        <v>1163</v>
      </c>
      <c r="N184" s="1" t="str">
        <f t="shared" si="35"/>
        <v>SOPORTE</v>
      </c>
      <c r="O184" s="3">
        <f t="shared" si="39"/>
        <v>45803.523633819445</v>
      </c>
      <c r="P184" s="3">
        <f t="shared" si="40"/>
        <v>45803.539396435182</v>
      </c>
      <c r="Q184" s="1" t="str">
        <f t="shared" si="36"/>
        <v>Externo</v>
      </c>
      <c r="R184" s="1">
        <f t="shared" si="41"/>
        <v>22</v>
      </c>
      <c r="S184" s="6">
        <f t="shared" si="42"/>
        <v>45803</v>
      </c>
      <c r="T184" s="1">
        <f t="shared" si="43"/>
        <v>22</v>
      </c>
      <c r="U184" s="6">
        <f t="shared" si="44"/>
        <v>45803</v>
      </c>
      <c r="V184" s="1">
        <f t="shared" si="45"/>
        <v>1.5762615737912711E-2</v>
      </c>
      <c r="W184" s="1">
        <f t="shared" si="46"/>
        <v>2025</v>
      </c>
      <c r="X184" s="1">
        <f t="shared" si="47"/>
        <v>2025</v>
      </c>
      <c r="Y184" s="1" t="str">
        <f t="shared" si="37"/>
        <v>2025-05</v>
      </c>
      <c r="Z184" s="1" t="str">
        <f t="shared" si="38"/>
        <v>2025-05</v>
      </c>
    </row>
    <row r="185" spans="1:26" x14ac:dyDescent="0.2">
      <c r="A185" s="1" t="s">
        <v>473</v>
      </c>
      <c r="B185" s="1" t="s">
        <v>474</v>
      </c>
      <c r="C185" s="1" t="s">
        <v>13</v>
      </c>
      <c r="D185" s="3">
        <v>45803.534483888892</v>
      </c>
      <c r="E185" s="3">
        <v>45818.46415699074</v>
      </c>
      <c r="F185" s="1" t="s">
        <v>52</v>
      </c>
      <c r="G185" s="1" t="s">
        <v>21</v>
      </c>
      <c r="H185" s="1" t="s">
        <v>13</v>
      </c>
      <c r="I185" s="1" t="s">
        <v>18</v>
      </c>
      <c r="J185" s="1" t="s">
        <v>16</v>
      </c>
      <c r="K185" s="1" t="s">
        <v>15</v>
      </c>
      <c r="L185" s="1" t="s">
        <v>13</v>
      </c>
      <c r="M185" s="1" t="s">
        <v>1163</v>
      </c>
      <c r="N185" s="1" t="str">
        <f t="shared" si="35"/>
        <v>SOPORTE</v>
      </c>
      <c r="O185" s="3">
        <f t="shared" si="39"/>
        <v>45803.534483888892</v>
      </c>
      <c r="P185" s="3">
        <f t="shared" si="40"/>
        <v>45818.46415699074</v>
      </c>
      <c r="Q185" s="1" t="str">
        <f t="shared" si="36"/>
        <v>Externo</v>
      </c>
      <c r="R185" s="1">
        <f t="shared" si="41"/>
        <v>22</v>
      </c>
      <c r="S185" s="6">
        <f t="shared" si="42"/>
        <v>45803</v>
      </c>
      <c r="T185" s="1">
        <f t="shared" si="43"/>
        <v>24</v>
      </c>
      <c r="U185" s="6">
        <f t="shared" si="44"/>
        <v>45817</v>
      </c>
      <c r="V185" s="1">
        <f t="shared" si="45"/>
        <v>14.929673101847584</v>
      </c>
      <c r="W185" s="1">
        <f t="shared" si="46"/>
        <v>2025</v>
      </c>
      <c r="X185" s="1">
        <f t="shared" si="47"/>
        <v>2025</v>
      </c>
      <c r="Y185" s="1" t="str">
        <f t="shared" si="37"/>
        <v>2025-05</v>
      </c>
      <c r="Z185" s="1" t="str">
        <f t="shared" si="38"/>
        <v>2025-06</v>
      </c>
    </row>
    <row r="186" spans="1:26" x14ac:dyDescent="0.2">
      <c r="A186" s="1" t="s">
        <v>475</v>
      </c>
      <c r="B186" s="1" t="s">
        <v>476</v>
      </c>
      <c r="C186" s="1" t="s">
        <v>13</v>
      </c>
      <c r="D186" s="3">
        <v>45803.666016423609</v>
      </c>
      <c r="E186" s="3">
        <v>45861.424500208333</v>
      </c>
      <c r="F186" s="1" t="s">
        <v>52</v>
      </c>
      <c r="G186" s="1" t="s">
        <v>19</v>
      </c>
      <c r="H186" s="1" t="s">
        <v>13</v>
      </c>
      <c r="I186" s="1" t="s">
        <v>99</v>
      </c>
      <c r="J186" s="1" t="s">
        <v>16</v>
      </c>
      <c r="K186" s="1" t="s">
        <v>15</v>
      </c>
      <c r="L186" s="1" t="s">
        <v>465</v>
      </c>
      <c r="M186" s="1" t="s">
        <v>13</v>
      </c>
      <c r="N186" s="1" t="str">
        <f t="shared" si="35"/>
        <v>DEFINICIÓN</v>
      </c>
      <c r="O186" s="3">
        <f t="shared" si="39"/>
        <v>45803.666016423609</v>
      </c>
      <c r="P186" s="3">
        <f t="shared" si="40"/>
        <v>45861.424500208333</v>
      </c>
      <c r="Q186" s="1" t="str">
        <f t="shared" si="36"/>
        <v>Externo</v>
      </c>
      <c r="R186" s="1">
        <f t="shared" si="41"/>
        <v>22</v>
      </c>
      <c r="S186" s="6">
        <f t="shared" si="42"/>
        <v>45803</v>
      </c>
      <c r="T186" s="1">
        <f t="shared" si="43"/>
        <v>30</v>
      </c>
      <c r="U186" s="6">
        <f t="shared" si="44"/>
        <v>45859</v>
      </c>
      <c r="V186" s="1">
        <f t="shared" si="45"/>
        <v>57.758483784724376</v>
      </c>
      <c r="W186" s="1">
        <f t="shared" si="46"/>
        <v>2025</v>
      </c>
      <c r="X186" s="1">
        <f t="shared" si="47"/>
        <v>2025</v>
      </c>
      <c r="Y186" s="1" t="str">
        <f t="shared" si="37"/>
        <v>2025-05</v>
      </c>
      <c r="Z186" s="1" t="str">
        <f t="shared" si="38"/>
        <v>2025-07</v>
      </c>
    </row>
    <row r="187" spans="1:26" x14ac:dyDescent="0.2">
      <c r="A187" s="1" t="s">
        <v>477</v>
      </c>
      <c r="B187" s="1" t="s">
        <v>478</v>
      </c>
      <c r="C187" s="1" t="s">
        <v>13</v>
      </c>
      <c r="D187" s="3">
        <v>45804.969310856482</v>
      </c>
      <c r="E187" s="3">
        <v>45835.446881655094</v>
      </c>
      <c r="F187" s="1" t="s">
        <v>52</v>
      </c>
      <c r="G187" s="1" t="s">
        <v>53</v>
      </c>
      <c r="H187" s="1" t="s">
        <v>13</v>
      </c>
      <c r="I187" s="1" t="s">
        <v>99</v>
      </c>
      <c r="J187" s="1" t="s">
        <v>16</v>
      </c>
      <c r="K187" s="1" t="s">
        <v>15</v>
      </c>
      <c r="L187" s="1" t="s">
        <v>465</v>
      </c>
      <c r="M187" s="1" t="s">
        <v>13</v>
      </c>
      <c r="N187" s="1" t="str">
        <f t="shared" si="35"/>
        <v>TÉCNICO</v>
      </c>
      <c r="O187" s="3">
        <f t="shared" si="39"/>
        <v>45804.969310856482</v>
      </c>
      <c r="P187" s="3">
        <f t="shared" si="40"/>
        <v>45835.446881655094</v>
      </c>
      <c r="Q187" s="1" t="str">
        <f t="shared" si="36"/>
        <v>Interno</v>
      </c>
      <c r="R187" s="1">
        <f t="shared" si="41"/>
        <v>22</v>
      </c>
      <c r="S187" s="6">
        <f t="shared" si="42"/>
        <v>45803</v>
      </c>
      <c r="T187" s="1">
        <f t="shared" si="43"/>
        <v>26</v>
      </c>
      <c r="U187" s="6">
        <f t="shared" si="44"/>
        <v>45831</v>
      </c>
      <c r="V187" s="1">
        <f t="shared" si="45"/>
        <v>30.47757079861185</v>
      </c>
      <c r="W187" s="1">
        <f t="shared" si="46"/>
        <v>2025</v>
      </c>
      <c r="X187" s="1">
        <f t="shared" si="47"/>
        <v>2025</v>
      </c>
      <c r="Y187" s="1" t="str">
        <f t="shared" si="37"/>
        <v>2025-05</v>
      </c>
      <c r="Z187" s="1" t="str">
        <f t="shared" si="38"/>
        <v>2025-06</v>
      </c>
    </row>
    <row r="188" spans="1:26" x14ac:dyDescent="0.2">
      <c r="A188" s="1" t="s">
        <v>479</v>
      </c>
      <c r="B188" s="1" t="s">
        <v>480</v>
      </c>
      <c r="C188" s="1" t="s">
        <v>13</v>
      </c>
      <c r="D188" s="3">
        <v>45805.442398206018</v>
      </c>
      <c r="E188" s="3">
        <v>45805.491543391203</v>
      </c>
      <c r="F188" s="1" t="s">
        <v>52</v>
      </c>
      <c r="G188" s="1" t="s">
        <v>21</v>
      </c>
      <c r="H188" s="1" t="s">
        <v>481</v>
      </c>
      <c r="I188" s="1" t="s">
        <v>18</v>
      </c>
      <c r="J188" s="1" t="s">
        <v>16</v>
      </c>
      <c r="K188" s="1" t="s">
        <v>15</v>
      </c>
      <c r="L188" s="1" t="s">
        <v>13</v>
      </c>
      <c r="M188" s="1" t="s">
        <v>1163</v>
      </c>
      <c r="N188" s="1" t="str">
        <f t="shared" si="35"/>
        <v>SOPORTE</v>
      </c>
      <c r="O188" s="3">
        <f t="shared" si="39"/>
        <v>45805.442398206018</v>
      </c>
      <c r="P188" s="3">
        <f t="shared" si="40"/>
        <v>45805.491543391203</v>
      </c>
      <c r="Q188" s="1" t="str">
        <f t="shared" si="36"/>
        <v>Externo</v>
      </c>
      <c r="R188" s="1">
        <f t="shared" si="41"/>
        <v>22</v>
      </c>
      <c r="S188" s="6">
        <f t="shared" si="42"/>
        <v>45803</v>
      </c>
      <c r="T188" s="1">
        <f t="shared" si="43"/>
        <v>22</v>
      </c>
      <c r="U188" s="6">
        <f t="shared" si="44"/>
        <v>45803</v>
      </c>
      <c r="V188" s="1">
        <f t="shared" si="45"/>
        <v>4.9145185184897855E-2</v>
      </c>
      <c r="W188" s="1">
        <f t="shared" si="46"/>
        <v>2025</v>
      </c>
      <c r="X188" s="1">
        <f t="shared" si="47"/>
        <v>2025</v>
      </c>
      <c r="Y188" s="1" t="str">
        <f t="shared" si="37"/>
        <v>2025-05</v>
      </c>
      <c r="Z188" s="1" t="str">
        <f t="shared" si="38"/>
        <v>2025-05</v>
      </c>
    </row>
    <row r="189" spans="1:26" x14ac:dyDescent="0.2">
      <c r="A189" s="1" t="s">
        <v>482</v>
      </c>
      <c r="B189" s="1" t="s">
        <v>483</v>
      </c>
      <c r="C189" s="1" t="s">
        <v>58</v>
      </c>
      <c r="D189" s="3">
        <v>45805.450474618054</v>
      </c>
      <c r="E189" s="3">
        <v>45805.454914270835</v>
      </c>
      <c r="F189" s="1" t="s">
        <v>52</v>
      </c>
      <c r="G189" s="1" t="s">
        <v>53</v>
      </c>
      <c r="H189" s="1" t="s">
        <v>484</v>
      </c>
      <c r="I189" s="1" t="s">
        <v>18</v>
      </c>
      <c r="J189" s="1" t="s">
        <v>16</v>
      </c>
      <c r="K189" s="1" t="s">
        <v>15</v>
      </c>
      <c r="L189" s="1" t="s">
        <v>13</v>
      </c>
      <c r="M189" s="1" t="s">
        <v>13</v>
      </c>
      <c r="N189" s="1" t="str">
        <f t="shared" si="35"/>
        <v>TÉCNICO</v>
      </c>
      <c r="O189" s="3">
        <f t="shared" si="39"/>
        <v>45805.450474618054</v>
      </c>
      <c r="P189" s="3">
        <f t="shared" si="40"/>
        <v>45805.454914270835</v>
      </c>
      <c r="Q189" s="1" t="str">
        <f t="shared" si="36"/>
        <v>Interno</v>
      </c>
      <c r="R189" s="1">
        <f t="shared" si="41"/>
        <v>22</v>
      </c>
      <c r="S189" s="6">
        <f t="shared" si="42"/>
        <v>45803</v>
      </c>
      <c r="T189" s="1">
        <f t="shared" si="43"/>
        <v>22</v>
      </c>
      <c r="U189" s="6">
        <f t="shared" si="44"/>
        <v>45803</v>
      </c>
      <c r="V189" s="1">
        <f t="shared" si="45"/>
        <v>4.4396527810022235E-3</v>
      </c>
      <c r="W189" s="1">
        <f t="shared" si="46"/>
        <v>2025</v>
      </c>
      <c r="X189" s="1">
        <f t="shared" si="47"/>
        <v>2025</v>
      </c>
      <c r="Y189" s="1" t="str">
        <f t="shared" si="37"/>
        <v>2025-05</v>
      </c>
      <c r="Z189" s="1" t="str">
        <f t="shared" si="38"/>
        <v>2025-05</v>
      </c>
    </row>
    <row r="190" spans="1:26" x14ac:dyDescent="0.2">
      <c r="A190" s="1" t="s">
        <v>485</v>
      </c>
      <c r="B190" s="1" t="s">
        <v>486</v>
      </c>
      <c r="C190" s="1" t="s">
        <v>127</v>
      </c>
      <c r="D190" s="3">
        <v>45805.451071111114</v>
      </c>
      <c r="E190" s="3">
        <v>45805.49402568287</v>
      </c>
      <c r="F190" s="1" t="s">
        <v>52</v>
      </c>
      <c r="G190" s="1" t="s">
        <v>21</v>
      </c>
      <c r="H190" s="1" t="s">
        <v>13</v>
      </c>
      <c r="I190" s="1" t="s">
        <v>18</v>
      </c>
      <c r="J190" s="1" t="s">
        <v>16</v>
      </c>
      <c r="K190" s="1" t="s">
        <v>15</v>
      </c>
      <c r="L190" s="1" t="s">
        <v>13</v>
      </c>
      <c r="M190" s="1" t="s">
        <v>1163</v>
      </c>
      <c r="N190" s="1" t="str">
        <f t="shared" si="35"/>
        <v>SOPORTE</v>
      </c>
      <c r="O190" s="3">
        <f t="shared" si="39"/>
        <v>45805.451071111114</v>
      </c>
      <c r="P190" s="3">
        <f t="shared" si="40"/>
        <v>45805.49402568287</v>
      </c>
      <c r="Q190" s="1" t="str">
        <f t="shared" si="36"/>
        <v>Externo</v>
      </c>
      <c r="R190" s="1">
        <f t="shared" si="41"/>
        <v>22</v>
      </c>
      <c r="S190" s="6">
        <f t="shared" si="42"/>
        <v>45803</v>
      </c>
      <c r="T190" s="1">
        <f t="shared" si="43"/>
        <v>22</v>
      </c>
      <c r="U190" s="6">
        <f t="shared" si="44"/>
        <v>45803</v>
      </c>
      <c r="V190" s="1">
        <f t="shared" si="45"/>
        <v>4.2954571756126825E-2</v>
      </c>
      <c r="W190" s="1">
        <f t="shared" si="46"/>
        <v>2025</v>
      </c>
      <c r="X190" s="1">
        <f t="shared" si="47"/>
        <v>2025</v>
      </c>
      <c r="Y190" s="1" t="str">
        <f t="shared" si="37"/>
        <v>2025-05</v>
      </c>
      <c r="Z190" s="1" t="str">
        <f t="shared" si="38"/>
        <v>2025-05</v>
      </c>
    </row>
    <row r="191" spans="1:26" x14ac:dyDescent="0.2">
      <c r="A191" s="1" t="s">
        <v>487</v>
      </c>
      <c r="B191" s="1" t="s">
        <v>488</v>
      </c>
      <c r="C191" s="1" t="s">
        <v>460</v>
      </c>
      <c r="D191" s="3">
        <v>45805.451625821763</v>
      </c>
      <c r="E191" s="3">
        <v>45805.487930000003</v>
      </c>
      <c r="F191" s="1" t="s">
        <v>52</v>
      </c>
      <c r="G191" s="1" t="s">
        <v>21</v>
      </c>
      <c r="H191" s="1" t="s">
        <v>489</v>
      </c>
      <c r="I191" s="1" t="s">
        <v>18</v>
      </c>
      <c r="J191" s="1" t="s">
        <v>16</v>
      </c>
      <c r="K191" s="1" t="s">
        <v>15</v>
      </c>
      <c r="L191" s="1" t="s">
        <v>13</v>
      </c>
      <c r="M191" s="1" t="s">
        <v>1163</v>
      </c>
      <c r="N191" s="1" t="str">
        <f t="shared" si="35"/>
        <v>SOPORTE</v>
      </c>
      <c r="O191" s="3">
        <f t="shared" si="39"/>
        <v>45805.451625821763</v>
      </c>
      <c r="P191" s="3">
        <f t="shared" si="40"/>
        <v>45805.487930000003</v>
      </c>
      <c r="Q191" s="1" t="str">
        <f t="shared" si="36"/>
        <v>Externo</v>
      </c>
      <c r="R191" s="1">
        <f t="shared" si="41"/>
        <v>22</v>
      </c>
      <c r="S191" s="6">
        <f t="shared" si="42"/>
        <v>45803</v>
      </c>
      <c r="T191" s="1">
        <f t="shared" si="43"/>
        <v>22</v>
      </c>
      <c r="U191" s="6">
        <f t="shared" si="44"/>
        <v>45803</v>
      </c>
      <c r="V191" s="1">
        <f t="shared" si="45"/>
        <v>3.6304178240243345E-2</v>
      </c>
      <c r="W191" s="1">
        <f t="shared" si="46"/>
        <v>2025</v>
      </c>
      <c r="X191" s="1">
        <f t="shared" si="47"/>
        <v>2025</v>
      </c>
      <c r="Y191" s="1" t="str">
        <f t="shared" si="37"/>
        <v>2025-05</v>
      </c>
      <c r="Z191" s="1" t="str">
        <f t="shared" si="38"/>
        <v>2025-05</v>
      </c>
    </row>
    <row r="192" spans="1:26" x14ac:dyDescent="0.2">
      <c r="A192" s="1" t="s">
        <v>490</v>
      </c>
      <c r="B192" s="1" t="s">
        <v>491</v>
      </c>
      <c r="C192" s="1" t="s">
        <v>112</v>
      </c>
      <c r="D192" s="3">
        <v>45805.49582074074</v>
      </c>
      <c r="E192" s="1" t="s">
        <v>13</v>
      </c>
      <c r="F192" s="1" t="s">
        <v>52</v>
      </c>
      <c r="G192" s="1" t="s">
        <v>12</v>
      </c>
      <c r="H192" s="1" t="s">
        <v>13</v>
      </c>
      <c r="I192" s="1" t="s">
        <v>18</v>
      </c>
      <c r="J192" s="1" t="s">
        <v>16</v>
      </c>
      <c r="K192" s="1" t="s">
        <v>492</v>
      </c>
      <c r="L192" s="1" t="s">
        <v>13</v>
      </c>
      <c r="M192" s="1" t="s">
        <v>1163</v>
      </c>
      <c r="N192" s="1" t="str">
        <f t="shared" si="35"/>
        <v>DESARROLLO</v>
      </c>
      <c r="O192" s="3">
        <f t="shared" si="39"/>
        <v>45805.49582074074</v>
      </c>
      <c r="P192" s="3" t="str">
        <f t="shared" si="40"/>
        <v/>
      </c>
      <c r="Q192" s="1" t="str">
        <f t="shared" si="36"/>
        <v>Interno</v>
      </c>
      <c r="R192" s="1">
        <f t="shared" si="41"/>
        <v>22</v>
      </c>
      <c r="S192" s="6">
        <f t="shared" si="42"/>
        <v>45803</v>
      </c>
      <c r="T192" s="1" t="e">
        <f t="shared" si="43"/>
        <v>#VALUE!</v>
      </c>
      <c r="U192" s="6" t="e">
        <f t="shared" si="44"/>
        <v>#VALUE!</v>
      </c>
      <c r="V192" s="1" t="e">
        <f t="shared" si="45"/>
        <v>#VALUE!</v>
      </c>
      <c r="W192" s="1">
        <f t="shared" si="46"/>
        <v>2025</v>
      </c>
      <c r="X192" s="1" t="e">
        <f t="shared" si="47"/>
        <v>#VALUE!</v>
      </c>
      <c r="Y192" s="1" t="str">
        <f t="shared" si="37"/>
        <v>2025-05</v>
      </c>
      <c r="Z192" s="1" t="e">
        <f t="shared" si="38"/>
        <v>#VALUE!</v>
      </c>
    </row>
    <row r="193" spans="1:26" x14ac:dyDescent="0.2">
      <c r="A193" s="1" t="s">
        <v>493</v>
      </c>
      <c r="B193" s="1" t="s">
        <v>494</v>
      </c>
      <c r="C193" s="1" t="s">
        <v>13</v>
      </c>
      <c r="D193" s="3">
        <v>45805.536331041665</v>
      </c>
      <c r="E193" s="3">
        <v>45805.654917685184</v>
      </c>
      <c r="F193" s="1" t="s">
        <v>52</v>
      </c>
      <c r="G193" s="1" t="s">
        <v>12</v>
      </c>
      <c r="H193" s="1" t="s">
        <v>13</v>
      </c>
      <c r="I193" s="1" t="s">
        <v>13</v>
      </c>
      <c r="J193" s="1" t="s">
        <v>16</v>
      </c>
      <c r="K193" s="1" t="s">
        <v>17</v>
      </c>
      <c r="L193" s="1" t="s">
        <v>13</v>
      </c>
      <c r="M193" s="1" t="s">
        <v>13</v>
      </c>
      <c r="N193" s="1" t="str">
        <f t="shared" si="35"/>
        <v>DESARROLLO</v>
      </c>
      <c r="O193" s="3">
        <f t="shared" si="39"/>
        <v>45805.536331041665</v>
      </c>
      <c r="P193" s="3">
        <f t="shared" si="40"/>
        <v>45805.654917685184</v>
      </c>
      <c r="Q193" s="1" t="str">
        <f t="shared" si="36"/>
        <v>Interno</v>
      </c>
      <c r="R193" s="1">
        <f t="shared" si="41"/>
        <v>22</v>
      </c>
      <c r="S193" s="6">
        <f t="shared" si="42"/>
        <v>45803</v>
      </c>
      <c r="T193" s="1">
        <f t="shared" si="43"/>
        <v>22</v>
      </c>
      <c r="U193" s="6">
        <f t="shared" si="44"/>
        <v>45803</v>
      </c>
      <c r="V193" s="1">
        <f t="shared" si="45"/>
        <v>0.11858664351893822</v>
      </c>
      <c r="W193" s="1">
        <f t="shared" si="46"/>
        <v>2025</v>
      </c>
      <c r="X193" s="1">
        <f t="shared" si="47"/>
        <v>2025</v>
      </c>
      <c r="Y193" s="1" t="str">
        <f t="shared" si="37"/>
        <v>2025-05</v>
      </c>
      <c r="Z193" s="1" t="str">
        <f t="shared" si="38"/>
        <v>2025-05</v>
      </c>
    </row>
    <row r="194" spans="1:26" x14ac:dyDescent="0.2">
      <c r="A194" s="1" t="s">
        <v>495</v>
      </c>
      <c r="B194" s="1" t="s">
        <v>496</v>
      </c>
      <c r="C194" s="1" t="s">
        <v>103</v>
      </c>
      <c r="D194" s="3">
        <v>45805.577083923614</v>
      </c>
      <c r="E194" s="3">
        <v>45807.449292048608</v>
      </c>
      <c r="F194" s="1" t="s">
        <v>52</v>
      </c>
      <c r="G194" s="1" t="s">
        <v>21</v>
      </c>
      <c r="H194" s="1" t="s">
        <v>13</v>
      </c>
      <c r="I194" s="1" t="s">
        <v>18</v>
      </c>
      <c r="J194" s="1" t="s">
        <v>16</v>
      </c>
      <c r="K194" s="1" t="s">
        <v>15</v>
      </c>
      <c r="L194" s="1" t="s">
        <v>13</v>
      </c>
      <c r="M194" s="1" t="s">
        <v>1163</v>
      </c>
      <c r="N194" s="1" t="str">
        <f t="shared" si="35"/>
        <v>SOPORTE</v>
      </c>
      <c r="O194" s="3">
        <f t="shared" si="39"/>
        <v>45805.577083923614</v>
      </c>
      <c r="P194" s="3">
        <f t="shared" si="40"/>
        <v>45807.449292048608</v>
      </c>
      <c r="Q194" s="1" t="str">
        <f t="shared" si="36"/>
        <v>Externo</v>
      </c>
      <c r="R194" s="1">
        <f t="shared" si="41"/>
        <v>22</v>
      </c>
      <c r="S194" s="6">
        <f t="shared" si="42"/>
        <v>45803</v>
      </c>
      <c r="T194" s="1">
        <f t="shared" si="43"/>
        <v>22</v>
      </c>
      <c r="U194" s="6">
        <f t="shared" si="44"/>
        <v>45803</v>
      </c>
      <c r="V194" s="1">
        <f t="shared" si="45"/>
        <v>1.8722081249943585</v>
      </c>
      <c r="W194" s="1">
        <f t="shared" si="46"/>
        <v>2025</v>
      </c>
      <c r="X194" s="1">
        <f t="shared" si="47"/>
        <v>2025</v>
      </c>
      <c r="Y194" s="1" t="str">
        <f t="shared" si="37"/>
        <v>2025-05</v>
      </c>
      <c r="Z194" s="1" t="str">
        <f t="shared" si="38"/>
        <v>2025-05</v>
      </c>
    </row>
    <row r="195" spans="1:26" x14ac:dyDescent="0.2">
      <c r="A195" s="1" t="s">
        <v>497</v>
      </c>
      <c r="B195" s="1" t="s">
        <v>498</v>
      </c>
      <c r="C195" s="1" t="s">
        <v>499</v>
      </c>
      <c r="D195" s="3">
        <v>45805.654146412038</v>
      </c>
      <c r="E195" s="3">
        <v>45806.665968668982</v>
      </c>
      <c r="F195" s="1" t="s">
        <v>52</v>
      </c>
      <c r="G195" s="1" t="s">
        <v>21</v>
      </c>
      <c r="H195" s="1" t="s">
        <v>468</v>
      </c>
      <c r="I195" s="1" t="s">
        <v>18</v>
      </c>
      <c r="J195" s="1" t="s">
        <v>16</v>
      </c>
      <c r="K195" s="1" t="s">
        <v>15</v>
      </c>
      <c r="L195" s="1" t="s">
        <v>13</v>
      </c>
      <c r="M195" s="1" t="s">
        <v>13</v>
      </c>
      <c r="N195" s="1" t="str">
        <f t="shared" ref="N195:N258" si="48">G195</f>
        <v>SOPORTE</v>
      </c>
      <c r="O195" s="3">
        <f t="shared" si="39"/>
        <v>45805.654146412038</v>
      </c>
      <c r="P195" s="3">
        <f t="shared" si="40"/>
        <v>45806.665968668982</v>
      </c>
      <c r="Q195" s="1" t="str">
        <f t="shared" ref="Q195:Q258" si="49">IF(OR(N195="Soporte",N195="Definición",N195="Origen"),"Externo",
IF(OR(N195="Funcional",N195="Técnico",N195="Desarrollo",N195="Reproceso"),"Interno",
IF(OR(N195="",N195="Selecciona (SOPORTE/DEFINICIÓN/FUNCIONAL/TÉCNICO/DESARROLLO)"),"Pendiente clasificar","")))</f>
        <v>Externo</v>
      </c>
      <c r="R195" s="1">
        <f t="shared" si="41"/>
        <v>22</v>
      </c>
      <c r="S195" s="6">
        <f t="shared" si="42"/>
        <v>45803</v>
      </c>
      <c r="T195" s="1">
        <f t="shared" si="43"/>
        <v>22</v>
      </c>
      <c r="U195" s="6">
        <f t="shared" si="44"/>
        <v>45803</v>
      </c>
      <c r="V195" s="1">
        <f t="shared" si="45"/>
        <v>1.0118222569435602</v>
      </c>
      <c r="W195" s="1">
        <f t="shared" si="46"/>
        <v>2025</v>
      </c>
      <c r="X195" s="1">
        <f t="shared" si="47"/>
        <v>2025</v>
      </c>
      <c r="Y195" s="1" t="str">
        <f t="shared" ref="Y195:Y258" si="50">(TEXT(S195,"aaaa-mm"))</f>
        <v>2025-05</v>
      </c>
      <c r="Z195" s="1" t="str">
        <f t="shared" ref="Z195:Z258" si="51">(TEXT(U195,"aaaa-mm"))</f>
        <v>2025-05</v>
      </c>
    </row>
    <row r="196" spans="1:26" x14ac:dyDescent="0.2">
      <c r="A196" s="1" t="s">
        <v>500</v>
      </c>
      <c r="B196" s="1" t="s">
        <v>501</v>
      </c>
      <c r="C196" s="1" t="s">
        <v>109</v>
      </c>
      <c r="D196" s="3">
        <v>45805.656517326388</v>
      </c>
      <c r="E196" s="3">
        <v>45805.672099884257</v>
      </c>
      <c r="F196" s="1" t="s">
        <v>52</v>
      </c>
      <c r="G196" s="1" t="s">
        <v>21</v>
      </c>
      <c r="H196" s="1" t="s">
        <v>13</v>
      </c>
      <c r="I196" s="1" t="s">
        <v>18</v>
      </c>
      <c r="J196" s="1" t="s">
        <v>16</v>
      </c>
      <c r="K196" s="1" t="s">
        <v>15</v>
      </c>
      <c r="L196" s="1" t="s">
        <v>13</v>
      </c>
      <c r="M196" s="1" t="s">
        <v>1162</v>
      </c>
      <c r="N196" s="1" t="str">
        <f t="shared" si="48"/>
        <v>SOPORTE</v>
      </c>
      <c r="O196" s="3">
        <f t="shared" si="39"/>
        <v>45805.656517326388</v>
      </c>
      <c r="P196" s="3">
        <f t="shared" si="40"/>
        <v>45805.672099884257</v>
      </c>
      <c r="Q196" s="1" t="str">
        <f t="shared" si="49"/>
        <v>Externo</v>
      </c>
      <c r="R196" s="1">
        <f t="shared" si="41"/>
        <v>22</v>
      </c>
      <c r="S196" s="6">
        <f t="shared" si="42"/>
        <v>45803</v>
      </c>
      <c r="T196" s="1">
        <f t="shared" si="43"/>
        <v>22</v>
      </c>
      <c r="U196" s="6">
        <f t="shared" si="44"/>
        <v>45803</v>
      </c>
      <c r="V196" s="1">
        <f t="shared" si="45"/>
        <v>1.558255786949303E-2</v>
      </c>
      <c r="W196" s="1">
        <f t="shared" si="46"/>
        <v>2025</v>
      </c>
      <c r="X196" s="1">
        <f t="shared" si="47"/>
        <v>2025</v>
      </c>
      <c r="Y196" s="1" t="str">
        <f t="shared" si="50"/>
        <v>2025-05</v>
      </c>
      <c r="Z196" s="1" t="str">
        <f t="shared" si="51"/>
        <v>2025-05</v>
      </c>
    </row>
    <row r="197" spans="1:26" x14ac:dyDescent="0.2">
      <c r="A197" s="1" t="s">
        <v>502</v>
      </c>
      <c r="B197" s="1" t="s">
        <v>503</v>
      </c>
      <c r="C197" s="1" t="s">
        <v>13</v>
      </c>
      <c r="D197" s="3">
        <v>45806.566602106483</v>
      </c>
      <c r="E197" s="3">
        <v>45806.664485150461</v>
      </c>
      <c r="F197" s="1" t="s">
        <v>52</v>
      </c>
      <c r="G197" s="1" t="s">
        <v>21</v>
      </c>
      <c r="H197" s="1" t="s">
        <v>504</v>
      </c>
      <c r="I197" s="1" t="s">
        <v>18</v>
      </c>
      <c r="J197" s="1" t="s">
        <v>16</v>
      </c>
      <c r="K197" s="1" t="s">
        <v>15</v>
      </c>
      <c r="L197" s="1" t="s">
        <v>13</v>
      </c>
      <c r="M197" s="1" t="s">
        <v>1163</v>
      </c>
      <c r="N197" s="1" t="str">
        <f t="shared" si="48"/>
        <v>SOPORTE</v>
      </c>
      <c r="O197" s="3">
        <f t="shared" si="39"/>
        <v>45806.566602106483</v>
      </c>
      <c r="P197" s="3">
        <f t="shared" si="40"/>
        <v>45806.664485150461</v>
      </c>
      <c r="Q197" s="1" t="str">
        <f t="shared" si="49"/>
        <v>Externo</v>
      </c>
      <c r="R197" s="1">
        <f t="shared" si="41"/>
        <v>22</v>
      </c>
      <c r="S197" s="6">
        <f t="shared" si="42"/>
        <v>45803</v>
      </c>
      <c r="T197" s="1">
        <f t="shared" si="43"/>
        <v>22</v>
      </c>
      <c r="U197" s="6">
        <f t="shared" si="44"/>
        <v>45803</v>
      </c>
      <c r="V197" s="1">
        <f t="shared" si="45"/>
        <v>9.7883043978072237E-2</v>
      </c>
      <c r="W197" s="1">
        <f t="shared" si="46"/>
        <v>2025</v>
      </c>
      <c r="X197" s="1">
        <f t="shared" si="47"/>
        <v>2025</v>
      </c>
      <c r="Y197" s="1" t="str">
        <f t="shared" si="50"/>
        <v>2025-05</v>
      </c>
      <c r="Z197" s="1" t="str">
        <f t="shared" si="51"/>
        <v>2025-05</v>
      </c>
    </row>
    <row r="198" spans="1:26" x14ac:dyDescent="0.2">
      <c r="A198" s="1" t="s">
        <v>505</v>
      </c>
      <c r="B198" s="1" t="s">
        <v>506</v>
      </c>
      <c r="C198" s="1" t="s">
        <v>13</v>
      </c>
      <c r="D198" s="3">
        <v>45806.718398831021</v>
      </c>
      <c r="E198" s="3">
        <v>45861.42449946759</v>
      </c>
      <c r="F198" s="1" t="s">
        <v>52</v>
      </c>
      <c r="G198" s="1" t="s">
        <v>19</v>
      </c>
      <c r="H198" s="1" t="s">
        <v>13</v>
      </c>
      <c r="I198" s="1" t="s">
        <v>99</v>
      </c>
      <c r="J198" s="1" t="s">
        <v>16</v>
      </c>
      <c r="K198" s="1" t="s">
        <v>15</v>
      </c>
      <c r="L198" s="1" t="s">
        <v>465</v>
      </c>
      <c r="M198" s="1" t="s">
        <v>13</v>
      </c>
      <c r="N198" s="1" t="str">
        <f t="shared" si="48"/>
        <v>DEFINICIÓN</v>
      </c>
      <c r="O198" s="3">
        <f t="shared" ref="O198:O261" si="52">D198</f>
        <v>45806.718398831021</v>
      </c>
      <c r="P198" s="3">
        <f t="shared" ref="P198:P261" si="53">E198</f>
        <v>45861.42449946759</v>
      </c>
      <c r="Q198" s="1" t="str">
        <f t="shared" si="49"/>
        <v>Externo</v>
      </c>
      <c r="R198" s="1">
        <f t="shared" ref="R198:R261" si="54">WEEKNUM(O198,1)</f>
        <v>22</v>
      </c>
      <c r="S198" s="6">
        <f t="shared" ref="S198:S261" si="55">DATE(W198,1,4) + (R198-1)*7 - WEEKDAY(DATE(W198,1,4),2) +1</f>
        <v>45803</v>
      </c>
      <c r="T198" s="1">
        <f t="shared" ref="T198:T261" si="56">WEEKNUM(P198,1)</f>
        <v>30</v>
      </c>
      <c r="U198" s="6">
        <f t="shared" ref="U198:U261" si="57">DATE(X198,1,4) + (T198-1)*7 - WEEKDAY(DATE(X198,1,4),2) +1</f>
        <v>45859</v>
      </c>
      <c r="V198" s="1">
        <f t="shared" ref="V198:V261" si="58">ABS(P198-O198)</f>
        <v>54.706100636569317</v>
      </c>
      <c r="W198" s="1">
        <f t="shared" ref="W198:W261" si="59">YEAR(O198)</f>
        <v>2025</v>
      </c>
      <c r="X198" s="1">
        <f t="shared" ref="X198:X261" si="60">YEAR(P198)</f>
        <v>2025</v>
      </c>
      <c r="Y198" s="1" t="str">
        <f t="shared" si="50"/>
        <v>2025-05</v>
      </c>
      <c r="Z198" s="1" t="str">
        <f t="shared" si="51"/>
        <v>2025-07</v>
      </c>
    </row>
    <row r="199" spans="1:26" x14ac:dyDescent="0.2">
      <c r="A199" s="1" t="s">
        <v>507</v>
      </c>
      <c r="B199" s="1" t="s">
        <v>508</v>
      </c>
      <c r="C199" s="1" t="s">
        <v>509</v>
      </c>
      <c r="D199" s="3">
        <v>45807.428282175926</v>
      </c>
      <c r="E199" s="3">
        <v>45807.432930416668</v>
      </c>
      <c r="F199" s="1" t="s">
        <v>52</v>
      </c>
      <c r="G199" s="1" t="s">
        <v>259</v>
      </c>
      <c r="H199" s="1" t="s">
        <v>13</v>
      </c>
      <c r="I199" s="1" t="s">
        <v>18</v>
      </c>
      <c r="J199" s="1" t="s">
        <v>16</v>
      </c>
      <c r="K199" s="1" t="s">
        <v>15</v>
      </c>
      <c r="L199" s="1" t="s">
        <v>13</v>
      </c>
      <c r="M199" s="1" t="s">
        <v>1162</v>
      </c>
      <c r="N199" s="1" t="str">
        <f t="shared" si="48"/>
        <v>Técnico</v>
      </c>
      <c r="O199" s="3">
        <f t="shared" si="52"/>
        <v>45807.428282175926</v>
      </c>
      <c r="P199" s="3">
        <f t="shared" si="53"/>
        <v>45807.432930416668</v>
      </c>
      <c r="Q199" s="1" t="str">
        <f t="shared" si="49"/>
        <v>Interno</v>
      </c>
      <c r="R199" s="1">
        <f t="shared" si="54"/>
        <v>22</v>
      </c>
      <c r="S199" s="6">
        <f t="shared" si="55"/>
        <v>45803</v>
      </c>
      <c r="T199" s="1">
        <f t="shared" si="56"/>
        <v>22</v>
      </c>
      <c r="U199" s="6">
        <f t="shared" si="57"/>
        <v>45803</v>
      </c>
      <c r="V199" s="1">
        <f t="shared" si="58"/>
        <v>4.6482407415169291E-3</v>
      </c>
      <c r="W199" s="1">
        <f t="shared" si="59"/>
        <v>2025</v>
      </c>
      <c r="X199" s="1">
        <f t="shared" si="60"/>
        <v>2025</v>
      </c>
      <c r="Y199" s="1" t="str">
        <f t="shared" si="50"/>
        <v>2025-05</v>
      </c>
      <c r="Z199" s="1" t="str">
        <f t="shared" si="51"/>
        <v>2025-05</v>
      </c>
    </row>
    <row r="200" spans="1:26" x14ac:dyDescent="0.2">
      <c r="A200" s="1" t="s">
        <v>510</v>
      </c>
      <c r="B200" s="1" t="s">
        <v>511</v>
      </c>
      <c r="C200" s="1" t="s">
        <v>184</v>
      </c>
      <c r="D200" s="3">
        <v>45810.499248391206</v>
      </c>
      <c r="E200" s="3">
        <v>45811.528698715279</v>
      </c>
      <c r="F200" s="1" t="s">
        <v>52</v>
      </c>
      <c r="G200" s="1" t="s">
        <v>21</v>
      </c>
      <c r="H200" s="1" t="s">
        <v>13</v>
      </c>
      <c r="I200" s="1" t="s">
        <v>18</v>
      </c>
      <c r="J200" s="1" t="s">
        <v>16</v>
      </c>
      <c r="K200" s="1" t="s">
        <v>15</v>
      </c>
      <c r="L200" s="1" t="s">
        <v>13</v>
      </c>
      <c r="M200" s="1" t="s">
        <v>1163</v>
      </c>
      <c r="N200" s="1" t="str">
        <f t="shared" si="48"/>
        <v>SOPORTE</v>
      </c>
      <c r="O200" s="3">
        <f t="shared" si="52"/>
        <v>45810.499248391206</v>
      </c>
      <c r="P200" s="3">
        <f t="shared" si="53"/>
        <v>45811.528698715279</v>
      </c>
      <c r="Q200" s="1" t="str">
        <f t="shared" si="49"/>
        <v>Externo</v>
      </c>
      <c r="R200" s="1">
        <f t="shared" si="54"/>
        <v>23</v>
      </c>
      <c r="S200" s="6">
        <f t="shared" si="55"/>
        <v>45810</v>
      </c>
      <c r="T200" s="1">
        <f t="shared" si="56"/>
        <v>23</v>
      </c>
      <c r="U200" s="6">
        <f t="shared" si="57"/>
        <v>45810</v>
      </c>
      <c r="V200" s="1">
        <f t="shared" si="58"/>
        <v>1.0294503240729682</v>
      </c>
      <c r="W200" s="1">
        <f t="shared" si="59"/>
        <v>2025</v>
      </c>
      <c r="X200" s="1">
        <f t="shared" si="60"/>
        <v>2025</v>
      </c>
      <c r="Y200" s="1" t="str">
        <f t="shared" si="50"/>
        <v>2025-06</v>
      </c>
      <c r="Z200" s="1" t="str">
        <f t="shared" si="51"/>
        <v>2025-06</v>
      </c>
    </row>
    <row r="201" spans="1:26" x14ac:dyDescent="0.2">
      <c r="A201" s="1" t="s">
        <v>512</v>
      </c>
      <c r="B201" s="1" t="s">
        <v>513</v>
      </c>
      <c r="C201" s="1" t="s">
        <v>83</v>
      </c>
      <c r="D201" s="3">
        <v>45810.509994305554</v>
      </c>
      <c r="E201" s="3">
        <v>45811.453392685187</v>
      </c>
      <c r="F201" s="1" t="s">
        <v>52</v>
      </c>
      <c r="G201" s="1" t="s">
        <v>21</v>
      </c>
      <c r="H201" s="1" t="s">
        <v>468</v>
      </c>
      <c r="I201" s="1" t="s">
        <v>18</v>
      </c>
      <c r="J201" s="1" t="s">
        <v>16</v>
      </c>
      <c r="K201" s="1" t="s">
        <v>15</v>
      </c>
      <c r="L201" s="1" t="s">
        <v>13</v>
      </c>
      <c r="M201" s="1" t="s">
        <v>1163</v>
      </c>
      <c r="N201" s="1" t="str">
        <f t="shared" si="48"/>
        <v>SOPORTE</v>
      </c>
      <c r="O201" s="3">
        <f t="shared" si="52"/>
        <v>45810.509994305554</v>
      </c>
      <c r="P201" s="3">
        <f t="shared" si="53"/>
        <v>45811.453392685187</v>
      </c>
      <c r="Q201" s="1" t="str">
        <f t="shared" si="49"/>
        <v>Externo</v>
      </c>
      <c r="R201" s="1">
        <f t="shared" si="54"/>
        <v>23</v>
      </c>
      <c r="S201" s="6">
        <f t="shared" si="55"/>
        <v>45810</v>
      </c>
      <c r="T201" s="1">
        <f t="shared" si="56"/>
        <v>23</v>
      </c>
      <c r="U201" s="6">
        <f t="shared" si="57"/>
        <v>45810</v>
      </c>
      <c r="V201" s="1">
        <f t="shared" si="58"/>
        <v>0.94339837963343598</v>
      </c>
      <c r="W201" s="1">
        <f t="shared" si="59"/>
        <v>2025</v>
      </c>
      <c r="X201" s="1">
        <f t="shared" si="60"/>
        <v>2025</v>
      </c>
      <c r="Y201" s="1" t="str">
        <f t="shared" si="50"/>
        <v>2025-06</v>
      </c>
      <c r="Z201" s="1" t="str">
        <f t="shared" si="51"/>
        <v>2025-06</v>
      </c>
    </row>
    <row r="202" spans="1:26" x14ac:dyDescent="0.2">
      <c r="A202" s="1" t="s">
        <v>514</v>
      </c>
      <c r="B202" s="1" t="s">
        <v>515</v>
      </c>
      <c r="C202" s="1" t="s">
        <v>13</v>
      </c>
      <c r="D202" s="3">
        <v>45811.420407789352</v>
      </c>
      <c r="E202" s="3">
        <v>45814.409130925924</v>
      </c>
      <c r="F202" s="1" t="s">
        <v>52</v>
      </c>
      <c r="G202" s="1" t="s">
        <v>21</v>
      </c>
      <c r="H202" s="1" t="s">
        <v>468</v>
      </c>
      <c r="I202" s="1" t="s">
        <v>18</v>
      </c>
      <c r="J202" s="1" t="s">
        <v>16</v>
      </c>
      <c r="K202" s="1" t="s">
        <v>15</v>
      </c>
      <c r="L202" s="1" t="s">
        <v>13</v>
      </c>
      <c r="M202" s="1" t="s">
        <v>1163</v>
      </c>
      <c r="N202" s="1" t="str">
        <f t="shared" si="48"/>
        <v>SOPORTE</v>
      </c>
      <c r="O202" s="3">
        <f t="shared" si="52"/>
        <v>45811.420407789352</v>
      </c>
      <c r="P202" s="3">
        <f t="shared" si="53"/>
        <v>45814.409130925924</v>
      </c>
      <c r="Q202" s="1" t="str">
        <f t="shared" si="49"/>
        <v>Externo</v>
      </c>
      <c r="R202" s="1">
        <f t="shared" si="54"/>
        <v>23</v>
      </c>
      <c r="S202" s="6">
        <f t="shared" si="55"/>
        <v>45810</v>
      </c>
      <c r="T202" s="1">
        <f t="shared" si="56"/>
        <v>23</v>
      </c>
      <c r="U202" s="6">
        <f t="shared" si="57"/>
        <v>45810</v>
      </c>
      <c r="V202" s="1">
        <f t="shared" si="58"/>
        <v>2.9887231365719344</v>
      </c>
      <c r="W202" s="1">
        <f t="shared" si="59"/>
        <v>2025</v>
      </c>
      <c r="X202" s="1">
        <f t="shared" si="60"/>
        <v>2025</v>
      </c>
      <c r="Y202" s="1" t="str">
        <f t="shared" si="50"/>
        <v>2025-06</v>
      </c>
      <c r="Z202" s="1" t="str">
        <f t="shared" si="51"/>
        <v>2025-06</v>
      </c>
    </row>
    <row r="203" spans="1:26" x14ac:dyDescent="0.2">
      <c r="A203" s="1" t="s">
        <v>516</v>
      </c>
      <c r="B203" s="1" t="s">
        <v>517</v>
      </c>
      <c r="C203" s="1" t="s">
        <v>13</v>
      </c>
      <c r="D203" s="3">
        <v>45811.42075365741</v>
      </c>
      <c r="E203" s="3">
        <v>45814.41115980324</v>
      </c>
      <c r="F203" s="1" t="s">
        <v>52</v>
      </c>
      <c r="G203" s="1" t="s">
        <v>21</v>
      </c>
      <c r="H203" s="1" t="s">
        <v>468</v>
      </c>
      <c r="I203" s="1" t="s">
        <v>18</v>
      </c>
      <c r="J203" s="1" t="s">
        <v>16</v>
      </c>
      <c r="K203" s="1" t="s">
        <v>15</v>
      </c>
      <c r="L203" s="1" t="s">
        <v>13</v>
      </c>
      <c r="M203" s="1" t="s">
        <v>1163</v>
      </c>
      <c r="N203" s="1" t="str">
        <f t="shared" si="48"/>
        <v>SOPORTE</v>
      </c>
      <c r="O203" s="3">
        <f t="shared" si="52"/>
        <v>45811.42075365741</v>
      </c>
      <c r="P203" s="3">
        <f t="shared" si="53"/>
        <v>45814.41115980324</v>
      </c>
      <c r="Q203" s="1" t="str">
        <f t="shared" si="49"/>
        <v>Externo</v>
      </c>
      <c r="R203" s="1">
        <f t="shared" si="54"/>
        <v>23</v>
      </c>
      <c r="S203" s="6">
        <f t="shared" si="55"/>
        <v>45810</v>
      </c>
      <c r="T203" s="1">
        <f t="shared" si="56"/>
        <v>23</v>
      </c>
      <c r="U203" s="6">
        <f t="shared" si="57"/>
        <v>45810</v>
      </c>
      <c r="V203" s="1">
        <f t="shared" si="58"/>
        <v>2.9904061458291835</v>
      </c>
      <c r="W203" s="1">
        <f t="shared" si="59"/>
        <v>2025</v>
      </c>
      <c r="X203" s="1">
        <f t="shared" si="60"/>
        <v>2025</v>
      </c>
      <c r="Y203" s="1" t="str">
        <f t="shared" si="50"/>
        <v>2025-06</v>
      </c>
      <c r="Z203" s="1" t="str">
        <f t="shared" si="51"/>
        <v>2025-06</v>
      </c>
    </row>
    <row r="204" spans="1:26" x14ac:dyDescent="0.2">
      <c r="A204" s="1" t="s">
        <v>518</v>
      </c>
      <c r="B204" s="1" t="s">
        <v>519</v>
      </c>
      <c r="C204" s="1" t="s">
        <v>83</v>
      </c>
      <c r="D204" s="3">
        <v>45811.527836793983</v>
      </c>
      <c r="E204" s="3">
        <v>45812.671287696758</v>
      </c>
      <c r="F204" s="1" t="s">
        <v>52</v>
      </c>
      <c r="G204" s="1" t="s">
        <v>12</v>
      </c>
      <c r="H204" s="1" t="s">
        <v>13</v>
      </c>
      <c r="I204" s="1" t="s">
        <v>18</v>
      </c>
      <c r="J204" s="1" t="s">
        <v>16</v>
      </c>
      <c r="K204" s="1" t="s">
        <v>15</v>
      </c>
      <c r="L204" s="1" t="s">
        <v>13</v>
      </c>
      <c r="M204" s="1" t="s">
        <v>1163</v>
      </c>
      <c r="N204" s="1" t="str">
        <f t="shared" si="48"/>
        <v>DESARROLLO</v>
      </c>
      <c r="O204" s="3">
        <f t="shared" si="52"/>
        <v>45811.527836793983</v>
      </c>
      <c r="P204" s="3">
        <f t="shared" si="53"/>
        <v>45812.671287696758</v>
      </c>
      <c r="Q204" s="1" t="str">
        <f t="shared" si="49"/>
        <v>Interno</v>
      </c>
      <c r="R204" s="1">
        <f t="shared" si="54"/>
        <v>23</v>
      </c>
      <c r="S204" s="6">
        <f t="shared" si="55"/>
        <v>45810</v>
      </c>
      <c r="T204" s="1">
        <f t="shared" si="56"/>
        <v>23</v>
      </c>
      <c r="U204" s="6">
        <f t="shared" si="57"/>
        <v>45810</v>
      </c>
      <c r="V204" s="1">
        <f t="shared" si="58"/>
        <v>1.14345090277493</v>
      </c>
      <c r="W204" s="1">
        <f t="shared" si="59"/>
        <v>2025</v>
      </c>
      <c r="X204" s="1">
        <f t="shared" si="60"/>
        <v>2025</v>
      </c>
      <c r="Y204" s="1" t="str">
        <f t="shared" si="50"/>
        <v>2025-06</v>
      </c>
      <c r="Z204" s="1" t="str">
        <f t="shared" si="51"/>
        <v>2025-06</v>
      </c>
    </row>
    <row r="205" spans="1:26" x14ac:dyDescent="0.2">
      <c r="A205" s="1" t="s">
        <v>520</v>
      </c>
      <c r="B205" s="1" t="s">
        <v>521</v>
      </c>
      <c r="C205" s="1" t="s">
        <v>13</v>
      </c>
      <c r="D205" s="3">
        <v>45811.574336898149</v>
      </c>
      <c r="E205" s="3">
        <v>45812.645830023146</v>
      </c>
      <c r="F205" s="1" t="s">
        <v>52</v>
      </c>
      <c r="G205" s="1" t="s">
        <v>21</v>
      </c>
      <c r="H205" s="1" t="s">
        <v>468</v>
      </c>
      <c r="I205" s="1" t="s">
        <v>18</v>
      </c>
      <c r="J205" s="1" t="s">
        <v>16</v>
      </c>
      <c r="K205" s="1" t="s">
        <v>15</v>
      </c>
      <c r="L205" s="1" t="s">
        <v>13</v>
      </c>
      <c r="M205" s="1" t="s">
        <v>13</v>
      </c>
      <c r="N205" s="1" t="str">
        <f t="shared" si="48"/>
        <v>SOPORTE</v>
      </c>
      <c r="O205" s="3">
        <f t="shared" si="52"/>
        <v>45811.574336898149</v>
      </c>
      <c r="P205" s="3">
        <f t="shared" si="53"/>
        <v>45812.645830023146</v>
      </c>
      <c r="Q205" s="1" t="str">
        <f t="shared" si="49"/>
        <v>Externo</v>
      </c>
      <c r="R205" s="1">
        <f t="shared" si="54"/>
        <v>23</v>
      </c>
      <c r="S205" s="6">
        <f t="shared" si="55"/>
        <v>45810</v>
      </c>
      <c r="T205" s="1">
        <f t="shared" si="56"/>
        <v>23</v>
      </c>
      <c r="U205" s="6">
        <f t="shared" si="57"/>
        <v>45810</v>
      </c>
      <c r="V205" s="1">
        <f t="shared" si="58"/>
        <v>1.0714931249967776</v>
      </c>
      <c r="W205" s="1">
        <f t="shared" si="59"/>
        <v>2025</v>
      </c>
      <c r="X205" s="1">
        <f t="shared" si="60"/>
        <v>2025</v>
      </c>
      <c r="Y205" s="1" t="str">
        <f t="shared" si="50"/>
        <v>2025-06</v>
      </c>
      <c r="Z205" s="1" t="str">
        <f t="shared" si="51"/>
        <v>2025-06</v>
      </c>
    </row>
    <row r="206" spans="1:26" x14ac:dyDescent="0.2">
      <c r="A206" s="1" t="s">
        <v>522</v>
      </c>
      <c r="B206" s="1" t="s">
        <v>523</v>
      </c>
      <c r="C206" s="1" t="s">
        <v>230</v>
      </c>
      <c r="D206" s="3">
        <v>45811.697864768517</v>
      </c>
      <c r="E206" s="3">
        <v>45813.400966423615</v>
      </c>
      <c r="F206" s="1" t="s">
        <v>52</v>
      </c>
      <c r="G206" s="1" t="s">
        <v>21</v>
      </c>
      <c r="H206" s="1" t="s">
        <v>13</v>
      </c>
      <c r="I206" s="1" t="s">
        <v>18</v>
      </c>
      <c r="J206" s="1" t="s">
        <v>16</v>
      </c>
      <c r="K206" s="1" t="s">
        <v>15</v>
      </c>
      <c r="L206" s="1" t="s">
        <v>13</v>
      </c>
      <c r="M206" s="1" t="s">
        <v>1163</v>
      </c>
      <c r="N206" s="1" t="str">
        <f t="shared" si="48"/>
        <v>SOPORTE</v>
      </c>
      <c r="O206" s="3">
        <f t="shared" si="52"/>
        <v>45811.697864768517</v>
      </c>
      <c r="P206" s="3">
        <f t="shared" si="53"/>
        <v>45813.400966423615</v>
      </c>
      <c r="Q206" s="1" t="str">
        <f t="shared" si="49"/>
        <v>Externo</v>
      </c>
      <c r="R206" s="1">
        <f t="shared" si="54"/>
        <v>23</v>
      </c>
      <c r="S206" s="6">
        <f t="shared" si="55"/>
        <v>45810</v>
      </c>
      <c r="T206" s="1">
        <f t="shared" si="56"/>
        <v>23</v>
      </c>
      <c r="U206" s="6">
        <f t="shared" si="57"/>
        <v>45810</v>
      </c>
      <c r="V206" s="1">
        <f t="shared" si="58"/>
        <v>1.7031016550972709</v>
      </c>
      <c r="W206" s="1">
        <f t="shared" si="59"/>
        <v>2025</v>
      </c>
      <c r="X206" s="1">
        <f t="shared" si="60"/>
        <v>2025</v>
      </c>
      <c r="Y206" s="1" t="str">
        <f t="shared" si="50"/>
        <v>2025-06</v>
      </c>
      <c r="Z206" s="1" t="str">
        <f t="shared" si="51"/>
        <v>2025-06</v>
      </c>
    </row>
    <row r="207" spans="1:26" x14ac:dyDescent="0.2">
      <c r="A207" s="1" t="s">
        <v>524</v>
      </c>
      <c r="B207" s="1" t="s">
        <v>525</v>
      </c>
      <c r="C207" s="1" t="s">
        <v>209</v>
      </c>
      <c r="D207" s="3">
        <v>45812.558556574077</v>
      </c>
      <c r="E207" s="3">
        <v>45861.424499710651</v>
      </c>
      <c r="F207" s="1" t="s">
        <v>52</v>
      </c>
      <c r="G207" s="1" t="s">
        <v>12</v>
      </c>
      <c r="H207" s="1" t="s">
        <v>13</v>
      </c>
      <c r="I207" s="1" t="s">
        <v>18</v>
      </c>
      <c r="J207" s="1" t="s">
        <v>16</v>
      </c>
      <c r="K207" s="1" t="s">
        <v>15</v>
      </c>
      <c r="L207" s="1" t="s">
        <v>13</v>
      </c>
      <c r="M207" s="1" t="s">
        <v>1163</v>
      </c>
      <c r="N207" s="1" t="str">
        <f t="shared" si="48"/>
        <v>DESARROLLO</v>
      </c>
      <c r="O207" s="3">
        <f t="shared" si="52"/>
        <v>45812.558556574077</v>
      </c>
      <c r="P207" s="3">
        <f t="shared" si="53"/>
        <v>45861.424499710651</v>
      </c>
      <c r="Q207" s="1" t="str">
        <f t="shared" si="49"/>
        <v>Interno</v>
      </c>
      <c r="R207" s="1">
        <f t="shared" si="54"/>
        <v>23</v>
      </c>
      <c r="S207" s="6">
        <f t="shared" si="55"/>
        <v>45810</v>
      </c>
      <c r="T207" s="1">
        <f t="shared" si="56"/>
        <v>30</v>
      </c>
      <c r="U207" s="6">
        <f t="shared" si="57"/>
        <v>45859</v>
      </c>
      <c r="V207" s="1">
        <f t="shared" si="58"/>
        <v>48.86594313657406</v>
      </c>
      <c r="W207" s="1">
        <f t="shared" si="59"/>
        <v>2025</v>
      </c>
      <c r="X207" s="1">
        <f t="shared" si="60"/>
        <v>2025</v>
      </c>
      <c r="Y207" s="1" t="str">
        <f t="shared" si="50"/>
        <v>2025-06</v>
      </c>
      <c r="Z207" s="1" t="str">
        <f t="shared" si="51"/>
        <v>2025-07</v>
      </c>
    </row>
    <row r="208" spans="1:26" x14ac:dyDescent="0.2">
      <c r="A208" s="1" t="s">
        <v>526</v>
      </c>
      <c r="B208" s="1" t="s">
        <v>527</v>
      </c>
      <c r="C208" s="1" t="s">
        <v>58</v>
      </c>
      <c r="D208" s="3">
        <v>45812.672825648151</v>
      </c>
      <c r="E208" s="3">
        <v>45812.67536734954</v>
      </c>
      <c r="F208" s="1" t="s">
        <v>52</v>
      </c>
      <c r="G208" s="1" t="s">
        <v>12</v>
      </c>
      <c r="H208" s="1" t="s">
        <v>13</v>
      </c>
      <c r="I208" s="1" t="s">
        <v>18</v>
      </c>
      <c r="J208" s="1" t="s">
        <v>16</v>
      </c>
      <c r="K208" s="1" t="s">
        <v>15</v>
      </c>
      <c r="L208" s="1" t="s">
        <v>13</v>
      </c>
      <c r="M208" s="1" t="s">
        <v>1163</v>
      </c>
      <c r="N208" s="1" t="str">
        <f t="shared" si="48"/>
        <v>DESARROLLO</v>
      </c>
      <c r="O208" s="3">
        <f t="shared" si="52"/>
        <v>45812.672825648151</v>
      </c>
      <c r="P208" s="3">
        <f t="shared" si="53"/>
        <v>45812.67536734954</v>
      </c>
      <c r="Q208" s="1" t="str">
        <f t="shared" si="49"/>
        <v>Interno</v>
      </c>
      <c r="R208" s="1">
        <f t="shared" si="54"/>
        <v>23</v>
      </c>
      <c r="S208" s="6">
        <f t="shared" si="55"/>
        <v>45810</v>
      </c>
      <c r="T208" s="1">
        <f t="shared" si="56"/>
        <v>23</v>
      </c>
      <c r="U208" s="6">
        <f t="shared" si="57"/>
        <v>45810</v>
      </c>
      <c r="V208" s="1">
        <f t="shared" si="58"/>
        <v>2.5417013894184493E-3</v>
      </c>
      <c r="W208" s="1">
        <f t="shared" si="59"/>
        <v>2025</v>
      </c>
      <c r="X208" s="1">
        <f t="shared" si="60"/>
        <v>2025</v>
      </c>
      <c r="Y208" s="1" t="str">
        <f t="shared" si="50"/>
        <v>2025-06</v>
      </c>
      <c r="Z208" s="1" t="str">
        <f t="shared" si="51"/>
        <v>2025-06</v>
      </c>
    </row>
    <row r="209" spans="1:26" x14ac:dyDescent="0.2">
      <c r="A209" s="1" t="s">
        <v>528</v>
      </c>
      <c r="B209" s="1" t="s">
        <v>529</v>
      </c>
      <c r="C209" s="1" t="s">
        <v>406</v>
      </c>
      <c r="D209" s="3">
        <v>45813.400136631943</v>
      </c>
      <c r="E209" s="3">
        <v>45818.464813194441</v>
      </c>
      <c r="F209" s="1" t="s">
        <v>52</v>
      </c>
      <c r="G209" s="1" t="s">
        <v>21</v>
      </c>
      <c r="H209" s="1" t="s">
        <v>13</v>
      </c>
      <c r="I209" s="1" t="s">
        <v>18</v>
      </c>
      <c r="J209" s="1" t="s">
        <v>16</v>
      </c>
      <c r="K209" s="1" t="s">
        <v>15</v>
      </c>
      <c r="L209" s="1" t="s">
        <v>13</v>
      </c>
      <c r="M209" s="1" t="s">
        <v>1163</v>
      </c>
      <c r="N209" s="1" t="str">
        <f t="shared" si="48"/>
        <v>SOPORTE</v>
      </c>
      <c r="O209" s="3">
        <f t="shared" si="52"/>
        <v>45813.400136631943</v>
      </c>
      <c r="P209" s="3">
        <f t="shared" si="53"/>
        <v>45818.464813194441</v>
      </c>
      <c r="Q209" s="1" t="str">
        <f t="shared" si="49"/>
        <v>Externo</v>
      </c>
      <c r="R209" s="1">
        <f t="shared" si="54"/>
        <v>23</v>
      </c>
      <c r="S209" s="6">
        <f t="shared" si="55"/>
        <v>45810</v>
      </c>
      <c r="T209" s="1">
        <f t="shared" si="56"/>
        <v>24</v>
      </c>
      <c r="U209" s="6">
        <f t="shared" si="57"/>
        <v>45817</v>
      </c>
      <c r="V209" s="1">
        <f t="shared" si="58"/>
        <v>5.0646765624987893</v>
      </c>
      <c r="W209" s="1">
        <f t="shared" si="59"/>
        <v>2025</v>
      </c>
      <c r="X209" s="1">
        <f t="shared" si="60"/>
        <v>2025</v>
      </c>
      <c r="Y209" s="1" t="str">
        <f t="shared" si="50"/>
        <v>2025-06</v>
      </c>
      <c r="Z209" s="1" t="str">
        <f t="shared" si="51"/>
        <v>2025-06</v>
      </c>
    </row>
    <row r="210" spans="1:26" x14ac:dyDescent="0.2">
      <c r="A210" s="1" t="s">
        <v>530</v>
      </c>
      <c r="B210" s="1" t="s">
        <v>531</v>
      </c>
      <c r="C210" s="1" t="s">
        <v>109</v>
      </c>
      <c r="D210" s="3">
        <v>45813.510622719907</v>
      </c>
      <c r="E210" s="3">
        <v>45827.354069456022</v>
      </c>
      <c r="F210" s="1" t="s">
        <v>52</v>
      </c>
      <c r="G210" s="1" t="s">
        <v>21</v>
      </c>
      <c r="H210" s="1" t="s">
        <v>468</v>
      </c>
      <c r="I210" s="1" t="s">
        <v>18</v>
      </c>
      <c r="J210" s="1" t="s">
        <v>16</v>
      </c>
      <c r="K210" s="1" t="s">
        <v>15</v>
      </c>
      <c r="L210" s="1" t="s">
        <v>13</v>
      </c>
      <c r="M210" s="1" t="s">
        <v>1163</v>
      </c>
      <c r="N210" s="1" t="str">
        <f t="shared" si="48"/>
        <v>SOPORTE</v>
      </c>
      <c r="O210" s="3">
        <f t="shared" si="52"/>
        <v>45813.510622719907</v>
      </c>
      <c r="P210" s="3">
        <f t="shared" si="53"/>
        <v>45827.354069456022</v>
      </c>
      <c r="Q210" s="1" t="str">
        <f t="shared" si="49"/>
        <v>Externo</v>
      </c>
      <c r="R210" s="1">
        <f t="shared" si="54"/>
        <v>23</v>
      </c>
      <c r="S210" s="6">
        <f t="shared" si="55"/>
        <v>45810</v>
      </c>
      <c r="T210" s="1">
        <f t="shared" si="56"/>
        <v>25</v>
      </c>
      <c r="U210" s="6">
        <f t="shared" si="57"/>
        <v>45824</v>
      </c>
      <c r="V210" s="1">
        <f t="shared" si="58"/>
        <v>13.843446736114856</v>
      </c>
      <c r="W210" s="1">
        <f t="shared" si="59"/>
        <v>2025</v>
      </c>
      <c r="X210" s="1">
        <f t="shared" si="60"/>
        <v>2025</v>
      </c>
      <c r="Y210" s="1" t="str">
        <f t="shared" si="50"/>
        <v>2025-06</v>
      </c>
      <c r="Z210" s="1" t="str">
        <f t="shared" si="51"/>
        <v>2025-06</v>
      </c>
    </row>
    <row r="211" spans="1:26" x14ac:dyDescent="0.2">
      <c r="A211" s="1" t="s">
        <v>532</v>
      </c>
      <c r="B211" s="1" t="s">
        <v>533</v>
      </c>
      <c r="C211" s="1" t="s">
        <v>230</v>
      </c>
      <c r="D211" s="3">
        <v>45814.385560057868</v>
      </c>
      <c r="E211" s="3">
        <v>45818.478784537037</v>
      </c>
      <c r="F211" s="1" t="s">
        <v>52</v>
      </c>
      <c r="G211" s="1" t="s">
        <v>21</v>
      </c>
      <c r="H211" s="1" t="s">
        <v>13</v>
      </c>
      <c r="I211" s="1" t="s">
        <v>214</v>
      </c>
      <c r="J211" s="1" t="s">
        <v>16</v>
      </c>
      <c r="K211" s="1" t="s">
        <v>15</v>
      </c>
      <c r="L211" s="1" t="s">
        <v>13</v>
      </c>
      <c r="M211" s="1" t="s">
        <v>1163</v>
      </c>
      <c r="N211" s="1" t="str">
        <f t="shared" si="48"/>
        <v>SOPORTE</v>
      </c>
      <c r="O211" s="3">
        <f t="shared" si="52"/>
        <v>45814.385560057868</v>
      </c>
      <c r="P211" s="3">
        <f t="shared" si="53"/>
        <v>45818.478784537037</v>
      </c>
      <c r="Q211" s="1" t="str">
        <f t="shared" si="49"/>
        <v>Externo</v>
      </c>
      <c r="R211" s="1">
        <f t="shared" si="54"/>
        <v>23</v>
      </c>
      <c r="S211" s="6">
        <f t="shared" si="55"/>
        <v>45810</v>
      </c>
      <c r="T211" s="1">
        <f t="shared" si="56"/>
        <v>24</v>
      </c>
      <c r="U211" s="6">
        <f t="shared" si="57"/>
        <v>45817</v>
      </c>
      <c r="V211" s="1">
        <f t="shared" si="58"/>
        <v>4.0932244791692938</v>
      </c>
      <c r="W211" s="1">
        <f t="shared" si="59"/>
        <v>2025</v>
      </c>
      <c r="X211" s="1">
        <f t="shared" si="60"/>
        <v>2025</v>
      </c>
      <c r="Y211" s="1" t="str">
        <f t="shared" si="50"/>
        <v>2025-06</v>
      </c>
      <c r="Z211" s="1" t="str">
        <f t="shared" si="51"/>
        <v>2025-06</v>
      </c>
    </row>
    <row r="212" spans="1:26" x14ac:dyDescent="0.2">
      <c r="A212" s="1" t="s">
        <v>534</v>
      </c>
      <c r="B212" s="1" t="s">
        <v>535</v>
      </c>
      <c r="C212" s="1" t="s">
        <v>13</v>
      </c>
      <c r="D212" s="3">
        <v>45814.561784456018</v>
      </c>
      <c r="E212" s="3">
        <v>45834.659241215275</v>
      </c>
      <c r="F212" s="1" t="s">
        <v>52</v>
      </c>
      <c r="G212" s="1" t="s">
        <v>53</v>
      </c>
      <c r="H212" s="1" t="s">
        <v>13</v>
      </c>
      <c r="I212" s="1" t="s">
        <v>148</v>
      </c>
      <c r="J212" s="1" t="s">
        <v>16</v>
      </c>
      <c r="K212" s="1" t="s">
        <v>15</v>
      </c>
      <c r="L212" s="1" t="s">
        <v>465</v>
      </c>
      <c r="M212" s="1" t="s">
        <v>13</v>
      </c>
      <c r="N212" s="1" t="str">
        <f t="shared" si="48"/>
        <v>TÉCNICO</v>
      </c>
      <c r="O212" s="3">
        <f t="shared" si="52"/>
        <v>45814.561784456018</v>
      </c>
      <c r="P212" s="3">
        <f t="shared" si="53"/>
        <v>45834.659241215275</v>
      </c>
      <c r="Q212" s="1" t="str">
        <f t="shared" si="49"/>
        <v>Interno</v>
      </c>
      <c r="R212" s="1">
        <f t="shared" si="54"/>
        <v>23</v>
      </c>
      <c r="S212" s="6">
        <f t="shared" si="55"/>
        <v>45810</v>
      </c>
      <c r="T212" s="1">
        <f t="shared" si="56"/>
        <v>26</v>
      </c>
      <c r="U212" s="6">
        <f t="shared" si="57"/>
        <v>45831</v>
      </c>
      <c r="V212" s="1">
        <f t="shared" si="58"/>
        <v>20.097456759256602</v>
      </c>
      <c r="W212" s="1">
        <f t="shared" si="59"/>
        <v>2025</v>
      </c>
      <c r="X212" s="1">
        <f t="shared" si="60"/>
        <v>2025</v>
      </c>
      <c r="Y212" s="1" t="str">
        <f t="shared" si="50"/>
        <v>2025-06</v>
      </c>
      <c r="Z212" s="1" t="str">
        <f t="shared" si="51"/>
        <v>2025-06</v>
      </c>
    </row>
    <row r="213" spans="1:26" x14ac:dyDescent="0.2">
      <c r="A213" s="1" t="s">
        <v>536</v>
      </c>
      <c r="B213" s="1" t="s">
        <v>537</v>
      </c>
      <c r="C213" s="1" t="s">
        <v>538</v>
      </c>
      <c r="D213" s="3">
        <v>45814.634739444446</v>
      </c>
      <c r="E213" s="3">
        <v>45814.646460937503</v>
      </c>
      <c r="F213" s="1" t="s">
        <v>52</v>
      </c>
      <c r="G213" s="1" t="s">
        <v>53</v>
      </c>
      <c r="H213" s="1" t="s">
        <v>13</v>
      </c>
      <c r="I213" s="1" t="s">
        <v>18</v>
      </c>
      <c r="J213" s="1" t="s">
        <v>16</v>
      </c>
      <c r="K213" s="1" t="s">
        <v>17</v>
      </c>
      <c r="L213" s="1" t="s">
        <v>13</v>
      </c>
      <c r="M213" s="1" t="s">
        <v>13</v>
      </c>
      <c r="N213" s="1" t="str">
        <f t="shared" si="48"/>
        <v>TÉCNICO</v>
      </c>
      <c r="O213" s="3">
        <f t="shared" si="52"/>
        <v>45814.634739444446</v>
      </c>
      <c r="P213" s="3">
        <f t="shared" si="53"/>
        <v>45814.646460937503</v>
      </c>
      <c r="Q213" s="1" t="str">
        <f t="shared" si="49"/>
        <v>Interno</v>
      </c>
      <c r="R213" s="1">
        <f t="shared" si="54"/>
        <v>23</v>
      </c>
      <c r="S213" s="6">
        <f t="shared" si="55"/>
        <v>45810</v>
      </c>
      <c r="T213" s="1">
        <f t="shared" si="56"/>
        <v>23</v>
      </c>
      <c r="U213" s="6">
        <f t="shared" si="57"/>
        <v>45810</v>
      </c>
      <c r="V213" s="1">
        <f t="shared" si="58"/>
        <v>1.172149305784842E-2</v>
      </c>
      <c r="W213" s="1">
        <f t="shared" si="59"/>
        <v>2025</v>
      </c>
      <c r="X213" s="1">
        <f t="shared" si="60"/>
        <v>2025</v>
      </c>
      <c r="Y213" s="1" t="str">
        <f t="shared" si="50"/>
        <v>2025-06</v>
      </c>
      <c r="Z213" s="1" t="str">
        <f t="shared" si="51"/>
        <v>2025-06</v>
      </c>
    </row>
    <row r="214" spans="1:26" x14ac:dyDescent="0.2">
      <c r="A214" s="1" t="s">
        <v>539</v>
      </c>
      <c r="B214" s="1" t="s">
        <v>540</v>
      </c>
      <c r="C214" s="1" t="s">
        <v>83</v>
      </c>
      <c r="D214" s="3">
        <v>45818.342920162038</v>
      </c>
      <c r="E214" s="3">
        <v>45818.346178703701</v>
      </c>
      <c r="F214" s="1" t="s">
        <v>52</v>
      </c>
      <c r="G214" s="1" t="s">
        <v>21</v>
      </c>
      <c r="H214" s="1" t="s">
        <v>13</v>
      </c>
      <c r="I214" s="1" t="s">
        <v>18</v>
      </c>
      <c r="J214" s="1" t="s">
        <v>16</v>
      </c>
      <c r="K214" s="1" t="s">
        <v>15</v>
      </c>
      <c r="L214" s="1" t="s">
        <v>13</v>
      </c>
      <c r="M214" s="1" t="s">
        <v>13</v>
      </c>
      <c r="N214" s="1" t="str">
        <f t="shared" si="48"/>
        <v>SOPORTE</v>
      </c>
      <c r="O214" s="3">
        <f t="shared" si="52"/>
        <v>45818.342920162038</v>
      </c>
      <c r="P214" s="3">
        <f t="shared" si="53"/>
        <v>45818.346178703701</v>
      </c>
      <c r="Q214" s="1" t="str">
        <f t="shared" si="49"/>
        <v>Externo</v>
      </c>
      <c r="R214" s="1">
        <f t="shared" si="54"/>
        <v>24</v>
      </c>
      <c r="S214" s="6">
        <f t="shared" si="55"/>
        <v>45817</v>
      </c>
      <c r="T214" s="1">
        <f t="shared" si="56"/>
        <v>24</v>
      </c>
      <c r="U214" s="6">
        <f t="shared" si="57"/>
        <v>45817</v>
      </c>
      <c r="V214" s="1">
        <f t="shared" si="58"/>
        <v>3.2585416629444808E-3</v>
      </c>
      <c r="W214" s="1">
        <f t="shared" si="59"/>
        <v>2025</v>
      </c>
      <c r="X214" s="1">
        <f t="shared" si="60"/>
        <v>2025</v>
      </c>
      <c r="Y214" s="1" t="str">
        <f t="shared" si="50"/>
        <v>2025-06</v>
      </c>
      <c r="Z214" s="1" t="str">
        <f t="shared" si="51"/>
        <v>2025-06</v>
      </c>
    </row>
    <row r="215" spans="1:26" x14ac:dyDescent="0.2">
      <c r="A215" s="1" t="s">
        <v>541</v>
      </c>
      <c r="B215" s="1" t="s">
        <v>542</v>
      </c>
      <c r="C215" s="1" t="s">
        <v>209</v>
      </c>
      <c r="D215" s="3">
        <v>45818.480274733796</v>
      </c>
      <c r="E215" s="3">
        <v>45820.570024351851</v>
      </c>
      <c r="F215" s="1" t="s">
        <v>52</v>
      </c>
      <c r="G215" s="1" t="s">
        <v>21</v>
      </c>
      <c r="H215" s="1" t="s">
        <v>13</v>
      </c>
      <c r="I215" s="1" t="s">
        <v>18</v>
      </c>
      <c r="J215" s="1" t="s">
        <v>16</v>
      </c>
      <c r="K215" s="1" t="s">
        <v>15</v>
      </c>
      <c r="L215" s="1" t="s">
        <v>13</v>
      </c>
      <c r="M215" s="1" t="s">
        <v>1163</v>
      </c>
      <c r="N215" s="1" t="str">
        <f t="shared" si="48"/>
        <v>SOPORTE</v>
      </c>
      <c r="O215" s="3">
        <f t="shared" si="52"/>
        <v>45818.480274733796</v>
      </c>
      <c r="P215" s="3">
        <f t="shared" si="53"/>
        <v>45820.570024351851</v>
      </c>
      <c r="Q215" s="1" t="str">
        <f t="shared" si="49"/>
        <v>Externo</v>
      </c>
      <c r="R215" s="1">
        <f t="shared" si="54"/>
        <v>24</v>
      </c>
      <c r="S215" s="6">
        <f t="shared" si="55"/>
        <v>45817</v>
      </c>
      <c r="T215" s="1">
        <f t="shared" si="56"/>
        <v>24</v>
      </c>
      <c r="U215" s="6">
        <f t="shared" si="57"/>
        <v>45817</v>
      </c>
      <c r="V215" s="1">
        <f t="shared" si="58"/>
        <v>2.0897496180550661</v>
      </c>
      <c r="W215" s="1">
        <f t="shared" si="59"/>
        <v>2025</v>
      </c>
      <c r="X215" s="1">
        <f t="shared" si="60"/>
        <v>2025</v>
      </c>
      <c r="Y215" s="1" t="str">
        <f t="shared" si="50"/>
        <v>2025-06</v>
      </c>
      <c r="Z215" s="1" t="str">
        <f t="shared" si="51"/>
        <v>2025-06</v>
      </c>
    </row>
    <row r="216" spans="1:26" x14ac:dyDescent="0.2">
      <c r="A216" s="1" t="s">
        <v>543</v>
      </c>
      <c r="B216" s="1" t="s">
        <v>544</v>
      </c>
      <c r="C216" s="1" t="s">
        <v>13</v>
      </c>
      <c r="D216" s="3">
        <v>45818.570327118054</v>
      </c>
      <c r="E216" s="3">
        <v>45818.577462893518</v>
      </c>
      <c r="F216" s="1" t="s">
        <v>52</v>
      </c>
      <c r="G216" s="1" t="s">
        <v>53</v>
      </c>
      <c r="H216" s="1" t="s">
        <v>13</v>
      </c>
      <c r="I216" s="1" t="s">
        <v>18</v>
      </c>
      <c r="J216" s="1" t="s">
        <v>16</v>
      </c>
      <c r="K216" s="1" t="s">
        <v>15</v>
      </c>
      <c r="L216" s="1" t="s">
        <v>13</v>
      </c>
      <c r="M216" s="1" t="s">
        <v>13</v>
      </c>
      <c r="N216" s="1" t="str">
        <f t="shared" si="48"/>
        <v>TÉCNICO</v>
      </c>
      <c r="O216" s="3">
        <f t="shared" si="52"/>
        <v>45818.570327118054</v>
      </c>
      <c r="P216" s="3">
        <f t="shared" si="53"/>
        <v>45818.577462893518</v>
      </c>
      <c r="Q216" s="1" t="str">
        <f t="shared" si="49"/>
        <v>Interno</v>
      </c>
      <c r="R216" s="1">
        <f t="shared" si="54"/>
        <v>24</v>
      </c>
      <c r="S216" s="6">
        <f t="shared" si="55"/>
        <v>45817</v>
      </c>
      <c r="T216" s="1">
        <f t="shared" si="56"/>
        <v>24</v>
      </c>
      <c r="U216" s="6">
        <f t="shared" si="57"/>
        <v>45817</v>
      </c>
      <c r="V216" s="1">
        <f t="shared" si="58"/>
        <v>7.1357754641212523E-3</v>
      </c>
      <c r="W216" s="1">
        <f t="shared" si="59"/>
        <v>2025</v>
      </c>
      <c r="X216" s="1">
        <f t="shared" si="60"/>
        <v>2025</v>
      </c>
      <c r="Y216" s="1" t="str">
        <f t="shared" si="50"/>
        <v>2025-06</v>
      </c>
      <c r="Z216" s="1" t="str">
        <f t="shared" si="51"/>
        <v>2025-06</v>
      </c>
    </row>
    <row r="217" spans="1:26" x14ac:dyDescent="0.2">
      <c r="A217" s="1" t="s">
        <v>545</v>
      </c>
      <c r="B217" s="1" t="s">
        <v>546</v>
      </c>
      <c r="C217" s="1" t="s">
        <v>127</v>
      </c>
      <c r="D217" s="3">
        <v>45819.516794201387</v>
      </c>
      <c r="E217" s="3">
        <v>45820.569422326385</v>
      </c>
      <c r="F217" s="1" t="s">
        <v>52</v>
      </c>
      <c r="G217" s="1" t="s">
        <v>21</v>
      </c>
      <c r="H217" s="1" t="s">
        <v>13</v>
      </c>
      <c r="I217" s="1" t="s">
        <v>18</v>
      </c>
      <c r="J217" s="1" t="s">
        <v>16</v>
      </c>
      <c r="K217" s="1" t="s">
        <v>15</v>
      </c>
      <c r="L217" s="1" t="s">
        <v>13</v>
      </c>
      <c r="M217" s="1" t="s">
        <v>1163</v>
      </c>
      <c r="N217" s="1" t="str">
        <f t="shared" si="48"/>
        <v>SOPORTE</v>
      </c>
      <c r="O217" s="3">
        <f t="shared" si="52"/>
        <v>45819.516794201387</v>
      </c>
      <c r="P217" s="3">
        <f t="shared" si="53"/>
        <v>45820.569422326385</v>
      </c>
      <c r="Q217" s="1" t="str">
        <f t="shared" si="49"/>
        <v>Externo</v>
      </c>
      <c r="R217" s="1">
        <f t="shared" si="54"/>
        <v>24</v>
      </c>
      <c r="S217" s="6">
        <f t="shared" si="55"/>
        <v>45817</v>
      </c>
      <c r="T217" s="1">
        <f t="shared" si="56"/>
        <v>24</v>
      </c>
      <c r="U217" s="6">
        <f t="shared" si="57"/>
        <v>45817</v>
      </c>
      <c r="V217" s="1">
        <f t="shared" si="58"/>
        <v>1.0526281249985914</v>
      </c>
      <c r="W217" s="1">
        <f t="shared" si="59"/>
        <v>2025</v>
      </c>
      <c r="X217" s="1">
        <f t="shared" si="60"/>
        <v>2025</v>
      </c>
      <c r="Y217" s="1" t="str">
        <f t="shared" si="50"/>
        <v>2025-06</v>
      </c>
      <c r="Z217" s="1" t="str">
        <f t="shared" si="51"/>
        <v>2025-06</v>
      </c>
    </row>
    <row r="218" spans="1:26" x14ac:dyDescent="0.2">
      <c r="A218" s="1" t="s">
        <v>547</v>
      </c>
      <c r="B218" s="1" t="s">
        <v>548</v>
      </c>
      <c r="C218" s="1" t="s">
        <v>83</v>
      </c>
      <c r="D218" s="3">
        <v>45819.777160798614</v>
      </c>
      <c r="E218" s="3">
        <v>45834.659900949075</v>
      </c>
      <c r="F218" s="1" t="s">
        <v>52</v>
      </c>
      <c r="G218" s="1" t="s">
        <v>12</v>
      </c>
      <c r="H218" s="1" t="s">
        <v>13</v>
      </c>
      <c r="I218" s="1" t="s">
        <v>148</v>
      </c>
      <c r="J218" s="1" t="s">
        <v>16</v>
      </c>
      <c r="K218" s="1" t="s">
        <v>15</v>
      </c>
      <c r="L218" s="1" t="s">
        <v>549</v>
      </c>
      <c r="M218" s="1" t="s">
        <v>13</v>
      </c>
      <c r="N218" s="1" t="str">
        <f t="shared" si="48"/>
        <v>DESARROLLO</v>
      </c>
      <c r="O218" s="3">
        <f t="shared" si="52"/>
        <v>45819.777160798614</v>
      </c>
      <c r="P218" s="3">
        <f t="shared" si="53"/>
        <v>45834.659900949075</v>
      </c>
      <c r="Q218" s="1" t="str">
        <f t="shared" si="49"/>
        <v>Interno</v>
      </c>
      <c r="R218" s="1">
        <f t="shared" si="54"/>
        <v>24</v>
      </c>
      <c r="S218" s="6">
        <f t="shared" si="55"/>
        <v>45817</v>
      </c>
      <c r="T218" s="1">
        <f t="shared" si="56"/>
        <v>26</v>
      </c>
      <c r="U218" s="6">
        <f t="shared" si="57"/>
        <v>45831</v>
      </c>
      <c r="V218" s="1">
        <f t="shared" si="58"/>
        <v>14.88274015046045</v>
      </c>
      <c r="W218" s="1">
        <f t="shared" si="59"/>
        <v>2025</v>
      </c>
      <c r="X218" s="1">
        <f t="shared" si="60"/>
        <v>2025</v>
      </c>
      <c r="Y218" s="1" t="str">
        <f t="shared" si="50"/>
        <v>2025-06</v>
      </c>
      <c r="Z218" s="1" t="str">
        <f t="shared" si="51"/>
        <v>2025-06</v>
      </c>
    </row>
    <row r="219" spans="1:26" x14ac:dyDescent="0.2">
      <c r="A219" s="1" t="s">
        <v>550</v>
      </c>
      <c r="B219" s="1" t="s">
        <v>551</v>
      </c>
      <c r="C219" s="1" t="s">
        <v>83</v>
      </c>
      <c r="D219" s="3">
        <v>45820.561304814815</v>
      </c>
      <c r="E219" s="3">
        <v>45824.518405648145</v>
      </c>
      <c r="F219" s="1" t="s">
        <v>52</v>
      </c>
      <c r="G219" s="1" t="s">
        <v>21</v>
      </c>
      <c r="H219" s="1" t="s">
        <v>468</v>
      </c>
      <c r="I219" s="1" t="s">
        <v>18</v>
      </c>
      <c r="J219" s="1" t="s">
        <v>16</v>
      </c>
      <c r="K219" s="1" t="s">
        <v>15</v>
      </c>
      <c r="L219" s="1" t="s">
        <v>13</v>
      </c>
      <c r="M219" s="1" t="s">
        <v>1163</v>
      </c>
      <c r="N219" s="1" t="str">
        <f t="shared" si="48"/>
        <v>SOPORTE</v>
      </c>
      <c r="O219" s="3">
        <f t="shared" si="52"/>
        <v>45820.561304814815</v>
      </c>
      <c r="P219" s="3">
        <f t="shared" si="53"/>
        <v>45824.518405648145</v>
      </c>
      <c r="Q219" s="1" t="str">
        <f t="shared" si="49"/>
        <v>Externo</v>
      </c>
      <c r="R219" s="1">
        <f t="shared" si="54"/>
        <v>24</v>
      </c>
      <c r="S219" s="6">
        <f t="shared" si="55"/>
        <v>45817</v>
      </c>
      <c r="T219" s="1">
        <f t="shared" si="56"/>
        <v>25</v>
      </c>
      <c r="U219" s="6">
        <f t="shared" si="57"/>
        <v>45824</v>
      </c>
      <c r="V219" s="1">
        <f t="shared" si="58"/>
        <v>3.9571008333296049</v>
      </c>
      <c r="W219" s="1">
        <f t="shared" si="59"/>
        <v>2025</v>
      </c>
      <c r="X219" s="1">
        <f t="shared" si="60"/>
        <v>2025</v>
      </c>
      <c r="Y219" s="1" t="str">
        <f t="shared" si="50"/>
        <v>2025-06</v>
      </c>
      <c r="Z219" s="1" t="str">
        <f t="shared" si="51"/>
        <v>2025-06</v>
      </c>
    </row>
    <row r="220" spans="1:26" x14ac:dyDescent="0.2">
      <c r="A220" s="1" t="s">
        <v>552</v>
      </c>
      <c r="B220" s="1" t="s">
        <v>553</v>
      </c>
      <c r="C220" s="1" t="s">
        <v>13</v>
      </c>
      <c r="D220" s="3">
        <v>45820.566122870368</v>
      </c>
      <c r="E220" s="3">
        <v>45824.518912893516</v>
      </c>
      <c r="F220" s="1" t="s">
        <v>52</v>
      </c>
      <c r="G220" s="1" t="s">
        <v>21</v>
      </c>
      <c r="H220" s="1" t="s">
        <v>468</v>
      </c>
      <c r="I220" s="1" t="s">
        <v>18</v>
      </c>
      <c r="J220" s="1" t="s">
        <v>16</v>
      </c>
      <c r="K220" s="1" t="s">
        <v>15</v>
      </c>
      <c r="L220" s="1" t="s">
        <v>13</v>
      </c>
      <c r="M220" s="1" t="s">
        <v>1163</v>
      </c>
      <c r="N220" s="1" t="str">
        <f t="shared" si="48"/>
        <v>SOPORTE</v>
      </c>
      <c r="O220" s="3">
        <f t="shared" si="52"/>
        <v>45820.566122870368</v>
      </c>
      <c r="P220" s="3">
        <f t="shared" si="53"/>
        <v>45824.518912893516</v>
      </c>
      <c r="Q220" s="1" t="str">
        <f t="shared" si="49"/>
        <v>Externo</v>
      </c>
      <c r="R220" s="1">
        <f t="shared" si="54"/>
        <v>24</v>
      </c>
      <c r="S220" s="6">
        <f t="shared" si="55"/>
        <v>45817</v>
      </c>
      <c r="T220" s="1">
        <f t="shared" si="56"/>
        <v>25</v>
      </c>
      <c r="U220" s="6">
        <f t="shared" si="57"/>
        <v>45824</v>
      </c>
      <c r="V220" s="1">
        <f t="shared" si="58"/>
        <v>3.952790023147827</v>
      </c>
      <c r="W220" s="1">
        <f t="shared" si="59"/>
        <v>2025</v>
      </c>
      <c r="X220" s="1">
        <f t="shared" si="60"/>
        <v>2025</v>
      </c>
      <c r="Y220" s="1" t="str">
        <f t="shared" si="50"/>
        <v>2025-06</v>
      </c>
      <c r="Z220" s="1" t="str">
        <f t="shared" si="51"/>
        <v>2025-06</v>
      </c>
    </row>
    <row r="221" spans="1:26" x14ac:dyDescent="0.2">
      <c r="A221" s="1" t="s">
        <v>554</v>
      </c>
      <c r="B221" s="1" t="s">
        <v>555</v>
      </c>
      <c r="C221" s="1" t="s">
        <v>78</v>
      </c>
      <c r="D221" s="3">
        <v>45820.671963136578</v>
      </c>
      <c r="E221" s="3">
        <v>45861.485337465281</v>
      </c>
      <c r="F221" s="1" t="s">
        <v>52</v>
      </c>
      <c r="G221" s="1" t="s">
        <v>12</v>
      </c>
      <c r="H221" s="1" t="s">
        <v>13</v>
      </c>
      <c r="I221" s="1" t="s">
        <v>18</v>
      </c>
      <c r="J221" s="1" t="s">
        <v>16</v>
      </c>
      <c r="K221" s="1" t="s">
        <v>15</v>
      </c>
      <c r="L221" s="1" t="s">
        <v>556</v>
      </c>
      <c r="M221" s="1" t="s">
        <v>1163</v>
      </c>
      <c r="N221" s="1" t="str">
        <f t="shared" si="48"/>
        <v>DESARROLLO</v>
      </c>
      <c r="O221" s="3">
        <f t="shared" si="52"/>
        <v>45820.671963136578</v>
      </c>
      <c r="P221" s="3">
        <f t="shared" si="53"/>
        <v>45861.485337465281</v>
      </c>
      <c r="Q221" s="1" t="str">
        <f t="shared" si="49"/>
        <v>Interno</v>
      </c>
      <c r="R221" s="1">
        <f t="shared" si="54"/>
        <v>24</v>
      </c>
      <c r="S221" s="6">
        <f t="shared" si="55"/>
        <v>45817</v>
      </c>
      <c r="T221" s="1">
        <f t="shared" si="56"/>
        <v>30</v>
      </c>
      <c r="U221" s="6">
        <f t="shared" si="57"/>
        <v>45859</v>
      </c>
      <c r="V221" s="1">
        <f t="shared" si="58"/>
        <v>40.813374328703503</v>
      </c>
      <c r="W221" s="1">
        <f t="shared" si="59"/>
        <v>2025</v>
      </c>
      <c r="X221" s="1">
        <f t="shared" si="60"/>
        <v>2025</v>
      </c>
      <c r="Y221" s="1" t="str">
        <f t="shared" si="50"/>
        <v>2025-06</v>
      </c>
      <c r="Z221" s="1" t="str">
        <f t="shared" si="51"/>
        <v>2025-07</v>
      </c>
    </row>
    <row r="222" spans="1:26" x14ac:dyDescent="0.2">
      <c r="A222" s="1" t="s">
        <v>557</v>
      </c>
      <c r="B222" s="1" t="s">
        <v>558</v>
      </c>
      <c r="C222" s="1" t="s">
        <v>83</v>
      </c>
      <c r="D222" s="3">
        <v>45821.511167106481</v>
      </c>
      <c r="E222" s="3">
        <v>45831.428836284722</v>
      </c>
      <c r="F222" s="1" t="s">
        <v>52</v>
      </c>
      <c r="G222" s="1" t="s">
        <v>12</v>
      </c>
      <c r="H222" s="1" t="s">
        <v>13</v>
      </c>
      <c r="I222" s="1" t="s">
        <v>18</v>
      </c>
      <c r="J222" s="1" t="s">
        <v>16</v>
      </c>
      <c r="K222" s="1" t="s">
        <v>15</v>
      </c>
      <c r="L222" s="1" t="s">
        <v>13</v>
      </c>
      <c r="M222" s="1" t="s">
        <v>1163</v>
      </c>
      <c r="N222" s="1" t="str">
        <f t="shared" si="48"/>
        <v>DESARROLLO</v>
      </c>
      <c r="O222" s="3">
        <f t="shared" si="52"/>
        <v>45821.511167106481</v>
      </c>
      <c r="P222" s="3">
        <f t="shared" si="53"/>
        <v>45831.428836284722</v>
      </c>
      <c r="Q222" s="1" t="str">
        <f t="shared" si="49"/>
        <v>Interno</v>
      </c>
      <c r="R222" s="1">
        <f t="shared" si="54"/>
        <v>24</v>
      </c>
      <c r="S222" s="6">
        <f t="shared" si="55"/>
        <v>45817</v>
      </c>
      <c r="T222" s="1">
        <f t="shared" si="56"/>
        <v>26</v>
      </c>
      <c r="U222" s="6">
        <f t="shared" si="57"/>
        <v>45831</v>
      </c>
      <c r="V222" s="1">
        <f t="shared" si="58"/>
        <v>9.91766917824134</v>
      </c>
      <c r="W222" s="1">
        <f t="shared" si="59"/>
        <v>2025</v>
      </c>
      <c r="X222" s="1">
        <f t="shared" si="60"/>
        <v>2025</v>
      </c>
      <c r="Y222" s="1" t="str">
        <f t="shared" si="50"/>
        <v>2025-06</v>
      </c>
      <c r="Z222" s="1" t="str">
        <f t="shared" si="51"/>
        <v>2025-06</v>
      </c>
    </row>
    <row r="223" spans="1:26" x14ac:dyDescent="0.2">
      <c r="A223" s="1" t="s">
        <v>559</v>
      </c>
      <c r="B223" s="1" t="s">
        <v>560</v>
      </c>
      <c r="C223" s="1" t="s">
        <v>13</v>
      </c>
      <c r="D223" s="3">
        <v>45823.666053379631</v>
      </c>
      <c r="E223" s="1" t="s">
        <v>13</v>
      </c>
      <c r="F223" s="1" t="s">
        <v>52</v>
      </c>
      <c r="G223" s="1" t="s">
        <v>53</v>
      </c>
      <c r="H223" s="1" t="s">
        <v>13</v>
      </c>
      <c r="I223" s="1" t="s">
        <v>18</v>
      </c>
      <c r="J223" s="1" t="s">
        <v>16</v>
      </c>
      <c r="K223" s="1" t="s">
        <v>492</v>
      </c>
      <c r="L223" s="1" t="s">
        <v>13</v>
      </c>
      <c r="M223" s="1" t="s">
        <v>13</v>
      </c>
      <c r="N223" s="1" t="str">
        <f t="shared" si="48"/>
        <v>TÉCNICO</v>
      </c>
      <c r="O223" s="3">
        <f t="shared" si="52"/>
        <v>45823.666053379631</v>
      </c>
      <c r="P223" s="3" t="str">
        <f t="shared" si="53"/>
        <v/>
      </c>
      <c r="Q223" s="1" t="str">
        <f t="shared" si="49"/>
        <v>Interno</v>
      </c>
      <c r="R223" s="1">
        <f t="shared" si="54"/>
        <v>25</v>
      </c>
      <c r="S223" s="6">
        <f t="shared" si="55"/>
        <v>45824</v>
      </c>
      <c r="T223" s="1" t="e">
        <f t="shared" si="56"/>
        <v>#VALUE!</v>
      </c>
      <c r="U223" s="6" t="e">
        <f t="shared" si="57"/>
        <v>#VALUE!</v>
      </c>
      <c r="V223" s="1" t="e">
        <f t="shared" si="58"/>
        <v>#VALUE!</v>
      </c>
      <c r="W223" s="1">
        <f t="shared" si="59"/>
        <v>2025</v>
      </c>
      <c r="X223" s="1" t="e">
        <f t="shared" si="60"/>
        <v>#VALUE!</v>
      </c>
      <c r="Y223" s="1" t="str">
        <f t="shared" si="50"/>
        <v>2025-06</v>
      </c>
      <c r="Z223" s="1" t="e">
        <f t="shared" si="51"/>
        <v>#VALUE!</v>
      </c>
    </row>
    <row r="224" spans="1:26" x14ac:dyDescent="0.2">
      <c r="A224" s="1" t="s">
        <v>561</v>
      </c>
      <c r="B224" s="1" t="s">
        <v>562</v>
      </c>
      <c r="C224" s="1" t="s">
        <v>13</v>
      </c>
      <c r="D224" s="3">
        <v>45824.516983564812</v>
      </c>
      <c r="E224" s="3">
        <v>45824.579844930558</v>
      </c>
      <c r="F224" s="1" t="s">
        <v>52</v>
      </c>
      <c r="G224" s="1" t="s">
        <v>21</v>
      </c>
      <c r="H224" s="1" t="s">
        <v>468</v>
      </c>
      <c r="I224" s="1" t="s">
        <v>18</v>
      </c>
      <c r="J224" s="1" t="s">
        <v>16</v>
      </c>
      <c r="K224" s="1" t="s">
        <v>15</v>
      </c>
      <c r="L224" s="1" t="s">
        <v>13</v>
      </c>
      <c r="M224" s="1" t="s">
        <v>13</v>
      </c>
      <c r="N224" s="1" t="str">
        <f t="shared" si="48"/>
        <v>SOPORTE</v>
      </c>
      <c r="O224" s="3">
        <f t="shared" si="52"/>
        <v>45824.516983564812</v>
      </c>
      <c r="P224" s="3">
        <f t="shared" si="53"/>
        <v>45824.579844930558</v>
      </c>
      <c r="Q224" s="1" t="str">
        <f t="shared" si="49"/>
        <v>Externo</v>
      </c>
      <c r="R224" s="1">
        <f t="shared" si="54"/>
        <v>25</v>
      </c>
      <c r="S224" s="6">
        <f t="shared" si="55"/>
        <v>45824</v>
      </c>
      <c r="T224" s="1">
        <f t="shared" si="56"/>
        <v>25</v>
      </c>
      <c r="U224" s="6">
        <f t="shared" si="57"/>
        <v>45824</v>
      </c>
      <c r="V224" s="1">
        <f t="shared" si="58"/>
        <v>6.2861365746357478E-2</v>
      </c>
      <c r="W224" s="1">
        <f t="shared" si="59"/>
        <v>2025</v>
      </c>
      <c r="X224" s="1">
        <f t="shared" si="60"/>
        <v>2025</v>
      </c>
      <c r="Y224" s="1" t="str">
        <f t="shared" si="50"/>
        <v>2025-06</v>
      </c>
      <c r="Z224" s="1" t="str">
        <f t="shared" si="51"/>
        <v>2025-06</v>
      </c>
    </row>
    <row r="225" spans="1:26" x14ac:dyDescent="0.2">
      <c r="A225" s="1" t="s">
        <v>563</v>
      </c>
      <c r="B225" s="1" t="s">
        <v>564</v>
      </c>
      <c r="C225" s="1" t="s">
        <v>124</v>
      </c>
      <c r="D225" s="3">
        <v>45824.520059814815</v>
      </c>
      <c r="E225" s="3">
        <v>45827.34732015046</v>
      </c>
      <c r="F225" s="1" t="s">
        <v>52</v>
      </c>
      <c r="G225" s="1" t="s">
        <v>21</v>
      </c>
      <c r="H225" s="1" t="s">
        <v>13</v>
      </c>
      <c r="I225" s="1" t="s">
        <v>18</v>
      </c>
      <c r="J225" s="1" t="s">
        <v>16</v>
      </c>
      <c r="K225" s="1" t="s">
        <v>15</v>
      </c>
      <c r="L225" s="1" t="s">
        <v>13</v>
      </c>
      <c r="M225" s="1" t="s">
        <v>1163</v>
      </c>
      <c r="N225" s="1" t="str">
        <f t="shared" si="48"/>
        <v>SOPORTE</v>
      </c>
      <c r="O225" s="3">
        <f t="shared" si="52"/>
        <v>45824.520059814815</v>
      </c>
      <c r="P225" s="3">
        <f t="shared" si="53"/>
        <v>45827.34732015046</v>
      </c>
      <c r="Q225" s="1" t="str">
        <f t="shared" si="49"/>
        <v>Externo</v>
      </c>
      <c r="R225" s="1">
        <f t="shared" si="54"/>
        <v>25</v>
      </c>
      <c r="S225" s="6">
        <f t="shared" si="55"/>
        <v>45824</v>
      </c>
      <c r="T225" s="1">
        <f t="shared" si="56"/>
        <v>25</v>
      </c>
      <c r="U225" s="6">
        <f t="shared" si="57"/>
        <v>45824</v>
      </c>
      <c r="V225" s="1">
        <f t="shared" si="58"/>
        <v>2.8272603356454056</v>
      </c>
      <c r="W225" s="1">
        <f t="shared" si="59"/>
        <v>2025</v>
      </c>
      <c r="X225" s="1">
        <f t="shared" si="60"/>
        <v>2025</v>
      </c>
      <c r="Y225" s="1" t="str">
        <f t="shared" si="50"/>
        <v>2025-06</v>
      </c>
      <c r="Z225" s="1" t="str">
        <f t="shared" si="51"/>
        <v>2025-06</v>
      </c>
    </row>
    <row r="226" spans="1:26" x14ac:dyDescent="0.2">
      <c r="A226" s="1" t="s">
        <v>565</v>
      </c>
      <c r="B226" s="1" t="s">
        <v>566</v>
      </c>
      <c r="C226" s="1" t="s">
        <v>58</v>
      </c>
      <c r="D226" s="3">
        <v>45824.574652696756</v>
      </c>
      <c r="E226" s="3">
        <v>45824.592286921295</v>
      </c>
      <c r="F226" s="1" t="s">
        <v>52</v>
      </c>
      <c r="G226" s="1" t="s">
        <v>21</v>
      </c>
      <c r="H226" s="1" t="s">
        <v>13</v>
      </c>
      <c r="I226" s="1" t="s">
        <v>18</v>
      </c>
      <c r="J226" s="1" t="s">
        <v>16</v>
      </c>
      <c r="K226" s="1" t="s">
        <v>15</v>
      </c>
      <c r="L226" s="1" t="s">
        <v>13</v>
      </c>
      <c r="M226" s="1" t="s">
        <v>13</v>
      </c>
      <c r="N226" s="1" t="str">
        <f t="shared" si="48"/>
        <v>SOPORTE</v>
      </c>
      <c r="O226" s="3">
        <f t="shared" si="52"/>
        <v>45824.574652696756</v>
      </c>
      <c r="P226" s="3">
        <f t="shared" si="53"/>
        <v>45824.592286921295</v>
      </c>
      <c r="Q226" s="1" t="str">
        <f t="shared" si="49"/>
        <v>Externo</v>
      </c>
      <c r="R226" s="1">
        <f t="shared" si="54"/>
        <v>25</v>
      </c>
      <c r="S226" s="6">
        <f t="shared" si="55"/>
        <v>45824</v>
      </c>
      <c r="T226" s="1">
        <f t="shared" si="56"/>
        <v>25</v>
      </c>
      <c r="U226" s="6">
        <f t="shared" si="57"/>
        <v>45824</v>
      </c>
      <c r="V226" s="1">
        <f t="shared" si="58"/>
        <v>1.7634224539506249E-2</v>
      </c>
      <c r="W226" s="1">
        <f t="shared" si="59"/>
        <v>2025</v>
      </c>
      <c r="X226" s="1">
        <f t="shared" si="60"/>
        <v>2025</v>
      </c>
      <c r="Y226" s="1" t="str">
        <f t="shared" si="50"/>
        <v>2025-06</v>
      </c>
      <c r="Z226" s="1" t="str">
        <f t="shared" si="51"/>
        <v>2025-06</v>
      </c>
    </row>
    <row r="227" spans="1:26" x14ac:dyDescent="0.2">
      <c r="A227" s="1" t="s">
        <v>567</v>
      </c>
      <c r="B227" s="1" t="s">
        <v>568</v>
      </c>
      <c r="C227" s="1" t="s">
        <v>124</v>
      </c>
      <c r="D227" s="3">
        <v>45824.58297797454</v>
      </c>
      <c r="E227" s="3">
        <v>45827.347934594909</v>
      </c>
      <c r="F227" s="1" t="s">
        <v>52</v>
      </c>
      <c r="G227" s="1" t="s">
        <v>21</v>
      </c>
      <c r="H227" s="1" t="s">
        <v>13</v>
      </c>
      <c r="I227" s="1" t="s">
        <v>18</v>
      </c>
      <c r="J227" s="1" t="s">
        <v>16</v>
      </c>
      <c r="K227" s="1" t="s">
        <v>15</v>
      </c>
      <c r="L227" s="1" t="s">
        <v>13</v>
      </c>
      <c r="M227" s="1" t="s">
        <v>1163</v>
      </c>
      <c r="N227" s="1" t="str">
        <f t="shared" si="48"/>
        <v>SOPORTE</v>
      </c>
      <c r="O227" s="3">
        <f t="shared" si="52"/>
        <v>45824.58297797454</v>
      </c>
      <c r="P227" s="3">
        <f t="shared" si="53"/>
        <v>45827.347934594909</v>
      </c>
      <c r="Q227" s="1" t="str">
        <f t="shared" si="49"/>
        <v>Externo</v>
      </c>
      <c r="R227" s="1">
        <f t="shared" si="54"/>
        <v>25</v>
      </c>
      <c r="S227" s="6">
        <f t="shared" si="55"/>
        <v>45824</v>
      </c>
      <c r="T227" s="1">
        <f t="shared" si="56"/>
        <v>25</v>
      </c>
      <c r="U227" s="6">
        <f t="shared" si="57"/>
        <v>45824</v>
      </c>
      <c r="V227" s="1">
        <f t="shared" si="58"/>
        <v>2.7649566203690483</v>
      </c>
      <c r="W227" s="1">
        <f t="shared" si="59"/>
        <v>2025</v>
      </c>
      <c r="X227" s="1">
        <f t="shared" si="60"/>
        <v>2025</v>
      </c>
      <c r="Y227" s="1" t="str">
        <f t="shared" si="50"/>
        <v>2025-06</v>
      </c>
      <c r="Z227" s="1" t="str">
        <f t="shared" si="51"/>
        <v>2025-06</v>
      </c>
    </row>
    <row r="228" spans="1:26" x14ac:dyDescent="0.2">
      <c r="A228" s="1" t="s">
        <v>569</v>
      </c>
      <c r="B228" s="1" t="s">
        <v>570</v>
      </c>
      <c r="C228" s="1" t="s">
        <v>109</v>
      </c>
      <c r="D228" s="3">
        <v>45824.611322951387</v>
      </c>
      <c r="E228" s="3">
        <v>45833.398986712964</v>
      </c>
      <c r="F228" s="1" t="s">
        <v>52</v>
      </c>
      <c r="G228" s="1" t="s">
        <v>21</v>
      </c>
      <c r="H228" s="1" t="s">
        <v>571</v>
      </c>
      <c r="I228" s="1" t="s">
        <v>18</v>
      </c>
      <c r="J228" s="1" t="s">
        <v>16</v>
      </c>
      <c r="K228" s="1" t="s">
        <v>15</v>
      </c>
      <c r="L228" s="1" t="s">
        <v>13</v>
      </c>
      <c r="M228" s="1" t="s">
        <v>1163</v>
      </c>
      <c r="N228" s="1" t="str">
        <f t="shared" si="48"/>
        <v>SOPORTE</v>
      </c>
      <c r="O228" s="3">
        <f t="shared" si="52"/>
        <v>45824.611322951387</v>
      </c>
      <c r="P228" s="3">
        <f t="shared" si="53"/>
        <v>45833.398986712964</v>
      </c>
      <c r="Q228" s="1" t="str">
        <f t="shared" si="49"/>
        <v>Externo</v>
      </c>
      <c r="R228" s="1">
        <f t="shared" si="54"/>
        <v>25</v>
      </c>
      <c r="S228" s="6">
        <f t="shared" si="55"/>
        <v>45824</v>
      </c>
      <c r="T228" s="1">
        <f t="shared" si="56"/>
        <v>26</v>
      </c>
      <c r="U228" s="6">
        <f t="shared" si="57"/>
        <v>45831</v>
      </c>
      <c r="V228" s="1">
        <f t="shared" si="58"/>
        <v>8.7876637615772779</v>
      </c>
      <c r="W228" s="1">
        <f t="shared" si="59"/>
        <v>2025</v>
      </c>
      <c r="X228" s="1">
        <f t="shared" si="60"/>
        <v>2025</v>
      </c>
      <c r="Y228" s="1" t="str">
        <f t="shared" si="50"/>
        <v>2025-06</v>
      </c>
      <c r="Z228" s="1" t="str">
        <f t="shared" si="51"/>
        <v>2025-06</v>
      </c>
    </row>
    <row r="229" spans="1:26" x14ac:dyDescent="0.2">
      <c r="A229" s="1" t="s">
        <v>572</v>
      </c>
      <c r="B229" s="1" t="s">
        <v>573</v>
      </c>
      <c r="C229" s="1" t="s">
        <v>13</v>
      </c>
      <c r="D229" s="3">
        <v>45824.68246758102</v>
      </c>
      <c r="E229" s="3">
        <v>45825.805801886578</v>
      </c>
      <c r="F229" s="1" t="s">
        <v>52</v>
      </c>
      <c r="G229" s="1" t="s">
        <v>21</v>
      </c>
      <c r="H229" s="1" t="s">
        <v>13</v>
      </c>
      <c r="I229" s="1" t="s">
        <v>18</v>
      </c>
      <c r="J229" s="1" t="s">
        <v>16</v>
      </c>
      <c r="K229" s="1" t="s">
        <v>15</v>
      </c>
      <c r="L229" s="1" t="s">
        <v>13</v>
      </c>
      <c r="M229" s="1" t="s">
        <v>1163</v>
      </c>
      <c r="N229" s="1" t="str">
        <f t="shared" si="48"/>
        <v>SOPORTE</v>
      </c>
      <c r="O229" s="3">
        <f t="shared" si="52"/>
        <v>45824.68246758102</v>
      </c>
      <c r="P229" s="3">
        <f t="shared" si="53"/>
        <v>45825.805801886578</v>
      </c>
      <c r="Q229" s="1" t="str">
        <f t="shared" si="49"/>
        <v>Externo</v>
      </c>
      <c r="R229" s="1">
        <f t="shared" si="54"/>
        <v>25</v>
      </c>
      <c r="S229" s="6">
        <f t="shared" si="55"/>
        <v>45824</v>
      </c>
      <c r="T229" s="1">
        <f t="shared" si="56"/>
        <v>25</v>
      </c>
      <c r="U229" s="6">
        <f t="shared" si="57"/>
        <v>45824</v>
      </c>
      <c r="V229" s="1">
        <f t="shared" si="58"/>
        <v>1.1233343055573641</v>
      </c>
      <c r="W229" s="1">
        <f t="shared" si="59"/>
        <v>2025</v>
      </c>
      <c r="X229" s="1">
        <f t="shared" si="60"/>
        <v>2025</v>
      </c>
      <c r="Y229" s="1" t="str">
        <f t="shared" si="50"/>
        <v>2025-06</v>
      </c>
      <c r="Z229" s="1" t="str">
        <f t="shared" si="51"/>
        <v>2025-06</v>
      </c>
    </row>
    <row r="230" spans="1:26" x14ac:dyDescent="0.2">
      <c r="A230" s="1" t="s">
        <v>574</v>
      </c>
      <c r="B230" s="1" t="s">
        <v>575</v>
      </c>
      <c r="C230" s="1" t="s">
        <v>184</v>
      </c>
      <c r="D230" s="3">
        <v>45825.362464814818</v>
      </c>
      <c r="E230" s="3">
        <v>45834.453545706019</v>
      </c>
      <c r="F230" s="1" t="s">
        <v>52</v>
      </c>
      <c r="G230" s="1" t="s">
        <v>21</v>
      </c>
      <c r="H230" s="1" t="s">
        <v>571</v>
      </c>
      <c r="I230" s="1" t="s">
        <v>18</v>
      </c>
      <c r="J230" s="1" t="s">
        <v>16</v>
      </c>
      <c r="K230" s="1" t="s">
        <v>15</v>
      </c>
      <c r="L230" s="1" t="s">
        <v>13</v>
      </c>
      <c r="M230" s="1" t="s">
        <v>13</v>
      </c>
      <c r="N230" s="1" t="str">
        <f t="shared" si="48"/>
        <v>SOPORTE</v>
      </c>
      <c r="O230" s="3">
        <f t="shared" si="52"/>
        <v>45825.362464814818</v>
      </c>
      <c r="P230" s="3">
        <f t="shared" si="53"/>
        <v>45834.453545706019</v>
      </c>
      <c r="Q230" s="1" t="str">
        <f t="shared" si="49"/>
        <v>Externo</v>
      </c>
      <c r="R230" s="1">
        <f t="shared" si="54"/>
        <v>25</v>
      </c>
      <c r="S230" s="6">
        <f t="shared" si="55"/>
        <v>45824</v>
      </c>
      <c r="T230" s="1">
        <f t="shared" si="56"/>
        <v>26</v>
      </c>
      <c r="U230" s="6">
        <f t="shared" si="57"/>
        <v>45831</v>
      </c>
      <c r="V230" s="1">
        <f t="shared" si="58"/>
        <v>9.0910808912012726</v>
      </c>
      <c r="W230" s="1">
        <f t="shared" si="59"/>
        <v>2025</v>
      </c>
      <c r="X230" s="1">
        <f t="shared" si="60"/>
        <v>2025</v>
      </c>
      <c r="Y230" s="1" t="str">
        <f t="shared" si="50"/>
        <v>2025-06</v>
      </c>
      <c r="Z230" s="1" t="str">
        <f t="shared" si="51"/>
        <v>2025-06</v>
      </c>
    </row>
    <row r="231" spans="1:26" x14ac:dyDescent="0.2">
      <c r="A231" s="1" t="s">
        <v>576</v>
      </c>
      <c r="B231" s="1" t="s">
        <v>577</v>
      </c>
      <c r="C231" s="1" t="s">
        <v>156</v>
      </c>
      <c r="D231" s="3">
        <v>45825.431477106482</v>
      </c>
      <c r="E231" s="3">
        <v>45834.453901793982</v>
      </c>
      <c r="F231" s="1" t="s">
        <v>52</v>
      </c>
      <c r="G231" s="1" t="s">
        <v>21</v>
      </c>
      <c r="H231" s="1" t="s">
        <v>468</v>
      </c>
      <c r="I231" s="1" t="s">
        <v>18</v>
      </c>
      <c r="J231" s="1" t="s">
        <v>16</v>
      </c>
      <c r="K231" s="1" t="s">
        <v>15</v>
      </c>
      <c r="L231" s="1" t="s">
        <v>13</v>
      </c>
      <c r="M231" s="1" t="s">
        <v>1163</v>
      </c>
      <c r="N231" s="1" t="str">
        <f t="shared" si="48"/>
        <v>SOPORTE</v>
      </c>
      <c r="O231" s="3">
        <f t="shared" si="52"/>
        <v>45825.431477106482</v>
      </c>
      <c r="P231" s="3">
        <f t="shared" si="53"/>
        <v>45834.453901793982</v>
      </c>
      <c r="Q231" s="1" t="str">
        <f t="shared" si="49"/>
        <v>Externo</v>
      </c>
      <c r="R231" s="1">
        <f t="shared" si="54"/>
        <v>25</v>
      </c>
      <c r="S231" s="6">
        <f t="shared" si="55"/>
        <v>45824</v>
      </c>
      <c r="T231" s="1">
        <f t="shared" si="56"/>
        <v>26</v>
      </c>
      <c r="U231" s="6">
        <f t="shared" si="57"/>
        <v>45831</v>
      </c>
      <c r="V231" s="1">
        <f t="shared" si="58"/>
        <v>9.022424687500461</v>
      </c>
      <c r="W231" s="1">
        <f t="shared" si="59"/>
        <v>2025</v>
      </c>
      <c r="X231" s="1">
        <f t="shared" si="60"/>
        <v>2025</v>
      </c>
      <c r="Y231" s="1" t="str">
        <f t="shared" si="50"/>
        <v>2025-06</v>
      </c>
      <c r="Z231" s="1" t="str">
        <f t="shared" si="51"/>
        <v>2025-06</v>
      </c>
    </row>
    <row r="232" spans="1:26" x14ac:dyDescent="0.2">
      <c r="A232" s="1" t="s">
        <v>578</v>
      </c>
      <c r="B232" s="1" t="s">
        <v>579</v>
      </c>
      <c r="C232" s="1" t="s">
        <v>58</v>
      </c>
      <c r="D232" s="3">
        <v>45825.432417696757</v>
      </c>
      <c r="E232" s="3">
        <v>45826.463053125</v>
      </c>
      <c r="F232" s="1" t="s">
        <v>52</v>
      </c>
      <c r="G232" s="1" t="s">
        <v>21</v>
      </c>
      <c r="H232" s="1" t="s">
        <v>571</v>
      </c>
      <c r="I232" s="1" t="s">
        <v>18</v>
      </c>
      <c r="J232" s="1" t="s">
        <v>16</v>
      </c>
      <c r="K232" s="1" t="s">
        <v>15</v>
      </c>
      <c r="L232" s="1" t="s">
        <v>13</v>
      </c>
      <c r="M232" s="1" t="s">
        <v>1163</v>
      </c>
      <c r="N232" s="1" t="str">
        <f t="shared" si="48"/>
        <v>SOPORTE</v>
      </c>
      <c r="O232" s="3">
        <f t="shared" si="52"/>
        <v>45825.432417696757</v>
      </c>
      <c r="P232" s="3">
        <f t="shared" si="53"/>
        <v>45826.463053125</v>
      </c>
      <c r="Q232" s="1" t="str">
        <f t="shared" si="49"/>
        <v>Externo</v>
      </c>
      <c r="R232" s="1">
        <f t="shared" si="54"/>
        <v>25</v>
      </c>
      <c r="S232" s="6">
        <f t="shared" si="55"/>
        <v>45824</v>
      </c>
      <c r="T232" s="1">
        <f t="shared" si="56"/>
        <v>25</v>
      </c>
      <c r="U232" s="6">
        <f t="shared" si="57"/>
        <v>45824</v>
      </c>
      <c r="V232" s="1">
        <f t="shared" si="58"/>
        <v>1.0306354282438406</v>
      </c>
      <c r="W232" s="1">
        <f t="shared" si="59"/>
        <v>2025</v>
      </c>
      <c r="X232" s="1">
        <f t="shared" si="60"/>
        <v>2025</v>
      </c>
      <c r="Y232" s="1" t="str">
        <f t="shared" si="50"/>
        <v>2025-06</v>
      </c>
      <c r="Z232" s="1" t="str">
        <f t="shared" si="51"/>
        <v>2025-06</v>
      </c>
    </row>
    <row r="233" spans="1:26" x14ac:dyDescent="0.2">
      <c r="A233" s="1" t="s">
        <v>580</v>
      </c>
      <c r="B233" s="1" t="s">
        <v>581</v>
      </c>
      <c r="C233" s="1" t="s">
        <v>13</v>
      </c>
      <c r="D233" s="3">
        <v>45825.513805138886</v>
      </c>
      <c r="E233" s="3">
        <v>45856.492866377317</v>
      </c>
      <c r="F233" s="1" t="s">
        <v>52</v>
      </c>
      <c r="G233" s="1" t="s">
        <v>21</v>
      </c>
      <c r="H233" s="1" t="s">
        <v>468</v>
      </c>
      <c r="I233" s="1" t="s">
        <v>18</v>
      </c>
      <c r="J233" s="1" t="s">
        <v>16</v>
      </c>
      <c r="K233" s="1" t="s">
        <v>15</v>
      </c>
      <c r="L233" s="1" t="s">
        <v>13</v>
      </c>
      <c r="M233" s="1" t="s">
        <v>13</v>
      </c>
      <c r="N233" s="1" t="str">
        <f t="shared" si="48"/>
        <v>SOPORTE</v>
      </c>
      <c r="O233" s="3">
        <f t="shared" si="52"/>
        <v>45825.513805138886</v>
      </c>
      <c r="P233" s="3">
        <f t="shared" si="53"/>
        <v>45856.492866377317</v>
      </c>
      <c r="Q233" s="1" t="str">
        <f t="shared" si="49"/>
        <v>Externo</v>
      </c>
      <c r="R233" s="1">
        <f t="shared" si="54"/>
        <v>25</v>
      </c>
      <c r="S233" s="6">
        <f t="shared" si="55"/>
        <v>45824</v>
      </c>
      <c r="T233" s="1">
        <f t="shared" si="56"/>
        <v>29</v>
      </c>
      <c r="U233" s="6">
        <f t="shared" si="57"/>
        <v>45852</v>
      </c>
      <c r="V233" s="1">
        <f t="shared" si="58"/>
        <v>30.979061238431314</v>
      </c>
      <c r="W233" s="1">
        <f t="shared" si="59"/>
        <v>2025</v>
      </c>
      <c r="X233" s="1">
        <f t="shared" si="60"/>
        <v>2025</v>
      </c>
      <c r="Y233" s="1" t="str">
        <f t="shared" si="50"/>
        <v>2025-06</v>
      </c>
      <c r="Z233" s="1" t="str">
        <f t="shared" si="51"/>
        <v>2025-07</v>
      </c>
    </row>
    <row r="234" spans="1:26" x14ac:dyDescent="0.2">
      <c r="A234" s="1" t="s">
        <v>582</v>
      </c>
      <c r="B234" s="1" t="s">
        <v>583</v>
      </c>
      <c r="C234" s="1" t="s">
        <v>584</v>
      </c>
      <c r="D234" s="3">
        <v>45825.645263935185</v>
      </c>
      <c r="E234" s="3">
        <v>45834.454321631943</v>
      </c>
      <c r="F234" s="1" t="s">
        <v>52</v>
      </c>
      <c r="G234" s="1" t="s">
        <v>21</v>
      </c>
      <c r="H234" s="1" t="s">
        <v>571</v>
      </c>
      <c r="I234" s="1" t="s">
        <v>18</v>
      </c>
      <c r="J234" s="1" t="s">
        <v>16</v>
      </c>
      <c r="K234" s="1" t="s">
        <v>15</v>
      </c>
      <c r="L234" s="1" t="s">
        <v>13</v>
      </c>
      <c r="M234" s="1" t="s">
        <v>1163</v>
      </c>
      <c r="N234" s="1" t="str">
        <f t="shared" si="48"/>
        <v>SOPORTE</v>
      </c>
      <c r="O234" s="3">
        <f t="shared" si="52"/>
        <v>45825.645263935185</v>
      </c>
      <c r="P234" s="3">
        <f t="shared" si="53"/>
        <v>45834.454321631943</v>
      </c>
      <c r="Q234" s="1" t="str">
        <f t="shared" si="49"/>
        <v>Externo</v>
      </c>
      <c r="R234" s="1">
        <f t="shared" si="54"/>
        <v>25</v>
      </c>
      <c r="S234" s="6">
        <f t="shared" si="55"/>
        <v>45824</v>
      </c>
      <c r="T234" s="1">
        <f t="shared" si="56"/>
        <v>26</v>
      </c>
      <c r="U234" s="6">
        <f t="shared" si="57"/>
        <v>45831</v>
      </c>
      <c r="V234" s="1">
        <f t="shared" si="58"/>
        <v>8.8090576967588277</v>
      </c>
      <c r="W234" s="1">
        <f t="shared" si="59"/>
        <v>2025</v>
      </c>
      <c r="X234" s="1">
        <f t="shared" si="60"/>
        <v>2025</v>
      </c>
      <c r="Y234" s="1" t="str">
        <f t="shared" si="50"/>
        <v>2025-06</v>
      </c>
      <c r="Z234" s="1" t="str">
        <f t="shared" si="51"/>
        <v>2025-06</v>
      </c>
    </row>
    <row r="235" spans="1:26" x14ac:dyDescent="0.2">
      <c r="A235" s="1" t="s">
        <v>585</v>
      </c>
      <c r="B235" s="1" t="s">
        <v>586</v>
      </c>
      <c r="C235" s="1" t="s">
        <v>109</v>
      </c>
      <c r="D235" s="3">
        <v>45825.712120995369</v>
      </c>
      <c r="E235" s="3">
        <v>45827.381925706017</v>
      </c>
      <c r="F235" s="1" t="s">
        <v>52</v>
      </c>
      <c r="G235" s="1" t="s">
        <v>21</v>
      </c>
      <c r="H235" s="1" t="s">
        <v>468</v>
      </c>
      <c r="I235" s="1" t="s">
        <v>18</v>
      </c>
      <c r="J235" s="1" t="s">
        <v>16</v>
      </c>
      <c r="K235" s="1" t="s">
        <v>15</v>
      </c>
      <c r="L235" s="1" t="s">
        <v>13</v>
      </c>
      <c r="M235" s="1" t="s">
        <v>1163</v>
      </c>
      <c r="N235" s="1" t="str">
        <f t="shared" si="48"/>
        <v>SOPORTE</v>
      </c>
      <c r="O235" s="3">
        <f t="shared" si="52"/>
        <v>45825.712120995369</v>
      </c>
      <c r="P235" s="3">
        <f t="shared" si="53"/>
        <v>45827.381925706017</v>
      </c>
      <c r="Q235" s="1" t="str">
        <f t="shared" si="49"/>
        <v>Externo</v>
      </c>
      <c r="R235" s="1">
        <f t="shared" si="54"/>
        <v>25</v>
      </c>
      <c r="S235" s="6">
        <f t="shared" si="55"/>
        <v>45824</v>
      </c>
      <c r="T235" s="1">
        <f t="shared" si="56"/>
        <v>25</v>
      </c>
      <c r="U235" s="6">
        <f t="shared" si="57"/>
        <v>45824</v>
      </c>
      <c r="V235" s="1">
        <f t="shared" si="58"/>
        <v>1.6698047106474405</v>
      </c>
      <c r="W235" s="1">
        <f t="shared" si="59"/>
        <v>2025</v>
      </c>
      <c r="X235" s="1">
        <f t="shared" si="60"/>
        <v>2025</v>
      </c>
      <c r="Y235" s="1" t="str">
        <f t="shared" si="50"/>
        <v>2025-06</v>
      </c>
      <c r="Z235" s="1" t="str">
        <f t="shared" si="51"/>
        <v>2025-06</v>
      </c>
    </row>
    <row r="236" spans="1:26" x14ac:dyDescent="0.2">
      <c r="A236" s="1" t="s">
        <v>587</v>
      </c>
      <c r="B236" s="1" t="s">
        <v>588</v>
      </c>
      <c r="C236" s="1" t="s">
        <v>109</v>
      </c>
      <c r="D236" s="3">
        <v>45825.742924328704</v>
      </c>
      <c r="E236" s="3">
        <v>45827.382451192127</v>
      </c>
      <c r="F236" s="1" t="s">
        <v>52</v>
      </c>
      <c r="G236" s="1" t="s">
        <v>21</v>
      </c>
      <c r="H236" s="1" t="s">
        <v>13</v>
      </c>
      <c r="I236" s="1" t="s">
        <v>18</v>
      </c>
      <c r="J236" s="1" t="s">
        <v>16</v>
      </c>
      <c r="K236" s="1" t="s">
        <v>15</v>
      </c>
      <c r="L236" s="1" t="s">
        <v>13</v>
      </c>
      <c r="M236" s="1" t="s">
        <v>1163</v>
      </c>
      <c r="N236" s="1" t="str">
        <f t="shared" si="48"/>
        <v>SOPORTE</v>
      </c>
      <c r="O236" s="3">
        <f t="shared" si="52"/>
        <v>45825.742924328704</v>
      </c>
      <c r="P236" s="3">
        <f t="shared" si="53"/>
        <v>45827.382451192127</v>
      </c>
      <c r="Q236" s="1" t="str">
        <f t="shared" si="49"/>
        <v>Externo</v>
      </c>
      <c r="R236" s="1">
        <f t="shared" si="54"/>
        <v>25</v>
      </c>
      <c r="S236" s="6">
        <f t="shared" si="55"/>
        <v>45824</v>
      </c>
      <c r="T236" s="1">
        <f t="shared" si="56"/>
        <v>25</v>
      </c>
      <c r="U236" s="6">
        <f t="shared" si="57"/>
        <v>45824</v>
      </c>
      <c r="V236" s="1">
        <f t="shared" si="58"/>
        <v>1.6395268634223612</v>
      </c>
      <c r="W236" s="1">
        <f t="shared" si="59"/>
        <v>2025</v>
      </c>
      <c r="X236" s="1">
        <f t="shared" si="60"/>
        <v>2025</v>
      </c>
      <c r="Y236" s="1" t="str">
        <f t="shared" si="50"/>
        <v>2025-06</v>
      </c>
      <c r="Z236" s="1" t="str">
        <f t="shared" si="51"/>
        <v>2025-06</v>
      </c>
    </row>
    <row r="237" spans="1:26" x14ac:dyDescent="0.2">
      <c r="A237" s="1" t="s">
        <v>589</v>
      </c>
      <c r="B237" s="1" t="s">
        <v>590</v>
      </c>
      <c r="C237" s="1" t="s">
        <v>109</v>
      </c>
      <c r="D237" s="3">
        <v>45825.745505335646</v>
      </c>
      <c r="E237" s="3">
        <v>45827.382816805555</v>
      </c>
      <c r="F237" s="1" t="s">
        <v>52</v>
      </c>
      <c r="G237" s="1" t="s">
        <v>21</v>
      </c>
      <c r="H237" s="1" t="s">
        <v>468</v>
      </c>
      <c r="I237" s="1" t="s">
        <v>18</v>
      </c>
      <c r="J237" s="1" t="s">
        <v>16</v>
      </c>
      <c r="K237" s="1" t="s">
        <v>15</v>
      </c>
      <c r="L237" s="1" t="s">
        <v>13</v>
      </c>
      <c r="M237" s="1" t="s">
        <v>1163</v>
      </c>
      <c r="N237" s="1" t="str">
        <f t="shared" si="48"/>
        <v>SOPORTE</v>
      </c>
      <c r="O237" s="3">
        <f t="shared" si="52"/>
        <v>45825.745505335646</v>
      </c>
      <c r="P237" s="3">
        <f t="shared" si="53"/>
        <v>45827.382816805555</v>
      </c>
      <c r="Q237" s="1" t="str">
        <f t="shared" si="49"/>
        <v>Externo</v>
      </c>
      <c r="R237" s="1">
        <f t="shared" si="54"/>
        <v>25</v>
      </c>
      <c r="S237" s="6">
        <f t="shared" si="55"/>
        <v>45824</v>
      </c>
      <c r="T237" s="1">
        <f t="shared" si="56"/>
        <v>25</v>
      </c>
      <c r="U237" s="6">
        <f t="shared" si="57"/>
        <v>45824</v>
      </c>
      <c r="V237" s="1">
        <f t="shared" si="58"/>
        <v>1.6373114699090365</v>
      </c>
      <c r="W237" s="1">
        <f t="shared" si="59"/>
        <v>2025</v>
      </c>
      <c r="X237" s="1">
        <f t="shared" si="60"/>
        <v>2025</v>
      </c>
      <c r="Y237" s="1" t="str">
        <f t="shared" si="50"/>
        <v>2025-06</v>
      </c>
      <c r="Z237" s="1" t="str">
        <f t="shared" si="51"/>
        <v>2025-06</v>
      </c>
    </row>
    <row r="238" spans="1:26" x14ac:dyDescent="0.2">
      <c r="A238" s="1" t="s">
        <v>591</v>
      </c>
      <c r="B238" s="1" t="s">
        <v>592</v>
      </c>
      <c r="C238" s="1" t="s">
        <v>13</v>
      </c>
      <c r="D238" s="3">
        <v>45825.796457164353</v>
      </c>
      <c r="E238" s="3">
        <v>45827.35525523148</v>
      </c>
      <c r="F238" s="1" t="s">
        <v>52</v>
      </c>
      <c r="G238" s="1" t="s">
        <v>21</v>
      </c>
      <c r="H238" s="1" t="s">
        <v>468</v>
      </c>
      <c r="I238" s="1" t="s">
        <v>18</v>
      </c>
      <c r="J238" s="1" t="s">
        <v>16</v>
      </c>
      <c r="K238" s="1" t="s">
        <v>15</v>
      </c>
      <c r="L238" s="1" t="s">
        <v>13</v>
      </c>
      <c r="M238" s="1" t="s">
        <v>1163</v>
      </c>
      <c r="N238" s="1" t="str">
        <f t="shared" si="48"/>
        <v>SOPORTE</v>
      </c>
      <c r="O238" s="3">
        <f t="shared" si="52"/>
        <v>45825.796457164353</v>
      </c>
      <c r="P238" s="3">
        <f t="shared" si="53"/>
        <v>45827.35525523148</v>
      </c>
      <c r="Q238" s="1" t="str">
        <f t="shared" si="49"/>
        <v>Externo</v>
      </c>
      <c r="R238" s="1">
        <f t="shared" si="54"/>
        <v>25</v>
      </c>
      <c r="S238" s="6">
        <f t="shared" si="55"/>
        <v>45824</v>
      </c>
      <c r="T238" s="1">
        <f t="shared" si="56"/>
        <v>25</v>
      </c>
      <c r="U238" s="6">
        <f t="shared" si="57"/>
        <v>45824</v>
      </c>
      <c r="V238" s="1">
        <f t="shared" si="58"/>
        <v>1.5587980671261903</v>
      </c>
      <c r="W238" s="1">
        <f t="shared" si="59"/>
        <v>2025</v>
      </c>
      <c r="X238" s="1">
        <f t="shared" si="60"/>
        <v>2025</v>
      </c>
      <c r="Y238" s="1" t="str">
        <f t="shared" si="50"/>
        <v>2025-06</v>
      </c>
      <c r="Z238" s="1" t="str">
        <f t="shared" si="51"/>
        <v>2025-06</v>
      </c>
    </row>
    <row r="239" spans="1:26" x14ac:dyDescent="0.2">
      <c r="A239" s="1" t="s">
        <v>593</v>
      </c>
      <c r="B239" s="1" t="s">
        <v>594</v>
      </c>
      <c r="C239" s="1" t="s">
        <v>83</v>
      </c>
      <c r="D239" s="3">
        <v>45826.367476087966</v>
      </c>
      <c r="E239" s="3">
        <v>45834.45498865741</v>
      </c>
      <c r="F239" s="1" t="s">
        <v>52</v>
      </c>
      <c r="G239" s="1" t="s">
        <v>21</v>
      </c>
      <c r="H239" s="1" t="s">
        <v>13</v>
      </c>
      <c r="I239" s="1" t="s">
        <v>18</v>
      </c>
      <c r="J239" s="1" t="s">
        <v>16</v>
      </c>
      <c r="K239" s="1" t="s">
        <v>15</v>
      </c>
      <c r="L239" s="1" t="s">
        <v>13</v>
      </c>
      <c r="M239" s="1" t="s">
        <v>1163</v>
      </c>
      <c r="N239" s="1" t="str">
        <f t="shared" si="48"/>
        <v>SOPORTE</v>
      </c>
      <c r="O239" s="3">
        <f t="shared" si="52"/>
        <v>45826.367476087966</v>
      </c>
      <c r="P239" s="3">
        <f t="shared" si="53"/>
        <v>45834.45498865741</v>
      </c>
      <c r="Q239" s="1" t="str">
        <f t="shared" si="49"/>
        <v>Externo</v>
      </c>
      <c r="R239" s="1">
        <f t="shared" si="54"/>
        <v>25</v>
      </c>
      <c r="S239" s="6">
        <f t="shared" si="55"/>
        <v>45824</v>
      </c>
      <c r="T239" s="1">
        <f t="shared" si="56"/>
        <v>26</v>
      </c>
      <c r="U239" s="6">
        <f t="shared" si="57"/>
        <v>45831</v>
      </c>
      <c r="V239" s="1">
        <f t="shared" si="58"/>
        <v>8.0875125694437884</v>
      </c>
      <c r="W239" s="1">
        <f t="shared" si="59"/>
        <v>2025</v>
      </c>
      <c r="X239" s="1">
        <f t="shared" si="60"/>
        <v>2025</v>
      </c>
      <c r="Y239" s="1" t="str">
        <f t="shared" si="50"/>
        <v>2025-06</v>
      </c>
      <c r="Z239" s="1" t="str">
        <f t="shared" si="51"/>
        <v>2025-06</v>
      </c>
    </row>
    <row r="240" spans="1:26" x14ac:dyDescent="0.2">
      <c r="A240" s="1" t="s">
        <v>595</v>
      </c>
      <c r="B240" s="1" t="s">
        <v>596</v>
      </c>
      <c r="C240" s="1" t="s">
        <v>13</v>
      </c>
      <c r="D240" s="3">
        <v>45826.401786006943</v>
      </c>
      <c r="E240" s="3">
        <v>45827.353953449077</v>
      </c>
      <c r="F240" s="1" t="s">
        <v>52</v>
      </c>
      <c r="G240" s="1" t="s">
        <v>21</v>
      </c>
      <c r="H240" s="1" t="s">
        <v>468</v>
      </c>
      <c r="I240" s="1" t="s">
        <v>13</v>
      </c>
      <c r="J240" s="1" t="s">
        <v>16</v>
      </c>
      <c r="K240" s="1" t="s">
        <v>15</v>
      </c>
      <c r="L240" s="1" t="s">
        <v>13</v>
      </c>
      <c r="M240" s="1" t="s">
        <v>1163</v>
      </c>
      <c r="N240" s="1" t="str">
        <f t="shared" si="48"/>
        <v>SOPORTE</v>
      </c>
      <c r="O240" s="3">
        <f t="shared" si="52"/>
        <v>45826.401786006943</v>
      </c>
      <c r="P240" s="3">
        <f t="shared" si="53"/>
        <v>45827.353953449077</v>
      </c>
      <c r="Q240" s="1" t="str">
        <f t="shared" si="49"/>
        <v>Externo</v>
      </c>
      <c r="R240" s="1">
        <f t="shared" si="54"/>
        <v>25</v>
      </c>
      <c r="S240" s="6">
        <f t="shared" si="55"/>
        <v>45824</v>
      </c>
      <c r="T240" s="1">
        <f t="shared" si="56"/>
        <v>25</v>
      </c>
      <c r="U240" s="6">
        <f t="shared" si="57"/>
        <v>45824</v>
      </c>
      <c r="V240" s="1">
        <f t="shared" si="58"/>
        <v>0.95216744213394122</v>
      </c>
      <c r="W240" s="1">
        <f t="shared" si="59"/>
        <v>2025</v>
      </c>
      <c r="X240" s="1">
        <f t="shared" si="60"/>
        <v>2025</v>
      </c>
      <c r="Y240" s="1" t="str">
        <f t="shared" si="50"/>
        <v>2025-06</v>
      </c>
      <c r="Z240" s="1" t="str">
        <f t="shared" si="51"/>
        <v>2025-06</v>
      </c>
    </row>
    <row r="241" spans="1:26" x14ac:dyDescent="0.2">
      <c r="A241" s="1" t="s">
        <v>597</v>
      </c>
      <c r="B241" s="1" t="s">
        <v>598</v>
      </c>
      <c r="C241" s="1" t="s">
        <v>124</v>
      </c>
      <c r="D241" s="3">
        <v>45826.421175520831</v>
      </c>
      <c r="E241" s="3">
        <v>45831.428311481483</v>
      </c>
      <c r="F241" s="1" t="s">
        <v>52</v>
      </c>
      <c r="G241" s="1" t="s">
        <v>12</v>
      </c>
      <c r="H241" s="1" t="s">
        <v>13</v>
      </c>
      <c r="I241" s="1" t="s">
        <v>18</v>
      </c>
      <c r="J241" s="1" t="s">
        <v>16</v>
      </c>
      <c r="K241" s="1" t="s">
        <v>15</v>
      </c>
      <c r="L241" s="1" t="s">
        <v>13</v>
      </c>
      <c r="M241" s="1" t="s">
        <v>1163</v>
      </c>
      <c r="N241" s="1" t="str">
        <f t="shared" si="48"/>
        <v>DESARROLLO</v>
      </c>
      <c r="O241" s="3">
        <f t="shared" si="52"/>
        <v>45826.421175520831</v>
      </c>
      <c r="P241" s="3">
        <f t="shared" si="53"/>
        <v>45831.428311481483</v>
      </c>
      <c r="Q241" s="1" t="str">
        <f t="shared" si="49"/>
        <v>Interno</v>
      </c>
      <c r="R241" s="1">
        <f t="shared" si="54"/>
        <v>25</v>
      </c>
      <c r="S241" s="6">
        <f t="shared" si="55"/>
        <v>45824</v>
      </c>
      <c r="T241" s="1">
        <f t="shared" si="56"/>
        <v>26</v>
      </c>
      <c r="U241" s="6">
        <f t="shared" si="57"/>
        <v>45831</v>
      </c>
      <c r="V241" s="1">
        <f t="shared" si="58"/>
        <v>5.0071359606517944</v>
      </c>
      <c r="W241" s="1">
        <f t="shared" si="59"/>
        <v>2025</v>
      </c>
      <c r="X241" s="1">
        <f t="shared" si="60"/>
        <v>2025</v>
      </c>
      <c r="Y241" s="1" t="str">
        <f t="shared" si="50"/>
        <v>2025-06</v>
      </c>
      <c r="Z241" s="1" t="str">
        <f t="shared" si="51"/>
        <v>2025-06</v>
      </c>
    </row>
    <row r="242" spans="1:26" x14ac:dyDescent="0.2">
      <c r="A242" s="1" t="s">
        <v>599</v>
      </c>
      <c r="B242" s="1" t="s">
        <v>600</v>
      </c>
      <c r="C242" s="1" t="s">
        <v>109</v>
      </c>
      <c r="D242" s="3">
        <v>45826.430581493056</v>
      </c>
      <c r="E242" s="3">
        <v>45827.38351146991</v>
      </c>
      <c r="F242" s="1" t="s">
        <v>52</v>
      </c>
      <c r="G242" s="1" t="s">
        <v>21</v>
      </c>
      <c r="H242" s="1" t="s">
        <v>13</v>
      </c>
      <c r="I242" s="1" t="s">
        <v>18</v>
      </c>
      <c r="J242" s="1" t="s">
        <v>16</v>
      </c>
      <c r="K242" s="1" t="s">
        <v>15</v>
      </c>
      <c r="L242" s="1" t="s">
        <v>13</v>
      </c>
      <c r="M242" s="1" t="s">
        <v>1163</v>
      </c>
      <c r="N242" s="1" t="str">
        <f t="shared" si="48"/>
        <v>SOPORTE</v>
      </c>
      <c r="O242" s="3">
        <f t="shared" si="52"/>
        <v>45826.430581493056</v>
      </c>
      <c r="P242" s="3">
        <f t="shared" si="53"/>
        <v>45827.38351146991</v>
      </c>
      <c r="Q242" s="1" t="str">
        <f t="shared" si="49"/>
        <v>Externo</v>
      </c>
      <c r="R242" s="1">
        <f t="shared" si="54"/>
        <v>25</v>
      </c>
      <c r="S242" s="6">
        <f t="shared" si="55"/>
        <v>45824</v>
      </c>
      <c r="T242" s="1">
        <f t="shared" si="56"/>
        <v>25</v>
      </c>
      <c r="U242" s="6">
        <f t="shared" si="57"/>
        <v>45824</v>
      </c>
      <c r="V242" s="1">
        <f t="shared" si="58"/>
        <v>0.95292997685464798</v>
      </c>
      <c r="W242" s="1">
        <f t="shared" si="59"/>
        <v>2025</v>
      </c>
      <c r="X242" s="1">
        <f t="shared" si="60"/>
        <v>2025</v>
      </c>
      <c r="Y242" s="1" t="str">
        <f t="shared" si="50"/>
        <v>2025-06</v>
      </c>
      <c r="Z242" s="1" t="str">
        <f t="shared" si="51"/>
        <v>2025-06</v>
      </c>
    </row>
    <row r="243" spans="1:26" x14ac:dyDescent="0.2">
      <c r="A243" s="1" t="s">
        <v>601</v>
      </c>
      <c r="B243" s="1" t="s">
        <v>602</v>
      </c>
      <c r="C243" s="1" t="s">
        <v>58</v>
      </c>
      <c r="D243" s="3">
        <v>45826.490051678244</v>
      </c>
      <c r="E243" s="3">
        <v>45833.614109016205</v>
      </c>
      <c r="F243" s="1" t="s">
        <v>52</v>
      </c>
      <c r="G243" s="1" t="s">
        <v>21</v>
      </c>
      <c r="H243" s="1" t="s">
        <v>571</v>
      </c>
      <c r="I243" s="1" t="s">
        <v>18</v>
      </c>
      <c r="J243" s="1" t="s">
        <v>16</v>
      </c>
      <c r="K243" s="1" t="s">
        <v>15</v>
      </c>
      <c r="L243" s="1" t="s">
        <v>13</v>
      </c>
      <c r="M243" s="1" t="s">
        <v>13</v>
      </c>
      <c r="N243" s="1" t="str">
        <f t="shared" si="48"/>
        <v>SOPORTE</v>
      </c>
      <c r="O243" s="3">
        <f t="shared" si="52"/>
        <v>45826.490051678244</v>
      </c>
      <c r="P243" s="3">
        <f t="shared" si="53"/>
        <v>45833.614109016205</v>
      </c>
      <c r="Q243" s="1" t="str">
        <f t="shared" si="49"/>
        <v>Externo</v>
      </c>
      <c r="R243" s="1">
        <f t="shared" si="54"/>
        <v>25</v>
      </c>
      <c r="S243" s="6">
        <f t="shared" si="55"/>
        <v>45824</v>
      </c>
      <c r="T243" s="1">
        <f t="shared" si="56"/>
        <v>26</v>
      </c>
      <c r="U243" s="6">
        <f t="shared" si="57"/>
        <v>45831</v>
      </c>
      <c r="V243" s="1">
        <f t="shared" si="58"/>
        <v>7.1240573379618581</v>
      </c>
      <c r="W243" s="1">
        <f t="shared" si="59"/>
        <v>2025</v>
      </c>
      <c r="X243" s="1">
        <f t="shared" si="60"/>
        <v>2025</v>
      </c>
      <c r="Y243" s="1" t="str">
        <f t="shared" si="50"/>
        <v>2025-06</v>
      </c>
      <c r="Z243" s="1" t="str">
        <f t="shared" si="51"/>
        <v>2025-06</v>
      </c>
    </row>
    <row r="244" spans="1:26" x14ac:dyDescent="0.2">
      <c r="A244" s="1" t="s">
        <v>603</v>
      </c>
      <c r="B244" s="1" t="s">
        <v>604</v>
      </c>
      <c r="C244" s="1" t="s">
        <v>509</v>
      </c>
      <c r="D244" s="3">
        <v>45827.356346736109</v>
      </c>
      <c r="E244" s="3">
        <v>45834.455383981483</v>
      </c>
      <c r="F244" s="1" t="s">
        <v>52</v>
      </c>
      <c r="G244" s="1" t="s">
        <v>21</v>
      </c>
      <c r="H244" s="1" t="s">
        <v>571</v>
      </c>
      <c r="I244" s="1" t="s">
        <v>18</v>
      </c>
      <c r="J244" s="1" t="s">
        <v>16</v>
      </c>
      <c r="K244" s="1" t="s">
        <v>15</v>
      </c>
      <c r="L244" s="1" t="s">
        <v>13</v>
      </c>
      <c r="M244" s="1" t="s">
        <v>1163</v>
      </c>
      <c r="N244" s="1" t="str">
        <f t="shared" si="48"/>
        <v>SOPORTE</v>
      </c>
      <c r="O244" s="3">
        <f t="shared" si="52"/>
        <v>45827.356346736109</v>
      </c>
      <c r="P244" s="3">
        <f t="shared" si="53"/>
        <v>45834.455383981483</v>
      </c>
      <c r="Q244" s="1" t="str">
        <f t="shared" si="49"/>
        <v>Externo</v>
      </c>
      <c r="R244" s="1">
        <f t="shared" si="54"/>
        <v>25</v>
      </c>
      <c r="S244" s="6">
        <f t="shared" si="55"/>
        <v>45824</v>
      </c>
      <c r="T244" s="1">
        <f t="shared" si="56"/>
        <v>26</v>
      </c>
      <c r="U244" s="6">
        <f t="shared" si="57"/>
        <v>45831</v>
      </c>
      <c r="V244" s="1">
        <f t="shared" si="58"/>
        <v>7.0990372453743475</v>
      </c>
      <c r="W244" s="1">
        <f t="shared" si="59"/>
        <v>2025</v>
      </c>
      <c r="X244" s="1">
        <f t="shared" si="60"/>
        <v>2025</v>
      </c>
      <c r="Y244" s="1" t="str">
        <f t="shared" si="50"/>
        <v>2025-06</v>
      </c>
      <c r="Z244" s="1" t="str">
        <f t="shared" si="51"/>
        <v>2025-06</v>
      </c>
    </row>
    <row r="245" spans="1:26" x14ac:dyDescent="0.2">
      <c r="A245" s="1" t="s">
        <v>605</v>
      </c>
      <c r="B245" s="1" t="s">
        <v>606</v>
      </c>
      <c r="C245" s="1" t="s">
        <v>509</v>
      </c>
      <c r="D245" s="3">
        <v>45827.508709374997</v>
      </c>
      <c r="E245" s="3">
        <v>45827.518289884261</v>
      </c>
      <c r="F245" s="1" t="s">
        <v>52</v>
      </c>
      <c r="G245" s="1" t="s">
        <v>53</v>
      </c>
      <c r="H245" s="1" t="s">
        <v>13</v>
      </c>
      <c r="I245" s="1" t="s">
        <v>18</v>
      </c>
      <c r="J245" s="1" t="s">
        <v>16</v>
      </c>
      <c r="K245" s="1" t="s">
        <v>15</v>
      </c>
      <c r="L245" s="1" t="s">
        <v>13</v>
      </c>
      <c r="M245" s="1" t="s">
        <v>1162</v>
      </c>
      <c r="N245" s="1" t="str">
        <f t="shared" si="48"/>
        <v>TÉCNICO</v>
      </c>
      <c r="O245" s="3">
        <f t="shared" si="52"/>
        <v>45827.508709374997</v>
      </c>
      <c r="P245" s="3">
        <f t="shared" si="53"/>
        <v>45827.518289884261</v>
      </c>
      <c r="Q245" s="1" t="str">
        <f t="shared" si="49"/>
        <v>Interno</v>
      </c>
      <c r="R245" s="1">
        <f t="shared" si="54"/>
        <v>25</v>
      </c>
      <c r="S245" s="6">
        <f t="shared" si="55"/>
        <v>45824</v>
      </c>
      <c r="T245" s="1">
        <f t="shared" si="56"/>
        <v>25</v>
      </c>
      <c r="U245" s="6">
        <f t="shared" si="57"/>
        <v>45824</v>
      </c>
      <c r="V245" s="1">
        <f t="shared" si="58"/>
        <v>9.5805092641967349E-3</v>
      </c>
      <c r="W245" s="1">
        <f t="shared" si="59"/>
        <v>2025</v>
      </c>
      <c r="X245" s="1">
        <f t="shared" si="60"/>
        <v>2025</v>
      </c>
      <c r="Y245" s="1" t="str">
        <f t="shared" si="50"/>
        <v>2025-06</v>
      </c>
      <c r="Z245" s="1" t="str">
        <f t="shared" si="51"/>
        <v>2025-06</v>
      </c>
    </row>
    <row r="246" spans="1:26" x14ac:dyDescent="0.2">
      <c r="A246" s="1" t="s">
        <v>607</v>
      </c>
      <c r="B246" s="1" t="s">
        <v>608</v>
      </c>
      <c r="C246" s="1" t="s">
        <v>83</v>
      </c>
      <c r="D246" s="3">
        <v>45831.356520324072</v>
      </c>
      <c r="E246" s="3">
        <v>45832.551136215276</v>
      </c>
      <c r="F246" s="1" t="s">
        <v>52</v>
      </c>
      <c r="G246" s="1" t="s">
        <v>21</v>
      </c>
      <c r="H246" s="1" t="s">
        <v>468</v>
      </c>
      <c r="I246" s="1" t="s">
        <v>18</v>
      </c>
      <c r="J246" s="1" t="s">
        <v>16</v>
      </c>
      <c r="K246" s="1" t="s">
        <v>15</v>
      </c>
      <c r="L246" s="1" t="s">
        <v>13</v>
      </c>
      <c r="M246" s="1" t="s">
        <v>1163</v>
      </c>
      <c r="N246" s="1" t="str">
        <f t="shared" si="48"/>
        <v>SOPORTE</v>
      </c>
      <c r="O246" s="3">
        <f t="shared" si="52"/>
        <v>45831.356520324072</v>
      </c>
      <c r="P246" s="3">
        <f t="shared" si="53"/>
        <v>45832.551136215276</v>
      </c>
      <c r="Q246" s="1" t="str">
        <f t="shared" si="49"/>
        <v>Externo</v>
      </c>
      <c r="R246" s="1">
        <f t="shared" si="54"/>
        <v>26</v>
      </c>
      <c r="S246" s="6">
        <f t="shared" si="55"/>
        <v>45831</v>
      </c>
      <c r="T246" s="1">
        <f t="shared" si="56"/>
        <v>26</v>
      </c>
      <c r="U246" s="6">
        <f t="shared" si="57"/>
        <v>45831</v>
      </c>
      <c r="V246" s="1">
        <f t="shared" si="58"/>
        <v>1.1946158912032843</v>
      </c>
      <c r="W246" s="1">
        <f t="shared" si="59"/>
        <v>2025</v>
      </c>
      <c r="X246" s="1">
        <f t="shared" si="60"/>
        <v>2025</v>
      </c>
      <c r="Y246" s="1" t="str">
        <f t="shared" si="50"/>
        <v>2025-06</v>
      </c>
      <c r="Z246" s="1" t="str">
        <f t="shared" si="51"/>
        <v>2025-06</v>
      </c>
    </row>
    <row r="247" spans="1:26" x14ac:dyDescent="0.2">
      <c r="A247" s="1" t="s">
        <v>609</v>
      </c>
      <c r="B247" s="1" t="s">
        <v>610</v>
      </c>
      <c r="C247" s="1" t="s">
        <v>13</v>
      </c>
      <c r="D247" s="3">
        <v>45831.745099039355</v>
      </c>
      <c r="E247" s="3">
        <v>45861.487101180559</v>
      </c>
      <c r="F247" s="1" t="s">
        <v>52</v>
      </c>
      <c r="G247" s="1" t="s">
        <v>12</v>
      </c>
      <c r="H247" s="1" t="s">
        <v>13</v>
      </c>
      <c r="I247" s="1" t="s">
        <v>148</v>
      </c>
      <c r="J247" s="1" t="s">
        <v>16</v>
      </c>
      <c r="K247" s="1" t="s">
        <v>15</v>
      </c>
      <c r="L247" s="1" t="s">
        <v>611</v>
      </c>
      <c r="M247" s="1" t="s">
        <v>13</v>
      </c>
      <c r="N247" s="1" t="str">
        <f t="shared" si="48"/>
        <v>DESARROLLO</v>
      </c>
      <c r="O247" s="3">
        <f t="shared" si="52"/>
        <v>45831.745099039355</v>
      </c>
      <c r="P247" s="3">
        <f t="shared" si="53"/>
        <v>45861.487101180559</v>
      </c>
      <c r="Q247" s="1" t="str">
        <f t="shared" si="49"/>
        <v>Interno</v>
      </c>
      <c r="R247" s="1">
        <f t="shared" si="54"/>
        <v>26</v>
      </c>
      <c r="S247" s="6">
        <f t="shared" si="55"/>
        <v>45831</v>
      </c>
      <c r="T247" s="1">
        <f t="shared" si="56"/>
        <v>30</v>
      </c>
      <c r="U247" s="6">
        <f t="shared" si="57"/>
        <v>45859</v>
      </c>
      <c r="V247" s="1">
        <f t="shared" si="58"/>
        <v>29.742002141203557</v>
      </c>
      <c r="W247" s="1">
        <f t="shared" si="59"/>
        <v>2025</v>
      </c>
      <c r="X247" s="1">
        <f t="shared" si="60"/>
        <v>2025</v>
      </c>
      <c r="Y247" s="1" t="str">
        <f t="shared" si="50"/>
        <v>2025-06</v>
      </c>
      <c r="Z247" s="1" t="str">
        <f t="shared" si="51"/>
        <v>2025-07</v>
      </c>
    </row>
    <row r="248" spans="1:26" x14ac:dyDescent="0.2">
      <c r="A248" s="1" t="s">
        <v>612</v>
      </c>
      <c r="B248" s="1" t="s">
        <v>613</v>
      </c>
      <c r="C248" s="1" t="s">
        <v>13</v>
      </c>
      <c r="D248" s="3">
        <v>45831.746376180556</v>
      </c>
      <c r="E248" s="3">
        <v>45861.487333900463</v>
      </c>
      <c r="F248" s="1" t="s">
        <v>52</v>
      </c>
      <c r="G248" s="1" t="s">
        <v>19</v>
      </c>
      <c r="H248" s="1" t="s">
        <v>13</v>
      </c>
      <c r="I248" s="1" t="s">
        <v>148</v>
      </c>
      <c r="J248" s="1" t="s">
        <v>16</v>
      </c>
      <c r="K248" s="1" t="s">
        <v>15</v>
      </c>
      <c r="L248" s="1" t="s">
        <v>611</v>
      </c>
      <c r="M248" s="1" t="s">
        <v>13</v>
      </c>
      <c r="N248" s="1" t="str">
        <f t="shared" si="48"/>
        <v>DEFINICIÓN</v>
      </c>
      <c r="O248" s="3">
        <f t="shared" si="52"/>
        <v>45831.746376180556</v>
      </c>
      <c r="P248" s="3">
        <f t="shared" si="53"/>
        <v>45861.487333900463</v>
      </c>
      <c r="Q248" s="1" t="str">
        <f t="shared" si="49"/>
        <v>Externo</v>
      </c>
      <c r="R248" s="1">
        <f t="shared" si="54"/>
        <v>26</v>
      </c>
      <c r="S248" s="6">
        <f t="shared" si="55"/>
        <v>45831</v>
      </c>
      <c r="T248" s="1">
        <f t="shared" si="56"/>
        <v>30</v>
      </c>
      <c r="U248" s="6">
        <f t="shared" si="57"/>
        <v>45859</v>
      </c>
      <c r="V248" s="1">
        <f t="shared" si="58"/>
        <v>29.740957719906874</v>
      </c>
      <c r="W248" s="1">
        <f t="shared" si="59"/>
        <v>2025</v>
      </c>
      <c r="X248" s="1">
        <f t="shared" si="60"/>
        <v>2025</v>
      </c>
      <c r="Y248" s="1" t="str">
        <f t="shared" si="50"/>
        <v>2025-06</v>
      </c>
      <c r="Z248" s="1" t="str">
        <f t="shared" si="51"/>
        <v>2025-07</v>
      </c>
    </row>
    <row r="249" spans="1:26" x14ac:dyDescent="0.2">
      <c r="A249" s="1" t="s">
        <v>614</v>
      </c>
      <c r="B249" s="1" t="s">
        <v>615</v>
      </c>
      <c r="C249" s="1" t="s">
        <v>83</v>
      </c>
      <c r="D249" s="3">
        <v>45832.426865462963</v>
      </c>
      <c r="E249" s="3">
        <v>45834.457987546295</v>
      </c>
      <c r="F249" s="1" t="s">
        <v>52</v>
      </c>
      <c r="G249" s="1" t="s">
        <v>21</v>
      </c>
      <c r="H249" s="1" t="s">
        <v>468</v>
      </c>
      <c r="I249" s="1" t="s">
        <v>18</v>
      </c>
      <c r="J249" s="1" t="s">
        <v>16</v>
      </c>
      <c r="K249" s="1" t="s">
        <v>15</v>
      </c>
      <c r="L249" s="1" t="s">
        <v>13</v>
      </c>
      <c r="M249" s="1" t="s">
        <v>1163</v>
      </c>
      <c r="N249" s="1" t="str">
        <f t="shared" si="48"/>
        <v>SOPORTE</v>
      </c>
      <c r="O249" s="3">
        <f t="shared" si="52"/>
        <v>45832.426865462963</v>
      </c>
      <c r="P249" s="3">
        <f t="shared" si="53"/>
        <v>45834.457987546295</v>
      </c>
      <c r="Q249" s="1" t="str">
        <f t="shared" si="49"/>
        <v>Externo</v>
      </c>
      <c r="R249" s="1">
        <f t="shared" si="54"/>
        <v>26</v>
      </c>
      <c r="S249" s="6">
        <f t="shared" si="55"/>
        <v>45831</v>
      </c>
      <c r="T249" s="1">
        <f t="shared" si="56"/>
        <v>26</v>
      </c>
      <c r="U249" s="6">
        <f t="shared" si="57"/>
        <v>45831</v>
      </c>
      <c r="V249" s="1">
        <f t="shared" si="58"/>
        <v>2.0311220833318657</v>
      </c>
      <c r="W249" s="1">
        <f t="shared" si="59"/>
        <v>2025</v>
      </c>
      <c r="X249" s="1">
        <f t="shared" si="60"/>
        <v>2025</v>
      </c>
      <c r="Y249" s="1" t="str">
        <f t="shared" si="50"/>
        <v>2025-06</v>
      </c>
      <c r="Z249" s="1" t="str">
        <f t="shared" si="51"/>
        <v>2025-06</v>
      </c>
    </row>
    <row r="250" spans="1:26" x14ac:dyDescent="0.2">
      <c r="A250" s="1" t="s">
        <v>616</v>
      </c>
      <c r="B250" s="1" t="s">
        <v>617</v>
      </c>
      <c r="C250" s="1" t="s">
        <v>618</v>
      </c>
      <c r="D250" s="3">
        <v>45832.689517974541</v>
      </c>
      <c r="E250" s="3">
        <v>45832.695855347221</v>
      </c>
      <c r="F250" s="1" t="s">
        <v>52</v>
      </c>
      <c r="G250" s="1" t="s">
        <v>53</v>
      </c>
      <c r="H250" s="1" t="s">
        <v>13</v>
      </c>
      <c r="I250" s="1" t="s">
        <v>18</v>
      </c>
      <c r="J250" s="1" t="s">
        <v>16</v>
      </c>
      <c r="K250" s="1" t="s">
        <v>15</v>
      </c>
      <c r="L250" s="1" t="s">
        <v>13</v>
      </c>
      <c r="M250" s="1" t="s">
        <v>13</v>
      </c>
      <c r="N250" s="1" t="str">
        <f t="shared" si="48"/>
        <v>TÉCNICO</v>
      </c>
      <c r="O250" s="3">
        <f t="shared" si="52"/>
        <v>45832.689517974541</v>
      </c>
      <c r="P250" s="3">
        <f t="shared" si="53"/>
        <v>45832.695855347221</v>
      </c>
      <c r="Q250" s="1" t="str">
        <f t="shared" si="49"/>
        <v>Interno</v>
      </c>
      <c r="R250" s="1">
        <f t="shared" si="54"/>
        <v>26</v>
      </c>
      <c r="S250" s="6">
        <f t="shared" si="55"/>
        <v>45831</v>
      </c>
      <c r="T250" s="1">
        <f t="shared" si="56"/>
        <v>26</v>
      </c>
      <c r="U250" s="6">
        <f t="shared" si="57"/>
        <v>45831</v>
      </c>
      <c r="V250" s="1">
        <f t="shared" si="58"/>
        <v>6.3373726807185449E-3</v>
      </c>
      <c r="W250" s="1">
        <f t="shared" si="59"/>
        <v>2025</v>
      </c>
      <c r="X250" s="1">
        <f t="shared" si="60"/>
        <v>2025</v>
      </c>
      <c r="Y250" s="1" t="str">
        <f t="shared" si="50"/>
        <v>2025-06</v>
      </c>
      <c r="Z250" s="1" t="str">
        <f t="shared" si="51"/>
        <v>2025-06</v>
      </c>
    </row>
    <row r="251" spans="1:26" x14ac:dyDescent="0.2">
      <c r="A251" s="1" t="s">
        <v>619</v>
      </c>
      <c r="B251" s="1" t="s">
        <v>620</v>
      </c>
      <c r="C251" s="1" t="s">
        <v>13</v>
      </c>
      <c r="D251" s="3">
        <v>45833.395210578703</v>
      </c>
      <c r="E251" s="3">
        <v>45833.399173611113</v>
      </c>
      <c r="F251" s="1" t="s">
        <v>52</v>
      </c>
      <c r="G251" s="1" t="s">
        <v>21</v>
      </c>
      <c r="H251" s="1" t="s">
        <v>468</v>
      </c>
      <c r="I251" s="1" t="s">
        <v>18</v>
      </c>
      <c r="J251" s="1" t="s">
        <v>16</v>
      </c>
      <c r="K251" s="1" t="s">
        <v>15</v>
      </c>
      <c r="L251" s="1" t="s">
        <v>13</v>
      </c>
      <c r="M251" s="1" t="s">
        <v>1163</v>
      </c>
      <c r="N251" s="1" t="str">
        <f t="shared" si="48"/>
        <v>SOPORTE</v>
      </c>
      <c r="O251" s="3">
        <f t="shared" si="52"/>
        <v>45833.395210578703</v>
      </c>
      <c r="P251" s="3">
        <f t="shared" si="53"/>
        <v>45833.399173611113</v>
      </c>
      <c r="Q251" s="1" t="str">
        <f t="shared" si="49"/>
        <v>Externo</v>
      </c>
      <c r="R251" s="1">
        <f t="shared" si="54"/>
        <v>26</v>
      </c>
      <c r="S251" s="6">
        <f t="shared" si="55"/>
        <v>45831</v>
      </c>
      <c r="T251" s="1">
        <f t="shared" si="56"/>
        <v>26</v>
      </c>
      <c r="U251" s="6">
        <f t="shared" si="57"/>
        <v>45831</v>
      </c>
      <c r="V251" s="1">
        <f t="shared" si="58"/>
        <v>3.9630324099562131E-3</v>
      </c>
      <c r="W251" s="1">
        <f t="shared" si="59"/>
        <v>2025</v>
      </c>
      <c r="X251" s="1">
        <f t="shared" si="60"/>
        <v>2025</v>
      </c>
      <c r="Y251" s="1" t="str">
        <f t="shared" si="50"/>
        <v>2025-06</v>
      </c>
      <c r="Z251" s="1" t="str">
        <f t="shared" si="51"/>
        <v>2025-06</v>
      </c>
    </row>
    <row r="252" spans="1:26" x14ac:dyDescent="0.2">
      <c r="A252" s="1" t="s">
        <v>621</v>
      </c>
      <c r="B252" s="1" t="s">
        <v>622</v>
      </c>
      <c r="C252" s="1" t="s">
        <v>70</v>
      </c>
      <c r="D252" s="3">
        <v>45833.443515659725</v>
      </c>
      <c r="E252" s="3">
        <v>45834.456238391205</v>
      </c>
      <c r="F252" s="1" t="s">
        <v>52</v>
      </c>
      <c r="G252" s="1" t="s">
        <v>21</v>
      </c>
      <c r="H252" s="1" t="s">
        <v>468</v>
      </c>
      <c r="I252" s="1" t="s">
        <v>18</v>
      </c>
      <c r="J252" s="1" t="s">
        <v>16</v>
      </c>
      <c r="K252" s="1" t="s">
        <v>15</v>
      </c>
      <c r="L252" s="1" t="s">
        <v>13</v>
      </c>
      <c r="M252" s="1" t="s">
        <v>1163</v>
      </c>
      <c r="N252" s="1" t="str">
        <f t="shared" si="48"/>
        <v>SOPORTE</v>
      </c>
      <c r="O252" s="3">
        <f t="shared" si="52"/>
        <v>45833.443515659725</v>
      </c>
      <c r="P252" s="3">
        <f t="shared" si="53"/>
        <v>45834.456238391205</v>
      </c>
      <c r="Q252" s="1" t="str">
        <f t="shared" si="49"/>
        <v>Externo</v>
      </c>
      <c r="R252" s="1">
        <f t="shared" si="54"/>
        <v>26</v>
      </c>
      <c r="S252" s="6">
        <f t="shared" si="55"/>
        <v>45831</v>
      </c>
      <c r="T252" s="1">
        <f t="shared" si="56"/>
        <v>26</v>
      </c>
      <c r="U252" s="6">
        <f t="shared" si="57"/>
        <v>45831</v>
      </c>
      <c r="V252" s="1">
        <f t="shared" si="58"/>
        <v>1.0127227314806078</v>
      </c>
      <c r="W252" s="1">
        <f t="shared" si="59"/>
        <v>2025</v>
      </c>
      <c r="X252" s="1">
        <f t="shared" si="60"/>
        <v>2025</v>
      </c>
      <c r="Y252" s="1" t="str">
        <f t="shared" si="50"/>
        <v>2025-06</v>
      </c>
      <c r="Z252" s="1" t="str">
        <f t="shared" si="51"/>
        <v>2025-06</v>
      </c>
    </row>
    <row r="253" spans="1:26" x14ac:dyDescent="0.2">
      <c r="A253" s="1" t="s">
        <v>623</v>
      </c>
      <c r="B253" s="1" t="s">
        <v>624</v>
      </c>
      <c r="C253" s="1" t="s">
        <v>13</v>
      </c>
      <c r="D253" s="3">
        <v>45833.578245115743</v>
      </c>
      <c r="E253" s="3">
        <v>45959.614394594908</v>
      </c>
      <c r="F253" s="1" t="s">
        <v>52</v>
      </c>
      <c r="G253" s="1" t="s">
        <v>53</v>
      </c>
      <c r="H253" s="1" t="s">
        <v>13</v>
      </c>
      <c r="I253" s="1" t="s">
        <v>148</v>
      </c>
      <c r="J253" s="1" t="s">
        <v>16</v>
      </c>
      <c r="K253" s="1" t="s">
        <v>15</v>
      </c>
      <c r="L253" s="1" t="s">
        <v>611</v>
      </c>
      <c r="M253" s="1" t="s">
        <v>13</v>
      </c>
      <c r="N253" s="1" t="str">
        <f t="shared" si="48"/>
        <v>TÉCNICO</v>
      </c>
      <c r="O253" s="3">
        <f t="shared" si="52"/>
        <v>45833.578245115743</v>
      </c>
      <c r="P253" s="3">
        <f t="shared" si="53"/>
        <v>45959.614394594908</v>
      </c>
      <c r="Q253" s="1" t="str">
        <f t="shared" si="49"/>
        <v>Interno</v>
      </c>
      <c r="R253" s="1">
        <f t="shared" si="54"/>
        <v>26</v>
      </c>
      <c r="S253" s="6">
        <f t="shared" si="55"/>
        <v>45831</v>
      </c>
      <c r="T253" s="1">
        <f t="shared" si="56"/>
        <v>44</v>
      </c>
      <c r="U253" s="6">
        <f t="shared" si="57"/>
        <v>45957</v>
      </c>
      <c r="V253" s="1">
        <f t="shared" si="58"/>
        <v>126.03614947916503</v>
      </c>
      <c r="W253" s="1">
        <f t="shared" si="59"/>
        <v>2025</v>
      </c>
      <c r="X253" s="1">
        <f t="shared" si="60"/>
        <v>2025</v>
      </c>
      <c r="Y253" s="1" t="str">
        <f t="shared" si="50"/>
        <v>2025-06</v>
      </c>
      <c r="Z253" s="1" t="str">
        <f t="shared" si="51"/>
        <v>2025-10</v>
      </c>
    </row>
    <row r="254" spans="1:26" x14ac:dyDescent="0.2">
      <c r="A254" s="1" t="s">
        <v>625</v>
      </c>
      <c r="B254" s="1" t="s">
        <v>626</v>
      </c>
      <c r="C254" s="1" t="s">
        <v>13</v>
      </c>
      <c r="D254" s="3">
        <v>45833.609064560187</v>
      </c>
      <c r="E254" s="3">
        <v>45833.610591585646</v>
      </c>
      <c r="F254" s="1" t="s">
        <v>52</v>
      </c>
      <c r="G254" s="1" t="s">
        <v>21</v>
      </c>
      <c r="H254" s="1" t="s">
        <v>468</v>
      </c>
      <c r="I254" s="1" t="s">
        <v>18</v>
      </c>
      <c r="J254" s="1" t="s">
        <v>16</v>
      </c>
      <c r="K254" s="1" t="s">
        <v>15</v>
      </c>
      <c r="L254" s="1" t="s">
        <v>13</v>
      </c>
      <c r="M254" s="1" t="s">
        <v>1163</v>
      </c>
      <c r="N254" s="1" t="str">
        <f t="shared" si="48"/>
        <v>SOPORTE</v>
      </c>
      <c r="O254" s="3">
        <f t="shared" si="52"/>
        <v>45833.609064560187</v>
      </c>
      <c r="P254" s="3">
        <f t="shared" si="53"/>
        <v>45833.610591585646</v>
      </c>
      <c r="Q254" s="1" t="str">
        <f t="shared" si="49"/>
        <v>Externo</v>
      </c>
      <c r="R254" s="1">
        <f t="shared" si="54"/>
        <v>26</v>
      </c>
      <c r="S254" s="6">
        <f t="shared" si="55"/>
        <v>45831</v>
      </c>
      <c r="T254" s="1">
        <f t="shared" si="56"/>
        <v>26</v>
      </c>
      <c r="U254" s="6">
        <f t="shared" si="57"/>
        <v>45831</v>
      </c>
      <c r="V254" s="1">
        <f t="shared" si="58"/>
        <v>1.5270254589268006E-3</v>
      </c>
      <c r="W254" s="1">
        <f t="shared" si="59"/>
        <v>2025</v>
      </c>
      <c r="X254" s="1">
        <f t="shared" si="60"/>
        <v>2025</v>
      </c>
      <c r="Y254" s="1" t="str">
        <f t="shared" si="50"/>
        <v>2025-06</v>
      </c>
      <c r="Z254" s="1" t="str">
        <f t="shared" si="51"/>
        <v>2025-06</v>
      </c>
    </row>
    <row r="255" spans="1:26" x14ac:dyDescent="0.2">
      <c r="A255" s="1" t="s">
        <v>627</v>
      </c>
      <c r="B255" s="1" t="s">
        <v>628</v>
      </c>
      <c r="C255" s="1" t="s">
        <v>13</v>
      </c>
      <c r="D255" s="3">
        <v>45834.423420995372</v>
      </c>
      <c r="E255" s="3">
        <v>45834.425953969905</v>
      </c>
      <c r="F255" s="1" t="s">
        <v>52</v>
      </c>
      <c r="G255" s="1" t="s">
        <v>21</v>
      </c>
      <c r="H255" s="1" t="s">
        <v>468</v>
      </c>
      <c r="I255" s="1" t="s">
        <v>18</v>
      </c>
      <c r="J255" s="1" t="s">
        <v>16</v>
      </c>
      <c r="K255" s="1" t="s">
        <v>15</v>
      </c>
      <c r="L255" s="1" t="s">
        <v>13</v>
      </c>
      <c r="M255" s="1" t="s">
        <v>1163</v>
      </c>
      <c r="N255" s="1" t="str">
        <f t="shared" si="48"/>
        <v>SOPORTE</v>
      </c>
      <c r="O255" s="3">
        <f t="shared" si="52"/>
        <v>45834.423420995372</v>
      </c>
      <c r="P255" s="3">
        <f t="shared" si="53"/>
        <v>45834.425953969905</v>
      </c>
      <c r="Q255" s="1" t="str">
        <f t="shared" si="49"/>
        <v>Externo</v>
      </c>
      <c r="R255" s="1">
        <f t="shared" si="54"/>
        <v>26</v>
      </c>
      <c r="S255" s="6">
        <f t="shared" si="55"/>
        <v>45831</v>
      </c>
      <c r="T255" s="1">
        <f t="shared" si="56"/>
        <v>26</v>
      </c>
      <c r="U255" s="6">
        <f t="shared" si="57"/>
        <v>45831</v>
      </c>
      <c r="V255" s="1">
        <f t="shared" si="58"/>
        <v>2.5329745330964215E-3</v>
      </c>
      <c r="W255" s="1">
        <f t="shared" si="59"/>
        <v>2025</v>
      </c>
      <c r="X255" s="1">
        <f t="shared" si="60"/>
        <v>2025</v>
      </c>
      <c r="Y255" s="1" t="str">
        <f t="shared" si="50"/>
        <v>2025-06</v>
      </c>
      <c r="Z255" s="1" t="str">
        <f t="shared" si="51"/>
        <v>2025-06</v>
      </c>
    </row>
    <row r="256" spans="1:26" x14ac:dyDescent="0.2">
      <c r="A256" s="1" t="s">
        <v>629</v>
      </c>
      <c r="B256" s="1" t="s">
        <v>630</v>
      </c>
      <c r="C256" s="1" t="s">
        <v>83</v>
      </c>
      <c r="D256" s="3">
        <v>45834.448836412033</v>
      </c>
      <c r="E256" s="3">
        <v>45834.453018680557</v>
      </c>
      <c r="F256" s="1" t="s">
        <v>52</v>
      </c>
      <c r="G256" s="1" t="s">
        <v>21</v>
      </c>
      <c r="H256" s="1" t="s">
        <v>13</v>
      </c>
      <c r="I256" s="1" t="s">
        <v>18</v>
      </c>
      <c r="J256" s="1" t="s">
        <v>16</v>
      </c>
      <c r="K256" s="1" t="s">
        <v>15</v>
      </c>
      <c r="L256" s="1" t="s">
        <v>13</v>
      </c>
      <c r="M256" s="1" t="s">
        <v>1163</v>
      </c>
      <c r="N256" s="1" t="str">
        <f t="shared" si="48"/>
        <v>SOPORTE</v>
      </c>
      <c r="O256" s="3">
        <f t="shared" si="52"/>
        <v>45834.448836412033</v>
      </c>
      <c r="P256" s="3">
        <f t="shared" si="53"/>
        <v>45834.453018680557</v>
      </c>
      <c r="Q256" s="1" t="str">
        <f t="shared" si="49"/>
        <v>Externo</v>
      </c>
      <c r="R256" s="1">
        <f t="shared" si="54"/>
        <v>26</v>
      </c>
      <c r="S256" s="6">
        <f t="shared" si="55"/>
        <v>45831</v>
      </c>
      <c r="T256" s="1">
        <f t="shared" si="56"/>
        <v>26</v>
      </c>
      <c r="U256" s="6">
        <f t="shared" si="57"/>
        <v>45831</v>
      </c>
      <c r="V256" s="1">
        <f t="shared" si="58"/>
        <v>4.1822685234365053E-3</v>
      </c>
      <c r="W256" s="1">
        <f t="shared" si="59"/>
        <v>2025</v>
      </c>
      <c r="X256" s="1">
        <f t="shared" si="60"/>
        <v>2025</v>
      </c>
      <c r="Y256" s="1" t="str">
        <f t="shared" si="50"/>
        <v>2025-06</v>
      </c>
      <c r="Z256" s="1" t="str">
        <f t="shared" si="51"/>
        <v>2025-06</v>
      </c>
    </row>
    <row r="257" spans="1:26" x14ac:dyDescent="0.2">
      <c r="A257" s="1" t="s">
        <v>631</v>
      </c>
      <c r="B257" s="1" t="s">
        <v>632</v>
      </c>
      <c r="C257" s="1" t="s">
        <v>13</v>
      </c>
      <c r="D257" s="3">
        <v>45835.371832372686</v>
      </c>
      <c r="E257" s="3">
        <v>45838.424397673611</v>
      </c>
      <c r="F257" s="1" t="s">
        <v>52</v>
      </c>
      <c r="G257" s="1" t="s">
        <v>53</v>
      </c>
      <c r="H257" s="1" t="s">
        <v>13</v>
      </c>
      <c r="I257" s="1" t="s">
        <v>13</v>
      </c>
      <c r="J257" s="1" t="s">
        <v>16</v>
      </c>
      <c r="K257" s="1" t="s">
        <v>17</v>
      </c>
      <c r="L257" s="1" t="s">
        <v>13</v>
      </c>
      <c r="M257" s="1" t="s">
        <v>13</v>
      </c>
      <c r="N257" s="1" t="str">
        <f t="shared" si="48"/>
        <v>TÉCNICO</v>
      </c>
      <c r="O257" s="3">
        <f t="shared" si="52"/>
        <v>45835.371832372686</v>
      </c>
      <c r="P257" s="3">
        <f t="shared" si="53"/>
        <v>45838.424397673611</v>
      </c>
      <c r="Q257" s="1" t="str">
        <f t="shared" si="49"/>
        <v>Interno</v>
      </c>
      <c r="R257" s="1">
        <f t="shared" si="54"/>
        <v>26</v>
      </c>
      <c r="S257" s="6">
        <f t="shared" si="55"/>
        <v>45831</v>
      </c>
      <c r="T257" s="1">
        <f t="shared" si="56"/>
        <v>27</v>
      </c>
      <c r="U257" s="6">
        <f t="shared" si="57"/>
        <v>45838</v>
      </c>
      <c r="V257" s="1">
        <f t="shared" si="58"/>
        <v>3.0525653009244706</v>
      </c>
      <c r="W257" s="1">
        <f t="shared" si="59"/>
        <v>2025</v>
      </c>
      <c r="X257" s="1">
        <f t="shared" si="60"/>
        <v>2025</v>
      </c>
      <c r="Y257" s="1" t="str">
        <f t="shared" si="50"/>
        <v>2025-06</v>
      </c>
      <c r="Z257" s="1" t="str">
        <f t="shared" si="51"/>
        <v>2025-06</v>
      </c>
    </row>
    <row r="258" spans="1:26" x14ac:dyDescent="0.2">
      <c r="A258" s="1" t="s">
        <v>633</v>
      </c>
      <c r="B258" s="1" t="s">
        <v>634</v>
      </c>
      <c r="C258" s="1" t="s">
        <v>109</v>
      </c>
      <c r="D258" s="3">
        <v>45838.386136284724</v>
      </c>
      <c r="E258" s="4">
        <v>45839.443435694448</v>
      </c>
      <c r="F258" s="1" t="s">
        <v>52</v>
      </c>
      <c r="G258" s="1" t="s">
        <v>21</v>
      </c>
      <c r="H258" s="1" t="s">
        <v>635</v>
      </c>
      <c r="I258" s="1" t="s">
        <v>18</v>
      </c>
      <c r="J258" s="1" t="s">
        <v>16</v>
      </c>
      <c r="K258" s="1" t="s">
        <v>15</v>
      </c>
      <c r="L258" s="1" t="s">
        <v>13</v>
      </c>
      <c r="M258" s="1" t="s">
        <v>1163</v>
      </c>
      <c r="N258" s="1" t="str">
        <f t="shared" si="48"/>
        <v>SOPORTE</v>
      </c>
      <c r="O258" s="3">
        <f t="shared" si="52"/>
        <v>45838.386136284724</v>
      </c>
      <c r="P258" s="3">
        <f t="shared" si="53"/>
        <v>45839.443435694448</v>
      </c>
      <c r="Q258" s="1" t="str">
        <f t="shared" si="49"/>
        <v>Externo</v>
      </c>
      <c r="R258" s="1">
        <f t="shared" si="54"/>
        <v>27</v>
      </c>
      <c r="S258" s="6">
        <f t="shared" si="55"/>
        <v>45838</v>
      </c>
      <c r="T258" s="1">
        <f t="shared" si="56"/>
        <v>27</v>
      </c>
      <c r="U258" s="6">
        <f t="shared" si="57"/>
        <v>45838</v>
      </c>
      <c r="V258" s="1">
        <f t="shared" si="58"/>
        <v>1.0572994097237824</v>
      </c>
      <c r="W258" s="1">
        <f t="shared" si="59"/>
        <v>2025</v>
      </c>
      <c r="X258" s="1">
        <f t="shared" si="60"/>
        <v>2025</v>
      </c>
      <c r="Y258" s="1" t="str">
        <f t="shared" si="50"/>
        <v>2025-06</v>
      </c>
      <c r="Z258" s="1" t="str">
        <f t="shared" si="51"/>
        <v>2025-06</v>
      </c>
    </row>
    <row r="259" spans="1:26" x14ac:dyDescent="0.2">
      <c r="A259" s="1" t="s">
        <v>636</v>
      </c>
      <c r="B259" s="1" t="s">
        <v>637</v>
      </c>
      <c r="C259" s="1" t="s">
        <v>124</v>
      </c>
      <c r="D259" s="3">
        <v>45838.513617627315</v>
      </c>
      <c r="E259" s="4">
        <v>45839.572958321762</v>
      </c>
      <c r="F259" s="1" t="s">
        <v>52</v>
      </c>
      <c r="G259" s="1" t="s">
        <v>21</v>
      </c>
      <c r="H259" s="1" t="s">
        <v>13</v>
      </c>
      <c r="I259" s="1" t="s">
        <v>18</v>
      </c>
      <c r="J259" s="1" t="s">
        <v>16</v>
      </c>
      <c r="K259" s="1" t="s">
        <v>15</v>
      </c>
      <c r="L259" s="1" t="s">
        <v>13</v>
      </c>
      <c r="M259" s="1" t="s">
        <v>1163</v>
      </c>
      <c r="N259" s="1" t="str">
        <f t="shared" ref="N259:N322" si="61">G259</f>
        <v>SOPORTE</v>
      </c>
      <c r="O259" s="3">
        <f t="shared" si="52"/>
        <v>45838.513617627315</v>
      </c>
      <c r="P259" s="3">
        <f t="shared" si="53"/>
        <v>45839.572958321762</v>
      </c>
      <c r="Q259" s="1" t="str">
        <f t="shared" ref="Q259:Q322" si="62">IF(OR(N259="Soporte",N259="Definición",N259="Origen"),"Externo",
IF(OR(N259="Funcional",N259="Técnico",N259="Desarrollo",N259="Reproceso"),"Interno",
IF(OR(N259="",N259="Selecciona (SOPORTE/DEFINICIÓN/FUNCIONAL/TÉCNICO/DESARROLLO)"),"Pendiente clasificar","")))</f>
        <v>Externo</v>
      </c>
      <c r="R259" s="1">
        <f t="shared" si="54"/>
        <v>27</v>
      </c>
      <c r="S259" s="6">
        <f t="shared" si="55"/>
        <v>45838</v>
      </c>
      <c r="T259" s="1">
        <f t="shared" si="56"/>
        <v>27</v>
      </c>
      <c r="U259" s="6">
        <f t="shared" si="57"/>
        <v>45838</v>
      </c>
      <c r="V259" s="1">
        <f t="shared" si="58"/>
        <v>1.0593406944462913</v>
      </c>
      <c r="W259" s="1">
        <f t="shared" si="59"/>
        <v>2025</v>
      </c>
      <c r="X259" s="1">
        <f t="shared" si="60"/>
        <v>2025</v>
      </c>
      <c r="Y259" s="1" t="str">
        <f t="shared" ref="Y259:Y322" si="63">(TEXT(S259,"aaaa-mm"))</f>
        <v>2025-06</v>
      </c>
      <c r="Z259" s="1" t="str">
        <f t="shared" ref="Z259:Z322" si="64">(TEXT(U259,"aaaa-mm"))</f>
        <v>2025-06</v>
      </c>
    </row>
    <row r="260" spans="1:26" x14ac:dyDescent="0.2">
      <c r="A260" s="1" t="s">
        <v>638</v>
      </c>
      <c r="B260" s="1" t="s">
        <v>639</v>
      </c>
      <c r="C260" s="1" t="s">
        <v>83</v>
      </c>
      <c r="D260" s="3">
        <v>45838.614605706018</v>
      </c>
      <c r="E260" s="3">
        <v>45838.64270300926</v>
      </c>
      <c r="F260" s="1" t="s">
        <v>52</v>
      </c>
      <c r="G260" s="1" t="s">
        <v>21</v>
      </c>
      <c r="H260" s="1" t="s">
        <v>571</v>
      </c>
      <c r="I260" s="1" t="s">
        <v>18</v>
      </c>
      <c r="J260" s="1" t="s">
        <v>16</v>
      </c>
      <c r="K260" s="1" t="s">
        <v>15</v>
      </c>
      <c r="L260" s="1" t="s">
        <v>13</v>
      </c>
      <c r="M260" s="1" t="s">
        <v>13</v>
      </c>
      <c r="N260" s="1" t="str">
        <f t="shared" si="61"/>
        <v>SOPORTE</v>
      </c>
      <c r="O260" s="3">
        <f t="shared" si="52"/>
        <v>45838.614605706018</v>
      </c>
      <c r="P260" s="3">
        <f t="shared" si="53"/>
        <v>45838.64270300926</v>
      </c>
      <c r="Q260" s="1" t="str">
        <f t="shared" si="62"/>
        <v>Externo</v>
      </c>
      <c r="R260" s="1">
        <f t="shared" si="54"/>
        <v>27</v>
      </c>
      <c r="S260" s="6">
        <f t="shared" si="55"/>
        <v>45838</v>
      </c>
      <c r="T260" s="1">
        <f t="shared" si="56"/>
        <v>27</v>
      </c>
      <c r="U260" s="6">
        <f t="shared" si="57"/>
        <v>45838</v>
      </c>
      <c r="V260" s="1">
        <f t="shared" si="58"/>
        <v>2.8097303242248017E-2</v>
      </c>
      <c r="W260" s="1">
        <f t="shared" si="59"/>
        <v>2025</v>
      </c>
      <c r="X260" s="1">
        <f t="shared" si="60"/>
        <v>2025</v>
      </c>
      <c r="Y260" s="1" t="str">
        <f t="shared" si="63"/>
        <v>2025-06</v>
      </c>
      <c r="Z260" s="1" t="str">
        <f t="shared" si="64"/>
        <v>2025-06</v>
      </c>
    </row>
    <row r="261" spans="1:26" x14ac:dyDescent="0.2">
      <c r="A261" s="1" t="s">
        <v>640</v>
      </c>
      <c r="B261" s="1" t="s">
        <v>641</v>
      </c>
      <c r="C261" s="1" t="s">
        <v>13</v>
      </c>
      <c r="D261" s="3">
        <v>45838.643229675923</v>
      </c>
      <c r="E261" s="3">
        <v>45845.399525138891</v>
      </c>
      <c r="F261" s="1" t="s">
        <v>52</v>
      </c>
      <c r="G261" s="1" t="s">
        <v>21</v>
      </c>
      <c r="H261" s="1" t="s">
        <v>468</v>
      </c>
      <c r="I261" s="1" t="s">
        <v>18</v>
      </c>
      <c r="J261" s="1" t="s">
        <v>16</v>
      </c>
      <c r="K261" s="1" t="s">
        <v>15</v>
      </c>
      <c r="L261" s="1" t="s">
        <v>13</v>
      </c>
      <c r="M261" s="1" t="s">
        <v>1163</v>
      </c>
      <c r="N261" s="1" t="str">
        <f t="shared" si="61"/>
        <v>SOPORTE</v>
      </c>
      <c r="O261" s="3">
        <f t="shared" si="52"/>
        <v>45838.643229675923</v>
      </c>
      <c r="P261" s="3">
        <f t="shared" si="53"/>
        <v>45845.399525138891</v>
      </c>
      <c r="Q261" s="1" t="str">
        <f t="shared" si="62"/>
        <v>Externo</v>
      </c>
      <c r="R261" s="1">
        <f t="shared" si="54"/>
        <v>27</v>
      </c>
      <c r="S261" s="6">
        <f t="shared" si="55"/>
        <v>45838</v>
      </c>
      <c r="T261" s="1">
        <f t="shared" si="56"/>
        <v>28</v>
      </c>
      <c r="U261" s="6">
        <f t="shared" si="57"/>
        <v>45845</v>
      </c>
      <c r="V261" s="1">
        <f t="shared" si="58"/>
        <v>6.75629546296841</v>
      </c>
      <c r="W261" s="1">
        <f t="shared" si="59"/>
        <v>2025</v>
      </c>
      <c r="X261" s="1">
        <f t="shared" si="60"/>
        <v>2025</v>
      </c>
      <c r="Y261" s="1" t="str">
        <f t="shared" si="63"/>
        <v>2025-06</v>
      </c>
      <c r="Z261" s="1" t="str">
        <f t="shared" si="64"/>
        <v>2025-07</v>
      </c>
    </row>
    <row r="262" spans="1:26" x14ac:dyDescent="0.2">
      <c r="A262" s="1" t="s">
        <v>642</v>
      </c>
      <c r="B262" s="1" t="s">
        <v>643</v>
      </c>
      <c r="C262" s="1" t="s">
        <v>618</v>
      </c>
      <c r="D262" s="3">
        <v>45838.645623553239</v>
      </c>
      <c r="E262" s="3">
        <v>45838.647708506942</v>
      </c>
      <c r="F262" s="1" t="s">
        <v>52</v>
      </c>
      <c r="G262" s="1" t="s">
        <v>53</v>
      </c>
      <c r="H262" s="1" t="s">
        <v>13</v>
      </c>
      <c r="I262" s="1" t="s">
        <v>18</v>
      </c>
      <c r="J262" s="1" t="s">
        <v>16</v>
      </c>
      <c r="K262" s="1" t="s">
        <v>15</v>
      </c>
      <c r="L262" s="1" t="s">
        <v>13</v>
      </c>
      <c r="M262" s="1" t="s">
        <v>13</v>
      </c>
      <c r="N262" s="1" t="str">
        <f t="shared" si="61"/>
        <v>TÉCNICO</v>
      </c>
      <c r="O262" s="3">
        <f t="shared" ref="O262:O325" si="65">D262</f>
        <v>45838.645623553239</v>
      </c>
      <c r="P262" s="3">
        <f t="shared" ref="P262:P325" si="66">E262</f>
        <v>45838.647708506942</v>
      </c>
      <c r="Q262" s="1" t="str">
        <f t="shared" si="62"/>
        <v>Interno</v>
      </c>
      <c r="R262" s="1">
        <f t="shared" ref="R262:R325" si="67">WEEKNUM(O262,1)</f>
        <v>27</v>
      </c>
      <c r="S262" s="6">
        <f t="shared" ref="S262:S325" si="68">DATE(W262,1,4) + (R262-1)*7 - WEEKDAY(DATE(W262,1,4),2) +1</f>
        <v>45838</v>
      </c>
      <c r="T262" s="1">
        <f t="shared" ref="T262:T325" si="69">WEEKNUM(P262,1)</f>
        <v>27</v>
      </c>
      <c r="U262" s="6">
        <f t="shared" ref="U262:U325" si="70">DATE(X262,1,4) + (T262-1)*7 - WEEKDAY(DATE(X262,1,4),2) +1</f>
        <v>45838</v>
      </c>
      <c r="V262" s="1">
        <f t="shared" ref="V262:V325" si="71">ABS(P262-O262)</f>
        <v>2.0849537031608634E-3</v>
      </c>
      <c r="W262" s="1">
        <f t="shared" ref="W262:W325" si="72">YEAR(O262)</f>
        <v>2025</v>
      </c>
      <c r="X262" s="1">
        <f t="shared" ref="X262:X325" si="73">YEAR(P262)</f>
        <v>2025</v>
      </c>
      <c r="Y262" s="1" t="str">
        <f t="shared" si="63"/>
        <v>2025-06</v>
      </c>
      <c r="Z262" s="1" t="str">
        <f t="shared" si="64"/>
        <v>2025-06</v>
      </c>
    </row>
    <row r="263" spans="1:26" x14ac:dyDescent="0.2">
      <c r="A263" s="1" t="s">
        <v>644</v>
      </c>
      <c r="B263" s="1" t="s">
        <v>645</v>
      </c>
      <c r="C263" s="1" t="s">
        <v>13</v>
      </c>
      <c r="D263" s="3">
        <v>45838.648318159721</v>
      </c>
      <c r="E263" s="3">
        <v>45845.400235706016</v>
      </c>
      <c r="F263" s="1" t="s">
        <v>52</v>
      </c>
      <c r="G263" s="1" t="s">
        <v>21</v>
      </c>
      <c r="H263" s="1" t="s">
        <v>468</v>
      </c>
      <c r="I263" s="1" t="s">
        <v>18</v>
      </c>
      <c r="J263" s="1" t="s">
        <v>16</v>
      </c>
      <c r="K263" s="1" t="s">
        <v>15</v>
      </c>
      <c r="L263" s="1" t="s">
        <v>13</v>
      </c>
      <c r="M263" s="1" t="s">
        <v>1163</v>
      </c>
      <c r="N263" s="1" t="str">
        <f t="shared" si="61"/>
        <v>SOPORTE</v>
      </c>
      <c r="O263" s="3">
        <f t="shared" si="65"/>
        <v>45838.648318159721</v>
      </c>
      <c r="P263" s="3">
        <f t="shared" si="66"/>
        <v>45845.400235706016</v>
      </c>
      <c r="Q263" s="1" t="str">
        <f t="shared" si="62"/>
        <v>Externo</v>
      </c>
      <c r="R263" s="1">
        <f t="shared" si="67"/>
        <v>27</v>
      </c>
      <c r="S263" s="6">
        <f t="shared" si="68"/>
        <v>45838</v>
      </c>
      <c r="T263" s="1">
        <f t="shared" si="69"/>
        <v>28</v>
      </c>
      <c r="U263" s="6">
        <f t="shared" si="70"/>
        <v>45845</v>
      </c>
      <c r="V263" s="1">
        <f t="shared" si="71"/>
        <v>6.7519175462948624</v>
      </c>
      <c r="W263" s="1">
        <f t="shared" si="72"/>
        <v>2025</v>
      </c>
      <c r="X263" s="1">
        <f t="shared" si="73"/>
        <v>2025</v>
      </c>
      <c r="Y263" s="1" t="str">
        <f t="shared" si="63"/>
        <v>2025-06</v>
      </c>
      <c r="Z263" s="1" t="str">
        <f t="shared" si="64"/>
        <v>2025-07</v>
      </c>
    </row>
    <row r="264" spans="1:26" x14ac:dyDescent="0.2">
      <c r="A264" s="1" t="s">
        <v>646</v>
      </c>
      <c r="B264" s="1" t="s">
        <v>647</v>
      </c>
      <c r="C264" s="1" t="s">
        <v>78</v>
      </c>
      <c r="D264" s="3">
        <v>45838.704752638892</v>
      </c>
      <c r="E264" s="4">
        <v>45839.440895983797</v>
      </c>
      <c r="F264" s="1" t="s">
        <v>52</v>
      </c>
      <c r="G264" s="1" t="s">
        <v>21</v>
      </c>
      <c r="H264" s="1" t="s">
        <v>468</v>
      </c>
      <c r="I264" s="1" t="s">
        <v>18</v>
      </c>
      <c r="J264" s="1" t="s">
        <v>16</v>
      </c>
      <c r="K264" s="1" t="s">
        <v>15</v>
      </c>
      <c r="L264" s="1" t="s">
        <v>13</v>
      </c>
      <c r="M264" s="1" t="s">
        <v>1163</v>
      </c>
      <c r="N264" s="1" t="str">
        <f t="shared" si="61"/>
        <v>SOPORTE</v>
      </c>
      <c r="O264" s="3">
        <f t="shared" si="65"/>
        <v>45838.704752638892</v>
      </c>
      <c r="P264" s="3">
        <f t="shared" si="66"/>
        <v>45839.440895983797</v>
      </c>
      <c r="Q264" s="1" t="str">
        <f t="shared" si="62"/>
        <v>Externo</v>
      </c>
      <c r="R264" s="1">
        <f t="shared" si="67"/>
        <v>27</v>
      </c>
      <c r="S264" s="6">
        <f t="shared" si="68"/>
        <v>45838</v>
      </c>
      <c r="T264" s="1">
        <f t="shared" si="69"/>
        <v>27</v>
      </c>
      <c r="U264" s="6">
        <f t="shared" si="70"/>
        <v>45838</v>
      </c>
      <c r="V264" s="1">
        <f t="shared" si="71"/>
        <v>0.73614334490412148</v>
      </c>
      <c r="W264" s="1">
        <f t="shared" si="72"/>
        <v>2025</v>
      </c>
      <c r="X264" s="1">
        <f t="shared" si="73"/>
        <v>2025</v>
      </c>
      <c r="Y264" s="1" t="str">
        <f t="shared" si="63"/>
        <v>2025-06</v>
      </c>
      <c r="Z264" s="1" t="str">
        <f t="shared" si="64"/>
        <v>2025-06</v>
      </c>
    </row>
    <row r="265" spans="1:26" x14ac:dyDescent="0.2">
      <c r="A265" s="1" t="s">
        <v>648</v>
      </c>
      <c r="B265" s="1" t="s">
        <v>649</v>
      </c>
      <c r="C265" s="1" t="s">
        <v>109</v>
      </c>
      <c r="D265" s="4">
        <v>45839.580808738428</v>
      </c>
      <c r="E265" s="3">
        <v>45845.397094143518</v>
      </c>
      <c r="F265" s="1" t="s">
        <v>52</v>
      </c>
      <c r="G265" s="1" t="s">
        <v>21</v>
      </c>
      <c r="H265" s="1" t="s">
        <v>468</v>
      </c>
      <c r="I265" s="1" t="s">
        <v>18</v>
      </c>
      <c r="J265" s="1" t="s">
        <v>16</v>
      </c>
      <c r="K265" s="1" t="s">
        <v>15</v>
      </c>
      <c r="L265" s="1" t="s">
        <v>13</v>
      </c>
      <c r="M265" s="1" t="s">
        <v>1163</v>
      </c>
      <c r="N265" s="1" t="str">
        <f t="shared" si="61"/>
        <v>SOPORTE</v>
      </c>
      <c r="O265" s="3">
        <f t="shared" si="65"/>
        <v>45839.580808738428</v>
      </c>
      <c r="P265" s="3">
        <f t="shared" si="66"/>
        <v>45845.397094143518</v>
      </c>
      <c r="Q265" s="1" t="str">
        <f t="shared" si="62"/>
        <v>Externo</v>
      </c>
      <c r="R265" s="1">
        <f t="shared" si="67"/>
        <v>27</v>
      </c>
      <c r="S265" s="6">
        <f t="shared" si="68"/>
        <v>45838</v>
      </c>
      <c r="T265" s="1">
        <f t="shared" si="69"/>
        <v>28</v>
      </c>
      <c r="U265" s="6">
        <f t="shared" si="70"/>
        <v>45845</v>
      </c>
      <c r="V265" s="1">
        <f t="shared" si="71"/>
        <v>5.8162854050897295</v>
      </c>
      <c r="W265" s="1">
        <f t="shared" si="72"/>
        <v>2025</v>
      </c>
      <c r="X265" s="1">
        <f t="shared" si="73"/>
        <v>2025</v>
      </c>
      <c r="Y265" s="1" t="str">
        <f t="shared" si="63"/>
        <v>2025-06</v>
      </c>
      <c r="Z265" s="1" t="str">
        <f t="shared" si="64"/>
        <v>2025-07</v>
      </c>
    </row>
    <row r="266" spans="1:26" x14ac:dyDescent="0.2">
      <c r="A266" s="1" t="s">
        <v>650</v>
      </c>
      <c r="B266" s="1" t="s">
        <v>651</v>
      </c>
      <c r="C266" s="1" t="s">
        <v>58</v>
      </c>
      <c r="D266" s="3">
        <v>45840.354912025461</v>
      </c>
      <c r="E266" s="3">
        <v>45840.480510162037</v>
      </c>
      <c r="F266" s="1" t="s">
        <v>52</v>
      </c>
      <c r="G266" s="1" t="s">
        <v>21</v>
      </c>
      <c r="H266" s="1" t="s">
        <v>13</v>
      </c>
      <c r="I266" s="1" t="s">
        <v>18</v>
      </c>
      <c r="J266" s="1" t="s">
        <v>16</v>
      </c>
      <c r="K266" s="1" t="s">
        <v>15</v>
      </c>
      <c r="L266" s="1" t="s">
        <v>13</v>
      </c>
      <c r="M266" s="1" t="s">
        <v>1163</v>
      </c>
      <c r="N266" s="1" t="str">
        <f t="shared" si="61"/>
        <v>SOPORTE</v>
      </c>
      <c r="O266" s="3">
        <f t="shared" si="65"/>
        <v>45840.354912025461</v>
      </c>
      <c r="P266" s="3">
        <f t="shared" si="66"/>
        <v>45840.480510162037</v>
      </c>
      <c r="Q266" s="1" t="str">
        <f t="shared" si="62"/>
        <v>Externo</v>
      </c>
      <c r="R266" s="1">
        <f t="shared" si="67"/>
        <v>27</v>
      </c>
      <c r="S266" s="6">
        <f t="shared" si="68"/>
        <v>45838</v>
      </c>
      <c r="T266" s="1">
        <f t="shared" si="69"/>
        <v>27</v>
      </c>
      <c r="U266" s="6">
        <f t="shared" si="70"/>
        <v>45838</v>
      </c>
      <c r="V266" s="1">
        <f t="shared" si="71"/>
        <v>0.12559813657571794</v>
      </c>
      <c r="W266" s="1">
        <f t="shared" si="72"/>
        <v>2025</v>
      </c>
      <c r="X266" s="1">
        <f t="shared" si="73"/>
        <v>2025</v>
      </c>
      <c r="Y266" s="1" t="str">
        <f t="shared" si="63"/>
        <v>2025-06</v>
      </c>
      <c r="Z266" s="1" t="str">
        <f t="shared" si="64"/>
        <v>2025-06</v>
      </c>
    </row>
    <row r="267" spans="1:26" x14ac:dyDescent="0.2">
      <c r="A267" s="1" t="s">
        <v>652</v>
      </c>
      <c r="B267" s="1" t="s">
        <v>653</v>
      </c>
      <c r="C267" s="1" t="s">
        <v>13</v>
      </c>
      <c r="D267" s="3">
        <v>45840.370982673609</v>
      </c>
      <c r="E267" s="3">
        <v>45875.506188842592</v>
      </c>
      <c r="F267" s="1" t="s">
        <v>52</v>
      </c>
      <c r="G267" s="1" t="s">
        <v>19</v>
      </c>
      <c r="H267" s="1" t="s">
        <v>13</v>
      </c>
      <c r="I267" s="1" t="s">
        <v>18</v>
      </c>
      <c r="J267" s="1" t="s">
        <v>16</v>
      </c>
      <c r="K267" s="1" t="s">
        <v>15</v>
      </c>
      <c r="L267" s="1" t="s">
        <v>13</v>
      </c>
      <c r="M267" s="1" t="s">
        <v>13</v>
      </c>
      <c r="N267" s="1" t="str">
        <f t="shared" si="61"/>
        <v>DEFINICIÓN</v>
      </c>
      <c r="O267" s="3">
        <f t="shared" si="65"/>
        <v>45840.370982673609</v>
      </c>
      <c r="P267" s="3">
        <f t="shared" si="66"/>
        <v>45875.506188842592</v>
      </c>
      <c r="Q267" s="1" t="str">
        <f t="shared" si="62"/>
        <v>Externo</v>
      </c>
      <c r="R267" s="1">
        <f t="shared" si="67"/>
        <v>27</v>
      </c>
      <c r="S267" s="6">
        <f t="shared" si="68"/>
        <v>45838</v>
      </c>
      <c r="T267" s="1">
        <f t="shared" si="69"/>
        <v>32</v>
      </c>
      <c r="U267" s="6">
        <f t="shared" si="70"/>
        <v>45873</v>
      </c>
      <c r="V267" s="1">
        <f t="shared" si="71"/>
        <v>35.135206168983132</v>
      </c>
      <c r="W267" s="1">
        <f t="shared" si="72"/>
        <v>2025</v>
      </c>
      <c r="X267" s="1">
        <f t="shared" si="73"/>
        <v>2025</v>
      </c>
      <c r="Y267" s="1" t="str">
        <f t="shared" si="63"/>
        <v>2025-06</v>
      </c>
      <c r="Z267" s="1" t="str">
        <f t="shared" si="64"/>
        <v>2025-08</v>
      </c>
    </row>
    <row r="268" spans="1:26" x14ac:dyDescent="0.2">
      <c r="A268" s="1" t="s">
        <v>654</v>
      </c>
      <c r="B268" s="1" t="s">
        <v>655</v>
      </c>
      <c r="C268" s="1" t="s">
        <v>78</v>
      </c>
      <c r="D268" s="3">
        <v>45840.49866203704</v>
      </c>
      <c r="E268" s="3">
        <v>45840.506988240741</v>
      </c>
      <c r="F268" s="1" t="s">
        <v>52</v>
      </c>
      <c r="G268" s="1" t="s">
        <v>53</v>
      </c>
      <c r="H268" s="1" t="s">
        <v>13</v>
      </c>
      <c r="I268" s="1" t="s">
        <v>18</v>
      </c>
      <c r="J268" s="1" t="s">
        <v>16</v>
      </c>
      <c r="K268" s="1" t="s">
        <v>15</v>
      </c>
      <c r="L268" s="1" t="s">
        <v>13</v>
      </c>
      <c r="M268" s="1" t="s">
        <v>1163</v>
      </c>
      <c r="N268" s="1" t="str">
        <f t="shared" si="61"/>
        <v>TÉCNICO</v>
      </c>
      <c r="O268" s="3">
        <f t="shared" si="65"/>
        <v>45840.49866203704</v>
      </c>
      <c r="P268" s="3">
        <f t="shared" si="66"/>
        <v>45840.506988240741</v>
      </c>
      <c r="Q268" s="1" t="str">
        <f t="shared" si="62"/>
        <v>Interno</v>
      </c>
      <c r="R268" s="1">
        <f t="shared" si="67"/>
        <v>27</v>
      </c>
      <c r="S268" s="6">
        <f t="shared" si="68"/>
        <v>45838</v>
      </c>
      <c r="T268" s="1">
        <f t="shared" si="69"/>
        <v>27</v>
      </c>
      <c r="U268" s="6">
        <f t="shared" si="70"/>
        <v>45838</v>
      </c>
      <c r="V268" s="1">
        <f t="shared" si="71"/>
        <v>8.3262037005624734E-3</v>
      </c>
      <c r="W268" s="1">
        <f t="shared" si="72"/>
        <v>2025</v>
      </c>
      <c r="X268" s="1">
        <f t="shared" si="73"/>
        <v>2025</v>
      </c>
      <c r="Y268" s="1" t="str">
        <f t="shared" si="63"/>
        <v>2025-06</v>
      </c>
      <c r="Z268" s="1" t="str">
        <f t="shared" si="64"/>
        <v>2025-06</v>
      </c>
    </row>
    <row r="269" spans="1:26" x14ac:dyDescent="0.2">
      <c r="A269" s="1" t="s">
        <v>656</v>
      </c>
      <c r="B269" s="1" t="s">
        <v>657</v>
      </c>
      <c r="C269" s="1" t="s">
        <v>584</v>
      </c>
      <c r="D269" s="3">
        <v>45840.573477164355</v>
      </c>
      <c r="E269" s="3">
        <v>45845.400940046296</v>
      </c>
      <c r="F269" s="1" t="s">
        <v>52</v>
      </c>
      <c r="G269" s="1" t="s">
        <v>53</v>
      </c>
      <c r="H269" s="1" t="s">
        <v>13</v>
      </c>
      <c r="I269" s="1" t="s">
        <v>18</v>
      </c>
      <c r="J269" s="1" t="s">
        <v>16</v>
      </c>
      <c r="K269" s="1" t="s">
        <v>15</v>
      </c>
      <c r="L269" s="1" t="s">
        <v>13</v>
      </c>
      <c r="M269" s="1" t="s">
        <v>1163</v>
      </c>
      <c r="N269" s="1" t="str">
        <f t="shared" si="61"/>
        <v>TÉCNICO</v>
      </c>
      <c r="O269" s="3">
        <f t="shared" si="65"/>
        <v>45840.573477164355</v>
      </c>
      <c r="P269" s="3">
        <f t="shared" si="66"/>
        <v>45845.400940046296</v>
      </c>
      <c r="Q269" s="1" t="str">
        <f t="shared" si="62"/>
        <v>Interno</v>
      </c>
      <c r="R269" s="1">
        <f t="shared" si="67"/>
        <v>27</v>
      </c>
      <c r="S269" s="6">
        <f t="shared" si="68"/>
        <v>45838</v>
      </c>
      <c r="T269" s="1">
        <f t="shared" si="69"/>
        <v>28</v>
      </c>
      <c r="U269" s="6">
        <f t="shared" si="70"/>
        <v>45845</v>
      </c>
      <c r="V269" s="1">
        <f t="shared" si="71"/>
        <v>4.8274628819417558</v>
      </c>
      <c r="W269" s="1">
        <f t="shared" si="72"/>
        <v>2025</v>
      </c>
      <c r="X269" s="1">
        <f t="shared" si="73"/>
        <v>2025</v>
      </c>
      <c r="Y269" s="1" t="str">
        <f t="shared" si="63"/>
        <v>2025-06</v>
      </c>
      <c r="Z269" s="1" t="str">
        <f t="shared" si="64"/>
        <v>2025-07</v>
      </c>
    </row>
    <row r="270" spans="1:26" x14ac:dyDescent="0.2">
      <c r="A270" s="1" t="s">
        <v>658</v>
      </c>
      <c r="B270" s="1" t="s">
        <v>659</v>
      </c>
      <c r="C270" s="1" t="s">
        <v>58</v>
      </c>
      <c r="D270" s="3">
        <v>45841.521196284724</v>
      </c>
      <c r="E270" s="3">
        <v>45845.401527430557</v>
      </c>
      <c r="F270" s="1" t="s">
        <v>52</v>
      </c>
      <c r="G270" s="1" t="s">
        <v>53</v>
      </c>
      <c r="H270" s="1" t="s">
        <v>13</v>
      </c>
      <c r="I270" s="1" t="s">
        <v>18</v>
      </c>
      <c r="J270" s="1" t="s">
        <v>16</v>
      </c>
      <c r="K270" s="1" t="s">
        <v>15</v>
      </c>
      <c r="L270" s="1" t="s">
        <v>13</v>
      </c>
      <c r="M270" s="1" t="s">
        <v>1163</v>
      </c>
      <c r="N270" s="1" t="str">
        <f t="shared" si="61"/>
        <v>TÉCNICO</v>
      </c>
      <c r="O270" s="3">
        <f t="shared" si="65"/>
        <v>45841.521196284724</v>
      </c>
      <c r="P270" s="3">
        <f t="shared" si="66"/>
        <v>45845.401527430557</v>
      </c>
      <c r="Q270" s="1" t="str">
        <f t="shared" si="62"/>
        <v>Interno</v>
      </c>
      <c r="R270" s="1">
        <f t="shared" si="67"/>
        <v>27</v>
      </c>
      <c r="S270" s="6">
        <f t="shared" si="68"/>
        <v>45838</v>
      </c>
      <c r="T270" s="1">
        <f t="shared" si="69"/>
        <v>28</v>
      </c>
      <c r="U270" s="6">
        <f t="shared" si="70"/>
        <v>45845</v>
      </c>
      <c r="V270" s="1">
        <f t="shared" si="71"/>
        <v>3.8803311458323151</v>
      </c>
      <c r="W270" s="1">
        <f t="shared" si="72"/>
        <v>2025</v>
      </c>
      <c r="X270" s="1">
        <f t="shared" si="73"/>
        <v>2025</v>
      </c>
      <c r="Y270" s="1" t="str">
        <f t="shared" si="63"/>
        <v>2025-06</v>
      </c>
      <c r="Z270" s="1" t="str">
        <f t="shared" si="64"/>
        <v>2025-07</v>
      </c>
    </row>
    <row r="271" spans="1:26" x14ac:dyDescent="0.2">
      <c r="A271" s="1" t="s">
        <v>660</v>
      </c>
      <c r="B271" s="1" t="s">
        <v>661</v>
      </c>
      <c r="C271" s="1" t="s">
        <v>13</v>
      </c>
      <c r="D271" s="3">
        <v>45841.572728125</v>
      </c>
      <c r="E271" s="3">
        <v>45848.419363807872</v>
      </c>
      <c r="F271" s="1" t="s">
        <v>52</v>
      </c>
      <c r="G271" s="1" t="s">
        <v>21</v>
      </c>
      <c r="H271" s="1" t="s">
        <v>13</v>
      </c>
      <c r="I271" s="1" t="s">
        <v>13</v>
      </c>
      <c r="J271" s="1" t="s">
        <v>16</v>
      </c>
      <c r="K271" s="1" t="s">
        <v>15</v>
      </c>
      <c r="L271" s="1" t="s">
        <v>13</v>
      </c>
      <c r="M271" s="1" t="s">
        <v>1163</v>
      </c>
      <c r="N271" s="1" t="str">
        <f t="shared" si="61"/>
        <v>SOPORTE</v>
      </c>
      <c r="O271" s="3">
        <f t="shared" si="65"/>
        <v>45841.572728125</v>
      </c>
      <c r="P271" s="3">
        <f t="shared" si="66"/>
        <v>45848.419363807872</v>
      </c>
      <c r="Q271" s="1" t="str">
        <f t="shared" si="62"/>
        <v>Externo</v>
      </c>
      <c r="R271" s="1">
        <f t="shared" si="67"/>
        <v>27</v>
      </c>
      <c r="S271" s="6">
        <f t="shared" si="68"/>
        <v>45838</v>
      </c>
      <c r="T271" s="1">
        <f t="shared" si="69"/>
        <v>28</v>
      </c>
      <c r="U271" s="6">
        <f t="shared" si="70"/>
        <v>45845</v>
      </c>
      <c r="V271" s="1">
        <f t="shared" si="71"/>
        <v>6.8466356828721473</v>
      </c>
      <c r="W271" s="1">
        <f t="shared" si="72"/>
        <v>2025</v>
      </c>
      <c r="X271" s="1">
        <f t="shared" si="73"/>
        <v>2025</v>
      </c>
      <c r="Y271" s="1" t="str">
        <f t="shared" si="63"/>
        <v>2025-06</v>
      </c>
      <c r="Z271" s="1" t="str">
        <f t="shared" si="64"/>
        <v>2025-07</v>
      </c>
    </row>
    <row r="272" spans="1:26" x14ac:dyDescent="0.2">
      <c r="A272" s="1" t="s">
        <v>662</v>
      </c>
      <c r="B272" s="1" t="s">
        <v>663</v>
      </c>
      <c r="C272" s="1" t="s">
        <v>78</v>
      </c>
      <c r="D272" s="3">
        <v>45842.409482592593</v>
      </c>
      <c r="E272" s="3">
        <v>45845.402359236112</v>
      </c>
      <c r="F272" s="1" t="s">
        <v>52</v>
      </c>
      <c r="G272" s="1" t="s">
        <v>53</v>
      </c>
      <c r="H272" s="1" t="s">
        <v>571</v>
      </c>
      <c r="I272" s="1" t="s">
        <v>18</v>
      </c>
      <c r="J272" s="1" t="s">
        <v>16</v>
      </c>
      <c r="K272" s="1" t="s">
        <v>15</v>
      </c>
      <c r="L272" s="1" t="s">
        <v>13</v>
      </c>
      <c r="M272" s="1" t="s">
        <v>1163</v>
      </c>
      <c r="N272" s="1" t="str">
        <f t="shared" si="61"/>
        <v>TÉCNICO</v>
      </c>
      <c r="O272" s="3">
        <f t="shared" si="65"/>
        <v>45842.409482592593</v>
      </c>
      <c r="P272" s="3">
        <f t="shared" si="66"/>
        <v>45845.402359236112</v>
      </c>
      <c r="Q272" s="1" t="str">
        <f t="shared" si="62"/>
        <v>Interno</v>
      </c>
      <c r="R272" s="1">
        <f t="shared" si="67"/>
        <v>27</v>
      </c>
      <c r="S272" s="6">
        <f t="shared" si="68"/>
        <v>45838</v>
      </c>
      <c r="T272" s="1">
        <f t="shared" si="69"/>
        <v>28</v>
      </c>
      <c r="U272" s="6">
        <f t="shared" si="70"/>
        <v>45845</v>
      </c>
      <c r="V272" s="1">
        <f t="shared" si="71"/>
        <v>2.9928766435186844</v>
      </c>
      <c r="W272" s="1">
        <f t="shared" si="72"/>
        <v>2025</v>
      </c>
      <c r="X272" s="1">
        <f t="shared" si="73"/>
        <v>2025</v>
      </c>
      <c r="Y272" s="1" t="str">
        <f t="shared" si="63"/>
        <v>2025-06</v>
      </c>
      <c r="Z272" s="1" t="str">
        <f t="shared" si="64"/>
        <v>2025-07</v>
      </c>
    </row>
    <row r="273" spans="1:26" x14ac:dyDescent="0.2">
      <c r="A273" s="1" t="s">
        <v>664</v>
      </c>
      <c r="B273" s="1" t="s">
        <v>665</v>
      </c>
      <c r="C273" s="1" t="s">
        <v>127</v>
      </c>
      <c r="D273" s="3">
        <v>45842.418474895836</v>
      </c>
      <c r="E273" s="3">
        <v>45861.491254236113</v>
      </c>
      <c r="F273" s="1" t="s">
        <v>52</v>
      </c>
      <c r="G273" s="1" t="s">
        <v>12</v>
      </c>
      <c r="H273" s="1" t="s">
        <v>13</v>
      </c>
      <c r="I273" s="1" t="s">
        <v>148</v>
      </c>
      <c r="J273" s="1" t="s">
        <v>16</v>
      </c>
      <c r="K273" s="1" t="s">
        <v>15</v>
      </c>
      <c r="L273" s="1" t="s">
        <v>611</v>
      </c>
      <c r="M273" s="1" t="s">
        <v>1163</v>
      </c>
      <c r="N273" s="1" t="str">
        <f t="shared" si="61"/>
        <v>DESARROLLO</v>
      </c>
      <c r="O273" s="3">
        <f t="shared" si="65"/>
        <v>45842.418474895836</v>
      </c>
      <c r="P273" s="3">
        <f t="shared" si="66"/>
        <v>45861.491254236113</v>
      </c>
      <c r="Q273" s="1" t="str">
        <f t="shared" si="62"/>
        <v>Interno</v>
      </c>
      <c r="R273" s="1">
        <f t="shared" si="67"/>
        <v>27</v>
      </c>
      <c r="S273" s="6">
        <f t="shared" si="68"/>
        <v>45838</v>
      </c>
      <c r="T273" s="1">
        <f t="shared" si="69"/>
        <v>30</v>
      </c>
      <c r="U273" s="6">
        <f t="shared" si="70"/>
        <v>45859</v>
      </c>
      <c r="V273" s="1">
        <f t="shared" si="71"/>
        <v>19.072779340276611</v>
      </c>
      <c r="W273" s="1">
        <f t="shared" si="72"/>
        <v>2025</v>
      </c>
      <c r="X273" s="1">
        <f t="shared" si="73"/>
        <v>2025</v>
      </c>
      <c r="Y273" s="1" t="str">
        <f t="shared" si="63"/>
        <v>2025-06</v>
      </c>
      <c r="Z273" s="1" t="str">
        <f t="shared" si="64"/>
        <v>2025-07</v>
      </c>
    </row>
    <row r="274" spans="1:26" x14ac:dyDescent="0.2">
      <c r="A274" s="1" t="s">
        <v>666</v>
      </c>
      <c r="B274" s="1" t="s">
        <v>667</v>
      </c>
      <c r="C274" s="1" t="s">
        <v>103</v>
      </c>
      <c r="D274" s="3">
        <v>45845.392511331018</v>
      </c>
      <c r="E274" s="3">
        <v>45847.627602870372</v>
      </c>
      <c r="F274" s="1" t="s">
        <v>52</v>
      </c>
      <c r="G274" s="1" t="s">
        <v>21</v>
      </c>
      <c r="H274" s="1" t="s">
        <v>468</v>
      </c>
      <c r="I274" s="1" t="s">
        <v>18</v>
      </c>
      <c r="J274" s="1" t="s">
        <v>16</v>
      </c>
      <c r="K274" s="1" t="s">
        <v>15</v>
      </c>
      <c r="L274" s="1" t="s">
        <v>13</v>
      </c>
      <c r="M274" s="1" t="s">
        <v>1163</v>
      </c>
      <c r="N274" s="1" t="str">
        <f t="shared" si="61"/>
        <v>SOPORTE</v>
      </c>
      <c r="O274" s="3">
        <f t="shared" si="65"/>
        <v>45845.392511331018</v>
      </c>
      <c r="P274" s="3">
        <f t="shared" si="66"/>
        <v>45847.627602870372</v>
      </c>
      <c r="Q274" s="1" t="str">
        <f t="shared" si="62"/>
        <v>Externo</v>
      </c>
      <c r="R274" s="1">
        <f t="shared" si="67"/>
        <v>28</v>
      </c>
      <c r="S274" s="6">
        <f t="shared" si="68"/>
        <v>45845</v>
      </c>
      <c r="T274" s="1">
        <f t="shared" si="69"/>
        <v>28</v>
      </c>
      <c r="U274" s="6">
        <f t="shared" si="70"/>
        <v>45845</v>
      </c>
      <c r="V274" s="1">
        <f t="shared" si="71"/>
        <v>2.235091539354471</v>
      </c>
      <c r="W274" s="1">
        <f t="shared" si="72"/>
        <v>2025</v>
      </c>
      <c r="X274" s="1">
        <f t="shared" si="73"/>
        <v>2025</v>
      </c>
      <c r="Y274" s="1" t="str">
        <f t="shared" si="63"/>
        <v>2025-07</v>
      </c>
      <c r="Z274" s="1" t="str">
        <f t="shared" si="64"/>
        <v>2025-07</v>
      </c>
    </row>
    <row r="275" spans="1:26" x14ac:dyDescent="0.2">
      <c r="A275" s="1" t="s">
        <v>668</v>
      </c>
      <c r="B275" s="1" t="s">
        <v>669</v>
      </c>
      <c r="C275" s="1" t="s">
        <v>58</v>
      </c>
      <c r="D275" s="3">
        <v>45845.551070787034</v>
      </c>
      <c r="E275" s="3">
        <v>45845.554315787034</v>
      </c>
      <c r="F275" s="1" t="s">
        <v>52</v>
      </c>
      <c r="G275" s="1" t="s">
        <v>21</v>
      </c>
      <c r="H275" s="1" t="s">
        <v>13</v>
      </c>
      <c r="I275" s="1" t="s">
        <v>18</v>
      </c>
      <c r="J275" s="1" t="s">
        <v>16</v>
      </c>
      <c r="K275" s="1" t="s">
        <v>15</v>
      </c>
      <c r="L275" s="1" t="s">
        <v>13</v>
      </c>
      <c r="M275" s="1" t="s">
        <v>1163</v>
      </c>
      <c r="N275" s="1" t="str">
        <f t="shared" si="61"/>
        <v>SOPORTE</v>
      </c>
      <c r="O275" s="3">
        <f t="shared" si="65"/>
        <v>45845.551070787034</v>
      </c>
      <c r="P275" s="3">
        <f t="shared" si="66"/>
        <v>45845.554315787034</v>
      </c>
      <c r="Q275" s="1" t="str">
        <f t="shared" si="62"/>
        <v>Externo</v>
      </c>
      <c r="R275" s="1">
        <f t="shared" si="67"/>
        <v>28</v>
      </c>
      <c r="S275" s="6">
        <f t="shared" si="68"/>
        <v>45845</v>
      </c>
      <c r="T275" s="1">
        <f t="shared" si="69"/>
        <v>28</v>
      </c>
      <c r="U275" s="6">
        <f t="shared" si="70"/>
        <v>45845</v>
      </c>
      <c r="V275" s="1">
        <f t="shared" si="71"/>
        <v>3.2449999998789281E-3</v>
      </c>
      <c r="W275" s="1">
        <f t="shared" si="72"/>
        <v>2025</v>
      </c>
      <c r="X275" s="1">
        <f t="shared" si="73"/>
        <v>2025</v>
      </c>
      <c r="Y275" s="1" t="str">
        <f t="shared" si="63"/>
        <v>2025-07</v>
      </c>
      <c r="Z275" s="1" t="str">
        <f t="shared" si="64"/>
        <v>2025-07</v>
      </c>
    </row>
    <row r="276" spans="1:26" x14ac:dyDescent="0.2">
      <c r="A276" s="1" t="s">
        <v>670</v>
      </c>
      <c r="B276" s="1" t="s">
        <v>671</v>
      </c>
      <c r="C276" s="1" t="s">
        <v>109</v>
      </c>
      <c r="D276" s="3">
        <v>45846.416549189817</v>
      </c>
      <c r="E276" s="3">
        <v>45855.4037684375</v>
      </c>
      <c r="F276" s="1" t="s">
        <v>52</v>
      </c>
      <c r="G276" s="1" t="s">
        <v>21</v>
      </c>
      <c r="H276" s="1" t="s">
        <v>635</v>
      </c>
      <c r="I276" s="1" t="s">
        <v>18</v>
      </c>
      <c r="J276" s="1" t="s">
        <v>16</v>
      </c>
      <c r="K276" s="1" t="s">
        <v>15</v>
      </c>
      <c r="L276" s="1" t="s">
        <v>13</v>
      </c>
      <c r="M276" s="1" t="s">
        <v>1163</v>
      </c>
      <c r="N276" s="1" t="str">
        <f t="shared" si="61"/>
        <v>SOPORTE</v>
      </c>
      <c r="O276" s="3">
        <f t="shared" si="65"/>
        <v>45846.416549189817</v>
      </c>
      <c r="P276" s="3">
        <f t="shared" si="66"/>
        <v>45855.4037684375</v>
      </c>
      <c r="Q276" s="1" t="str">
        <f t="shared" si="62"/>
        <v>Externo</v>
      </c>
      <c r="R276" s="1">
        <f t="shared" si="67"/>
        <v>28</v>
      </c>
      <c r="S276" s="6">
        <f t="shared" si="68"/>
        <v>45845</v>
      </c>
      <c r="T276" s="1">
        <f t="shared" si="69"/>
        <v>29</v>
      </c>
      <c r="U276" s="6">
        <f t="shared" si="70"/>
        <v>45852</v>
      </c>
      <c r="V276" s="1">
        <f t="shared" si="71"/>
        <v>8.9872192476832424</v>
      </c>
      <c r="W276" s="1">
        <f t="shared" si="72"/>
        <v>2025</v>
      </c>
      <c r="X276" s="1">
        <f t="shared" si="73"/>
        <v>2025</v>
      </c>
      <c r="Y276" s="1" t="str">
        <f t="shared" si="63"/>
        <v>2025-07</v>
      </c>
      <c r="Z276" s="1" t="str">
        <f t="shared" si="64"/>
        <v>2025-07</v>
      </c>
    </row>
    <row r="277" spans="1:26" x14ac:dyDescent="0.2">
      <c r="A277" s="1" t="s">
        <v>672</v>
      </c>
      <c r="B277" s="1" t="s">
        <v>673</v>
      </c>
      <c r="C277" s="1" t="s">
        <v>298</v>
      </c>
      <c r="D277" s="3">
        <v>45847.453970185183</v>
      </c>
      <c r="E277" s="3">
        <v>45853.509626574072</v>
      </c>
      <c r="F277" s="1" t="s">
        <v>52</v>
      </c>
      <c r="G277" s="1" t="s">
        <v>21</v>
      </c>
      <c r="H277" s="1" t="s">
        <v>635</v>
      </c>
      <c r="I277" s="1" t="s">
        <v>18</v>
      </c>
      <c r="J277" s="1" t="s">
        <v>16</v>
      </c>
      <c r="K277" s="1" t="s">
        <v>15</v>
      </c>
      <c r="L277" s="1" t="s">
        <v>13</v>
      </c>
      <c r="M277" s="1" t="s">
        <v>1163</v>
      </c>
      <c r="N277" s="1" t="str">
        <f t="shared" si="61"/>
        <v>SOPORTE</v>
      </c>
      <c r="O277" s="3">
        <f t="shared" si="65"/>
        <v>45847.453970185183</v>
      </c>
      <c r="P277" s="3">
        <f t="shared" si="66"/>
        <v>45853.509626574072</v>
      </c>
      <c r="Q277" s="1" t="str">
        <f t="shared" si="62"/>
        <v>Externo</v>
      </c>
      <c r="R277" s="1">
        <f t="shared" si="67"/>
        <v>28</v>
      </c>
      <c r="S277" s="6">
        <f t="shared" si="68"/>
        <v>45845</v>
      </c>
      <c r="T277" s="1">
        <f t="shared" si="69"/>
        <v>29</v>
      </c>
      <c r="U277" s="6">
        <f t="shared" si="70"/>
        <v>45852</v>
      </c>
      <c r="V277" s="1">
        <f t="shared" si="71"/>
        <v>6.0556563888894743</v>
      </c>
      <c r="W277" s="1">
        <f t="shared" si="72"/>
        <v>2025</v>
      </c>
      <c r="X277" s="1">
        <f t="shared" si="73"/>
        <v>2025</v>
      </c>
      <c r="Y277" s="1" t="str">
        <f t="shared" si="63"/>
        <v>2025-07</v>
      </c>
      <c r="Z277" s="1" t="str">
        <f t="shared" si="64"/>
        <v>2025-07</v>
      </c>
    </row>
    <row r="278" spans="1:26" x14ac:dyDescent="0.2">
      <c r="A278" s="1" t="s">
        <v>674</v>
      </c>
      <c r="B278" s="1" t="s">
        <v>675</v>
      </c>
      <c r="C278" s="1" t="s">
        <v>13</v>
      </c>
      <c r="D278" s="3">
        <v>45847.459860659721</v>
      </c>
      <c r="E278" s="3">
        <v>45861.491309236109</v>
      </c>
      <c r="F278" s="1" t="s">
        <v>52</v>
      </c>
      <c r="G278" s="1" t="s">
        <v>12</v>
      </c>
      <c r="H278" s="1" t="s">
        <v>13</v>
      </c>
      <c r="I278" s="1" t="s">
        <v>148</v>
      </c>
      <c r="J278" s="1" t="s">
        <v>16</v>
      </c>
      <c r="K278" s="1" t="s">
        <v>15</v>
      </c>
      <c r="L278" s="1" t="s">
        <v>556</v>
      </c>
      <c r="M278" s="1" t="s">
        <v>13</v>
      </c>
      <c r="N278" s="1" t="str">
        <f t="shared" si="61"/>
        <v>DESARROLLO</v>
      </c>
      <c r="O278" s="3">
        <f t="shared" si="65"/>
        <v>45847.459860659721</v>
      </c>
      <c r="P278" s="3">
        <f t="shared" si="66"/>
        <v>45861.491309236109</v>
      </c>
      <c r="Q278" s="1" t="str">
        <f t="shared" si="62"/>
        <v>Interno</v>
      </c>
      <c r="R278" s="1">
        <f t="shared" si="67"/>
        <v>28</v>
      </c>
      <c r="S278" s="6">
        <f t="shared" si="68"/>
        <v>45845</v>
      </c>
      <c r="T278" s="1">
        <f t="shared" si="69"/>
        <v>30</v>
      </c>
      <c r="U278" s="6">
        <f t="shared" si="70"/>
        <v>45859</v>
      </c>
      <c r="V278" s="1">
        <f t="shared" si="71"/>
        <v>14.031448576388357</v>
      </c>
      <c r="W278" s="1">
        <f t="shared" si="72"/>
        <v>2025</v>
      </c>
      <c r="X278" s="1">
        <f t="shared" si="73"/>
        <v>2025</v>
      </c>
      <c r="Y278" s="1" t="str">
        <f t="shared" si="63"/>
        <v>2025-07</v>
      </c>
      <c r="Z278" s="1" t="str">
        <f t="shared" si="64"/>
        <v>2025-07</v>
      </c>
    </row>
    <row r="279" spans="1:26" x14ac:dyDescent="0.2">
      <c r="A279" s="1" t="s">
        <v>676</v>
      </c>
      <c r="B279" s="1" t="s">
        <v>677</v>
      </c>
      <c r="C279" s="1" t="s">
        <v>96</v>
      </c>
      <c r="D279" s="3">
        <v>45847.46236672454</v>
      </c>
      <c r="E279" s="3">
        <v>45847.464422164354</v>
      </c>
      <c r="F279" s="1" t="s">
        <v>52</v>
      </c>
      <c r="G279" s="1" t="s">
        <v>21</v>
      </c>
      <c r="H279" s="1" t="s">
        <v>635</v>
      </c>
      <c r="I279" s="1" t="s">
        <v>18</v>
      </c>
      <c r="J279" s="1" t="s">
        <v>16</v>
      </c>
      <c r="K279" s="1" t="s">
        <v>15</v>
      </c>
      <c r="L279" s="1" t="s">
        <v>13</v>
      </c>
      <c r="M279" s="1" t="s">
        <v>1163</v>
      </c>
      <c r="N279" s="1" t="str">
        <f t="shared" si="61"/>
        <v>SOPORTE</v>
      </c>
      <c r="O279" s="3">
        <f t="shared" si="65"/>
        <v>45847.46236672454</v>
      </c>
      <c r="P279" s="3">
        <f t="shared" si="66"/>
        <v>45847.464422164354</v>
      </c>
      <c r="Q279" s="1" t="str">
        <f t="shared" si="62"/>
        <v>Externo</v>
      </c>
      <c r="R279" s="1">
        <f t="shared" si="67"/>
        <v>28</v>
      </c>
      <c r="S279" s="6">
        <f t="shared" si="68"/>
        <v>45845</v>
      </c>
      <c r="T279" s="1">
        <f t="shared" si="69"/>
        <v>28</v>
      </c>
      <c r="U279" s="6">
        <f t="shared" si="70"/>
        <v>45845</v>
      </c>
      <c r="V279" s="1">
        <f t="shared" si="71"/>
        <v>2.0554398142849095E-3</v>
      </c>
      <c r="W279" s="1">
        <f t="shared" si="72"/>
        <v>2025</v>
      </c>
      <c r="X279" s="1">
        <f t="shared" si="73"/>
        <v>2025</v>
      </c>
      <c r="Y279" s="1" t="str">
        <f t="shared" si="63"/>
        <v>2025-07</v>
      </c>
      <c r="Z279" s="1" t="str">
        <f t="shared" si="64"/>
        <v>2025-07</v>
      </c>
    </row>
    <row r="280" spans="1:26" x14ac:dyDescent="0.2">
      <c r="A280" s="1" t="s">
        <v>678</v>
      </c>
      <c r="B280" s="1" t="s">
        <v>679</v>
      </c>
      <c r="C280" s="1" t="s">
        <v>139</v>
      </c>
      <c r="D280" s="3">
        <v>45848.49688097222</v>
      </c>
      <c r="E280" s="3">
        <v>45849.592928900463</v>
      </c>
      <c r="F280" s="1" t="s">
        <v>52</v>
      </c>
      <c r="G280" s="1" t="s">
        <v>21</v>
      </c>
      <c r="H280" s="1" t="s">
        <v>468</v>
      </c>
      <c r="I280" s="1" t="s">
        <v>18</v>
      </c>
      <c r="J280" s="1" t="s">
        <v>16</v>
      </c>
      <c r="K280" s="1" t="s">
        <v>15</v>
      </c>
      <c r="L280" s="1" t="s">
        <v>13</v>
      </c>
      <c r="M280" s="1" t="s">
        <v>1163</v>
      </c>
      <c r="N280" s="1" t="str">
        <f t="shared" si="61"/>
        <v>SOPORTE</v>
      </c>
      <c r="O280" s="3">
        <f t="shared" si="65"/>
        <v>45848.49688097222</v>
      </c>
      <c r="P280" s="3">
        <f t="shared" si="66"/>
        <v>45849.592928900463</v>
      </c>
      <c r="Q280" s="1" t="str">
        <f t="shared" si="62"/>
        <v>Externo</v>
      </c>
      <c r="R280" s="1">
        <f t="shared" si="67"/>
        <v>28</v>
      </c>
      <c r="S280" s="6">
        <f t="shared" si="68"/>
        <v>45845</v>
      </c>
      <c r="T280" s="1">
        <f t="shared" si="69"/>
        <v>28</v>
      </c>
      <c r="U280" s="6">
        <f t="shared" si="70"/>
        <v>45845</v>
      </c>
      <c r="V280" s="1">
        <f t="shared" si="71"/>
        <v>1.0960479282439337</v>
      </c>
      <c r="W280" s="1">
        <f t="shared" si="72"/>
        <v>2025</v>
      </c>
      <c r="X280" s="1">
        <f t="shared" si="73"/>
        <v>2025</v>
      </c>
      <c r="Y280" s="1" t="str">
        <f t="shared" si="63"/>
        <v>2025-07</v>
      </c>
      <c r="Z280" s="1" t="str">
        <f t="shared" si="64"/>
        <v>2025-07</v>
      </c>
    </row>
    <row r="281" spans="1:26" x14ac:dyDescent="0.2">
      <c r="A281" s="1" t="s">
        <v>680</v>
      </c>
      <c r="B281" s="1" t="s">
        <v>681</v>
      </c>
      <c r="C281" s="1" t="s">
        <v>682</v>
      </c>
      <c r="D281" s="3">
        <v>45852.383992303243</v>
      </c>
      <c r="E281" s="3">
        <v>45867.51239181713</v>
      </c>
      <c r="F281" s="1" t="s">
        <v>52</v>
      </c>
      <c r="G281" s="1" t="s">
        <v>21</v>
      </c>
      <c r="H281" s="1" t="s">
        <v>13</v>
      </c>
      <c r="I281" s="1" t="s">
        <v>18</v>
      </c>
      <c r="J281" s="1" t="s">
        <v>16</v>
      </c>
      <c r="K281" s="1" t="s">
        <v>15</v>
      </c>
      <c r="L281" s="1" t="s">
        <v>13</v>
      </c>
      <c r="M281" s="1" t="s">
        <v>1163</v>
      </c>
      <c r="N281" s="1" t="str">
        <f t="shared" si="61"/>
        <v>SOPORTE</v>
      </c>
      <c r="O281" s="3">
        <f t="shared" si="65"/>
        <v>45852.383992303243</v>
      </c>
      <c r="P281" s="3">
        <f t="shared" si="66"/>
        <v>45867.51239181713</v>
      </c>
      <c r="Q281" s="1" t="str">
        <f t="shared" si="62"/>
        <v>Externo</v>
      </c>
      <c r="R281" s="1">
        <f t="shared" si="67"/>
        <v>29</v>
      </c>
      <c r="S281" s="6">
        <f t="shared" si="68"/>
        <v>45852</v>
      </c>
      <c r="T281" s="1">
        <f t="shared" si="69"/>
        <v>31</v>
      </c>
      <c r="U281" s="6">
        <f t="shared" si="70"/>
        <v>45866</v>
      </c>
      <c r="V281" s="1">
        <f t="shared" si="71"/>
        <v>15.128399513887416</v>
      </c>
      <c r="W281" s="1">
        <f t="shared" si="72"/>
        <v>2025</v>
      </c>
      <c r="X281" s="1">
        <f t="shared" si="73"/>
        <v>2025</v>
      </c>
      <c r="Y281" s="1" t="str">
        <f t="shared" si="63"/>
        <v>2025-07</v>
      </c>
      <c r="Z281" s="1" t="str">
        <f t="shared" si="64"/>
        <v>2025-07</v>
      </c>
    </row>
    <row r="282" spans="1:26" x14ac:dyDescent="0.2">
      <c r="A282" s="1" t="s">
        <v>683</v>
      </c>
      <c r="B282" s="1" t="s">
        <v>684</v>
      </c>
      <c r="C282" s="1" t="s">
        <v>156</v>
      </c>
      <c r="D282" s="3">
        <v>45852.449478622686</v>
      </c>
      <c r="E282" s="3">
        <v>45875.506188784719</v>
      </c>
      <c r="F282" s="1" t="s">
        <v>52</v>
      </c>
      <c r="G282" s="1" t="s">
        <v>12</v>
      </c>
      <c r="H282" s="1" t="s">
        <v>13</v>
      </c>
      <c r="I282" s="1" t="s">
        <v>18</v>
      </c>
      <c r="J282" s="1" t="s">
        <v>16</v>
      </c>
      <c r="K282" s="1" t="s">
        <v>15</v>
      </c>
      <c r="L282" s="1" t="s">
        <v>13</v>
      </c>
      <c r="M282" s="1" t="s">
        <v>1162</v>
      </c>
      <c r="N282" s="1" t="str">
        <f t="shared" si="61"/>
        <v>DESARROLLO</v>
      </c>
      <c r="O282" s="3">
        <f t="shared" si="65"/>
        <v>45852.449478622686</v>
      </c>
      <c r="P282" s="3">
        <f t="shared" si="66"/>
        <v>45875.506188784719</v>
      </c>
      <c r="Q282" s="1" t="str">
        <f t="shared" si="62"/>
        <v>Interno</v>
      </c>
      <c r="R282" s="1">
        <f t="shared" si="67"/>
        <v>29</v>
      </c>
      <c r="S282" s="6">
        <f t="shared" si="68"/>
        <v>45852</v>
      </c>
      <c r="T282" s="1">
        <f t="shared" si="69"/>
        <v>32</v>
      </c>
      <c r="U282" s="6">
        <f t="shared" si="70"/>
        <v>45873</v>
      </c>
      <c r="V282" s="1">
        <f t="shared" si="71"/>
        <v>23.056710162032687</v>
      </c>
      <c r="W282" s="1">
        <f t="shared" si="72"/>
        <v>2025</v>
      </c>
      <c r="X282" s="1">
        <f t="shared" si="73"/>
        <v>2025</v>
      </c>
      <c r="Y282" s="1" t="str">
        <f t="shared" si="63"/>
        <v>2025-07</v>
      </c>
      <c r="Z282" s="1" t="str">
        <f t="shared" si="64"/>
        <v>2025-08</v>
      </c>
    </row>
    <row r="283" spans="1:26" x14ac:dyDescent="0.2">
      <c r="A283" s="1" t="s">
        <v>685</v>
      </c>
      <c r="B283" s="1" t="s">
        <v>686</v>
      </c>
      <c r="C283" s="1" t="s">
        <v>109</v>
      </c>
      <c r="D283" s="3">
        <v>45852.478016284724</v>
      </c>
      <c r="E283" s="3">
        <v>45867.512906770833</v>
      </c>
      <c r="F283" s="1" t="s">
        <v>52</v>
      </c>
      <c r="G283" s="1" t="s">
        <v>21</v>
      </c>
      <c r="H283" s="1" t="s">
        <v>13</v>
      </c>
      <c r="I283" s="1" t="s">
        <v>18</v>
      </c>
      <c r="J283" s="1" t="s">
        <v>16</v>
      </c>
      <c r="K283" s="1" t="s">
        <v>15</v>
      </c>
      <c r="L283" s="1" t="s">
        <v>13</v>
      </c>
      <c r="M283" s="1" t="s">
        <v>1163</v>
      </c>
      <c r="N283" s="1" t="str">
        <f t="shared" si="61"/>
        <v>SOPORTE</v>
      </c>
      <c r="O283" s="3">
        <f t="shared" si="65"/>
        <v>45852.478016284724</v>
      </c>
      <c r="P283" s="3">
        <f t="shared" si="66"/>
        <v>45867.512906770833</v>
      </c>
      <c r="Q283" s="1" t="str">
        <f t="shared" si="62"/>
        <v>Externo</v>
      </c>
      <c r="R283" s="1">
        <f t="shared" si="67"/>
        <v>29</v>
      </c>
      <c r="S283" s="6">
        <f t="shared" si="68"/>
        <v>45852</v>
      </c>
      <c r="T283" s="1">
        <f t="shared" si="69"/>
        <v>31</v>
      </c>
      <c r="U283" s="6">
        <f t="shared" si="70"/>
        <v>45866</v>
      </c>
      <c r="V283" s="1">
        <f t="shared" si="71"/>
        <v>15.034890486109362</v>
      </c>
      <c r="W283" s="1">
        <f t="shared" si="72"/>
        <v>2025</v>
      </c>
      <c r="X283" s="1">
        <f t="shared" si="73"/>
        <v>2025</v>
      </c>
      <c r="Y283" s="1" t="str">
        <f t="shared" si="63"/>
        <v>2025-07</v>
      </c>
      <c r="Z283" s="1" t="str">
        <f t="shared" si="64"/>
        <v>2025-07</v>
      </c>
    </row>
    <row r="284" spans="1:26" x14ac:dyDescent="0.2">
      <c r="A284" s="1" t="s">
        <v>687</v>
      </c>
      <c r="B284" s="1" t="s">
        <v>688</v>
      </c>
      <c r="C284" s="1" t="s">
        <v>13</v>
      </c>
      <c r="D284" s="3">
        <v>45852.618056261577</v>
      </c>
      <c r="E284" s="3">
        <v>45853.612692326387</v>
      </c>
      <c r="F284" s="1" t="s">
        <v>52</v>
      </c>
      <c r="G284" s="1" t="s">
        <v>21</v>
      </c>
      <c r="H284" s="1" t="s">
        <v>13</v>
      </c>
      <c r="I284" s="1" t="s">
        <v>13</v>
      </c>
      <c r="J284" s="1" t="s">
        <v>16</v>
      </c>
      <c r="K284" s="1" t="s">
        <v>17</v>
      </c>
      <c r="L284" s="1" t="s">
        <v>13</v>
      </c>
      <c r="M284" s="1" t="s">
        <v>13</v>
      </c>
      <c r="N284" s="1" t="str">
        <f t="shared" si="61"/>
        <v>SOPORTE</v>
      </c>
      <c r="O284" s="3">
        <f t="shared" si="65"/>
        <v>45852.618056261577</v>
      </c>
      <c r="P284" s="3">
        <f t="shared" si="66"/>
        <v>45853.612692326387</v>
      </c>
      <c r="Q284" s="1" t="str">
        <f t="shared" si="62"/>
        <v>Externo</v>
      </c>
      <c r="R284" s="1">
        <f t="shared" si="67"/>
        <v>29</v>
      </c>
      <c r="S284" s="6">
        <f t="shared" si="68"/>
        <v>45852</v>
      </c>
      <c r="T284" s="1">
        <f t="shared" si="69"/>
        <v>29</v>
      </c>
      <c r="U284" s="6">
        <f t="shared" si="70"/>
        <v>45852</v>
      </c>
      <c r="V284" s="1">
        <f t="shared" si="71"/>
        <v>0.99463606481003808</v>
      </c>
      <c r="W284" s="1">
        <f t="shared" si="72"/>
        <v>2025</v>
      </c>
      <c r="X284" s="1">
        <f t="shared" si="73"/>
        <v>2025</v>
      </c>
      <c r="Y284" s="1" t="str">
        <f t="shared" si="63"/>
        <v>2025-07</v>
      </c>
      <c r="Z284" s="1" t="str">
        <f t="shared" si="64"/>
        <v>2025-07</v>
      </c>
    </row>
    <row r="285" spans="1:26" x14ac:dyDescent="0.2">
      <c r="A285" s="1" t="s">
        <v>689</v>
      </c>
      <c r="B285" s="1" t="s">
        <v>690</v>
      </c>
      <c r="C285" s="1" t="s">
        <v>13</v>
      </c>
      <c r="D285" s="3">
        <v>45853.328260625</v>
      </c>
      <c r="E285" s="3">
        <v>45862.355000405092</v>
      </c>
      <c r="F285" s="1" t="s">
        <v>52</v>
      </c>
      <c r="G285" s="1" t="s">
        <v>21</v>
      </c>
      <c r="H285" s="1" t="s">
        <v>13</v>
      </c>
      <c r="I285" s="1" t="s">
        <v>18</v>
      </c>
      <c r="J285" s="1" t="s">
        <v>16</v>
      </c>
      <c r="K285" s="1" t="s">
        <v>15</v>
      </c>
      <c r="L285" s="1" t="s">
        <v>13</v>
      </c>
      <c r="M285" s="1" t="s">
        <v>13</v>
      </c>
      <c r="N285" s="1" t="str">
        <f t="shared" si="61"/>
        <v>SOPORTE</v>
      </c>
      <c r="O285" s="3">
        <f t="shared" si="65"/>
        <v>45853.328260625</v>
      </c>
      <c r="P285" s="3">
        <f t="shared" si="66"/>
        <v>45862.355000405092</v>
      </c>
      <c r="Q285" s="1" t="str">
        <f t="shared" si="62"/>
        <v>Externo</v>
      </c>
      <c r="R285" s="1">
        <f t="shared" si="67"/>
        <v>29</v>
      </c>
      <c r="S285" s="6">
        <f t="shared" si="68"/>
        <v>45852</v>
      </c>
      <c r="T285" s="1">
        <f t="shared" si="69"/>
        <v>30</v>
      </c>
      <c r="U285" s="6">
        <f t="shared" si="70"/>
        <v>45859</v>
      </c>
      <c r="V285" s="1">
        <f t="shared" si="71"/>
        <v>9.0267397800926119</v>
      </c>
      <c r="W285" s="1">
        <f t="shared" si="72"/>
        <v>2025</v>
      </c>
      <c r="X285" s="1">
        <f t="shared" si="73"/>
        <v>2025</v>
      </c>
      <c r="Y285" s="1" t="str">
        <f t="shared" si="63"/>
        <v>2025-07</v>
      </c>
      <c r="Z285" s="1" t="str">
        <f t="shared" si="64"/>
        <v>2025-07</v>
      </c>
    </row>
    <row r="286" spans="1:26" x14ac:dyDescent="0.2">
      <c r="A286" s="1" t="s">
        <v>691</v>
      </c>
      <c r="B286" s="1" t="s">
        <v>692</v>
      </c>
      <c r="C286" s="1" t="s">
        <v>13</v>
      </c>
      <c r="D286" s="3">
        <v>45853.437520671294</v>
      </c>
      <c r="E286" s="3">
        <v>45859.358731157408</v>
      </c>
      <c r="F286" s="1" t="s">
        <v>52</v>
      </c>
      <c r="G286" s="1" t="s">
        <v>21</v>
      </c>
      <c r="H286" s="1" t="s">
        <v>468</v>
      </c>
      <c r="I286" s="1" t="s">
        <v>18</v>
      </c>
      <c r="J286" s="1" t="s">
        <v>16</v>
      </c>
      <c r="K286" s="1" t="s">
        <v>15</v>
      </c>
      <c r="L286" s="1" t="s">
        <v>13</v>
      </c>
      <c r="M286" s="1" t="s">
        <v>1163</v>
      </c>
      <c r="N286" s="1" t="str">
        <f t="shared" si="61"/>
        <v>SOPORTE</v>
      </c>
      <c r="O286" s="3">
        <f t="shared" si="65"/>
        <v>45853.437520671294</v>
      </c>
      <c r="P286" s="3">
        <f t="shared" si="66"/>
        <v>45859.358731157408</v>
      </c>
      <c r="Q286" s="1" t="str">
        <f t="shared" si="62"/>
        <v>Externo</v>
      </c>
      <c r="R286" s="1">
        <f t="shared" si="67"/>
        <v>29</v>
      </c>
      <c r="S286" s="6">
        <f t="shared" si="68"/>
        <v>45852</v>
      </c>
      <c r="T286" s="1">
        <f t="shared" si="69"/>
        <v>30</v>
      </c>
      <c r="U286" s="6">
        <f t="shared" si="70"/>
        <v>45859</v>
      </c>
      <c r="V286" s="1">
        <f t="shared" si="71"/>
        <v>5.9212104861144326</v>
      </c>
      <c r="W286" s="1">
        <f t="shared" si="72"/>
        <v>2025</v>
      </c>
      <c r="X286" s="1">
        <f t="shared" si="73"/>
        <v>2025</v>
      </c>
      <c r="Y286" s="1" t="str">
        <f t="shared" si="63"/>
        <v>2025-07</v>
      </c>
      <c r="Z286" s="1" t="str">
        <f t="shared" si="64"/>
        <v>2025-07</v>
      </c>
    </row>
    <row r="287" spans="1:26" x14ac:dyDescent="0.2">
      <c r="A287" s="1" t="s">
        <v>693</v>
      </c>
      <c r="B287" s="1" t="s">
        <v>694</v>
      </c>
      <c r="C287" s="1" t="s">
        <v>584</v>
      </c>
      <c r="D287" s="3">
        <v>45853.490085763886</v>
      </c>
      <c r="E287" s="3">
        <v>45856.572820243055</v>
      </c>
      <c r="F287" s="1" t="s">
        <v>52</v>
      </c>
      <c r="G287" s="1" t="s">
        <v>12</v>
      </c>
      <c r="H287" s="1" t="s">
        <v>13</v>
      </c>
      <c r="I287" s="1" t="s">
        <v>18</v>
      </c>
      <c r="J287" s="1" t="s">
        <v>16</v>
      </c>
      <c r="K287" s="1" t="s">
        <v>15</v>
      </c>
      <c r="L287" s="1" t="s">
        <v>13</v>
      </c>
      <c r="M287" s="1" t="s">
        <v>1163</v>
      </c>
      <c r="N287" s="1" t="str">
        <f t="shared" si="61"/>
        <v>DESARROLLO</v>
      </c>
      <c r="O287" s="3">
        <f t="shared" si="65"/>
        <v>45853.490085763886</v>
      </c>
      <c r="P287" s="3">
        <f t="shared" si="66"/>
        <v>45856.572820243055</v>
      </c>
      <c r="Q287" s="1" t="str">
        <f t="shared" si="62"/>
        <v>Interno</v>
      </c>
      <c r="R287" s="1">
        <f t="shared" si="67"/>
        <v>29</v>
      </c>
      <c r="S287" s="6">
        <f t="shared" si="68"/>
        <v>45852</v>
      </c>
      <c r="T287" s="1">
        <f t="shared" si="69"/>
        <v>29</v>
      </c>
      <c r="U287" s="6">
        <f t="shared" si="70"/>
        <v>45852</v>
      </c>
      <c r="V287" s="1">
        <f t="shared" si="71"/>
        <v>3.082734479168721</v>
      </c>
      <c r="W287" s="1">
        <f t="shared" si="72"/>
        <v>2025</v>
      </c>
      <c r="X287" s="1">
        <f t="shared" si="73"/>
        <v>2025</v>
      </c>
      <c r="Y287" s="1" t="str">
        <f t="shared" si="63"/>
        <v>2025-07</v>
      </c>
      <c r="Z287" s="1" t="str">
        <f t="shared" si="64"/>
        <v>2025-07</v>
      </c>
    </row>
    <row r="288" spans="1:26" x14ac:dyDescent="0.2">
      <c r="A288" s="1" t="s">
        <v>695</v>
      </c>
      <c r="B288" s="1" t="s">
        <v>688</v>
      </c>
      <c r="C288" s="1" t="s">
        <v>13</v>
      </c>
      <c r="D288" s="3">
        <v>45853.606171331019</v>
      </c>
      <c r="E288" s="3">
        <v>45853.611661539355</v>
      </c>
      <c r="F288" s="1" t="s">
        <v>52</v>
      </c>
      <c r="G288" s="1" t="s">
        <v>21</v>
      </c>
      <c r="H288" s="1" t="s">
        <v>13</v>
      </c>
      <c r="I288" s="1" t="s">
        <v>13</v>
      </c>
      <c r="J288" s="1" t="s">
        <v>16</v>
      </c>
      <c r="K288" s="1" t="s">
        <v>17</v>
      </c>
      <c r="L288" s="1" t="s">
        <v>13</v>
      </c>
      <c r="M288" s="1" t="s">
        <v>13</v>
      </c>
      <c r="N288" s="1" t="str">
        <f t="shared" si="61"/>
        <v>SOPORTE</v>
      </c>
      <c r="O288" s="3">
        <f t="shared" si="65"/>
        <v>45853.606171331019</v>
      </c>
      <c r="P288" s="3">
        <f t="shared" si="66"/>
        <v>45853.611661539355</v>
      </c>
      <c r="Q288" s="1" t="str">
        <f t="shared" si="62"/>
        <v>Externo</v>
      </c>
      <c r="R288" s="1">
        <f t="shared" si="67"/>
        <v>29</v>
      </c>
      <c r="S288" s="6">
        <f t="shared" si="68"/>
        <v>45852</v>
      </c>
      <c r="T288" s="1">
        <f t="shared" si="69"/>
        <v>29</v>
      </c>
      <c r="U288" s="6">
        <f t="shared" si="70"/>
        <v>45852</v>
      </c>
      <c r="V288" s="1">
        <f t="shared" si="71"/>
        <v>5.490208335686475E-3</v>
      </c>
      <c r="W288" s="1">
        <f t="shared" si="72"/>
        <v>2025</v>
      </c>
      <c r="X288" s="1">
        <f t="shared" si="73"/>
        <v>2025</v>
      </c>
      <c r="Y288" s="1" t="str">
        <f t="shared" si="63"/>
        <v>2025-07</v>
      </c>
      <c r="Z288" s="1" t="str">
        <f t="shared" si="64"/>
        <v>2025-07</v>
      </c>
    </row>
    <row r="289" spans="1:26" x14ac:dyDescent="0.2">
      <c r="A289" s="1" t="s">
        <v>696</v>
      </c>
      <c r="B289" s="1" t="s">
        <v>697</v>
      </c>
      <c r="C289" s="1" t="s">
        <v>13</v>
      </c>
      <c r="D289" s="3">
        <v>45854.366404050925</v>
      </c>
      <c r="E289" s="3">
        <v>45854.478120729167</v>
      </c>
      <c r="F289" s="1" t="s">
        <v>52</v>
      </c>
      <c r="G289" s="1" t="s">
        <v>21</v>
      </c>
      <c r="H289" s="1" t="s">
        <v>13</v>
      </c>
      <c r="I289" s="1" t="s">
        <v>13</v>
      </c>
      <c r="J289" s="1" t="s">
        <v>16</v>
      </c>
      <c r="K289" s="1" t="s">
        <v>17</v>
      </c>
      <c r="L289" s="1" t="s">
        <v>13</v>
      </c>
      <c r="M289" s="1" t="s">
        <v>13</v>
      </c>
      <c r="N289" s="1" t="str">
        <f t="shared" si="61"/>
        <v>SOPORTE</v>
      </c>
      <c r="O289" s="3">
        <f t="shared" si="65"/>
        <v>45854.366404050925</v>
      </c>
      <c r="P289" s="3">
        <f t="shared" si="66"/>
        <v>45854.478120729167</v>
      </c>
      <c r="Q289" s="1" t="str">
        <f t="shared" si="62"/>
        <v>Externo</v>
      </c>
      <c r="R289" s="1">
        <f t="shared" si="67"/>
        <v>29</v>
      </c>
      <c r="S289" s="6">
        <f t="shared" si="68"/>
        <v>45852</v>
      </c>
      <c r="T289" s="1">
        <f t="shared" si="69"/>
        <v>29</v>
      </c>
      <c r="U289" s="6">
        <f t="shared" si="70"/>
        <v>45852</v>
      </c>
      <c r="V289" s="1">
        <f t="shared" si="71"/>
        <v>0.11171667824237375</v>
      </c>
      <c r="W289" s="1">
        <f t="shared" si="72"/>
        <v>2025</v>
      </c>
      <c r="X289" s="1">
        <f t="shared" si="73"/>
        <v>2025</v>
      </c>
      <c r="Y289" s="1" t="str">
        <f t="shared" si="63"/>
        <v>2025-07</v>
      </c>
      <c r="Z289" s="1" t="str">
        <f t="shared" si="64"/>
        <v>2025-07</v>
      </c>
    </row>
    <row r="290" spans="1:26" x14ac:dyDescent="0.2">
      <c r="A290" s="1" t="s">
        <v>698</v>
      </c>
      <c r="B290" s="1" t="s">
        <v>699</v>
      </c>
      <c r="C290" s="1" t="s">
        <v>83</v>
      </c>
      <c r="D290" s="3">
        <v>45854.414984317133</v>
      </c>
      <c r="E290" s="3">
        <v>45859.544176122683</v>
      </c>
      <c r="F290" s="1" t="s">
        <v>52</v>
      </c>
      <c r="G290" s="1" t="s">
        <v>21</v>
      </c>
      <c r="H290" s="1" t="s">
        <v>13</v>
      </c>
      <c r="I290" s="1" t="s">
        <v>18</v>
      </c>
      <c r="J290" s="1" t="s">
        <v>16</v>
      </c>
      <c r="K290" s="1" t="s">
        <v>15</v>
      </c>
      <c r="L290" s="1" t="s">
        <v>13</v>
      </c>
      <c r="M290" s="1" t="s">
        <v>1163</v>
      </c>
      <c r="N290" s="1" t="str">
        <f t="shared" si="61"/>
        <v>SOPORTE</v>
      </c>
      <c r="O290" s="3">
        <f t="shared" si="65"/>
        <v>45854.414984317133</v>
      </c>
      <c r="P290" s="3">
        <f t="shared" si="66"/>
        <v>45859.544176122683</v>
      </c>
      <c r="Q290" s="1" t="str">
        <f t="shared" si="62"/>
        <v>Externo</v>
      </c>
      <c r="R290" s="1">
        <f t="shared" si="67"/>
        <v>29</v>
      </c>
      <c r="S290" s="6">
        <f t="shared" si="68"/>
        <v>45852</v>
      </c>
      <c r="T290" s="1">
        <f t="shared" si="69"/>
        <v>30</v>
      </c>
      <c r="U290" s="6">
        <f t="shared" si="70"/>
        <v>45859</v>
      </c>
      <c r="V290" s="1">
        <f t="shared" si="71"/>
        <v>5.1291918055503629</v>
      </c>
      <c r="W290" s="1">
        <f t="shared" si="72"/>
        <v>2025</v>
      </c>
      <c r="X290" s="1">
        <f t="shared" si="73"/>
        <v>2025</v>
      </c>
      <c r="Y290" s="1" t="str">
        <f t="shared" si="63"/>
        <v>2025-07</v>
      </c>
      <c r="Z290" s="1" t="str">
        <f t="shared" si="64"/>
        <v>2025-07</v>
      </c>
    </row>
    <row r="291" spans="1:26" x14ac:dyDescent="0.2">
      <c r="A291" s="1" t="s">
        <v>700</v>
      </c>
      <c r="B291" s="1" t="s">
        <v>701</v>
      </c>
      <c r="C291" s="1" t="s">
        <v>70</v>
      </c>
      <c r="D291" s="3">
        <v>45855.406545428239</v>
      </c>
      <c r="E291" s="3">
        <v>45867.513719143521</v>
      </c>
      <c r="F291" s="1" t="s">
        <v>52</v>
      </c>
      <c r="G291" s="1" t="s">
        <v>21</v>
      </c>
      <c r="H291" s="1" t="s">
        <v>13</v>
      </c>
      <c r="I291" s="1" t="s">
        <v>18</v>
      </c>
      <c r="J291" s="1" t="s">
        <v>16</v>
      </c>
      <c r="K291" s="1" t="s">
        <v>15</v>
      </c>
      <c r="L291" s="1" t="s">
        <v>13</v>
      </c>
      <c r="M291" s="1" t="s">
        <v>1163</v>
      </c>
      <c r="N291" s="1" t="str">
        <f t="shared" si="61"/>
        <v>SOPORTE</v>
      </c>
      <c r="O291" s="3">
        <f t="shared" si="65"/>
        <v>45855.406545428239</v>
      </c>
      <c r="P291" s="3">
        <f t="shared" si="66"/>
        <v>45867.513719143521</v>
      </c>
      <c r="Q291" s="1" t="str">
        <f t="shared" si="62"/>
        <v>Externo</v>
      </c>
      <c r="R291" s="1">
        <f t="shared" si="67"/>
        <v>29</v>
      </c>
      <c r="S291" s="6">
        <f t="shared" si="68"/>
        <v>45852</v>
      </c>
      <c r="T291" s="1">
        <f t="shared" si="69"/>
        <v>31</v>
      </c>
      <c r="U291" s="6">
        <f t="shared" si="70"/>
        <v>45866</v>
      </c>
      <c r="V291" s="1">
        <f t="shared" si="71"/>
        <v>12.107173715281533</v>
      </c>
      <c r="W291" s="1">
        <f t="shared" si="72"/>
        <v>2025</v>
      </c>
      <c r="X291" s="1">
        <f t="shared" si="73"/>
        <v>2025</v>
      </c>
      <c r="Y291" s="1" t="str">
        <f t="shared" si="63"/>
        <v>2025-07</v>
      </c>
      <c r="Z291" s="1" t="str">
        <f t="shared" si="64"/>
        <v>2025-07</v>
      </c>
    </row>
    <row r="292" spans="1:26" x14ac:dyDescent="0.2">
      <c r="A292" s="1" t="s">
        <v>702</v>
      </c>
      <c r="B292" s="1" t="s">
        <v>703</v>
      </c>
      <c r="C292" s="1" t="s">
        <v>83</v>
      </c>
      <c r="D292" s="3">
        <v>45855.440795324073</v>
      </c>
      <c r="E292" s="3">
        <v>45860.502975740739</v>
      </c>
      <c r="F292" s="1" t="s">
        <v>52</v>
      </c>
      <c r="G292" s="1" t="s">
        <v>21</v>
      </c>
      <c r="H292" s="1" t="s">
        <v>13</v>
      </c>
      <c r="I292" s="1" t="s">
        <v>18</v>
      </c>
      <c r="J292" s="1" t="s">
        <v>16</v>
      </c>
      <c r="K292" s="1" t="s">
        <v>15</v>
      </c>
      <c r="L292" s="1" t="s">
        <v>13</v>
      </c>
      <c r="M292" s="1" t="s">
        <v>1163</v>
      </c>
      <c r="N292" s="1" t="str">
        <f t="shared" si="61"/>
        <v>SOPORTE</v>
      </c>
      <c r="O292" s="3">
        <f t="shared" si="65"/>
        <v>45855.440795324073</v>
      </c>
      <c r="P292" s="3">
        <f t="shared" si="66"/>
        <v>45860.502975740739</v>
      </c>
      <c r="Q292" s="1" t="str">
        <f t="shared" si="62"/>
        <v>Externo</v>
      </c>
      <c r="R292" s="1">
        <f t="shared" si="67"/>
        <v>29</v>
      </c>
      <c r="S292" s="6">
        <f t="shared" si="68"/>
        <v>45852</v>
      </c>
      <c r="T292" s="1">
        <f t="shared" si="69"/>
        <v>30</v>
      </c>
      <c r="U292" s="6">
        <f t="shared" si="70"/>
        <v>45859</v>
      </c>
      <c r="V292" s="1">
        <f t="shared" si="71"/>
        <v>5.0621804166657967</v>
      </c>
      <c r="W292" s="1">
        <f t="shared" si="72"/>
        <v>2025</v>
      </c>
      <c r="X292" s="1">
        <f t="shared" si="73"/>
        <v>2025</v>
      </c>
      <c r="Y292" s="1" t="str">
        <f t="shared" si="63"/>
        <v>2025-07</v>
      </c>
      <c r="Z292" s="1" t="str">
        <f t="shared" si="64"/>
        <v>2025-07</v>
      </c>
    </row>
    <row r="293" spans="1:26" x14ac:dyDescent="0.2">
      <c r="A293" s="1" t="s">
        <v>704</v>
      </c>
      <c r="B293" s="1" t="s">
        <v>705</v>
      </c>
      <c r="C293" s="1" t="s">
        <v>13</v>
      </c>
      <c r="D293" s="3">
        <v>45855.477015787037</v>
      </c>
      <c r="E293" s="3">
        <v>45856.432336805556</v>
      </c>
      <c r="F293" s="1" t="s">
        <v>52</v>
      </c>
      <c r="G293" s="1" t="s">
        <v>21</v>
      </c>
      <c r="H293" s="1" t="s">
        <v>484</v>
      </c>
      <c r="I293" s="1" t="s">
        <v>18</v>
      </c>
      <c r="J293" s="1" t="s">
        <v>16</v>
      </c>
      <c r="K293" s="1" t="s">
        <v>15</v>
      </c>
      <c r="L293" s="1" t="s">
        <v>13</v>
      </c>
      <c r="M293" s="1" t="s">
        <v>1163</v>
      </c>
      <c r="N293" s="1" t="str">
        <f t="shared" si="61"/>
        <v>SOPORTE</v>
      </c>
      <c r="O293" s="3">
        <f t="shared" si="65"/>
        <v>45855.477015787037</v>
      </c>
      <c r="P293" s="3">
        <f t="shared" si="66"/>
        <v>45856.432336805556</v>
      </c>
      <c r="Q293" s="1" t="str">
        <f t="shared" si="62"/>
        <v>Externo</v>
      </c>
      <c r="R293" s="1">
        <f t="shared" si="67"/>
        <v>29</v>
      </c>
      <c r="S293" s="6">
        <f t="shared" si="68"/>
        <v>45852</v>
      </c>
      <c r="T293" s="1">
        <f t="shared" si="69"/>
        <v>29</v>
      </c>
      <c r="U293" s="6">
        <f t="shared" si="70"/>
        <v>45852</v>
      </c>
      <c r="V293" s="1">
        <f t="shared" si="71"/>
        <v>0.95532101851858897</v>
      </c>
      <c r="W293" s="1">
        <f t="shared" si="72"/>
        <v>2025</v>
      </c>
      <c r="X293" s="1">
        <f t="shared" si="73"/>
        <v>2025</v>
      </c>
      <c r="Y293" s="1" t="str">
        <f t="shared" si="63"/>
        <v>2025-07</v>
      </c>
      <c r="Z293" s="1" t="str">
        <f t="shared" si="64"/>
        <v>2025-07</v>
      </c>
    </row>
    <row r="294" spans="1:26" x14ac:dyDescent="0.2">
      <c r="A294" s="1" t="s">
        <v>706</v>
      </c>
      <c r="B294" s="1" t="s">
        <v>707</v>
      </c>
      <c r="C294" s="1" t="s">
        <v>13</v>
      </c>
      <c r="D294" s="3">
        <v>45855.608412604168</v>
      </c>
      <c r="E294" s="3">
        <v>45869.50193377315</v>
      </c>
      <c r="F294" s="1" t="s">
        <v>52</v>
      </c>
      <c r="G294" s="1" t="s">
        <v>12</v>
      </c>
      <c r="H294" s="1" t="s">
        <v>13</v>
      </c>
      <c r="I294" s="1" t="s">
        <v>148</v>
      </c>
      <c r="J294" s="1" t="s">
        <v>16</v>
      </c>
      <c r="K294" s="1" t="s">
        <v>15</v>
      </c>
      <c r="L294" s="1" t="s">
        <v>708</v>
      </c>
      <c r="M294" s="1" t="s">
        <v>13</v>
      </c>
      <c r="N294" s="1" t="str">
        <f t="shared" si="61"/>
        <v>DESARROLLO</v>
      </c>
      <c r="O294" s="3">
        <f t="shared" si="65"/>
        <v>45855.608412604168</v>
      </c>
      <c r="P294" s="3">
        <f t="shared" si="66"/>
        <v>45869.50193377315</v>
      </c>
      <c r="Q294" s="1" t="str">
        <f t="shared" si="62"/>
        <v>Interno</v>
      </c>
      <c r="R294" s="1">
        <f t="shared" si="67"/>
        <v>29</v>
      </c>
      <c r="S294" s="6">
        <f t="shared" si="68"/>
        <v>45852</v>
      </c>
      <c r="T294" s="1">
        <f t="shared" si="69"/>
        <v>31</v>
      </c>
      <c r="U294" s="6">
        <f t="shared" si="70"/>
        <v>45866</v>
      </c>
      <c r="V294" s="1">
        <f t="shared" si="71"/>
        <v>13.893521168982261</v>
      </c>
      <c r="W294" s="1">
        <f t="shared" si="72"/>
        <v>2025</v>
      </c>
      <c r="X294" s="1">
        <f t="shared" si="73"/>
        <v>2025</v>
      </c>
      <c r="Y294" s="1" t="str">
        <f t="shared" si="63"/>
        <v>2025-07</v>
      </c>
      <c r="Z294" s="1" t="str">
        <f t="shared" si="64"/>
        <v>2025-07</v>
      </c>
    </row>
    <row r="295" spans="1:26" x14ac:dyDescent="0.2">
      <c r="A295" s="1" t="s">
        <v>709</v>
      </c>
      <c r="B295" s="1" t="s">
        <v>710</v>
      </c>
      <c r="C295" s="1" t="s">
        <v>13</v>
      </c>
      <c r="D295" s="3">
        <v>45856.489634363425</v>
      </c>
      <c r="E295" s="3">
        <v>45856.495605115742</v>
      </c>
      <c r="F295" s="1" t="s">
        <v>52</v>
      </c>
      <c r="G295" s="1" t="s">
        <v>21</v>
      </c>
      <c r="H295" s="1" t="s">
        <v>468</v>
      </c>
      <c r="I295" s="1" t="s">
        <v>18</v>
      </c>
      <c r="J295" s="1" t="s">
        <v>16</v>
      </c>
      <c r="K295" s="1" t="s">
        <v>15</v>
      </c>
      <c r="L295" s="1" t="s">
        <v>13</v>
      </c>
      <c r="M295" s="1" t="s">
        <v>1163</v>
      </c>
      <c r="N295" s="1" t="str">
        <f t="shared" si="61"/>
        <v>SOPORTE</v>
      </c>
      <c r="O295" s="3">
        <f t="shared" si="65"/>
        <v>45856.489634363425</v>
      </c>
      <c r="P295" s="3">
        <f t="shared" si="66"/>
        <v>45856.495605115742</v>
      </c>
      <c r="Q295" s="1" t="str">
        <f t="shared" si="62"/>
        <v>Externo</v>
      </c>
      <c r="R295" s="1">
        <f t="shared" si="67"/>
        <v>29</v>
      </c>
      <c r="S295" s="6">
        <f t="shared" si="68"/>
        <v>45852</v>
      </c>
      <c r="T295" s="1">
        <f t="shared" si="69"/>
        <v>29</v>
      </c>
      <c r="U295" s="6">
        <f t="shared" si="70"/>
        <v>45852</v>
      </c>
      <c r="V295" s="1">
        <f t="shared" si="71"/>
        <v>5.9707523178076372E-3</v>
      </c>
      <c r="W295" s="1">
        <f t="shared" si="72"/>
        <v>2025</v>
      </c>
      <c r="X295" s="1">
        <f t="shared" si="73"/>
        <v>2025</v>
      </c>
      <c r="Y295" s="1" t="str">
        <f t="shared" si="63"/>
        <v>2025-07</v>
      </c>
      <c r="Z295" s="1" t="str">
        <f t="shared" si="64"/>
        <v>2025-07</v>
      </c>
    </row>
    <row r="296" spans="1:26" x14ac:dyDescent="0.2">
      <c r="A296" s="1" t="s">
        <v>711</v>
      </c>
      <c r="B296" s="1" t="s">
        <v>712</v>
      </c>
      <c r="C296" s="1" t="s">
        <v>184</v>
      </c>
      <c r="D296" s="3">
        <v>45856.560381284726</v>
      </c>
      <c r="E296" s="3">
        <v>45867.514101944442</v>
      </c>
      <c r="F296" s="1" t="s">
        <v>52</v>
      </c>
      <c r="G296" s="1" t="s">
        <v>21</v>
      </c>
      <c r="H296" s="1" t="s">
        <v>13</v>
      </c>
      <c r="I296" s="1" t="s">
        <v>18</v>
      </c>
      <c r="J296" s="1" t="s">
        <v>16</v>
      </c>
      <c r="K296" s="1" t="s">
        <v>15</v>
      </c>
      <c r="L296" s="1" t="s">
        <v>13</v>
      </c>
      <c r="M296" s="1" t="s">
        <v>1163</v>
      </c>
      <c r="N296" s="1" t="str">
        <f t="shared" si="61"/>
        <v>SOPORTE</v>
      </c>
      <c r="O296" s="3">
        <f t="shared" si="65"/>
        <v>45856.560381284726</v>
      </c>
      <c r="P296" s="3">
        <f t="shared" si="66"/>
        <v>45867.514101944442</v>
      </c>
      <c r="Q296" s="1" t="str">
        <f t="shared" si="62"/>
        <v>Externo</v>
      </c>
      <c r="R296" s="1">
        <f t="shared" si="67"/>
        <v>29</v>
      </c>
      <c r="S296" s="6">
        <f t="shared" si="68"/>
        <v>45852</v>
      </c>
      <c r="T296" s="1">
        <f t="shared" si="69"/>
        <v>31</v>
      </c>
      <c r="U296" s="6">
        <f t="shared" si="70"/>
        <v>45866</v>
      </c>
      <c r="V296" s="1">
        <f t="shared" si="71"/>
        <v>10.953720659716055</v>
      </c>
      <c r="W296" s="1">
        <f t="shared" si="72"/>
        <v>2025</v>
      </c>
      <c r="X296" s="1">
        <f t="shared" si="73"/>
        <v>2025</v>
      </c>
      <c r="Y296" s="1" t="str">
        <f t="shared" si="63"/>
        <v>2025-07</v>
      </c>
      <c r="Z296" s="1" t="str">
        <f t="shared" si="64"/>
        <v>2025-07</v>
      </c>
    </row>
    <row r="297" spans="1:26" x14ac:dyDescent="0.2">
      <c r="A297" s="1" t="s">
        <v>713</v>
      </c>
      <c r="B297" s="1" t="s">
        <v>714</v>
      </c>
      <c r="C297" s="1" t="s">
        <v>83</v>
      </c>
      <c r="D297" s="3">
        <v>45859.357613622684</v>
      </c>
      <c r="E297" s="3">
        <v>45860.501525254629</v>
      </c>
      <c r="F297" s="1" t="s">
        <v>52</v>
      </c>
      <c r="G297" s="1" t="s">
        <v>21</v>
      </c>
      <c r="H297" s="1" t="s">
        <v>13</v>
      </c>
      <c r="I297" s="1" t="s">
        <v>18</v>
      </c>
      <c r="J297" s="1" t="s">
        <v>16</v>
      </c>
      <c r="K297" s="1" t="s">
        <v>15</v>
      </c>
      <c r="L297" s="1" t="s">
        <v>13</v>
      </c>
      <c r="M297" s="1" t="s">
        <v>1163</v>
      </c>
      <c r="N297" s="1" t="str">
        <f t="shared" si="61"/>
        <v>SOPORTE</v>
      </c>
      <c r="O297" s="3">
        <f t="shared" si="65"/>
        <v>45859.357613622684</v>
      </c>
      <c r="P297" s="3">
        <f t="shared" si="66"/>
        <v>45860.501525254629</v>
      </c>
      <c r="Q297" s="1" t="str">
        <f t="shared" si="62"/>
        <v>Externo</v>
      </c>
      <c r="R297" s="1">
        <f t="shared" si="67"/>
        <v>30</v>
      </c>
      <c r="S297" s="6">
        <f t="shared" si="68"/>
        <v>45859</v>
      </c>
      <c r="T297" s="1">
        <f t="shared" si="69"/>
        <v>30</v>
      </c>
      <c r="U297" s="6">
        <f t="shared" si="70"/>
        <v>45859</v>
      </c>
      <c r="V297" s="1">
        <f t="shared" si="71"/>
        <v>1.1439116319452296</v>
      </c>
      <c r="W297" s="1">
        <f t="shared" si="72"/>
        <v>2025</v>
      </c>
      <c r="X297" s="1">
        <f t="shared" si="73"/>
        <v>2025</v>
      </c>
      <c r="Y297" s="1" t="str">
        <f t="shared" si="63"/>
        <v>2025-07</v>
      </c>
      <c r="Z297" s="1" t="str">
        <f t="shared" si="64"/>
        <v>2025-07</v>
      </c>
    </row>
    <row r="298" spans="1:26" x14ac:dyDescent="0.2">
      <c r="A298" s="1" t="s">
        <v>715</v>
      </c>
      <c r="B298" s="1" t="s">
        <v>716</v>
      </c>
      <c r="C298" s="1" t="s">
        <v>109</v>
      </c>
      <c r="D298" s="3">
        <v>45859.49342013889</v>
      </c>
      <c r="E298" s="3">
        <v>45860.499855995367</v>
      </c>
      <c r="F298" s="1" t="s">
        <v>52</v>
      </c>
      <c r="G298" s="1" t="s">
        <v>21</v>
      </c>
      <c r="H298" s="1" t="s">
        <v>468</v>
      </c>
      <c r="I298" s="1" t="s">
        <v>18</v>
      </c>
      <c r="J298" s="1" t="s">
        <v>16</v>
      </c>
      <c r="K298" s="1" t="s">
        <v>15</v>
      </c>
      <c r="L298" s="1" t="s">
        <v>13</v>
      </c>
      <c r="M298" s="1" t="s">
        <v>1163</v>
      </c>
      <c r="N298" s="1" t="str">
        <f t="shared" si="61"/>
        <v>SOPORTE</v>
      </c>
      <c r="O298" s="3">
        <f t="shared" si="65"/>
        <v>45859.49342013889</v>
      </c>
      <c r="P298" s="3">
        <f t="shared" si="66"/>
        <v>45860.499855995367</v>
      </c>
      <c r="Q298" s="1" t="str">
        <f t="shared" si="62"/>
        <v>Externo</v>
      </c>
      <c r="R298" s="1">
        <f t="shared" si="67"/>
        <v>30</v>
      </c>
      <c r="S298" s="6">
        <f t="shared" si="68"/>
        <v>45859</v>
      </c>
      <c r="T298" s="1">
        <f t="shared" si="69"/>
        <v>30</v>
      </c>
      <c r="U298" s="6">
        <f t="shared" si="70"/>
        <v>45859</v>
      </c>
      <c r="V298" s="1">
        <f t="shared" si="71"/>
        <v>1.0064358564777649</v>
      </c>
      <c r="W298" s="1">
        <f t="shared" si="72"/>
        <v>2025</v>
      </c>
      <c r="X298" s="1">
        <f t="shared" si="73"/>
        <v>2025</v>
      </c>
      <c r="Y298" s="1" t="str">
        <f t="shared" si="63"/>
        <v>2025-07</v>
      </c>
      <c r="Z298" s="1" t="str">
        <f t="shared" si="64"/>
        <v>2025-07</v>
      </c>
    </row>
    <row r="299" spans="1:26" x14ac:dyDescent="0.2">
      <c r="A299" s="1" t="s">
        <v>717</v>
      </c>
      <c r="B299" s="1" t="s">
        <v>718</v>
      </c>
      <c r="C299" s="1" t="s">
        <v>13</v>
      </c>
      <c r="D299" s="3">
        <v>45859.614348148149</v>
      </c>
      <c r="E299" s="3">
        <v>45859.623146053244</v>
      </c>
      <c r="F299" s="1" t="s">
        <v>52</v>
      </c>
      <c r="G299" s="1" t="s">
        <v>21</v>
      </c>
      <c r="H299" s="1" t="s">
        <v>13</v>
      </c>
      <c r="I299" s="1" t="s">
        <v>13</v>
      </c>
      <c r="J299" s="1" t="s">
        <v>16</v>
      </c>
      <c r="K299" s="1" t="s">
        <v>17</v>
      </c>
      <c r="L299" s="1" t="s">
        <v>13</v>
      </c>
      <c r="M299" s="1" t="s">
        <v>13</v>
      </c>
      <c r="N299" s="1" t="str">
        <f t="shared" si="61"/>
        <v>SOPORTE</v>
      </c>
      <c r="O299" s="3">
        <f t="shared" si="65"/>
        <v>45859.614348148149</v>
      </c>
      <c r="P299" s="3">
        <f t="shared" si="66"/>
        <v>45859.623146053244</v>
      </c>
      <c r="Q299" s="1" t="str">
        <f t="shared" si="62"/>
        <v>Externo</v>
      </c>
      <c r="R299" s="1">
        <f t="shared" si="67"/>
        <v>30</v>
      </c>
      <c r="S299" s="6">
        <f t="shared" si="68"/>
        <v>45859</v>
      </c>
      <c r="T299" s="1">
        <f t="shared" si="69"/>
        <v>30</v>
      </c>
      <c r="U299" s="6">
        <f t="shared" si="70"/>
        <v>45859</v>
      </c>
      <c r="V299" s="1">
        <f t="shared" si="71"/>
        <v>8.7979050949797966E-3</v>
      </c>
      <c r="W299" s="1">
        <f t="shared" si="72"/>
        <v>2025</v>
      </c>
      <c r="X299" s="1">
        <f t="shared" si="73"/>
        <v>2025</v>
      </c>
      <c r="Y299" s="1" t="str">
        <f t="shared" si="63"/>
        <v>2025-07</v>
      </c>
      <c r="Z299" s="1" t="str">
        <f t="shared" si="64"/>
        <v>2025-07</v>
      </c>
    </row>
    <row r="300" spans="1:26" x14ac:dyDescent="0.2">
      <c r="A300" s="1" t="s">
        <v>719</v>
      </c>
      <c r="B300" s="1" t="s">
        <v>720</v>
      </c>
      <c r="C300" s="1" t="s">
        <v>109</v>
      </c>
      <c r="D300" s="3">
        <v>45859.616911273151</v>
      </c>
      <c r="E300" s="3">
        <v>45861.419052453704</v>
      </c>
      <c r="F300" s="1" t="s">
        <v>52</v>
      </c>
      <c r="G300" s="1" t="s">
        <v>21</v>
      </c>
      <c r="H300" s="1" t="s">
        <v>13</v>
      </c>
      <c r="I300" s="1" t="s">
        <v>18</v>
      </c>
      <c r="J300" s="1" t="s">
        <v>16</v>
      </c>
      <c r="K300" s="1" t="s">
        <v>15</v>
      </c>
      <c r="L300" s="1" t="s">
        <v>13</v>
      </c>
      <c r="M300" s="1" t="s">
        <v>1163</v>
      </c>
      <c r="N300" s="1" t="str">
        <f t="shared" si="61"/>
        <v>SOPORTE</v>
      </c>
      <c r="O300" s="3">
        <f t="shared" si="65"/>
        <v>45859.616911273151</v>
      </c>
      <c r="P300" s="3">
        <f t="shared" si="66"/>
        <v>45861.419052453704</v>
      </c>
      <c r="Q300" s="1" t="str">
        <f t="shared" si="62"/>
        <v>Externo</v>
      </c>
      <c r="R300" s="1">
        <f t="shared" si="67"/>
        <v>30</v>
      </c>
      <c r="S300" s="6">
        <f t="shared" si="68"/>
        <v>45859</v>
      </c>
      <c r="T300" s="1">
        <f t="shared" si="69"/>
        <v>30</v>
      </c>
      <c r="U300" s="6">
        <f t="shared" si="70"/>
        <v>45859</v>
      </c>
      <c r="V300" s="1">
        <f t="shared" si="71"/>
        <v>1.8021411805530079</v>
      </c>
      <c r="W300" s="1">
        <f t="shared" si="72"/>
        <v>2025</v>
      </c>
      <c r="X300" s="1">
        <f t="shared" si="73"/>
        <v>2025</v>
      </c>
      <c r="Y300" s="1" t="str">
        <f t="shared" si="63"/>
        <v>2025-07</v>
      </c>
      <c r="Z300" s="1" t="str">
        <f t="shared" si="64"/>
        <v>2025-07</v>
      </c>
    </row>
    <row r="301" spans="1:26" x14ac:dyDescent="0.2">
      <c r="A301" s="1" t="s">
        <v>721</v>
      </c>
      <c r="B301" s="1" t="s">
        <v>722</v>
      </c>
      <c r="C301" s="1" t="s">
        <v>13</v>
      </c>
      <c r="D301" s="3">
        <v>45860.608966157408</v>
      </c>
      <c r="E301" s="3">
        <v>45875.50766171296</v>
      </c>
      <c r="F301" s="1" t="s">
        <v>52</v>
      </c>
      <c r="G301" s="1" t="s">
        <v>12</v>
      </c>
      <c r="H301" s="1" t="s">
        <v>13</v>
      </c>
      <c r="I301" s="1" t="s">
        <v>148</v>
      </c>
      <c r="J301" s="1" t="s">
        <v>16</v>
      </c>
      <c r="K301" s="1" t="s">
        <v>15</v>
      </c>
      <c r="L301" s="1" t="s">
        <v>708</v>
      </c>
      <c r="M301" s="1" t="s">
        <v>13</v>
      </c>
      <c r="N301" s="1" t="str">
        <f t="shared" si="61"/>
        <v>DESARROLLO</v>
      </c>
      <c r="O301" s="3">
        <f t="shared" si="65"/>
        <v>45860.608966157408</v>
      </c>
      <c r="P301" s="3">
        <f t="shared" si="66"/>
        <v>45875.50766171296</v>
      </c>
      <c r="Q301" s="1" t="str">
        <f t="shared" si="62"/>
        <v>Interno</v>
      </c>
      <c r="R301" s="1">
        <f t="shared" si="67"/>
        <v>30</v>
      </c>
      <c r="S301" s="6">
        <f t="shared" si="68"/>
        <v>45859</v>
      </c>
      <c r="T301" s="1">
        <f t="shared" si="69"/>
        <v>32</v>
      </c>
      <c r="U301" s="6">
        <f t="shared" si="70"/>
        <v>45873</v>
      </c>
      <c r="V301" s="1">
        <f t="shared" si="71"/>
        <v>14.898695555551967</v>
      </c>
      <c r="W301" s="1">
        <f t="shared" si="72"/>
        <v>2025</v>
      </c>
      <c r="X301" s="1">
        <f t="shared" si="73"/>
        <v>2025</v>
      </c>
      <c r="Y301" s="1" t="str">
        <f t="shared" si="63"/>
        <v>2025-07</v>
      </c>
      <c r="Z301" s="1" t="str">
        <f t="shared" si="64"/>
        <v>2025-08</v>
      </c>
    </row>
    <row r="302" spans="1:26" x14ac:dyDescent="0.2">
      <c r="A302" s="1" t="s">
        <v>723</v>
      </c>
      <c r="B302" s="1" t="s">
        <v>724</v>
      </c>
      <c r="C302" s="1" t="s">
        <v>83</v>
      </c>
      <c r="D302" s="3">
        <v>45861.420865208333</v>
      </c>
      <c r="E302" s="3">
        <v>45862.431111874997</v>
      </c>
      <c r="F302" s="1" t="s">
        <v>52</v>
      </c>
      <c r="G302" s="1" t="s">
        <v>21</v>
      </c>
      <c r="H302" s="1" t="s">
        <v>13</v>
      </c>
      <c r="I302" s="1" t="s">
        <v>18</v>
      </c>
      <c r="J302" s="1" t="s">
        <v>16</v>
      </c>
      <c r="K302" s="1" t="s">
        <v>15</v>
      </c>
      <c r="L302" s="1" t="s">
        <v>13</v>
      </c>
      <c r="M302" s="1" t="s">
        <v>1163</v>
      </c>
      <c r="N302" s="1" t="str">
        <f t="shared" si="61"/>
        <v>SOPORTE</v>
      </c>
      <c r="O302" s="3">
        <f t="shared" si="65"/>
        <v>45861.420865208333</v>
      </c>
      <c r="P302" s="3">
        <f t="shared" si="66"/>
        <v>45862.431111874997</v>
      </c>
      <c r="Q302" s="1" t="str">
        <f t="shared" si="62"/>
        <v>Externo</v>
      </c>
      <c r="R302" s="1">
        <f t="shared" si="67"/>
        <v>30</v>
      </c>
      <c r="S302" s="6">
        <f t="shared" si="68"/>
        <v>45859</v>
      </c>
      <c r="T302" s="1">
        <f t="shared" si="69"/>
        <v>30</v>
      </c>
      <c r="U302" s="6">
        <f t="shared" si="70"/>
        <v>45859</v>
      </c>
      <c r="V302" s="1">
        <f t="shared" si="71"/>
        <v>1.0102466666648979</v>
      </c>
      <c r="W302" s="1">
        <f t="shared" si="72"/>
        <v>2025</v>
      </c>
      <c r="X302" s="1">
        <f t="shared" si="73"/>
        <v>2025</v>
      </c>
      <c r="Y302" s="1" t="str">
        <f t="shared" si="63"/>
        <v>2025-07</v>
      </c>
      <c r="Z302" s="1" t="str">
        <f t="shared" si="64"/>
        <v>2025-07</v>
      </c>
    </row>
    <row r="303" spans="1:26" x14ac:dyDescent="0.2">
      <c r="A303" s="1" t="s">
        <v>725</v>
      </c>
      <c r="B303" s="1" t="s">
        <v>726</v>
      </c>
      <c r="C303" s="1" t="s">
        <v>727</v>
      </c>
      <c r="D303" s="3">
        <v>45861.519233333333</v>
      </c>
      <c r="E303" s="3">
        <v>45861.528430486112</v>
      </c>
      <c r="F303" s="1" t="s">
        <v>52</v>
      </c>
      <c r="G303" s="1" t="s">
        <v>21</v>
      </c>
      <c r="H303" s="1" t="s">
        <v>13</v>
      </c>
      <c r="I303" s="1" t="s">
        <v>18</v>
      </c>
      <c r="J303" s="1" t="s">
        <v>16</v>
      </c>
      <c r="K303" s="1" t="s">
        <v>15</v>
      </c>
      <c r="L303" s="1" t="s">
        <v>13</v>
      </c>
      <c r="M303" s="1" t="s">
        <v>1163</v>
      </c>
      <c r="N303" s="1" t="str">
        <f t="shared" si="61"/>
        <v>SOPORTE</v>
      </c>
      <c r="O303" s="3">
        <f t="shared" si="65"/>
        <v>45861.519233333333</v>
      </c>
      <c r="P303" s="3">
        <f t="shared" si="66"/>
        <v>45861.528430486112</v>
      </c>
      <c r="Q303" s="1" t="str">
        <f t="shared" si="62"/>
        <v>Externo</v>
      </c>
      <c r="R303" s="1">
        <f t="shared" si="67"/>
        <v>30</v>
      </c>
      <c r="S303" s="6">
        <f t="shared" si="68"/>
        <v>45859</v>
      </c>
      <c r="T303" s="1">
        <f t="shared" si="69"/>
        <v>30</v>
      </c>
      <c r="U303" s="6">
        <f t="shared" si="70"/>
        <v>45859</v>
      </c>
      <c r="V303" s="1">
        <f t="shared" si="71"/>
        <v>9.1971527799614705E-3</v>
      </c>
      <c r="W303" s="1">
        <f t="shared" si="72"/>
        <v>2025</v>
      </c>
      <c r="X303" s="1">
        <f t="shared" si="73"/>
        <v>2025</v>
      </c>
      <c r="Y303" s="1" t="str">
        <f t="shared" si="63"/>
        <v>2025-07</v>
      </c>
      <c r="Z303" s="1" t="str">
        <f t="shared" si="64"/>
        <v>2025-07</v>
      </c>
    </row>
    <row r="304" spans="1:26" x14ac:dyDescent="0.2">
      <c r="A304" s="1" t="s">
        <v>728</v>
      </c>
      <c r="B304" s="1" t="s">
        <v>729</v>
      </c>
      <c r="C304" s="1" t="s">
        <v>13</v>
      </c>
      <c r="D304" s="3">
        <v>45862.355765798609</v>
      </c>
      <c r="E304" s="3">
        <v>45869.501981793983</v>
      </c>
      <c r="F304" s="1" t="s">
        <v>52</v>
      </c>
      <c r="G304" s="1" t="s">
        <v>19</v>
      </c>
      <c r="H304" s="1" t="s">
        <v>13</v>
      </c>
      <c r="I304" s="1" t="s">
        <v>148</v>
      </c>
      <c r="J304" s="1" t="s">
        <v>16</v>
      </c>
      <c r="K304" s="1" t="s">
        <v>15</v>
      </c>
      <c r="L304" s="1" t="s">
        <v>708</v>
      </c>
      <c r="M304" s="1" t="s">
        <v>13</v>
      </c>
      <c r="N304" s="1" t="str">
        <f t="shared" si="61"/>
        <v>DEFINICIÓN</v>
      </c>
      <c r="O304" s="3">
        <f t="shared" si="65"/>
        <v>45862.355765798609</v>
      </c>
      <c r="P304" s="3">
        <f t="shared" si="66"/>
        <v>45869.501981793983</v>
      </c>
      <c r="Q304" s="1" t="str">
        <f t="shared" si="62"/>
        <v>Externo</v>
      </c>
      <c r="R304" s="1">
        <f t="shared" si="67"/>
        <v>30</v>
      </c>
      <c r="S304" s="6">
        <f t="shared" si="68"/>
        <v>45859</v>
      </c>
      <c r="T304" s="1">
        <f t="shared" si="69"/>
        <v>31</v>
      </c>
      <c r="U304" s="6">
        <f t="shared" si="70"/>
        <v>45866</v>
      </c>
      <c r="V304" s="1">
        <f t="shared" si="71"/>
        <v>7.1462159953734954</v>
      </c>
      <c r="W304" s="1">
        <f t="shared" si="72"/>
        <v>2025</v>
      </c>
      <c r="X304" s="1">
        <f t="shared" si="73"/>
        <v>2025</v>
      </c>
      <c r="Y304" s="1" t="str">
        <f t="shared" si="63"/>
        <v>2025-07</v>
      </c>
      <c r="Z304" s="1" t="str">
        <f t="shared" si="64"/>
        <v>2025-07</v>
      </c>
    </row>
    <row r="305" spans="1:26" x14ac:dyDescent="0.2">
      <c r="A305" s="1" t="s">
        <v>730</v>
      </c>
      <c r="B305" s="1" t="s">
        <v>731</v>
      </c>
      <c r="C305" s="1" t="s">
        <v>83</v>
      </c>
      <c r="D305" s="3">
        <v>45866.376201712963</v>
      </c>
      <c r="E305" s="3">
        <v>45866.385625659721</v>
      </c>
      <c r="F305" s="1" t="s">
        <v>52</v>
      </c>
      <c r="G305" s="1" t="s">
        <v>21</v>
      </c>
      <c r="H305" s="1" t="s">
        <v>13</v>
      </c>
      <c r="I305" s="1" t="s">
        <v>18</v>
      </c>
      <c r="J305" s="1" t="s">
        <v>16</v>
      </c>
      <c r="K305" s="1" t="s">
        <v>15</v>
      </c>
      <c r="L305" s="1" t="s">
        <v>13</v>
      </c>
      <c r="M305" s="1" t="s">
        <v>1163</v>
      </c>
      <c r="N305" s="1" t="str">
        <f t="shared" si="61"/>
        <v>SOPORTE</v>
      </c>
      <c r="O305" s="3">
        <f t="shared" si="65"/>
        <v>45866.376201712963</v>
      </c>
      <c r="P305" s="3">
        <f t="shared" si="66"/>
        <v>45866.385625659721</v>
      </c>
      <c r="Q305" s="1" t="str">
        <f t="shared" si="62"/>
        <v>Externo</v>
      </c>
      <c r="R305" s="1">
        <f t="shared" si="67"/>
        <v>31</v>
      </c>
      <c r="S305" s="6">
        <f t="shared" si="68"/>
        <v>45866</v>
      </c>
      <c r="T305" s="1">
        <f t="shared" si="69"/>
        <v>31</v>
      </c>
      <c r="U305" s="6">
        <f t="shared" si="70"/>
        <v>45866</v>
      </c>
      <c r="V305" s="1">
        <f t="shared" si="71"/>
        <v>9.4239467580337077E-3</v>
      </c>
      <c r="W305" s="1">
        <f t="shared" si="72"/>
        <v>2025</v>
      </c>
      <c r="X305" s="1">
        <f t="shared" si="73"/>
        <v>2025</v>
      </c>
      <c r="Y305" s="1" t="str">
        <f t="shared" si="63"/>
        <v>2025-07</v>
      </c>
      <c r="Z305" s="1" t="str">
        <f t="shared" si="64"/>
        <v>2025-07</v>
      </c>
    </row>
    <row r="306" spans="1:26" x14ac:dyDescent="0.2">
      <c r="A306" s="1" t="s">
        <v>732</v>
      </c>
      <c r="B306" s="1" t="s">
        <v>733</v>
      </c>
      <c r="C306" s="1" t="s">
        <v>13</v>
      </c>
      <c r="D306" s="3">
        <v>45866.388563379631</v>
      </c>
      <c r="E306" s="3">
        <v>45868.742174340281</v>
      </c>
      <c r="F306" s="1" t="s">
        <v>52</v>
      </c>
      <c r="G306" s="1" t="s">
        <v>943</v>
      </c>
      <c r="H306" s="1" t="s">
        <v>13</v>
      </c>
      <c r="I306" s="1" t="s">
        <v>18</v>
      </c>
      <c r="J306" s="1" t="s">
        <v>16</v>
      </c>
      <c r="K306" s="1" t="s">
        <v>15</v>
      </c>
      <c r="L306" s="1" t="s">
        <v>13</v>
      </c>
      <c r="M306" s="1" t="s">
        <v>1163</v>
      </c>
      <c r="N306" s="1" t="str">
        <f t="shared" si="61"/>
        <v>REPROCESO</v>
      </c>
      <c r="O306" s="3">
        <f t="shared" si="65"/>
        <v>45866.388563379631</v>
      </c>
      <c r="P306" s="3">
        <f t="shared" si="66"/>
        <v>45868.742174340281</v>
      </c>
      <c r="Q306" s="1" t="str">
        <f t="shared" si="62"/>
        <v>Interno</v>
      </c>
      <c r="R306" s="1">
        <f t="shared" si="67"/>
        <v>31</v>
      </c>
      <c r="S306" s="6">
        <f t="shared" si="68"/>
        <v>45866</v>
      </c>
      <c r="T306" s="1">
        <f t="shared" si="69"/>
        <v>31</v>
      </c>
      <c r="U306" s="6">
        <f t="shared" si="70"/>
        <v>45866</v>
      </c>
      <c r="V306" s="1">
        <f t="shared" si="71"/>
        <v>2.3536109606502578</v>
      </c>
      <c r="W306" s="1">
        <f t="shared" si="72"/>
        <v>2025</v>
      </c>
      <c r="X306" s="1">
        <f t="shared" si="73"/>
        <v>2025</v>
      </c>
      <c r="Y306" s="1" t="str">
        <f t="shared" si="63"/>
        <v>2025-07</v>
      </c>
      <c r="Z306" s="1" t="str">
        <f t="shared" si="64"/>
        <v>2025-07</v>
      </c>
    </row>
    <row r="307" spans="1:26" x14ac:dyDescent="0.2">
      <c r="A307" s="1" t="s">
        <v>734</v>
      </c>
      <c r="B307" s="1" t="s">
        <v>735</v>
      </c>
      <c r="C307" s="1" t="s">
        <v>13</v>
      </c>
      <c r="D307" s="3">
        <v>45866.39807354167</v>
      </c>
      <c r="E307" s="3">
        <v>45868.580457569442</v>
      </c>
      <c r="F307" s="1" t="s">
        <v>52</v>
      </c>
      <c r="G307" s="1" t="s">
        <v>21</v>
      </c>
      <c r="H307" s="1" t="s">
        <v>468</v>
      </c>
      <c r="I307" s="1" t="s">
        <v>18</v>
      </c>
      <c r="J307" s="1" t="s">
        <v>16</v>
      </c>
      <c r="K307" s="1" t="s">
        <v>15</v>
      </c>
      <c r="L307" s="1" t="s">
        <v>13</v>
      </c>
      <c r="M307" s="1" t="s">
        <v>1163</v>
      </c>
      <c r="N307" s="1" t="str">
        <f t="shared" si="61"/>
        <v>SOPORTE</v>
      </c>
      <c r="O307" s="3">
        <f t="shared" si="65"/>
        <v>45866.39807354167</v>
      </c>
      <c r="P307" s="3">
        <f t="shared" si="66"/>
        <v>45868.580457569442</v>
      </c>
      <c r="Q307" s="1" t="str">
        <f t="shared" si="62"/>
        <v>Externo</v>
      </c>
      <c r="R307" s="1">
        <f t="shared" si="67"/>
        <v>31</v>
      </c>
      <c r="S307" s="6">
        <f t="shared" si="68"/>
        <v>45866</v>
      </c>
      <c r="T307" s="1">
        <f t="shared" si="69"/>
        <v>31</v>
      </c>
      <c r="U307" s="6">
        <f t="shared" si="70"/>
        <v>45866</v>
      </c>
      <c r="V307" s="1">
        <f t="shared" si="71"/>
        <v>2.1823840277720592</v>
      </c>
      <c r="W307" s="1">
        <f t="shared" si="72"/>
        <v>2025</v>
      </c>
      <c r="X307" s="1">
        <f t="shared" si="73"/>
        <v>2025</v>
      </c>
      <c r="Y307" s="1" t="str">
        <f t="shared" si="63"/>
        <v>2025-07</v>
      </c>
      <c r="Z307" s="1" t="str">
        <f t="shared" si="64"/>
        <v>2025-07</v>
      </c>
    </row>
    <row r="308" spans="1:26" x14ac:dyDescent="0.2">
      <c r="A308" s="1" t="s">
        <v>736</v>
      </c>
      <c r="B308" s="1" t="s">
        <v>737</v>
      </c>
      <c r="C308" s="1" t="s">
        <v>109</v>
      </c>
      <c r="D308" s="3">
        <v>45866.401643935184</v>
      </c>
      <c r="E308" s="3">
        <v>45868.383792199071</v>
      </c>
      <c r="F308" s="1" t="s">
        <v>52</v>
      </c>
      <c r="G308" s="1" t="s">
        <v>21</v>
      </c>
      <c r="H308" s="1" t="s">
        <v>468</v>
      </c>
      <c r="I308" s="1" t="s">
        <v>18</v>
      </c>
      <c r="J308" s="1" t="s">
        <v>16</v>
      </c>
      <c r="K308" s="1" t="s">
        <v>15</v>
      </c>
      <c r="L308" s="1" t="s">
        <v>13</v>
      </c>
      <c r="M308" s="1" t="s">
        <v>1163</v>
      </c>
      <c r="N308" s="1" t="str">
        <f t="shared" si="61"/>
        <v>SOPORTE</v>
      </c>
      <c r="O308" s="3">
        <f t="shared" si="65"/>
        <v>45866.401643935184</v>
      </c>
      <c r="P308" s="3">
        <f t="shared" si="66"/>
        <v>45868.383792199071</v>
      </c>
      <c r="Q308" s="1" t="str">
        <f t="shared" si="62"/>
        <v>Externo</v>
      </c>
      <c r="R308" s="1">
        <f t="shared" si="67"/>
        <v>31</v>
      </c>
      <c r="S308" s="6">
        <f t="shared" si="68"/>
        <v>45866</v>
      </c>
      <c r="T308" s="1">
        <f t="shared" si="69"/>
        <v>31</v>
      </c>
      <c r="U308" s="6">
        <f t="shared" si="70"/>
        <v>45866</v>
      </c>
      <c r="V308" s="1">
        <f t="shared" si="71"/>
        <v>1.9821482638872112</v>
      </c>
      <c r="W308" s="1">
        <f t="shared" si="72"/>
        <v>2025</v>
      </c>
      <c r="X308" s="1">
        <f t="shared" si="73"/>
        <v>2025</v>
      </c>
      <c r="Y308" s="1" t="str">
        <f t="shared" si="63"/>
        <v>2025-07</v>
      </c>
      <c r="Z308" s="1" t="str">
        <f t="shared" si="64"/>
        <v>2025-07</v>
      </c>
    </row>
    <row r="309" spans="1:26" x14ac:dyDescent="0.2">
      <c r="A309" s="1" t="s">
        <v>738</v>
      </c>
      <c r="B309" s="1" t="s">
        <v>739</v>
      </c>
      <c r="C309" s="1" t="s">
        <v>740</v>
      </c>
      <c r="D309" s="3">
        <v>45866.44459003472</v>
      </c>
      <c r="E309" s="3">
        <v>45867.514291203704</v>
      </c>
      <c r="F309" s="1" t="s">
        <v>52</v>
      </c>
      <c r="G309" s="1" t="s">
        <v>21</v>
      </c>
      <c r="H309" s="1" t="s">
        <v>13</v>
      </c>
      <c r="I309" s="1" t="s">
        <v>18</v>
      </c>
      <c r="J309" s="1" t="s">
        <v>16</v>
      </c>
      <c r="K309" s="1" t="s">
        <v>15</v>
      </c>
      <c r="L309" s="1" t="s">
        <v>13</v>
      </c>
      <c r="M309" s="1" t="s">
        <v>1163</v>
      </c>
      <c r="N309" s="1" t="str">
        <f t="shared" si="61"/>
        <v>SOPORTE</v>
      </c>
      <c r="O309" s="3">
        <f t="shared" si="65"/>
        <v>45866.44459003472</v>
      </c>
      <c r="P309" s="3">
        <f t="shared" si="66"/>
        <v>45867.514291203704</v>
      </c>
      <c r="Q309" s="1" t="str">
        <f t="shared" si="62"/>
        <v>Externo</v>
      </c>
      <c r="R309" s="1">
        <f t="shared" si="67"/>
        <v>31</v>
      </c>
      <c r="S309" s="6">
        <f t="shared" si="68"/>
        <v>45866</v>
      </c>
      <c r="T309" s="1">
        <f t="shared" si="69"/>
        <v>31</v>
      </c>
      <c r="U309" s="6">
        <f t="shared" si="70"/>
        <v>45866</v>
      </c>
      <c r="V309" s="1">
        <f t="shared" si="71"/>
        <v>1.0697011689844658</v>
      </c>
      <c r="W309" s="1">
        <f t="shared" si="72"/>
        <v>2025</v>
      </c>
      <c r="X309" s="1">
        <f t="shared" si="73"/>
        <v>2025</v>
      </c>
      <c r="Y309" s="1" t="str">
        <f t="shared" si="63"/>
        <v>2025-07</v>
      </c>
      <c r="Z309" s="1" t="str">
        <f t="shared" si="64"/>
        <v>2025-07</v>
      </c>
    </row>
    <row r="310" spans="1:26" x14ac:dyDescent="0.2">
      <c r="A310" s="1" t="s">
        <v>741</v>
      </c>
      <c r="B310" s="1" t="s">
        <v>742</v>
      </c>
      <c r="C310" s="1" t="s">
        <v>13</v>
      </c>
      <c r="D310" s="3">
        <v>45866.569863344906</v>
      </c>
      <c r="E310" s="1" t="s">
        <v>13</v>
      </c>
      <c r="F310" s="1" t="s">
        <v>52</v>
      </c>
      <c r="G310" s="1" t="s">
        <v>12</v>
      </c>
      <c r="H310" s="1" t="s">
        <v>13</v>
      </c>
      <c r="I310" s="1" t="s">
        <v>148</v>
      </c>
      <c r="J310" s="1" t="s">
        <v>16</v>
      </c>
      <c r="K310" s="1" t="s">
        <v>455</v>
      </c>
      <c r="L310" s="1" t="s">
        <v>13</v>
      </c>
      <c r="M310" s="1" t="s">
        <v>13</v>
      </c>
      <c r="N310" s="1" t="str">
        <f t="shared" si="61"/>
        <v>DESARROLLO</v>
      </c>
      <c r="O310" s="3">
        <f t="shared" si="65"/>
        <v>45866.569863344906</v>
      </c>
      <c r="P310" s="3" t="str">
        <f t="shared" si="66"/>
        <v/>
      </c>
      <c r="Q310" s="1" t="str">
        <f t="shared" si="62"/>
        <v>Interno</v>
      </c>
      <c r="R310" s="1">
        <f t="shared" si="67"/>
        <v>31</v>
      </c>
      <c r="S310" s="6">
        <f t="shared" si="68"/>
        <v>45866</v>
      </c>
      <c r="T310" s="1" t="e">
        <f t="shared" si="69"/>
        <v>#VALUE!</v>
      </c>
      <c r="U310" s="6" t="e">
        <f t="shared" si="70"/>
        <v>#VALUE!</v>
      </c>
      <c r="V310" s="1" t="e">
        <f t="shared" si="71"/>
        <v>#VALUE!</v>
      </c>
      <c r="W310" s="1">
        <f t="shared" si="72"/>
        <v>2025</v>
      </c>
      <c r="X310" s="1" t="e">
        <f t="shared" si="73"/>
        <v>#VALUE!</v>
      </c>
      <c r="Y310" s="1" t="str">
        <f t="shared" si="63"/>
        <v>2025-07</v>
      </c>
      <c r="Z310" s="1" t="e">
        <f t="shared" si="64"/>
        <v>#VALUE!</v>
      </c>
    </row>
    <row r="311" spans="1:26" x14ac:dyDescent="0.2">
      <c r="A311" s="1" t="s">
        <v>743</v>
      </c>
      <c r="B311" s="1" t="s">
        <v>744</v>
      </c>
      <c r="C311" s="1" t="s">
        <v>230</v>
      </c>
      <c r="D311" s="3">
        <v>45866.611320648146</v>
      </c>
      <c r="E311" s="3">
        <v>45868.650860312497</v>
      </c>
      <c r="F311" s="1" t="s">
        <v>52</v>
      </c>
      <c r="G311" s="1" t="s">
        <v>53</v>
      </c>
      <c r="H311" s="1" t="s">
        <v>13</v>
      </c>
      <c r="I311" s="1" t="s">
        <v>18</v>
      </c>
      <c r="J311" s="1" t="s">
        <v>16</v>
      </c>
      <c r="K311" s="1" t="s">
        <v>15</v>
      </c>
      <c r="L311" s="1" t="s">
        <v>13</v>
      </c>
      <c r="M311" s="1" t="s">
        <v>1163</v>
      </c>
      <c r="N311" s="1" t="str">
        <f t="shared" si="61"/>
        <v>TÉCNICO</v>
      </c>
      <c r="O311" s="3">
        <f t="shared" si="65"/>
        <v>45866.611320648146</v>
      </c>
      <c r="P311" s="3">
        <f t="shared" si="66"/>
        <v>45868.650860312497</v>
      </c>
      <c r="Q311" s="1" t="str">
        <f t="shared" si="62"/>
        <v>Interno</v>
      </c>
      <c r="R311" s="1">
        <f t="shared" si="67"/>
        <v>31</v>
      </c>
      <c r="S311" s="6">
        <f t="shared" si="68"/>
        <v>45866</v>
      </c>
      <c r="T311" s="1">
        <f t="shared" si="69"/>
        <v>31</v>
      </c>
      <c r="U311" s="6">
        <f t="shared" si="70"/>
        <v>45866</v>
      </c>
      <c r="V311" s="1">
        <f t="shared" si="71"/>
        <v>2.0395396643507411</v>
      </c>
      <c r="W311" s="1">
        <f t="shared" si="72"/>
        <v>2025</v>
      </c>
      <c r="X311" s="1">
        <f t="shared" si="73"/>
        <v>2025</v>
      </c>
      <c r="Y311" s="1" t="str">
        <f t="shared" si="63"/>
        <v>2025-07</v>
      </c>
      <c r="Z311" s="1" t="str">
        <f t="shared" si="64"/>
        <v>2025-07</v>
      </c>
    </row>
    <row r="312" spans="1:26" x14ac:dyDescent="0.2">
      <c r="A312" s="1" t="s">
        <v>745</v>
      </c>
      <c r="B312" s="1" t="s">
        <v>746</v>
      </c>
      <c r="C312" s="1" t="s">
        <v>70</v>
      </c>
      <c r="D312" s="3">
        <v>45867.510554074077</v>
      </c>
      <c r="E312" s="3">
        <v>45867.620737268517</v>
      </c>
      <c r="F312" s="1" t="s">
        <v>52</v>
      </c>
      <c r="G312" s="1" t="s">
        <v>21</v>
      </c>
      <c r="H312" s="1" t="s">
        <v>13</v>
      </c>
      <c r="I312" s="1" t="s">
        <v>18</v>
      </c>
      <c r="J312" s="1" t="s">
        <v>16</v>
      </c>
      <c r="K312" s="1" t="s">
        <v>15</v>
      </c>
      <c r="L312" s="1" t="s">
        <v>13</v>
      </c>
      <c r="M312" s="1" t="s">
        <v>1163</v>
      </c>
      <c r="N312" s="1" t="str">
        <f t="shared" si="61"/>
        <v>SOPORTE</v>
      </c>
      <c r="O312" s="3">
        <f t="shared" si="65"/>
        <v>45867.510554074077</v>
      </c>
      <c r="P312" s="3">
        <f t="shared" si="66"/>
        <v>45867.620737268517</v>
      </c>
      <c r="Q312" s="1" t="str">
        <f t="shared" si="62"/>
        <v>Externo</v>
      </c>
      <c r="R312" s="1">
        <f t="shared" si="67"/>
        <v>31</v>
      </c>
      <c r="S312" s="6">
        <f t="shared" si="68"/>
        <v>45866</v>
      </c>
      <c r="T312" s="1">
        <f t="shared" si="69"/>
        <v>31</v>
      </c>
      <c r="U312" s="6">
        <f t="shared" si="70"/>
        <v>45866</v>
      </c>
      <c r="V312" s="1">
        <f t="shared" si="71"/>
        <v>0.11018319443974178</v>
      </c>
      <c r="W312" s="1">
        <f t="shared" si="72"/>
        <v>2025</v>
      </c>
      <c r="X312" s="1">
        <f t="shared" si="73"/>
        <v>2025</v>
      </c>
      <c r="Y312" s="1" t="str">
        <f t="shared" si="63"/>
        <v>2025-07</v>
      </c>
      <c r="Z312" s="1" t="str">
        <f t="shared" si="64"/>
        <v>2025-07</v>
      </c>
    </row>
    <row r="313" spans="1:26" x14ac:dyDescent="0.2">
      <c r="A313" s="1" t="s">
        <v>747</v>
      </c>
      <c r="B313" s="1" t="s">
        <v>748</v>
      </c>
      <c r="C313" s="1" t="s">
        <v>70</v>
      </c>
      <c r="D313" s="3">
        <v>45867.525983993059</v>
      </c>
      <c r="E313" s="3">
        <v>45868.382217152779</v>
      </c>
      <c r="F313" s="1" t="s">
        <v>52</v>
      </c>
      <c r="G313" s="1" t="s">
        <v>21</v>
      </c>
      <c r="H313" s="1" t="s">
        <v>481</v>
      </c>
      <c r="I313" s="1" t="s">
        <v>18</v>
      </c>
      <c r="J313" s="1" t="s">
        <v>16</v>
      </c>
      <c r="K313" s="1" t="s">
        <v>15</v>
      </c>
      <c r="L313" s="1" t="s">
        <v>13</v>
      </c>
      <c r="M313" s="1" t="s">
        <v>13</v>
      </c>
      <c r="N313" s="1" t="str">
        <f t="shared" si="61"/>
        <v>SOPORTE</v>
      </c>
      <c r="O313" s="3">
        <f t="shared" si="65"/>
        <v>45867.525983993059</v>
      </c>
      <c r="P313" s="3">
        <f t="shared" si="66"/>
        <v>45868.382217152779</v>
      </c>
      <c r="Q313" s="1" t="str">
        <f t="shared" si="62"/>
        <v>Externo</v>
      </c>
      <c r="R313" s="1">
        <f t="shared" si="67"/>
        <v>31</v>
      </c>
      <c r="S313" s="6">
        <f t="shared" si="68"/>
        <v>45866</v>
      </c>
      <c r="T313" s="1">
        <f t="shared" si="69"/>
        <v>31</v>
      </c>
      <c r="U313" s="6">
        <f t="shared" si="70"/>
        <v>45866</v>
      </c>
      <c r="V313" s="1">
        <f t="shared" si="71"/>
        <v>0.85623315972043201</v>
      </c>
      <c r="W313" s="1">
        <f t="shared" si="72"/>
        <v>2025</v>
      </c>
      <c r="X313" s="1">
        <f t="shared" si="73"/>
        <v>2025</v>
      </c>
      <c r="Y313" s="1" t="str">
        <f t="shared" si="63"/>
        <v>2025-07</v>
      </c>
      <c r="Z313" s="1" t="str">
        <f t="shared" si="64"/>
        <v>2025-07</v>
      </c>
    </row>
    <row r="314" spans="1:26" x14ac:dyDescent="0.2">
      <c r="A314" s="1" t="s">
        <v>749</v>
      </c>
      <c r="B314" s="1" t="s">
        <v>750</v>
      </c>
      <c r="C314" s="1" t="s">
        <v>58</v>
      </c>
      <c r="D314" s="3">
        <v>45867.603998969906</v>
      </c>
      <c r="E314" s="3">
        <v>45867.620420127314</v>
      </c>
      <c r="F314" s="1" t="s">
        <v>52</v>
      </c>
      <c r="G314" s="1" t="s">
        <v>21</v>
      </c>
      <c r="H314" s="1" t="s">
        <v>13</v>
      </c>
      <c r="I314" s="1" t="s">
        <v>18</v>
      </c>
      <c r="J314" s="1" t="s">
        <v>16</v>
      </c>
      <c r="K314" s="1" t="s">
        <v>15</v>
      </c>
      <c r="L314" s="1" t="s">
        <v>13</v>
      </c>
      <c r="M314" s="1" t="s">
        <v>1163</v>
      </c>
      <c r="N314" s="1" t="str">
        <f t="shared" si="61"/>
        <v>SOPORTE</v>
      </c>
      <c r="O314" s="3">
        <f t="shared" si="65"/>
        <v>45867.603998969906</v>
      </c>
      <c r="P314" s="3">
        <f t="shared" si="66"/>
        <v>45867.620420127314</v>
      </c>
      <c r="Q314" s="1" t="str">
        <f t="shared" si="62"/>
        <v>Externo</v>
      </c>
      <c r="R314" s="1">
        <f t="shared" si="67"/>
        <v>31</v>
      </c>
      <c r="S314" s="6">
        <f t="shared" si="68"/>
        <v>45866</v>
      </c>
      <c r="T314" s="1">
        <f t="shared" si="69"/>
        <v>31</v>
      </c>
      <c r="U314" s="6">
        <f t="shared" si="70"/>
        <v>45866</v>
      </c>
      <c r="V314" s="1">
        <f t="shared" si="71"/>
        <v>1.6421157408331055E-2</v>
      </c>
      <c r="W314" s="1">
        <f t="shared" si="72"/>
        <v>2025</v>
      </c>
      <c r="X314" s="1">
        <f t="shared" si="73"/>
        <v>2025</v>
      </c>
      <c r="Y314" s="1" t="str">
        <f t="shared" si="63"/>
        <v>2025-07</v>
      </c>
      <c r="Z314" s="1" t="str">
        <f t="shared" si="64"/>
        <v>2025-07</v>
      </c>
    </row>
    <row r="315" spans="1:26" x14ac:dyDescent="0.2">
      <c r="A315" s="1" t="s">
        <v>751</v>
      </c>
      <c r="B315" s="1" t="s">
        <v>752</v>
      </c>
      <c r="C315" s="1" t="s">
        <v>13</v>
      </c>
      <c r="D315" s="3">
        <v>45868.581555717596</v>
      </c>
      <c r="E315" s="3">
        <v>45877.435158379631</v>
      </c>
      <c r="F315" s="1" t="s">
        <v>52</v>
      </c>
      <c r="G315" s="1" t="s">
        <v>53</v>
      </c>
      <c r="H315" s="1" t="s">
        <v>13</v>
      </c>
      <c r="I315" s="1" t="s">
        <v>18</v>
      </c>
      <c r="J315" s="1" t="s">
        <v>16</v>
      </c>
      <c r="K315" s="1" t="s">
        <v>15</v>
      </c>
      <c r="L315" s="1" t="s">
        <v>13</v>
      </c>
      <c r="M315" s="1" t="s">
        <v>1163</v>
      </c>
      <c r="N315" s="1" t="str">
        <f t="shared" si="61"/>
        <v>TÉCNICO</v>
      </c>
      <c r="O315" s="3">
        <f t="shared" si="65"/>
        <v>45868.581555717596</v>
      </c>
      <c r="P315" s="3">
        <f t="shared" si="66"/>
        <v>45877.435158379631</v>
      </c>
      <c r="Q315" s="1" t="str">
        <f t="shared" si="62"/>
        <v>Interno</v>
      </c>
      <c r="R315" s="1">
        <f t="shared" si="67"/>
        <v>31</v>
      </c>
      <c r="S315" s="6">
        <f t="shared" si="68"/>
        <v>45866</v>
      </c>
      <c r="T315" s="1">
        <f t="shared" si="69"/>
        <v>32</v>
      </c>
      <c r="U315" s="6">
        <f t="shared" si="70"/>
        <v>45873</v>
      </c>
      <c r="V315" s="1">
        <f t="shared" si="71"/>
        <v>8.853602662034973</v>
      </c>
      <c r="W315" s="1">
        <f t="shared" si="72"/>
        <v>2025</v>
      </c>
      <c r="X315" s="1">
        <f t="shared" si="73"/>
        <v>2025</v>
      </c>
      <c r="Y315" s="1" t="str">
        <f t="shared" si="63"/>
        <v>2025-07</v>
      </c>
      <c r="Z315" s="1" t="str">
        <f t="shared" si="64"/>
        <v>2025-08</v>
      </c>
    </row>
    <row r="316" spans="1:26" x14ac:dyDescent="0.2">
      <c r="A316" s="1" t="s">
        <v>753</v>
      </c>
      <c r="B316" s="1" t="s">
        <v>754</v>
      </c>
      <c r="C316" s="1" t="s">
        <v>70</v>
      </c>
      <c r="D316" s="4">
        <v>45870.420060787037</v>
      </c>
      <c r="E316" s="3">
        <v>45874.407484849537</v>
      </c>
      <c r="F316" s="1" t="s">
        <v>52</v>
      </c>
      <c r="G316" s="1" t="s">
        <v>21</v>
      </c>
      <c r="H316" s="1" t="s">
        <v>468</v>
      </c>
      <c r="I316" s="1" t="s">
        <v>18</v>
      </c>
      <c r="J316" s="1" t="s">
        <v>16</v>
      </c>
      <c r="K316" s="1" t="s">
        <v>15</v>
      </c>
      <c r="L316" s="1" t="s">
        <v>13</v>
      </c>
      <c r="M316" s="1" t="s">
        <v>1163</v>
      </c>
      <c r="N316" s="1" t="str">
        <f t="shared" si="61"/>
        <v>SOPORTE</v>
      </c>
      <c r="O316" s="3">
        <f t="shared" si="65"/>
        <v>45870.420060787037</v>
      </c>
      <c r="P316" s="3">
        <f t="shared" si="66"/>
        <v>45874.407484849537</v>
      </c>
      <c r="Q316" s="1" t="str">
        <f t="shared" si="62"/>
        <v>Externo</v>
      </c>
      <c r="R316" s="1">
        <f t="shared" si="67"/>
        <v>31</v>
      </c>
      <c r="S316" s="6">
        <f t="shared" si="68"/>
        <v>45866</v>
      </c>
      <c r="T316" s="1">
        <f t="shared" si="69"/>
        <v>32</v>
      </c>
      <c r="U316" s="6">
        <f t="shared" si="70"/>
        <v>45873</v>
      </c>
      <c r="V316" s="1">
        <f t="shared" si="71"/>
        <v>3.9874240624994854</v>
      </c>
      <c r="W316" s="1">
        <f t="shared" si="72"/>
        <v>2025</v>
      </c>
      <c r="X316" s="1">
        <f t="shared" si="73"/>
        <v>2025</v>
      </c>
      <c r="Y316" s="1" t="str">
        <f t="shared" si="63"/>
        <v>2025-07</v>
      </c>
      <c r="Z316" s="1" t="str">
        <f t="shared" si="64"/>
        <v>2025-08</v>
      </c>
    </row>
    <row r="317" spans="1:26" x14ac:dyDescent="0.2">
      <c r="A317" s="1" t="s">
        <v>755</v>
      </c>
      <c r="B317" s="1" t="s">
        <v>756</v>
      </c>
      <c r="C317" s="1" t="s">
        <v>58</v>
      </c>
      <c r="D317" s="4">
        <v>45870.437480682871</v>
      </c>
      <c r="E317" s="3">
        <v>45904.373915127311</v>
      </c>
      <c r="F317" s="1" t="s">
        <v>52</v>
      </c>
      <c r="G317" s="1" t="s">
        <v>21</v>
      </c>
      <c r="H317" s="1" t="s">
        <v>13</v>
      </c>
      <c r="I317" s="1" t="s">
        <v>18</v>
      </c>
      <c r="J317" s="1" t="s">
        <v>16</v>
      </c>
      <c r="K317" s="1" t="s">
        <v>15</v>
      </c>
      <c r="L317" s="1" t="s">
        <v>13</v>
      </c>
      <c r="M317" s="1" t="s">
        <v>1163</v>
      </c>
      <c r="N317" s="1" t="str">
        <f t="shared" si="61"/>
        <v>SOPORTE</v>
      </c>
      <c r="O317" s="3">
        <f t="shared" si="65"/>
        <v>45870.437480682871</v>
      </c>
      <c r="P317" s="3">
        <f t="shared" si="66"/>
        <v>45904.373915127311</v>
      </c>
      <c r="Q317" s="1" t="str">
        <f t="shared" si="62"/>
        <v>Externo</v>
      </c>
      <c r="R317" s="1">
        <f t="shared" si="67"/>
        <v>31</v>
      </c>
      <c r="S317" s="6">
        <f t="shared" si="68"/>
        <v>45866</v>
      </c>
      <c r="T317" s="1">
        <f t="shared" si="69"/>
        <v>36</v>
      </c>
      <c r="U317" s="6">
        <f t="shared" si="70"/>
        <v>45901</v>
      </c>
      <c r="V317" s="1">
        <f t="shared" si="71"/>
        <v>33.936434444440238</v>
      </c>
      <c r="W317" s="1">
        <f t="shared" si="72"/>
        <v>2025</v>
      </c>
      <c r="X317" s="1">
        <f t="shared" si="73"/>
        <v>2025</v>
      </c>
      <c r="Y317" s="1" t="str">
        <f t="shared" si="63"/>
        <v>2025-07</v>
      </c>
      <c r="Z317" s="1" t="str">
        <f t="shared" si="64"/>
        <v>2025-09</v>
      </c>
    </row>
    <row r="318" spans="1:26" x14ac:dyDescent="0.2">
      <c r="A318" s="1" t="s">
        <v>757</v>
      </c>
      <c r="B318" s="1" t="s">
        <v>758</v>
      </c>
      <c r="C318" s="1" t="s">
        <v>13</v>
      </c>
      <c r="D318" s="4">
        <v>45870.444720636573</v>
      </c>
      <c r="E318" s="3">
        <v>45873.454521979169</v>
      </c>
      <c r="F318" s="1" t="s">
        <v>52</v>
      </c>
      <c r="G318" s="1" t="s">
        <v>21</v>
      </c>
      <c r="H318" s="1" t="s">
        <v>468</v>
      </c>
      <c r="I318" s="1" t="s">
        <v>18</v>
      </c>
      <c r="J318" s="1" t="s">
        <v>16</v>
      </c>
      <c r="K318" s="1" t="s">
        <v>15</v>
      </c>
      <c r="L318" s="1" t="s">
        <v>13</v>
      </c>
      <c r="M318" s="1" t="s">
        <v>1163</v>
      </c>
      <c r="N318" s="1" t="str">
        <f t="shared" si="61"/>
        <v>SOPORTE</v>
      </c>
      <c r="O318" s="3">
        <f t="shared" si="65"/>
        <v>45870.444720636573</v>
      </c>
      <c r="P318" s="3">
        <f t="shared" si="66"/>
        <v>45873.454521979169</v>
      </c>
      <c r="Q318" s="1" t="str">
        <f t="shared" si="62"/>
        <v>Externo</v>
      </c>
      <c r="R318" s="1">
        <f t="shared" si="67"/>
        <v>31</v>
      </c>
      <c r="S318" s="6">
        <f t="shared" si="68"/>
        <v>45866</v>
      </c>
      <c r="T318" s="1">
        <f t="shared" si="69"/>
        <v>32</v>
      </c>
      <c r="U318" s="6">
        <f t="shared" si="70"/>
        <v>45873</v>
      </c>
      <c r="V318" s="1">
        <f t="shared" si="71"/>
        <v>3.0098013425958925</v>
      </c>
      <c r="W318" s="1">
        <f t="shared" si="72"/>
        <v>2025</v>
      </c>
      <c r="X318" s="1">
        <f t="shared" si="73"/>
        <v>2025</v>
      </c>
      <c r="Y318" s="1" t="str">
        <f t="shared" si="63"/>
        <v>2025-07</v>
      </c>
      <c r="Z318" s="1" t="str">
        <f t="shared" si="64"/>
        <v>2025-08</v>
      </c>
    </row>
    <row r="319" spans="1:26" x14ac:dyDescent="0.2">
      <c r="A319" s="1" t="s">
        <v>759</v>
      </c>
      <c r="B319" s="1" t="s">
        <v>760</v>
      </c>
      <c r="C319" s="1" t="s">
        <v>13</v>
      </c>
      <c r="D319" s="4">
        <v>45870.493963171299</v>
      </c>
      <c r="E319" s="3">
        <v>45903.050803854167</v>
      </c>
      <c r="F319" s="1" t="s">
        <v>52</v>
      </c>
      <c r="G319" s="1" t="s">
        <v>19</v>
      </c>
      <c r="H319" s="1" t="s">
        <v>13</v>
      </c>
      <c r="I319" s="1" t="s">
        <v>148</v>
      </c>
      <c r="J319" s="1" t="s">
        <v>16</v>
      </c>
      <c r="K319" s="1" t="s">
        <v>15</v>
      </c>
      <c r="L319" s="1" t="s">
        <v>761</v>
      </c>
      <c r="M319" s="1" t="s">
        <v>13</v>
      </c>
      <c r="N319" s="1" t="str">
        <f t="shared" si="61"/>
        <v>DEFINICIÓN</v>
      </c>
      <c r="O319" s="3">
        <f t="shared" si="65"/>
        <v>45870.493963171299</v>
      </c>
      <c r="P319" s="3">
        <f t="shared" si="66"/>
        <v>45903.050803854167</v>
      </c>
      <c r="Q319" s="1" t="str">
        <f t="shared" si="62"/>
        <v>Externo</v>
      </c>
      <c r="R319" s="1">
        <f t="shared" si="67"/>
        <v>31</v>
      </c>
      <c r="S319" s="6">
        <f t="shared" si="68"/>
        <v>45866</v>
      </c>
      <c r="T319" s="1">
        <f t="shared" si="69"/>
        <v>36</v>
      </c>
      <c r="U319" s="6">
        <f t="shared" si="70"/>
        <v>45901</v>
      </c>
      <c r="V319" s="1">
        <f t="shared" si="71"/>
        <v>32.556840682867914</v>
      </c>
      <c r="W319" s="1">
        <f t="shared" si="72"/>
        <v>2025</v>
      </c>
      <c r="X319" s="1">
        <f t="shared" si="73"/>
        <v>2025</v>
      </c>
      <c r="Y319" s="1" t="str">
        <f t="shared" si="63"/>
        <v>2025-07</v>
      </c>
      <c r="Z319" s="1" t="str">
        <f t="shared" si="64"/>
        <v>2025-09</v>
      </c>
    </row>
    <row r="320" spans="1:26" x14ac:dyDescent="0.2">
      <c r="A320" s="1" t="s">
        <v>762</v>
      </c>
      <c r="B320" s="1" t="s">
        <v>763</v>
      </c>
      <c r="C320" s="1" t="s">
        <v>209</v>
      </c>
      <c r="D320" s="4">
        <v>45870.526941006945</v>
      </c>
      <c r="E320" s="3">
        <v>45875.356183599535</v>
      </c>
      <c r="F320" s="1" t="s">
        <v>52</v>
      </c>
      <c r="G320" s="1" t="s">
        <v>21</v>
      </c>
      <c r="H320" s="1" t="s">
        <v>468</v>
      </c>
      <c r="I320" s="1" t="s">
        <v>18</v>
      </c>
      <c r="J320" s="1" t="s">
        <v>16</v>
      </c>
      <c r="K320" s="1" t="s">
        <v>15</v>
      </c>
      <c r="L320" s="1" t="s">
        <v>13</v>
      </c>
      <c r="M320" s="1" t="s">
        <v>1163</v>
      </c>
      <c r="N320" s="1" t="str">
        <f t="shared" si="61"/>
        <v>SOPORTE</v>
      </c>
      <c r="O320" s="3">
        <f t="shared" si="65"/>
        <v>45870.526941006945</v>
      </c>
      <c r="P320" s="3">
        <f t="shared" si="66"/>
        <v>45875.356183599535</v>
      </c>
      <c r="Q320" s="1" t="str">
        <f t="shared" si="62"/>
        <v>Externo</v>
      </c>
      <c r="R320" s="1">
        <f t="shared" si="67"/>
        <v>31</v>
      </c>
      <c r="S320" s="6">
        <f t="shared" si="68"/>
        <v>45866</v>
      </c>
      <c r="T320" s="1">
        <f t="shared" si="69"/>
        <v>32</v>
      </c>
      <c r="U320" s="6">
        <f t="shared" si="70"/>
        <v>45873</v>
      </c>
      <c r="V320" s="1">
        <f t="shared" si="71"/>
        <v>4.8292425925901625</v>
      </c>
      <c r="W320" s="1">
        <f t="shared" si="72"/>
        <v>2025</v>
      </c>
      <c r="X320" s="1">
        <f t="shared" si="73"/>
        <v>2025</v>
      </c>
      <c r="Y320" s="1" t="str">
        <f t="shared" si="63"/>
        <v>2025-07</v>
      </c>
      <c r="Z320" s="1" t="str">
        <f t="shared" si="64"/>
        <v>2025-08</v>
      </c>
    </row>
    <row r="321" spans="1:26" x14ac:dyDescent="0.2">
      <c r="A321" s="1" t="s">
        <v>764</v>
      </c>
      <c r="B321" s="1" t="s">
        <v>765</v>
      </c>
      <c r="C321" s="1" t="s">
        <v>184</v>
      </c>
      <c r="D321" s="4">
        <v>45870.580834629633</v>
      </c>
      <c r="E321" s="3">
        <v>45875.382635925926</v>
      </c>
      <c r="F321" s="1" t="s">
        <v>52</v>
      </c>
      <c r="G321" s="1" t="s">
        <v>53</v>
      </c>
      <c r="H321" s="1" t="s">
        <v>468</v>
      </c>
      <c r="I321" s="1" t="s">
        <v>18</v>
      </c>
      <c r="J321" s="1" t="s">
        <v>16</v>
      </c>
      <c r="K321" s="1" t="s">
        <v>15</v>
      </c>
      <c r="L321" s="1" t="s">
        <v>13</v>
      </c>
      <c r="M321" s="1" t="s">
        <v>1163</v>
      </c>
      <c r="N321" s="1" t="str">
        <f t="shared" si="61"/>
        <v>TÉCNICO</v>
      </c>
      <c r="O321" s="3">
        <f t="shared" si="65"/>
        <v>45870.580834629633</v>
      </c>
      <c r="P321" s="3">
        <f t="shared" si="66"/>
        <v>45875.382635925926</v>
      </c>
      <c r="Q321" s="1" t="str">
        <f t="shared" si="62"/>
        <v>Interno</v>
      </c>
      <c r="R321" s="1">
        <f t="shared" si="67"/>
        <v>31</v>
      </c>
      <c r="S321" s="6">
        <f t="shared" si="68"/>
        <v>45866</v>
      </c>
      <c r="T321" s="1">
        <f t="shared" si="69"/>
        <v>32</v>
      </c>
      <c r="U321" s="6">
        <f t="shared" si="70"/>
        <v>45873</v>
      </c>
      <c r="V321" s="1">
        <f t="shared" si="71"/>
        <v>4.8018012962929788</v>
      </c>
      <c r="W321" s="1">
        <f t="shared" si="72"/>
        <v>2025</v>
      </c>
      <c r="X321" s="1">
        <f t="shared" si="73"/>
        <v>2025</v>
      </c>
      <c r="Y321" s="1" t="str">
        <f t="shared" si="63"/>
        <v>2025-07</v>
      </c>
      <c r="Z321" s="1" t="str">
        <f t="shared" si="64"/>
        <v>2025-08</v>
      </c>
    </row>
    <row r="322" spans="1:26" x14ac:dyDescent="0.2">
      <c r="A322" s="1" t="s">
        <v>766</v>
      </c>
      <c r="B322" s="1" t="s">
        <v>767</v>
      </c>
      <c r="C322" s="1" t="s">
        <v>13</v>
      </c>
      <c r="D322" s="3">
        <v>45873.395722233799</v>
      </c>
      <c r="E322" s="3">
        <v>45873.406861678239</v>
      </c>
      <c r="F322" s="1" t="s">
        <v>52</v>
      </c>
      <c r="G322" s="1" t="s">
        <v>21</v>
      </c>
      <c r="H322" s="1" t="s">
        <v>484</v>
      </c>
      <c r="I322" s="1" t="s">
        <v>18</v>
      </c>
      <c r="J322" s="1" t="s">
        <v>16</v>
      </c>
      <c r="K322" s="1" t="s">
        <v>15</v>
      </c>
      <c r="L322" s="1" t="s">
        <v>13</v>
      </c>
      <c r="M322" s="1" t="s">
        <v>1163</v>
      </c>
      <c r="N322" s="1" t="str">
        <f t="shared" si="61"/>
        <v>SOPORTE</v>
      </c>
      <c r="O322" s="3">
        <f t="shared" si="65"/>
        <v>45873.395722233799</v>
      </c>
      <c r="P322" s="3">
        <f t="shared" si="66"/>
        <v>45873.406861678239</v>
      </c>
      <c r="Q322" s="1" t="str">
        <f t="shared" si="62"/>
        <v>Externo</v>
      </c>
      <c r="R322" s="1">
        <f t="shared" si="67"/>
        <v>32</v>
      </c>
      <c r="S322" s="6">
        <f t="shared" si="68"/>
        <v>45873</v>
      </c>
      <c r="T322" s="1">
        <f t="shared" si="69"/>
        <v>32</v>
      </c>
      <c r="U322" s="6">
        <f t="shared" si="70"/>
        <v>45873</v>
      </c>
      <c r="V322" s="1">
        <f t="shared" si="71"/>
        <v>1.1139444439322688E-2</v>
      </c>
      <c r="W322" s="1">
        <f t="shared" si="72"/>
        <v>2025</v>
      </c>
      <c r="X322" s="1">
        <f t="shared" si="73"/>
        <v>2025</v>
      </c>
      <c r="Y322" s="1" t="str">
        <f t="shared" si="63"/>
        <v>2025-08</v>
      </c>
      <c r="Z322" s="1" t="str">
        <f t="shared" si="64"/>
        <v>2025-08</v>
      </c>
    </row>
    <row r="323" spans="1:26" x14ac:dyDescent="0.2">
      <c r="A323" s="1" t="s">
        <v>768</v>
      </c>
      <c r="B323" s="1" t="s">
        <v>769</v>
      </c>
      <c r="C323" s="1" t="s">
        <v>13</v>
      </c>
      <c r="D323" s="3">
        <v>45873.478872997686</v>
      </c>
      <c r="E323" s="3">
        <v>45874.549842280096</v>
      </c>
      <c r="F323" s="1" t="s">
        <v>52</v>
      </c>
      <c r="G323" s="1" t="s">
        <v>21</v>
      </c>
      <c r="H323" s="1" t="s">
        <v>468</v>
      </c>
      <c r="I323" s="1" t="s">
        <v>18</v>
      </c>
      <c r="J323" s="1" t="s">
        <v>16</v>
      </c>
      <c r="K323" s="1" t="s">
        <v>15</v>
      </c>
      <c r="L323" s="1" t="s">
        <v>13</v>
      </c>
      <c r="M323" s="1" t="s">
        <v>1163</v>
      </c>
      <c r="N323" s="1" t="str">
        <f t="shared" ref="N323:N386" si="74">G323</f>
        <v>SOPORTE</v>
      </c>
      <c r="O323" s="3">
        <f t="shared" si="65"/>
        <v>45873.478872997686</v>
      </c>
      <c r="P323" s="3">
        <f t="shared" si="66"/>
        <v>45874.549842280096</v>
      </c>
      <c r="Q323" s="1" t="str">
        <f t="shared" ref="Q323:Q386" si="75">IF(OR(N323="Soporte",N323="Definición",N323="Origen"),"Externo",
IF(OR(N323="Funcional",N323="Técnico",N323="Desarrollo",N323="Reproceso"),"Interno",
IF(OR(N323="",N323="Selecciona (SOPORTE/DEFINICIÓN/FUNCIONAL/TÉCNICO/DESARROLLO)"),"Pendiente clasificar","")))</f>
        <v>Externo</v>
      </c>
      <c r="R323" s="1">
        <f t="shared" si="67"/>
        <v>32</v>
      </c>
      <c r="S323" s="6">
        <f t="shared" si="68"/>
        <v>45873</v>
      </c>
      <c r="T323" s="1">
        <f t="shared" si="69"/>
        <v>32</v>
      </c>
      <c r="U323" s="6">
        <f t="shared" si="70"/>
        <v>45873</v>
      </c>
      <c r="V323" s="1">
        <f t="shared" si="71"/>
        <v>1.0709692824093509</v>
      </c>
      <c r="W323" s="1">
        <f t="shared" si="72"/>
        <v>2025</v>
      </c>
      <c r="X323" s="1">
        <f t="shared" si="73"/>
        <v>2025</v>
      </c>
      <c r="Y323" s="1" t="str">
        <f t="shared" ref="Y323:Y386" si="76">(TEXT(S323,"aaaa-mm"))</f>
        <v>2025-08</v>
      </c>
      <c r="Z323" s="1" t="str">
        <f t="shared" ref="Z323:Z386" si="77">(TEXT(U323,"aaaa-mm"))</f>
        <v>2025-08</v>
      </c>
    </row>
    <row r="324" spans="1:26" x14ac:dyDescent="0.2">
      <c r="A324" s="1" t="s">
        <v>770</v>
      </c>
      <c r="B324" s="1" t="s">
        <v>771</v>
      </c>
      <c r="C324" s="1" t="s">
        <v>13</v>
      </c>
      <c r="D324" s="3">
        <v>45873.493012777777</v>
      </c>
      <c r="E324" s="3">
        <v>45916.705937592589</v>
      </c>
      <c r="F324" s="1" t="s">
        <v>52</v>
      </c>
      <c r="G324" s="1" t="s">
        <v>53</v>
      </c>
      <c r="H324" s="1" t="s">
        <v>13</v>
      </c>
      <c r="I324" s="1" t="s">
        <v>148</v>
      </c>
      <c r="J324" s="1" t="s">
        <v>16</v>
      </c>
      <c r="K324" s="1" t="s">
        <v>15</v>
      </c>
      <c r="L324" s="1" t="s">
        <v>761</v>
      </c>
      <c r="M324" s="1" t="s">
        <v>13</v>
      </c>
      <c r="N324" s="1" t="str">
        <f t="shared" si="74"/>
        <v>TÉCNICO</v>
      </c>
      <c r="O324" s="3">
        <f t="shared" si="65"/>
        <v>45873.493012777777</v>
      </c>
      <c r="P324" s="3">
        <f t="shared" si="66"/>
        <v>45916.705937592589</v>
      </c>
      <c r="Q324" s="1" t="str">
        <f t="shared" si="75"/>
        <v>Interno</v>
      </c>
      <c r="R324" s="1">
        <f t="shared" si="67"/>
        <v>32</v>
      </c>
      <c r="S324" s="6">
        <f t="shared" si="68"/>
        <v>45873</v>
      </c>
      <c r="T324" s="1">
        <f t="shared" si="69"/>
        <v>38</v>
      </c>
      <c r="U324" s="6">
        <f t="shared" si="70"/>
        <v>45915</v>
      </c>
      <c r="V324" s="1">
        <f t="shared" si="71"/>
        <v>43.212924814812141</v>
      </c>
      <c r="W324" s="1">
        <f t="shared" si="72"/>
        <v>2025</v>
      </c>
      <c r="X324" s="1">
        <f t="shared" si="73"/>
        <v>2025</v>
      </c>
      <c r="Y324" s="1" t="str">
        <f t="shared" si="76"/>
        <v>2025-08</v>
      </c>
      <c r="Z324" s="1" t="str">
        <f t="shared" si="77"/>
        <v>2025-09</v>
      </c>
    </row>
    <row r="325" spans="1:26" x14ac:dyDescent="0.2">
      <c r="A325" s="1" t="s">
        <v>772</v>
      </c>
      <c r="B325" s="1" t="s">
        <v>773</v>
      </c>
      <c r="C325" s="1" t="s">
        <v>13</v>
      </c>
      <c r="D325" s="3">
        <v>45874.335596273151</v>
      </c>
      <c r="E325" s="3">
        <v>45874.549959247684</v>
      </c>
      <c r="F325" s="1" t="s">
        <v>52</v>
      </c>
      <c r="G325" s="1" t="s">
        <v>21</v>
      </c>
      <c r="H325" s="1" t="s">
        <v>468</v>
      </c>
      <c r="I325" s="1" t="s">
        <v>18</v>
      </c>
      <c r="J325" s="1" t="s">
        <v>16</v>
      </c>
      <c r="K325" s="1" t="s">
        <v>15</v>
      </c>
      <c r="L325" s="1" t="s">
        <v>13</v>
      </c>
      <c r="M325" s="1" t="s">
        <v>1163</v>
      </c>
      <c r="N325" s="1" t="str">
        <f t="shared" si="74"/>
        <v>SOPORTE</v>
      </c>
      <c r="O325" s="3">
        <f t="shared" si="65"/>
        <v>45874.335596273151</v>
      </c>
      <c r="P325" s="3">
        <f t="shared" si="66"/>
        <v>45874.549959247684</v>
      </c>
      <c r="Q325" s="1" t="str">
        <f t="shared" si="75"/>
        <v>Externo</v>
      </c>
      <c r="R325" s="1">
        <f t="shared" si="67"/>
        <v>32</v>
      </c>
      <c r="S325" s="6">
        <f t="shared" si="68"/>
        <v>45873</v>
      </c>
      <c r="T325" s="1">
        <f t="shared" si="69"/>
        <v>32</v>
      </c>
      <c r="U325" s="6">
        <f t="shared" si="70"/>
        <v>45873</v>
      </c>
      <c r="V325" s="1">
        <f t="shared" si="71"/>
        <v>0.21436297453328734</v>
      </c>
      <c r="W325" s="1">
        <f t="shared" si="72"/>
        <v>2025</v>
      </c>
      <c r="X325" s="1">
        <f t="shared" si="73"/>
        <v>2025</v>
      </c>
      <c r="Y325" s="1" t="str">
        <f t="shared" si="76"/>
        <v>2025-08</v>
      </c>
      <c r="Z325" s="1" t="str">
        <f t="shared" si="77"/>
        <v>2025-08</v>
      </c>
    </row>
    <row r="326" spans="1:26" x14ac:dyDescent="0.2">
      <c r="A326" s="1" t="s">
        <v>774</v>
      </c>
      <c r="B326" s="1" t="s">
        <v>775</v>
      </c>
      <c r="C326" s="1" t="s">
        <v>58</v>
      </c>
      <c r="D326" s="3">
        <v>45874.341785243058</v>
      </c>
      <c r="E326" s="3">
        <v>45875.651819999999</v>
      </c>
      <c r="F326" s="1" t="s">
        <v>52</v>
      </c>
      <c r="G326" s="1" t="s">
        <v>21</v>
      </c>
      <c r="H326" s="1" t="s">
        <v>13</v>
      </c>
      <c r="I326" s="1" t="s">
        <v>18</v>
      </c>
      <c r="J326" s="1" t="s">
        <v>16</v>
      </c>
      <c r="K326" s="1" t="s">
        <v>15</v>
      </c>
      <c r="L326" s="1" t="s">
        <v>13</v>
      </c>
      <c r="M326" s="1" t="s">
        <v>1163</v>
      </c>
      <c r="N326" s="1" t="str">
        <f t="shared" si="74"/>
        <v>SOPORTE</v>
      </c>
      <c r="O326" s="3">
        <f t="shared" ref="O326:O389" si="78">D326</f>
        <v>45874.341785243058</v>
      </c>
      <c r="P326" s="3">
        <f t="shared" ref="P326:P389" si="79">E326</f>
        <v>45875.651819999999</v>
      </c>
      <c r="Q326" s="1" t="str">
        <f t="shared" si="75"/>
        <v>Externo</v>
      </c>
      <c r="R326" s="1">
        <f t="shared" ref="R326:R389" si="80">WEEKNUM(O326,1)</f>
        <v>32</v>
      </c>
      <c r="S326" s="6">
        <f t="shared" ref="S326:S389" si="81">DATE(W326,1,4) + (R326-1)*7 - WEEKDAY(DATE(W326,1,4),2) +1</f>
        <v>45873</v>
      </c>
      <c r="T326" s="1">
        <f t="shared" ref="T326:T389" si="82">WEEKNUM(P326,1)</f>
        <v>32</v>
      </c>
      <c r="U326" s="6">
        <f t="shared" ref="U326:U389" si="83">DATE(X326,1,4) + (T326-1)*7 - WEEKDAY(DATE(X326,1,4),2) +1</f>
        <v>45873</v>
      </c>
      <c r="V326" s="1">
        <f t="shared" ref="V326:V389" si="84">ABS(P326-O326)</f>
        <v>1.3100347569416044</v>
      </c>
      <c r="W326" s="1">
        <f t="shared" ref="W326:W389" si="85">YEAR(O326)</f>
        <v>2025</v>
      </c>
      <c r="X326" s="1">
        <f t="shared" ref="X326:X389" si="86">YEAR(P326)</f>
        <v>2025</v>
      </c>
      <c r="Y326" s="1" t="str">
        <f t="shared" si="76"/>
        <v>2025-08</v>
      </c>
      <c r="Z326" s="1" t="str">
        <f t="shared" si="77"/>
        <v>2025-08</v>
      </c>
    </row>
    <row r="327" spans="1:26" x14ac:dyDescent="0.2">
      <c r="A327" s="1" t="s">
        <v>776</v>
      </c>
      <c r="B327" s="1" t="s">
        <v>777</v>
      </c>
      <c r="C327" s="1" t="s">
        <v>13</v>
      </c>
      <c r="D327" s="3">
        <v>45874.378029629632</v>
      </c>
      <c r="E327" s="3">
        <v>45874.550089606484</v>
      </c>
      <c r="F327" s="1" t="s">
        <v>52</v>
      </c>
      <c r="G327" s="1" t="s">
        <v>21</v>
      </c>
      <c r="H327" s="1" t="s">
        <v>468</v>
      </c>
      <c r="I327" s="1" t="s">
        <v>18</v>
      </c>
      <c r="J327" s="1" t="s">
        <v>16</v>
      </c>
      <c r="K327" s="1" t="s">
        <v>15</v>
      </c>
      <c r="L327" s="1" t="s">
        <v>13</v>
      </c>
      <c r="M327" s="1" t="s">
        <v>1162</v>
      </c>
      <c r="N327" s="1" t="str">
        <f t="shared" si="74"/>
        <v>SOPORTE</v>
      </c>
      <c r="O327" s="3">
        <f t="shared" si="78"/>
        <v>45874.378029629632</v>
      </c>
      <c r="P327" s="3">
        <f t="shared" si="79"/>
        <v>45874.550089606484</v>
      </c>
      <c r="Q327" s="1" t="str">
        <f t="shared" si="75"/>
        <v>Externo</v>
      </c>
      <c r="R327" s="1">
        <f t="shared" si="80"/>
        <v>32</v>
      </c>
      <c r="S327" s="6">
        <f t="shared" si="81"/>
        <v>45873</v>
      </c>
      <c r="T327" s="1">
        <f t="shared" si="82"/>
        <v>32</v>
      </c>
      <c r="U327" s="6">
        <f t="shared" si="83"/>
        <v>45873</v>
      </c>
      <c r="V327" s="1">
        <f t="shared" si="84"/>
        <v>0.17205997685232433</v>
      </c>
      <c r="W327" s="1">
        <f t="shared" si="85"/>
        <v>2025</v>
      </c>
      <c r="X327" s="1">
        <f t="shared" si="86"/>
        <v>2025</v>
      </c>
      <c r="Y327" s="1" t="str">
        <f t="shared" si="76"/>
        <v>2025-08</v>
      </c>
      <c r="Z327" s="1" t="str">
        <f t="shared" si="77"/>
        <v>2025-08</v>
      </c>
    </row>
    <row r="328" spans="1:26" x14ac:dyDescent="0.2">
      <c r="A328" s="1" t="s">
        <v>778</v>
      </c>
      <c r="B328" s="1" t="s">
        <v>779</v>
      </c>
      <c r="C328" s="1" t="s">
        <v>209</v>
      </c>
      <c r="D328" s="3">
        <v>45874.404739675927</v>
      </c>
      <c r="E328" s="3">
        <v>45903.628116655091</v>
      </c>
      <c r="F328" s="1" t="s">
        <v>52</v>
      </c>
      <c r="G328" s="1" t="s">
        <v>21</v>
      </c>
      <c r="H328" s="1" t="s">
        <v>13</v>
      </c>
      <c r="I328" s="1" t="s">
        <v>18</v>
      </c>
      <c r="J328" s="1" t="s">
        <v>16</v>
      </c>
      <c r="K328" s="1" t="s">
        <v>15</v>
      </c>
      <c r="L328" s="1" t="s">
        <v>13</v>
      </c>
      <c r="M328" s="1" t="s">
        <v>1163</v>
      </c>
      <c r="N328" s="1" t="str">
        <f t="shared" si="74"/>
        <v>SOPORTE</v>
      </c>
      <c r="O328" s="3">
        <f t="shared" si="78"/>
        <v>45874.404739675927</v>
      </c>
      <c r="P328" s="3">
        <f t="shared" si="79"/>
        <v>45903.628116655091</v>
      </c>
      <c r="Q328" s="1" t="str">
        <f t="shared" si="75"/>
        <v>Externo</v>
      </c>
      <c r="R328" s="1">
        <f t="shared" si="80"/>
        <v>32</v>
      </c>
      <c r="S328" s="6">
        <f t="shared" si="81"/>
        <v>45873</v>
      </c>
      <c r="T328" s="1">
        <f t="shared" si="82"/>
        <v>36</v>
      </c>
      <c r="U328" s="6">
        <f t="shared" si="83"/>
        <v>45901</v>
      </c>
      <c r="V328" s="1">
        <f t="shared" si="84"/>
        <v>29.223376979163731</v>
      </c>
      <c r="W328" s="1">
        <f t="shared" si="85"/>
        <v>2025</v>
      </c>
      <c r="X328" s="1">
        <f t="shared" si="86"/>
        <v>2025</v>
      </c>
      <c r="Y328" s="1" t="str">
        <f t="shared" si="76"/>
        <v>2025-08</v>
      </c>
      <c r="Z328" s="1" t="str">
        <f t="shared" si="77"/>
        <v>2025-09</v>
      </c>
    </row>
    <row r="329" spans="1:26" x14ac:dyDescent="0.2">
      <c r="A329" s="1" t="s">
        <v>780</v>
      </c>
      <c r="B329" s="1" t="s">
        <v>781</v>
      </c>
      <c r="C329" s="1" t="s">
        <v>124</v>
      </c>
      <c r="D329" s="3">
        <v>45874.442886516204</v>
      </c>
      <c r="E329" s="3">
        <v>45875.359142777779</v>
      </c>
      <c r="F329" s="1" t="s">
        <v>52</v>
      </c>
      <c r="G329" s="1" t="s">
        <v>21</v>
      </c>
      <c r="H329" s="1" t="s">
        <v>468</v>
      </c>
      <c r="I329" s="1" t="s">
        <v>18</v>
      </c>
      <c r="J329" s="1" t="s">
        <v>16</v>
      </c>
      <c r="K329" s="1" t="s">
        <v>15</v>
      </c>
      <c r="L329" s="1" t="s">
        <v>13</v>
      </c>
      <c r="M329" s="1" t="s">
        <v>1163</v>
      </c>
      <c r="N329" s="1" t="str">
        <f t="shared" si="74"/>
        <v>SOPORTE</v>
      </c>
      <c r="O329" s="3">
        <f t="shared" si="78"/>
        <v>45874.442886516204</v>
      </c>
      <c r="P329" s="3">
        <f t="shared" si="79"/>
        <v>45875.359142777779</v>
      </c>
      <c r="Q329" s="1" t="str">
        <f t="shared" si="75"/>
        <v>Externo</v>
      </c>
      <c r="R329" s="1">
        <f t="shared" si="80"/>
        <v>32</v>
      </c>
      <c r="S329" s="6">
        <f t="shared" si="81"/>
        <v>45873</v>
      </c>
      <c r="T329" s="1">
        <f t="shared" si="82"/>
        <v>32</v>
      </c>
      <c r="U329" s="6">
        <f t="shared" si="83"/>
        <v>45873</v>
      </c>
      <c r="V329" s="1">
        <f t="shared" si="84"/>
        <v>0.91625626157474471</v>
      </c>
      <c r="W329" s="1">
        <f t="shared" si="85"/>
        <v>2025</v>
      </c>
      <c r="X329" s="1">
        <f t="shared" si="86"/>
        <v>2025</v>
      </c>
      <c r="Y329" s="1" t="str">
        <f t="shared" si="76"/>
        <v>2025-08</v>
      </c>
      <c r="Z329" s="1" t="str">
        <f t="shared" si="77"/>
        <v>2025-08</v>
      </c>
    </row>
    <row r="330" spans="1:26" x14ac:dyDescent="0.2">
      <c r="A330" s="1" t="s">
        <v>782</v>
      </c>
      <c r="B330" s="1" t="s">
        <v>783</v>
      </c>
      <c r="C330" s="1" t="s">
        <v>58</v>
      </c>
      <c r="D330" s="3">
        <v>45874.633489247688</v>
      </c>
      <c r="E330" s="3">
        <v>45875.65169471065</v>
      </c>
      <c r="F330" s="1" t="s">
        <v>52</v>
      </c>
      <c r="G330" s="1" t="s">
        <v>21</v>
      </c>
      <c r="H330" s="1" t="s">
        <v>13</v>
      </c>
      <c r="I330" s="1" t="s">
        <v>18</v>
      </c>
      <c r="J330" s="1" t="s">
        <v>16</v>
      </c>
      <c r="K330" s="1" t="s">
        <v>15</v>
      </c>
      <c r="L330" s="1" t="s">
        <v>13</v>
      </c>
      <c r="M330" s="1" t="s">
        <v>1163</v>
      </c>
      <c r="N330" s="1" t="str">
        <f t="shared" si="74"/>
        <v>SOPORTE</v>
      </c>
      <c r="O330" s="3">
        <f t="shared" si="78"/>
        <v>45874.633489247688</v>
      </c>
      <c r="P330" s="3">
        <f t="shared" si="79"/>
        <v>45875.65169471065</v>
      </c>
      <c r="Q330" s="1" t="str">
        <f t="shared" si="75"/>
        <v>Externo</v>
      </c>
      <c r="R330" s="1">
        <f t="shared" si="80"/>
        <v>32</v>
      </c>
      <c r="S330" s="6">
        <f t="shared" si="81"/>
        <v>45873</v>
      </c>
      <c r="T330" s="1">
        <f t="shared" si="82"/>
        <v>32</v>
      </c>
      <c r="U330" s="6">
        <f t="shared" si="83"/>
        <v>45873</v>
      </c>
      <c r="V330" s="1">
        <f t="shared" si="84"/>
        <v>1.0182054629622144</v>
      </c>
      <c r="W330" s="1">
        <f t="shared" si="85"/>
        <v>2025</v>
      </c>
      <c r="X330" s="1">
        <f t="shared" si="86"/>
        <v>2025</v>
      </c>
      <c r="Y330" s="1" t="str">
        <f t="shared" si="76"/>
        <v>2025-08</v>
      </c>
      <c r="Z330" s="1" t="str">
        <f t="shared" si="77"/>
        <v>2025-08</v>
      </c>
    </row>
    <row r="331" spans="1:26" x14ac:dyDescent="0.2">
      <c r="A331" s="1" t="s">
        <v>784</v>
      </c>
      <c r="B331" s="1" t="s">
        <v>785</v>
      </c>
      <c r="C331" s="1" t="s">
        <v>109</v>
      </c>
      <c r="D331" s="3">
        <v>45874.658126805552</v>
      </c>
      <c r="E331" s="3">
        <v>45882.532710798609</v>
      </c>
      <c r="F331" s="1" t="s">
        <v>52</v>
      </c>
      <c r="G331" s="1" t="s">
        <v>21</v>
      </c>
      <c r="H331" s="1" t="s">
        <v>13</v>
      </c>
      <c r="I331" s="1" t="s">
        <v>18</v>
      </c>
      <c r="J331" s="1" t="s">
        <v>16</v>
      </c>
      <c r="K331" s="1" t="s">
        <v>15</v>
      </c>
      <c r="L331" s="1" t="s">
        <v>13</v>
      </c>
      <c r="M331" s="1" t="s">
        <v>1163</v>
      </c>
      <c r="N331" s="1" t="str">
        <f t="shared" si="74"/>
        <v>SOPORTE</v>
      </c>
      <c r="O331" s="3">
        <f t="shared" si="78"/>
        <v>45874.658126805552</v>
      </c>
      <c r="P331" s="3">
        <f t="shared" si="79"/>
        <v>45882.532710798609</v>
      </c>
      <c r="Q331" s="1" t="str">
        <f t="shared" si="75"/>
        <v>Externo</v>
      </c>
      <c r="R331" s="1">
        <f t="shared" si="80"/>
        <v>32</v>
      </c>
      <c r="S331" s="6">
        <f t="shared" si="81"/>
        <v>45873</v>
      </c>
      <c r="T331" s="1">
        <f t="shared" si="82"/>
        <v>33</v>
      </c>
      <c r="U331" s="6">
        <f t="shared" si="83"/>
        <v>45880</v>
      </c>
      <c r="V331" s="1">
        <f t="shared" si="84"/>
        <v>7.8745839930561488</v>
      </c>
      <c r="W331" s="1">
        <f t="shared" si="85"/>
        <v>2025</v>
      </c>
      <c r="X331" s="1">
        <f t="shared" si="86"/>
        <v>2025</v>
      </c>
      <c r="Y331" s="1" t="str">
        <f t="shared" si="76"/>
        <v>2025-08</v>
      </c>
      <c r="Z331" s="1" t="str">
        <f t="shared" si="77"/>
        <v>2025-08</v>
      </c>
    </row>
    <row r="332" spans="1:26" x14ac:dyDescent="0.2">
      <c r="A332" s="1" t="s">
        <v>786</v>
      </c>
      <c r="B332" s="1" t="s">
        <v>787</v>
      </c>
      <c r="C332" s="1" t="s">
        <v>83</v>
      </c>
      <c r="D332" s="3">
        <v>45875.34836314815</v>
      </c>
      <c r="E332" s="3">
        <v>45875.639478645833</v>
      </c>
      <c r="F332" s="1" t="s">
        <v>52</v>
      </c>
      <c r="G332" s="1" t="s">
        <v>12</v>
      </c>
      <c r="H332" s="1" t="s">
        <v>13</v>
      </c>
      <c r="I332" s="1" t="s">
        <v>18</v>
      </c>
      <c r="J332" s="1" t="s">
        <v>16</v>
      </c>
      <c r="K332" s="1" t="s">
        <v>15</v>
      </c>
      <c r="L332" s="1" t="s">
        <v>13</v>
      </c>
      <c r="M332" s="1" t="s">
        <v>13</v>
      </c>
      <c r="N332" s="1" t="str">
        <f t="shared" si="74"/>
        <v>DESARROLLO</v>
      </c>
      <c r="O332" s="3">
        <f t="shared" si="78"/>
        <v>45875.34836314815</v>
      </c>
      <c r="P332" s="3">
        <f t="shared" si="79"/>
        <v>45875.639478645833</v>
      </c>
      <c r="Q332" s="1" t="str">
        <f t="shared" si="75"/>
        <v>Interno</v>
      </c>
      <c r="R332" s="1">
        <f t="shared" si="80"/>
        <v>32</v>
      </c>
      <c r="S332" s="6">
        <f t="shared" si="81"/>
        <v>45873</v>
      </c>
      <c r="T332" s="1">
        <f t="shared" si="82"/>
        <v>32</v>
      </c>
      <c r="U332" s="6">
        <f t="shared" si="83"/>
        <v>45873</v>
      </c>
      <c r="V332" s="1">
        <f t="shared" si="84"/>
        <v>0.29111549768276745</v>
      </c>
      <c r="W332" s="1">
        <f t="shared" si="85"/>
        <v>2025</v>
      </c>
      <c r="X332" s="1">
        <f t="shared" si="86"/>
        <v>2025</v>
      </c>
      <c r="Y332" s="1" t="str">
        <f t="shared" si="76"/>
        <v>2025-08</v>
      </c>
      <c r="Z332" s="1" t="str">
        <f t="shared" si="77"/>
        <v>2025-08</v>
      </c>
    </row>
    <row r="333" spans="1:26" x14ac:dyDescent="0.2">
      <c r="A333" s="1" t="s">
        <v>788</v>
      </c>
      <c r="B333" s="1" t="s">
        <v>789</v>
      </c>
      <c r="C333" s="1" t="s">
        <v>13</v>
      </c>
      <c r="D333" s="3">
        <v>45875.398105914355</v>
      </c>
      <c r="E333" s="1" t="s">
        <v>13</v>
      </c>
      <c r="F333" s="1" t="s">
        <v>52</v>
      </c>
      <c r="G333" s="1" t="s">
        <v>53</v>
      </c>
      <c r="H333" s="1" t="s">
        <v>13</v>
      </c>
      <c r="I333" s="1" t="s">
        <v>148</v>
      </c>
      <c r="J333" s="1" t="s">
        <v>16</v>
      </c>
      <c r="K333" s="1" t="s">
        <v>24</v>
      </c>
      <c r="L333" s="1" t="s">
        <v>13</v>
      </c>
      <c r="M333" s="1" t="s">
        <v>13</v>
      </c>
      <c r="N333" s="1" t="str">
        <f t="shared" si="74"/>
        <v>TÉCNICO</v>
      </c>
      <c r="O333" s="3">
        <f t="shared" si="78"/>
        <v>45875.398105914355</v>
      </c>
      <c r="P333" s="3" t="str">
        <f t="shared" si="79"/>
        <v/>
      </c>
      <c r="Q333" s="1" t="str">
        <f t="shared" si="75"/>
        <v>Interno</v>
      </c>
      <c r="R333" s="1">
        <f t="shared" si="80"/>
        <v>32</v>
      </c>
      <c r="S333" s="6">
        <f t="shared" si="81"/>
        <v>45873</v>
      </c>
      <c r="T333" s="1" t="e">
        <f t="shared" si="82"/>
        <v>#VALUE!</v>
      </c>
      <c r="U333" s="6" t="e">
        <f t="shared" si="83"/>
        <v>#VALUE!</v>
      </c>
      <c r="V333" s="1" t="e">
        <f t="shared" si="84"/>
        <v>#VALUE!</v>
      </c>
      <c r="W333" s="1">
        <f t="shared" si="85"/>
        <v>2025</v>
      </c>
      <c r="X333" s="1" t="e">
        <f t="shared" si="86"/>
        <v>#VALUE!</v>
      </c>
      <c r="Y333" s="1" t="str">
        <f t="shared" si="76"/>
        <v>2025-08</v>
      </c>
      <c r="Z333" s="1" t="e">
        <f t="shared" si="77"/>
        <v>#VALUE!</v>
      </c>
    </row>
    <row r="334" spans="1:26" x14ac:dyDescent="0.2">
      <c r="A334" s="1" t="s">
        <v>790</v>
      </c>
      <c r="B334" s="1" t="s">
        <v>791</v>
      </c>
      <c r="C334" s="1" t="s">
        <v>13</v>
      </c>
      <c r="D334" s="3">
        <v>45875.463963344904</v>
      </c>
      <c r="E334" s="3">
        <v>45903.050805497682</v>
      </c>
      <c r="F334" s="1" t="s">
        <v>52</v>
      </c>
      <c r="G334" s="1" t="s">
        <v>53</v>
      </c>
      <c r="H334" s="1" t="s">
        <v>13</v>
      </c>
      <c r="I334" s="1" t="s">
        <v>148</v>
      </c>
      <c r="J334" s="1" t="s">
        <v>16</v>
      </c>
      <c r="K334" s="1" t="s">
        <v>15</v>
      </c>
      <c r="L334" s="1" t="s">
        <v>761</v>
      </c>
      <c r="M334" s="1" t="s">
        <v>13</v>
      </c>
      <c r="N334" s="1" t="str">
        <f t="shared" si="74"/>
        <v>TÉCNICO</v>
      </c>
      <c r="O334" s="3">
        <f t="shared" si="78"/>
        <v>45875.463963344904</v>
      </c>
      <c r="P334" s="3">
        <f t="shared" si="79"/>
        <v>45903.050805497682</v>
      </c>
      <c r="Q334" s="1" t="str">
        <f t="shared" si="75"/>
        <v>Interno</v>
      </c>
      <c r="R334" s="1">
        <f t="shared" si="80"/>
        <v>32</v>
      </c>
      <c r="S334" s="6">
        <f t="shared" si="81"/>
        <v>45873</v>
      </c>
      <c r="T334" s="1">
        <f t="shared" si="82"/>
        <v>36</v>
      </c>
      <c r="U334" s="6">
        <f t="shared" si="83"/>
        <v>45901</v>
      </c>
      <c r="V334" s="1">
        <f t="shared" si="84"/>
        <v>27.586842152777535</v>
      </c>
      <c r="W334" s="1">
        <f t="shared" si="85"/>
        <v>2025</v>
      </c>
      <c r="X334" s="1">
        <f t="shared" si="86"/>
        <v>2025</v>
      </c>
      <c r="Y334" s="1" t="str">
        <f t="shared" si="76"/>
        <v>2025-08</v>
      </c>
      <c r="Z334" s="1" t="str">
        <f t="shared" si="77"/>
        <v>2025-09</v>
      </c>
    </row>
    <row r="335" spans="1:26" x14ac:dyDescent="0.2">
      <c r="A335" s="1" t="s">
        <v>792</v>
      </c>
      <c r="B335" s="1" t="s">
        <v>793</v>
      </c>
      <c r="C335" s="1" t="s">
        <v>58</v>
      </c>
      <c r="D335" s="3">
        <v>45876.345805023149</v>
      </c>
      <c r="E335" s="3">
        <v>45876.358907615744</v>
      </c>
      <c r="F335" s="1" t="s">
        <v>52</v>
      </c>
      <c r="G335" s="1" t="s">
        <v>21</v>
      </c>
      <c r="H335" s="1" t="s">
        <v>13</v>
      </c>
      <c r="I335" s="1" t="s">
        <v>18</v>
      </c>
      <c r="J335" s="1" t="s">
        <v>16</v>
      </c>
      <c r="K335" s="1" t="s">
        <v>15</v>
      </c>
      <c r="L335" s="1" t="s">
        <v>13</v>
      </c>
      <c r="M335" s="1" t="s">
        <v>1163</v>
      </c>
      <c r="N335" s="1" t="str">
        <f t="shared" si="74"/>
        <v>SOPORTE</v>
      </c>
      <c r="O335" s="3">
        <f t="shared" si="78"/>
        <v>45876.345805023149</v>
      </c>
      <c r="P335" s="3">
        <f t="shared" si="79"/>
        <v>45876.358907615744</v>
      </c>
      <c r="Q335" s="1" t="str">
        <f t="shared" si="75"/>
        <v>Externo</v>
      </c>
      <c r="R335" s="1">
        <f t="shared" si="80"/>
        <v>32</v>
      </c>
      <c r="S335" s="6">
        <f t="shared" si="81"/>
        <v>45873</v>
      </c>
      <c r="T335" s="1">
        <f t="shared" si="82"/>
        <v>32</v>
      </c>
      <c r="U335" s="6">
        <f t="shared" si="83"/>
        <v>45873</v>
      </c>
      <c r="V335" s="1">
        <f t="shared" si="84"/>
        <v>1.3102592594805174E-2</v>
      </c>
      <c r="W335" s="1">
        <f t="shared" si="85"/>
        <v>2025</v>
      </c>
      <c r="X335" s="1">
        <f t="shared" si="86"/>
        <v>2025</v>
      </c>
      <c r="Y335" s="1" t="str">
        <f t="shared" si="76"/>
        <v>2025-08</v>
      </c>
      <c r="Z335" s="1" t="str">
        <f t="shared" si="77"/>
        <v>2025-08</v>
      </c>
    </row>
    <row r="336" spans="1:26" x14ac:dyDescent="0.2">
      <c r="A336" s="1" t="s">
        <v>794</v>
      </c>
      <c r="B336" s="1" t="s">
        <v>795</v>
      </c>
      <c r="C336" s="1" t="s">
        <v>13</v>
      </c>
      <c r="D336" s="3">
        <v>45876.360279849534</v>
      </c>
      <c r="E336" s="3">
        <v>45876.498470243052</v>
      </c>
      <c r="F336" s="1" t="s">
        <v>52</v>
      </c>
      <c r="G336" s="1" t="s">
        <v>21</v>
      </c>
      <c r="H336" s="1" t="s">
        <v>796</v>
      </c>
      <c r="I336" s="1" t="s">
        <v>18</v>
      </c>
      <c r="J336" s="1" t="s">
        <v>16</v>
      </c>
      <c r="K336" s="1" t="s">
        <v>15</v>
      </c>
      <c r="L336" s="1" t="s">
        <v>13</v>
      </c>
      <c r="M336" s="1" t="s">
        <v>1163</v>
      </c>
      <c r="N336" s="1" t="str">
        <f t="shared" si="74"/>
        <v>SOPORTE</v>
      </c>
      <c r="O336" s="3">
        <f t="shared" si="78"/>
        <v>45876.360279849534</v>
      </c>
      <c r="P336" s="3">
        <f t="shared" si="79"/>
        <v>45876.498470243052</v>
      </c>
      <c r="Q336" s="1" t="str">
        <f t="shared" si="75"/>
        <v>Externo</v>
      </c>
      <c r="R336" s="1">
        <f t="shared" si="80"/>
        <v>32</v>
      </c>
      <c r="S336" s="6">
        <f t="shared" si="81"/>
        <v>45873</v>
      </c>
      <c r="T336" s="1">
        <f t="shared" si="82"/>
        <v>32</v>
      </c>
      <c r="U336" s="6">
        <f t="shared" si="83"/>
        <v>45873</v>
      </c>
      <c r="V336" s="1">
        <f t="shared" si="84"/>
        <v>0.13819039351801621</v>
      </c>
      <c r="W336" s="1">
        <f t="shared" si="85"/>
        <v>2025</v>
      </c>
      <c r="X336" s="1">
        <f t="shared" si="86"/>
        <v>2025</v>
      </c>
      <c r="Y336" s="1" t="str">
        <f t="shared" si="76"/>
        <v>2025-08</v>
      </c>
      <c r="Z336" s="1" t="str">
        <f t="shared" si="77"/>
        <v>2025-08</v>
      </c>
    </row>
    <row r="337" spans="1:26" x14ac:dyDescent="0.2">
      <c r="A337" s="1" t="s">
        <v>797</v>
      </c>
      <c r="B337" s="1" t="s">
        <v>798</v>
      </c>
      <c r="C337" s="1" t="s">
        <v>83</v>
      </c>
      <c r="D337" s="3">
        <v>45876.398320416665</v>
      </c>
      <c r="E337" s="3">
        <v>45882.533963148147</v>
      </c>
      <c r="F337" s="1" t="s">
        <v>52</v>
      </c>
      <c r="G337" s="1" t="s">
        <v>21</v>
      </c>
      <c r="H337" s="1" t="s">
        <v>13</v>
      </c>
      <c r="I337" s="1" t="s">
        <v>18</v>
      </c>
      <c r="J337" s="1" t="s">
        <v>16</v>
      </c>
      <c r="K337" s="1" t="s">
        <v>15</v>
      </c>
      <c r="L337" s="1" t="s">
        <v>13</v>
      </c>
      <c r="M337" s="1" t="s">
        <v>1163</v>
      </c>
      <c r="N337" s="1" t="str">
        <f t="shared" si="74"/>
        <v>SOPORTE</v>
      </c>
      <c r="O337" s="3">
        <f t="shared" si="78"/>
        <v>45876.398320416665</v>
      </c>
      <c r="P337" s="3">
        <f t="shared" si="79"/>
        <v>45882.533963148147</v>
      </c>
      <c r="Q337" s="1" t="str">
        <f t="shared" si="75"/>
        <v>Externo</v>
      </c>
      <c r="R337" s="1">
        <f t="shared" si="80"/>
        <v>32</v>
      </c>
      <c r="S337" s="6">
        <f t="shared" si="81"/>
        <v>45873</v>
      </c>
      <c r="T337" s="1">
        <f t="shared" si="82"/>
        <v>33</v>
      </c>
      <c r="U337" s="6">
        <f t="shared" si="83"/>
        <v>45880</v>
      </c>
      <c r="V337" s="1">
        <f t="shared" si="84"/>
        <v>6.1356427314822213</v>
      </c>
      <c r="W337" s="1">
        <f t="shared" si="85"/>
        <v>2025</v>
      </c>
      <c r="X337" s="1">
        <f t="shared" si="86"/>
        <v>2025</v>
      </c>
      <c r="Y337" s="1" t="str">
        <f t="shared" si="76"/>
        <v>2025-08</v>
      </c>
      <c r="Z337" s="1" t="str">
        <f t="shared" si="77"/>
        <v>2025-08</v>
      </c>
    </row>
    <row r="338" spans="1:26" x14ac:dyDescent="0.2">
      <c r="A338" s="1" t="s">
        <v>799</v>
      </c>
      <c r="B338" s="1" t="s">
        <v>800</v>
      </c>
      <c r="C338" s="1" t="s">
        <v>13</v>
      </c>
      <c r="D338" s="3">
        <v>45876.405223449074</v>
      </c>
      <c r="E338" s="3">
        <v>45877.476661759261</v>
      </c>
      <c r="F338" s="1" t="s">
        <v>52</v>
      </c>
      <c r="G338" s="1" t="s">
        <v>21</v>
      </c>
      <c r="H338" s="1" t="s">
        <v>468</v>
      </c>
      <c r="I338" s="1" t="s">
        <v>18</v>
      </c>
      <c r="J338" s="1" t="s">
        <v>16</v>
      </c>
      <c r="K338" s="1" t="s">
        <v>15</v>
      </c>
      <c r="L338" s="1" t="s">
        <v>13</v>
      </c>
      <c r="M338" s="1" t="s">
        <v>13</v>
      </c>
      <c r="N338" s="1" t="str">
        <f t="shared" si="74"/>
        <v>SOPORTE</v>
      </c>
      <c r="O338" s="3">
        <f t="shared" si="78"/>
        <v>45876.405223449074</v>
      </c>
      <c r="P338" s="3">
        <f t="shared" si="79"/>
        <v>45877.476661759261</v>
      </c>
      <c r="Q338" s="1" t="str">
        <f t="shared" si="75"/>
        <v>Externo</v>
      </c>
      <c r="R338" s="1">
        <f t="shared" si="80"/>
        <v>32</v>
      </c>
      <c r="S338" s="6">
        <f t="shared" si="81"/>
        <v>45873</v>
      </c>
      <c r="T338" s="1">
        <f t="shared" si="82"/>
        <v>32</v>
      </c>
      <c r="U338" s="6">
        <f t="shared" si="83"/>
        <v>45873</v>
      </c>
      <c r="V338" s="1">
        <f t="shared" si="84"/>
        <v>1.0714383101876592</v>
      </c>
      <c r="W338" s="1">
        <f t="shared" si="85"/>
        <v>2025</v>
      </c>
      <c r="X338" s="1">
        <f t="shared" si="86"/>
        <v>2025</v>
      </c>
      <c r="Y338" s="1" t="str">
        <f t="shared" si="76"/>
        <v>2025-08</v>
      </c>
      <c r="Z338" s="1" t="str">
        <f t="shared" si="77"/>
        <v>2025-08</v>
      </c>
    </row>
    <row r="339" spans="1:26" x14ac:dyDescent="0.2">
      <c r="A339" s="1" t="s">
        <v>801</v>
      </c>
      <c r="B339" s="1" t="s">
        <v>802</v>
      </c>
      <c r="C339" s="1" t="s">
        <v>13</v>
      </c>
      <c r="D339" s="3">
        <v>45877.390039710648</v>
      </c>
      <c r="E339" s="3">
        <v>45877.475464444447</v>
      </c>
      <c r="F339" s="1" t="s">
        <v>52</v>
      </c>
      <c r="G339" s="1" t="s">
        <v>21</v>
      </c>
      <c r="H339" s="1" t="s">
        <v>796</v>
      </c>
      <c r="I339" s="1" t="s">
        <v>18</v>
      </c>
      <c r="J339" s="1" t="s">
        <v>16</v>
      </c>
      <c r="K339" s="1" t="s">
        <v>15</v>
      </c>
      <c r="L339" s="1" t="s">
        <v>13</v>
      </c>
      <c r="M339" s="1" t="s">
        <v>1163</v>
      </c>
      <c r="N339" s="1" t="str">
        <f t="shared" si="74"/>
        <v>SOPORTE</v>
      </c>
      <c r="O339" s="3">
        <f t="shared" si="78"/>
        <v>45877.390039710648</v>
      </c>
      <c r="P339" s="3">
        <f t="shared" si="79"/>
        <v>45877.475464444447</v>
      </c>
      <c r="Q339" s="1" t="str">
        <f t="shared" si="75"/>
        <v>Externo</v>
      </c>
      <c r="R339" s="1">
        <f t="shared" si="80"/>
        <v>32</v>
      </c>
      <c r="S339" s="6">
        <f t="shared" si="81"/>
        <v>45873</v>
      </c>
      <c r="T339" s="1">
        <f t="shared" si="82"/>
        <v>32</v>
      </c>
      <c r="U339" s="6">
        <f t="shared" si="83"/>
        <v>45873</v>
      </c>
      <c r="V339" s="1">
        <f t="shared" si="84"/>
        <v>8.5424733799300157E-2</v>
      </c>
      <c r="W339" s="1">
        <f t="shared" si="85"/>
        <v>2025</v>
      </c>
      <c r="X339" s="1">
        <f t="shared" si="86"/>
        <v>2025</v>
      </c>
      <c r="Y339" s="1" t="str">
        <f t="shared" si="76"/>
        <v>2025-08</v>
      </c>
      <c r="Z339" s="1" t="str">
        <f t="shared" si="77"/>
        <v>2025-08</v>
      </c>
    </row>
    <row r="340" spans="1:26" x14ac:dyDescent="0.2">
      <c r="A340" s="1" t="s">
        <v>803</v>
      </c>
      <c r="B340" s="1" t="s">
        <v>804</v>
      </c>
      <c r="C340" s="1" t="s">
        <v>13</v>
      </c>
      <c r="D340" s="3">
        <v>45877.458628506945</v>
      </c>
      <c r="E340" s="3">
        <v>45877.582403206019</v>
      </c>
      <c r="F340" s="1" t="s">
        <v>52</v>
      </c>
      <c r="G340" s="1" t="s">
        <v>21</v>
      </c>
      <c r="H340" s="1" t="s">
        <v>796</v>
      </c>
      <c r="I340" s="1" t="s">
        <v>18</v>
      </c>
      <c r="J340" s="1" t="s">
        <v>16</v>
      </c>
      <c r="K340" s="1" t="s">
        <v>15</v>
      </c>
      <c r="L340" s="1" t="s">
        <v>13</v>
      </c>
      <c r="M340" s="1" t="s">
        <v>1163</v>
      </c>
      <c r="N340" s="1" t="str">
        <f t="shared" si="74"/>
        <v>SOPORTE</v>
      </c>
      <c r="O340" s="3">
        <f t="shared" si="78"/>
        <v>45877.458628506945</v>
      </c>
      <c r="P340" s="3">
        <f t="shared" si="79"/>
        <v>45877.582403206019</v>
      </c>
      <c r="Q340" s="1" t="str">
        <f t="shared" si="75"/>
        <v>Externo</v>
      </c>
      <c r="R340" s="1">
        <f t="shared" si="80"/>
        <v>32</v>
      </c>
      <c r="S340" s="6">
        <f t="shared" si="81"/>
        <v>45873</v>
      </c>
      <c r="T340" s="1">
        <f t="shared" si="82"/>
        <v>32</v>
      </c>
      <c r="U340" s="6">
        <f t="shared" si="83"/>
        <v>45873</v>
      </c>
      <c r="V340" s="1">
        <f t="shared" si="84"/>
        <v>0.12377469907369232</v>
      </c>
      <c r="W340" s="1">
        <f t="shared" si="85"/>
        <v>2025</v>
      </c>
      <c r="X340" s="1">
        <f t="shared" si="86"/>
        <v>2025</v>
      </c>
      <c r="Y340" s="1" t="str">
        <f t="shared" si="76"/>
        <v>2025-08</v>
      </c>
      <c r="Z340" s="1" t="str">
        <f t="shared" si="77"/>
        <v>2025-08</v>
      </c>
    </row>
    <row r="341" spans="1:26" x14ac:dyDescent="0.2">
      <c r="A341" s="1" t="s">
        <v>805</v>
      </c>
      <c r="B341" s="1" t="s">
        <v>806</v>
      </c>
      <c r="C341" s="1" t="s">
        <v>13</v>
      </c>
      <c r="D341" s="3">
        <v>45877.470945810186</v>
      </c>
      <c r="E341" s="3">
        <v>45929.659848124997</v>
      </c>
      <c r="F341" s="1" t="s">
        <v>52</v>
      </c>
      <c r="G341" s="1" t="s">
        <v>53</v>
      </c>
      <c r="H341" s="1" t="s">
        <v>13</v>
      </c>
      <c r="I341" s="1" t="s">
        <v>18</v>
      </c>
      <c r="J341" s="1" t="s">
        <v>16</v>
      </c>
      <c r="K341" s="1" t="s">
        <v>15</v>
      </c>
      <c r="L341" s="1" t="s">
        <v>13</v>
      </c>
      <c r="M341" s="1" t="s">
        <v>13</v>
      </c>
      <c r="N341" s="1" t="str">
        <f t="shared" si="74"/>
        <v>TÉCNICO</v>
      </c>
      <c r="O341" s="3">
        <f t="shared" si="78"/>
        <v>45877.470945810186</v>
      </c>
      <c r="P341" s="3">
        <f t="shared" si="79"/>
        <v>45929.659848124997</v>
      </c>
      <c r="Q341" s="1" t="str">
        <f t="shared" si="75"/>
        <v>Interno</v>
      </c>
      <c r="R341" s="1">
        <f t="shared" si="80"/>
        <v>32</v>
      </c>
      <c r="S341" s="6">
        <f t="shared" si="81"/>
        <v>45873</v>
      </c>
      <c r="T341" s="1">
        <f t="shared" si="82"/>
        <v>40</v>
      </c>
      <c r="U341" s="6">
        <f t="shared" si="83"/>
        <v>45929</v>
      </c>
      <c r="V341" s="1">
        <f t="shared" si="84"/>
        <v>52.188902314810548</v>
      </c>
      <c r="W341" s="1">
        <f t="shared" si="85"/>
        <v>2025</v>
      </c>
      <c r="X341" s="1">
        <f t="shared" si="86"/>
        <v>2025</v>
      </c>
      <c r="Y341" s="1" t="str">
        <f t="shared" si="76"/>
        <v>2025-08</v>
      </c>
      <c r="Z341" s="1" t="str">
        <f t="shared" si="77"/>
        <v>2025-09</v>
      </c>
    </row>
    <row r="342" spans="1:26" x14ac:dyDescent="0.2">
      <c r="A342" s="1" t="s">
        <v>807</v>
      </c>
      <c r="B342" s="1" t="s">
        <v>808</v>
      </c>
      <c r="C342" s="1" t="s">
        <v>209</v>
      </c>
      <c r="D342" s="3">
        <v>45880.526401342591</v>
      </c>
      <c r="E342" s="3">
        <v>45890.465117326392</v>
      </c>
      <c r="F342" s="1" t="s">
        <v>52</v>
      </c>
      <c r="G342" s="1" t="s">
        <v>21</v>
      </c>
      <c r="H342" s="1" t="s">
        <v>468</v>
      </c>
      <c r="I342" s="1" t="s">
        <v>18</v>
      </c>
      <c r="J342" s="1" t="s">
        <v>16</v>
      </c>
      <c r="K342" s="1" t="s">
        <v>15</v>
      </c>
      <c r="L342" s="1" t="s">
        <v>13</v>
      </c>
      <c r="M342" s="1" t="s">
        <v>1163</v>
      </c>
      <c r="N342" s="1" t="str">
        <f t="shared" si="74"/>
        <v>SOPORTE</v>
      </c>
      <c r="O342" s="3">
        <f t="shared" si="78"/>
        <v>45880.526401342591</v>
      </c>
      <c r="P342" s="3">
        <f t="shared" si="79"/>
        <v>45890.465117326392</v>
      </c>
      <c r="Q342" s="1" t="str">
        <f t="shared" si="75"/>
        <v>Externo</v>
      </c>
      <c r="R342" s="1">
        <f t="shared" si="80"/>
        <v>33</v>
      </c>
      <c r="S342" s="6">
        <f t="shared" si="81"/>
        <v>45880</v>
      </c>
      <c r="T342" s="1">
        <f t="shared" si="82"/>
        <v>34</v>
      </c>
      <c r="U342" s="6">
        <f t="shared" si="83"/>
        <v>45887</v>
      </c>
      <c r="V342" s="1">
        <f t="shared" si="84"/>
        <v>9.9387159838006482</v>
      </c>
      <c r="W342" s="1">
        <f t="shared" si="85"/>
        <v>2025</v>
      </c>
      <c r="X342" s="1">
        <f t="shared" si="86"/>
        <v>2025</v>
      </c>
      <c r="Y342" s="1" t="str">
        <f t="shared" si="76"/>
        <v>2025-08</v>
      </c>
      <c r="Z342" s="1" t="str">
        <f t="shared" si="77"/>
        <v>2025-08</v>
      </c>
    </row>
    <row r="343" spans="1:26" x14ac:dyDescent="0.2">
      <c r="A343" s="1" t="s">
        <v>809</v>
      </c>
      <c r="B343" s="1" t="s">
        <v>810</v>
      </c>
      <c r="C343" s="1" t="s">
        <v>127</v>
      </c>
      <c r="D343" s="3">
        <v>45880.623110243054</v>
      </c>
      <c r="E343" s="3">
        <v>45926.483934236108</v>
      </c>
      <c r="F343" s="1" t="s">
        <v>52</v>
      </c>
      <c r="G343" s="1" t="s">
        <v>53</v>
      </c>
      <c r="H343" s="1" t="s">
        <v>13</v>
      </c>
      <c r="I343" s="1" t="s">
        <v>18</v>
      </c>
      <c r="J343" s="1" t="s">
        <v>16</v>
      </c>
      <c r="K343" s="1" t="s">
        <v>15</v>
      </c>
      <c r="L343" s="1" t="s">
        <v>13</v>
      </c>
      <c r="M343" s="1" t="s">
        <v>1163</v>
      </c>
      <c r="N343" s="1" t="str">
        <f t="shared" si="74"/>
        <v>TÉCNICO</v>
      </c>
      <c r="O343" s="3">
        <f t="shared" si="78"/>
        <v>45880.623110243054</v>
      </c>
      <c r="P343" s="3">
        <f t="shared" si="79"/>
        <v>45926.483934236108</v>
      </c>
      <c r="Q343" s="1" t="str">
        <f t="shared" si="75"/>
        <v>Interno</v>
      </c>
      <c r="R343" s="1">
        <f t="shared" si="80"/>
        <v>33</v>
      </c>
      <c r="S343" s="6">
        <f t="shared" si="81"/>
        <v>45880</v>
      </c>
      <c r="T343" s="1">
        <f t="shared" si="82"/>
        <v>39</v>
      </c>
      <c r="U343" s="6">
        <f t="shared" si="83"/>
        <v>45922</v>
      </c>
      <c r="V343" s="1">
        <f t="shared" si="84"/>
        <v>45.86082399305451</v>
      </c>
      <c r="W343" s="1">
        <f t="shared" si="85"/>
        <v>2025</v>
      </c>
      <c r="X343" s="1">
        <f t="shared" si="86"/>
        <v>2025</v>
      </c>
      <c r="Y343" s="1" t="str">
        <f t="shared" si="76"/>
        <v>2025-08</v>
      </c>
      <c r="Z343" s="1" t="str">
        <f t="shared" si="77"/>
        <v>2025-09</v>
      </c>
    </row>
    <row r="344" spans="1:26" x14ac:dyDescent="0.2">
      <c r="A344" s="1" t="s">
        <v>812</v>
      </c>
      <c r="B344" s="1" t="s">
        <v>813</v>
      </c>
      <c r="C344" s="1" t="s">
        <v>13</v>
      </c>
      <c r="D344" s="3">
        <v>45881.498061805556</v>
      </c>
      <c r="E344" s="3">
        <v>45882.570024131943</v>
      </c>
      <c r="F344" s="1" t="s">
        <v>52</v>
      </c>
      <c r="G344" s="1" t="s">
        <v>21</v>
      </c>
      <c r="H344" s="1" t="s">
        <v>468</v>
      </c>
      <c r="I344" s="1" t="s">
        <v>18</v>
      </c>
      <c r="J344" s="1" t="s">
        <v>16</v>
      </c>
      <c r="K344" s="1" t="s">
        <v>15</v>
      </c>
      <c r="L344" s="1" t="s">
        <v>13</v>
      </c>
      <c r="M344" s="1" t="s">
        <v>1163</v>
      </c>
      <c r="N344" s="1" t="str">
        <f t="shared" si="74"/>
        <v>SOPORTE</v>
      </c>
      <c r="O344" s="3">
        <f t="shared" si="78"/>
        <v>45881.498061805556</v>
      </c>
      <c r="P344" s="3">
        <f t="shared" si="79"/>
        <v>45882.570024131943</v>
      </c>
      <c r="Q344" s="1" t="str">
        <f t="shared" si="75"/>
        <v>Externo</v>
      </c>
      <c r="R344" s="1">
        <f t="shared" si="80"/>
        <v>33</v>
      </c>
      <c r="S344" s="6">
        <f t="shared" si="81"/>
        <v>45880</v>
      </c>
      <c r="T344" s="1">
        <f t="shared" si="82"/>
        <v>33</v>
      </c>
      <c r="U344" s="6">
        <f t="shared" si="83"/>
        <v>45880</v>
      </c>
      <c r="V344" s="1">
        <f t="shared" si="84"/>
        <v>1.0719623263867106</v>
      </c>
      <c r="W344" s="1">
        <f t="shared" si="85"/>
        <v>2025</v>
      </c>
      <c r="X344" s="1">
        <f t="shared" si="86"/>
        <v>2025</v>
      </c>
      <c r="Y344" s="1" t="str">
        <f t="shared" si="76"/>
        <v>2025-08</v>
      </c>
      <c r="Z344" s="1" t="str">
        <f t="shared" si="77"/>
        <v>2025-08</v>
      </c>
    </row>
    <row r="345" spans="1:26" x14ac:dyDescent="0.2">
      <c r="A345" s="1" t="s">
        <v>814</v>
      </c>
      <c r="B345" s="1" t="s">
        <v>815</v>
      </c>
      <c r="C345" s="1" t="s">
        <v>13</v>
      </c>
      <c r="D345" s="3">
        <v>45881.502062835651</v>
      </c>
      <c r="E345" s="3">
        <v>45882.570262627312</v>
      </c>
      <c r="F345" s="1" t="s">
        <v>52</v>
      </c>
      <c r="G345" s="1" t="s">
        <v>21</v>
      </c>
      <c r="H345" s="1" t="s">
        <v>468</v>
      </c>
      <c r="I345" s="1" t="s">
        <v>18</v>
      </c>
      <c r="J345" s="1" t="s">
        <v>16</v>
      </c>
      <c r="K345" s="1" t="s">
        <v>15</v>
      </c>
      <c r="L345" s="1" t="s">
        <v>13</v>
      </c>
      <c r="M345" s="1" t="s">
        <v>1163</v>
      </c>
      <c r="N345" s="1" t="str">
        <f t="shared" si="74"/>
        <v>SOPORTE</v>
      </c>
      <c r="O345" s="3">
        <f t="shared" si="78"/>
        <v>45881.502062835651</v>
      </c>
      <c r="P345" s="3">
        <f t="shared" si="79"/>
        <v>45882.570262627312</v>
      </c>
      <c r="Q345" s="1" t="str">
        <f t="shared" si="75"/>
        <v>Externo</v>
      </c>
      <c r="R345" s="1">
        <f t="shared" si="80"/>
        <v>33</v>
      </c>
      <c r="S345" s="6">
        <f t="shared" si="81"/>
        <v>45880</v>
      </c>
      <c r="T345" s="1">
        <f t="shared" si="82"/>
        <v>33</v>
      </c>
      <c r="U345" s="6">
        <f t="shared" si="83"/>
        <v>45880</v>
      </c>
      <c r="V345" s="1">
        <f t="shared" si="84"/>
        <v>1.0681997916617547</v>
      </c>
      <c r="W345" s="1">
        <f t="shared" si="85"/>
        <v>2025</v>
      </c>
      <c r="X345" s="1">
        <f t="shared" si="86"/>
        <v>2025</v>
      </c>
      <c r="Y345" s="1" t="str">
        <f t="shared" si="76"/>
        <v>2025-08</v>
      </c>
      <c r="Z345" s="1" t="str">
        <f t="shared" si="77"/>
        <v>2025-08</v>
      </c>
    </row>
    <row r="346" spans="1:26" x14ac:dyDescent="0.2">
      <c r="A346" s="1" t="s">
        <v>816</v>
      </c>
      <c r="B346" s="1" t="s">
        <v>817</v>
      </c>
      <c r="C346" s="1" t="s">
        <v>13</v>
      </c>
      <c r="D346" s="3">
        <v>45882.392596238424</v>
      </c>
      <c r="E346" s="3">
        <v>45882.572177037036</v>
      </c>
      <c r="F346" s="1" t="s">
        <v>52</v>
      </c>
      <c r="G346" s="1" t="s">
        <v>21</v>
      </c>
      <c r="H346" s="1" t="s">
        <v>796</v>
      </c>
      <c r="I346" s="1" t="s">
        <v>18</v>
      </c>
      <c r="J346" s="1" t="s">
        <v>16</v>
      </c>
      <c r="K346" s="1" t="s">
        <v>15</v>
      </c>
      <c r="L346" s="1" t="s">
        <v>13</v>
      </c>
      <c r="M346" s="1" t="s">
        <v>1163</v>
      </c>
      <c r="N346" s="1" t="str">
        <f t="shared" si="74"/>
        <v>SOPORTE</v>
      </c>
      <c r="O346" s="3">
        <f t="shared" si="78"/>
        <v>45882.392596238424</v>
      </c>
      <c r="P346" s="3">
        <f t="shared" si="79"/>
        <v>45882.572177037036</v>
      </c>
      <c r="Q346" s="1" t="str">
        <f t="shared" si="75"/>
        <v>Externo</v>
      </c>
      <c r="R346" s="1">
        <f t="shared" si="80"/>
        <v>33</v>
      </c>
      <c r="S346" s="6">
        <f t="shared" si="81"/>
        <v>45880</v>
      </c>
      <c r="T346" s="1">
        <f t="shared" si="82"/>
        <v>33</v>
      </c>
      <c r="U346" s="6">
        <f t="shared" si="83"/>
        <v>45880</v>
      </c>
      <c r="V346" s="1">
        <f t="shared" si="84"/>
        <v>0.17958079861273291</v>
      </c>
      <c r="W346" s="1">
        <f t="shared" si="85"/>
        <v>2025</v>
      </c>
      <c r="X346" s="1">
        <f t="shared" si="86"/>
        <v>2025</v>
      </c>
      <c r="Y346" s="1" t="str">
        <f t="shared" si="76"/>
        <v>2025-08</v>
      </c>
      <c r="Z346" s="1" t="str">
        <f t="shared" si="77"/>
        <v>2025-08</v>
      </c>
    </row>
    <row r="347" spans="1:26" x14ac:dyDescent="0.2">
      <c r="A347" s="1" t="s">
        <v>818</v>
      </c>
      <c r="B347" s="1" t="s">
        <v>819</v>
      </c>
      <c r="C347" s="1" t="s">
        <v>13</v>
      </c>
      <c r="D347" s="3">
        <v>45882.397857245371</v>
      </c>
      <c r="E347" s="3">
        <v>45882.571929016201</v>
      </c>
      <c r="F347" s="1" t="s">
        <v>52</v>
      </c>
      <c r="G347" s="1" t="s">
        <v>21</v>
      </c>
      <c r="H347" s="1" t="s">
        <v>796</v>
      </c>
      <c r="I347" s="1" t="s">
        <v>18</v>
      </c>
      <c r="J347" s="1" t="s">
        <v>16</v>
      </c>
      <c r="K347" s="1" t="s">
        <v>15</v>
      </c>
      <c r="L347" s="1" t="s">
        <v>13</v>
      </c>
      <c r="M347" s="1" t="s">
        <v>1163</v>
      </c>
      <c r="N347" s="1" t="str">
        <f t="shared" si="74"/>
        <v>SOPORTE</v>
      </c>
      <c r="O347" s="3">
        <f t="shared" si="78"/>
        <v>45882.397857245371</v>
      </c>
      <c r="P347" s="3">
        <f t="shared" si="79"/>
        <v>45882.571929016201</v>
      </c>
      <c r="Q347" s="1" t="str">
        <f t="shared" si="75"/>
        <v>Externo</v>
      </c>
      <c r="R347" s="1">
        <f t="shared" si="80"/>
        <v>33</v>
      </c>
      <c r="S347" s="6">
        <f t="shared" si="81"/>
        <v>45880</v>
      </c>
      <c r="T347" s="1">
        <f t="shared" si="82"/>
        <v>33</v>
      </c>
      <c r="U347" s="6">
        <f t="shared" si="83"/>
        <v>45880</v>
      </c>
      <c r="V347" s="1">
        <f t="shared" si="84"/>
        <v>0.17407177083077841</v>
      </c>
      <c r="W347" s="1">
        <f t="shared" si="85"/>
        <v>2025</v>
      </c>
      <c r="X347" s="1">
        <f t="shared" si="86"/>
        <v>2025</v>
      </c>
      <c r="Y347" s="1" t="str">
        <f t="shared" si="76"/>
        <v>2025-08</v>
      </c>
      <c r="Z347" s="1" t="str">
        <f t="shared" si="77"/>
        <v>2025-08</v>
      </c>
    </row>
    <row r="348" spans="1:26" x14ac:dyDescent="0.2">
      <c r="A348" s="1" t="s">
        <v>820</v>
      </c>
      <c r="B348" s="1" t="s">
        <v>821</v>
      </c>
      <c r="C348" s="1" t="s">
        <v>103</v>
      </c>
      <c r="D348" s="3">
        <v>45883.420366944447</v>
      </c>
      <c r="E348" s="3">
        <v>45910.528652824076</v>
      </c>
      <c r="F348" s="1" t="s">
        <v>52</v>
      </c>
      <c r="G348" s="1" t="s">
        <v>12</v>
      </c>
      <c r="H348" s="1" t="s">
        <v>13</v>
      </c>
      <c r="I348" s="1" t="s">
        <v>18</v>
      </c>
      <c r="J348" s="1" t="s">
        <v>16</v>
      </c>
      <c r="K348" s="1" t="s">
        <v>15</v>
      </c>
      <c r="L348" s="1" t="s">
        <v>822</v>
      </c>
      <c r="M348" s="1" t="s">
        <v>1163</v>
      </c>
      <c r="N348" s="1" t="str">
        <f t="shared" si="74"/>
        <v>DESARROLLO</v>
      </c>
      <c r="O348" s="3">
        <f t="shared" si="78"/>
        <v>45883.420366944447</v>
      </c>
      <c r="P348" s="3">
        <f t="shared" si="79"/>
        <v>45910.528652824076</v>
      </c>
      <c r="Q348" s="1" t="str">
        <f t="shared" si="75"/>
        <v>Interno</v>
      </c>
      <c r="R348" s="1">
        <f t="shared" si="80"/>
        <v>33</v>
      </c>
      <c r="S348" s="6">
        <f t="shared" si="81"/>
        <v>45880</v>
      </c>
      <c r="T348" s="1">
        <f t="shared" si="82"/>
        <v>37</v>
      </c>
      <c r="U348" s="6">
        <f t="shared" si="83"/>
        <v>45908</v>
      </c>
      <c r="V348" s="1">
        <f t="shared" si="84"/>
        <v>27.108285879628966</v>
      </c>
      <c r="W348" s="1">
        <f t="shared" si="85"/>
        <v>2025</v>
      </c>
      <c r="X348" s="1">
        <f t="shared" si="86"/>
        <v>2025</v>
      </c>
      <c r="Y348" s="1" t="str">
        <f t="shared" si="76"/>
        <v>2025-08</v>
      </c>
      <c r="Z348" s="1" t="str">
        <f t="shared" si="77"/>
        <v>2025-09</v>
      </c>
    </row>
    <row r="349" spans="1:26" x14ac:dyDescent="0.2">
      <c r="A349" s="1" t="s">
        <v>823</v>
      </c>
      <c r="B349" s="1" t="s">
        <v>824</v>
      </c>
      <c r="C349" s="1" t="s">
        <v>70</v>
      </c>
      <c r="D349" s="3">
        <v>45883.606504178242</v>
      </c>
      <c r="E349" s="3">
        <v>45887.486752627316</v>
      </c>
      <c r="F349" s="1" t="s">
        <v>52</v>
      </c>
      <c r="G349" s="1" t="s">
        <v>53</v>
      </c>
      <c r="H349" s="1" t="s">
        <v>13</v>
      </c>
      <c r="I349" s="1" t="s">
        <v>18</v>
      </c>
      <c r="J349" s="1" t="s">
        <v>16</v>
      </c>
      <c r="K349" s="1" t="s">
        <v>15</v>
      </c>
      <c r="L349" s="1" t="s">
        <v>13</v>
      </c>
      <c r="M349" s="1" t="s">
        <v>1163</v>
      </c>
      <c r="N349" s="1" t="str">
        <f t="shared" si="74"/>
        <v>TÉCNICO</v>
      </c>
      <c r="O349" s="3">
        <f t="shared" si="78"/>
        <v>45883.606504178242</v>
      </c>
      <c r="P349" s="3">
        <f t="shared" si="79"/>
        <v>45887.486752627316</v>
      </c>
      <c r="Q349" s="1" t="str">
        <f t="shared" si="75"/>
        <v>Interno</v>
      </c>
      <c r="R349" s="1">
        <f t="shared" si="80"/>
        <v>33</v>
      </c>
      <c r="S349" s="6">
        <f t="shared" si="81"/>
        <v>45880</v>
      </c>
      <c r="T349" s="1">
        <f t="shared" si="82"/>
        <v>34</v>
      </c>
      <c r="U349" s="6">
        <f t="shared" si="83"/>
        <v>45887</v>
      </c>
      <c r="V349" s="1">
        <f t="shared" si="84"/>
        <v>3.8802484490734059</v>
      </c>
      <c r="W349" s="1">
        <f t="shared" si="85"/>
        <v>2025</v>
      </c>
      <c r="X349" s="1">
        <f t="shared" si="86"/>
        <v>2025</v>
      </c>
      <c r="Y349" s="1" t="str">
        <f t="shared" si="76"/>
        <v>2025-08</v>
      </c>
      <c r="Z349" s="1" t="str">
        <f t="shared" si="77"/>
        <v>2025-08</v>
      </c>
    </row>
    <row r="350" spans="1:26" x14ac:dyDescent="0.2">
      <c r="A350" s="1" t="s">
        <v>825</v>
      </c>
      <c r="B350" s="1" t="s">
        <v>826</v>
      </c>
      <c r="C350" s="1" t="s">
        <v>13</v>
      </c>
      <c r="D350" s="3">
        <v>45887.441054467592</v>
      </c>
      <c r="E350" s="3">
        <v>45890.466444444442</v>
      </c>
      <c r="F350" s="1" t="s">
        <v>52</v>
      </c>
      <c r="G350" s="1" t="s">
        <v>21</v>
      </c>
      <c r="H350" s="1" t="s">
        <v>468</v>
      </c>
      <c r="I350" s="1" t="s">
        <v>18</v>
      </c>
      <c r="J350" s="1" t="s">
        <v>16</v>
      </c>
      <c r="K350" s="1" t="s">
        <v>15</v>
      </c>
      <c r="L350" s="1" t="s">
        <v>13</v>
      </c>
      <c r="M350" s="1" t="s">
        <v>1163</v>
      </c>
      <c r="N350" s="1" t="str">
        <f t="shared" si="74"/>
        <v>SOPORTE</v>
      </c>
      <c r="O350" s="3">
        <f t="shared" si="78"/>
        <v>45887.441054467592</v>
      </c>
      <c r="P350" s="3">
        <f t="shared" si="79"/>
        <v>45890.466444444442</v>
      </c>
      <c r="Q350" s="1" t="str">
        <f t="shared" si="75"/>
        <v>Externo</v>
      </c>
      <c r="R350" s="1">
        <f t="shared" si="80"/>
        <v>34</v>
      </c>
      <c r="S350" s="6">
        <f t="shared" si="81"/>
        <v>45887</v>
      </c>
      <c r="T350" s="1">
        <f t="shared" si="82"/>
        <v>34</v>
      </c>
      <c r="U350" s="6">
        <f t="shared" si="83"/>
        <v>45887</v>
      </c>
      <c r="V350" s="1">
        <f t="shared" si="84"/>
        <v>3.0253899768504198</v>
      </c>
      <c r="W350" s="1">
        <f t="shared" si="85"/>
        <v>2025</v>
      </c>
      <c r="X350" s="1">
        <f t="shared" si="86"/>
        <v>2025</v>
      </c>
      <c r="Y350" s="1" t="str">
        <f t="shared" si="76"/>
        <v>2025-08</v>
      </c>
      <c r="Z350" s="1" t="str">
        <f t="shared" si="77"/>
        <v>2025-08</v>
      </c>
    </row>
    <row r="351" spans="1:26" x14ac:dyDescent="0.2">
      <c r="A351" s="1" t="s">
        <v>827</v>
      </c>
      <c r="B351" s="1" t="s">
        <v>828</v>
      </c>
      <c r="C351" s="1" t="s">
        <v>13</v>
      </c>
      <c r="D351" s="3">
        <v>45887.445856921295</v>
      </c>
      <c r="E351" s="3">
        <v>45888.489477766205</v>
      </c>
      <c r="F351" s="1" t="s">
        <v>52</v>
      </c>
      <c r="G351" s="1" t="s">
        <v>21</v>
      </c>
      <c r="H351" s="1" t="s">
        <v>796</v>
      </c>
      <c r="I351" s="1" t="s">
        <v>18</v>
      </c>
      <c r="J351" s="1" t="s">
        <v>16</v>
      </c>
      <c r="K351" s="1" t="s">
        <v>15</v>
      </c>
      <c r="L351" s="1" t="s">
        <v>13</v>
      </c>
      <c r="M351" s="1" t="s">
        <v>1163</v>
      </c>
      <c r="N351" s="1" t="str">
        <f t="shared" si="74"/>
        <v>SOPORTE</v>
      </c>
      <c r="O351" s="3">
        <f t="shared" si="78"/>
        <v>45887.445856921295</v>
      </c>
      <c r="P351" s="3">
        <f t="shared" si="79"/>
        <v>45888.489477766205</v>
      </c>
      <c r="Q351" s="1" t="str">
        <f t="shared" si="75"/>
        <v>Externo</v>
      </c>
      <c r="R351" s="1">
        <f t="shared" si="80"/>
        <v>34</v>
      </c>
      <c r="S351" s="6">
        <f t="shared" si="81"/>
        <v>45887</v>
      </c>
      <c r="T351" s="1">
        <f t="shared" si="82"/>
        <v>34</v>
      </c>
      <c r="U351" s="6">
        <f t="shared" si="83"/>
        <v>45887</v>
      </c>
      <c r="V351" s="1">
        <f t="shared" si="84"/>
        <v>1.0436208449100377</v>
      </c>
      <c r="W351" s="1">
        <f t="shared" si="85"/>
        <v>2025</v>
      </c>
      <c r="X351" s="1">
        <f t="shared" si="86"/>
        <v>2025</v>
      </c>
      <c r="Y351" s="1" t="str">
        <f t="shared" si="76"/>
        <v>2025-08</v>
      </c>
      <c r="Z351" s="1" t="str">
        <f t="shared" si="77"/>
        <v>2025-08</v>
      </c>
    </row>
    <row r="352" spans="1:26" x14ac:dyDescent="0.2">
      <c r="A352" s="1" t="s">
        <v>829</v>
      </c>
      <c r="B352" s="1" t="s">
        <v>830</v>
      </c>
      <c r="C352" s="1" t="s">
        <v>13</v>
      </c>
      <c r="D352" s="3">
        <v>45887.447867442126</v>
      </c>
      <c r="E352" s="3">
        <v>45888.489657418984</v>
      </c>
      <c r="F352" s="1" t="s">
        <v>52</v>
      </c>
      <c r="G352" s="1" t="s">
        <v>21</v>
      </c>
      <c r="H352" s="1" t="s">
        <v>796</v>
      </c>
      <c r="I352" s="1" t="s">
        <v>18</v>
      </c>
      <c r="J352" s="1" t="s">
        <v>16</v>
      </c>
      <c r="K352" s="1" t="s">
        <v>15</v>
      </c>
      <c r="L352" s="1" t="s">
        <v>13</v>
      </c>
      <c r="M352" s="1" t="s">
        <v>1163</v>
      </c>
      <c r="N352" s="1" t="str">
        <f t="shared" si="74"/>
        <v>SOPORTE</v>
      </c>
      <c r="O352" s="3">
        <f t="shared" si="78"/>
        <v>45887.447867442126</v>
      </c>
      <c r="P352" s="3">
        <f t="shared" si="79"/>
        <v>45888.489657418984</v>
      </c>
      <c r="Q352" s="1" t="str">
        <f t="shared" si="75"/>
        <v>Externo</v>
      </c>
      <c r="R352" s="1">
        <f t="shared" si="80"/>
        <v>34</v>
      </c>
      <c r="S352" s="6">
        <f t="shared" si="81"/>
        <v>45887</v>
      </c>
      <c r="T352" s="1">
        <f t="shared" si="82"/>
        <v>34</v>
      </c>
      <c r="U352" s="6">
        <f t="shared" si="83"/>
        <v>45887</v>
      </c>
      <c r="V352" s="1">
        <f t="shared" si="84"/>
        <v>1.0417899768581265</v>
      </c>
      <c r="W352" s="1">
        <f t="shared" si="85"/>
        <v>2025</v>
      </c>
      <c r="X352" s="1">
        <f t="shared" si="86"/>
        <v>2025</v>
      </c>
      <c r="Y352" s="1" t="str">
        <f t="shared" si="76"/>
        <v>2025-08</v>
      </c>
      <c r="Z352" s="1" t="str">
        <f t="shared" si="77"/>
        <v>2025-08</v>
      </c>
    </row>
    <row r="353" spans="1:26" x14ac:dyDescent="0.2">
      <c r="A353" s="1" t="s">
        <v>831</v>
      </c>
      <c r="B353" s="1" t="s">
        <v>832</v>
      </c>
      <c r="C353" s="1" t="s">
        <v>78</v>
      </c>
      <c r="D353" s="3">
        <v>45889.582050775462</v>
      </c>
      <c r="E353" s="3">
        <v>45890.470799340277</v>
      </c>
      <c r="F353" s="1" t="s">
        <v>52</v>
      </c>
      <c r="G353" s="1" t="s">
        <v>21</v>
      </c>
      <c r="H353" s="1" t="s">
        <v>13</v>
      </c>
      <c r="I353" s="1" t="s">
        <v>18</v>
      </c>
      <c r="J353" s="1" t="s">
        <v>16</v>
      </c>
      <c r="K353" s="1" t="s">
        <v>15</v>
      </c>
      <c r="L353" s="1" t="s">
        <v>13</v>
      </c>
      <c r="M353" s="1" t="s">
        <v>1163</v>
      </c>
      <c r="N353" s="1" t="str">
        <f t="shared" si="74"/>
        <v>SOPORTE</v>
      </c>
      <c r="O353" s="3">
        <f t="shared" si="78"/>
        <v>45889.582050775462</v>
      </c>
      <c r="P353" s="3">
        <f t="shared" si="79"/>
        <v>45890.470799340277</v>
      </c>
      <c r="Q353" s="1" t="str">
        <f t="shared" si="75"/>
        <v>Externo</v>
      </c>
      <c r="R353" s="1">
        <f t="shared" si="80"/>
        <v>34</v>
      </c>
      <c r="S353" s="6">
        <f t="shared" si="81"/>
        <v>45887</v>
      </c>
      <c r="T353" s="1">
        <f t="shared" si="82"/>
        <v>34</v>
      </c>
      <c r="U353" s="6">
        <f t="shared" si="83"/>
        <v>45887</v>
      </c>
      <c r="V353" s="1">
        <f t="shared" si="84"/>
        <v>0.88874856481561437</v>
      </c>
      <c r="W353" s="1">
        <f t="shared" si="85"/>
        <v>2025</v>
      </c>
      <c r="X353" s="1">
        <f t="shared" si="86"/>
        <v>2025</v>
      </c>
      <c r="Y353" s="1" t="str">
        <f t="shared" si="76"/>
        <v>2025-08</v>
      </c>
      <c r="Z353" s="1" t="str">
        <f t="shared" si="77"/>
        <v>2025-08</v>
      </c>
    </row>
    <row r="354" spans="1:26" x14ac:dyDescent="0.2">
      <c r="A354" s="1" t="s">
        <v>833</v>
      </c>
      <c r="B354" s="1" t="s">
        <v>834</v>
      </c>
      <c r="C354" s="1" t="s">
        <v>58</v>
      </c>
      <c r="D354" s="3">
        <v>45894.486054363428</v>
      </c>
      <c r="E354" s="3">
        <v>45894.493318576388</v>
      </c>
      <c r="F354" s="1" t="s">
        <v>52</v>
      </c>
      <c r="G354" s="1" t="s">
        <v>21</v>
      </c>
      <c r="H354" s="1" t="s">
        <v>13</v>
      </c>
      <c r="I354" s="1" t="s">
        <v>18</v>
      </c>
      <c r="J354" s="1" t="s">
        <v>16</v>
      </c>
      <c r="K354" s="1" t="s">
        <v>15</v>
      </c>
      <c r="L354" s="1" t="s">
        <v>13</v>
      </c>
      <c r="M354" s="1" t="s">
        <v>1163</v>
      </c>
      <c r="N354" s="1" t="str">
        <f t="shared" si="74"/>
        <v>SOPORTE</v>
      </c>
      <c r="O354" s="3">
        <f t="shared" si="78"/>
        <v>45894.486054363428</v>
      </c>
      <c r="P354" s="3">
        <f t="shared" si="79"/>
        <v>45894.493318576388</v>
      </c>
      <c r="Q354" s="1" t="str">
        <f t="shared" si="75"/>
        <v>Externo</v>
      </c>
      <c r="R354" s="1">
        <f t="shared" si="80"/>
        <v>35</v>
      </c>
      <c r="S354" s="6">
        <f t="shared" si="81"/>
        <v>45894</v>
      </c>
      <c r="T354" s="1">
        <f t="shared" si="82"/>
        <v>35</v>
      </c>
      <c r="U354" s="6">
        <f t="shared" si="83"/>
        <v>45894</v>
      </c>
      <c r="V354" s="1">
        <f t="shared" si="84"/>
        <v>7.2642129598534666E-3</v>
      </c>
      <c r="W354" s="1">
        <f t="shared" si="85"/>
        <v>2025</v>
      </c>
      <c r="X354" s="1">
        <f t="shared" si="86"/>
        <v>2025</v>
      </c>
      <c r="Y354" s="1" t="str">
        <f t="shared" si="76"/>
        <v>2025-08</v>
      </c>
      <c r="Z354" s="1" t="str">
        <f t="shared" si="77"/>
        <v>2025-08</v>
      </c>
    </row>
    <row r="355" spans="1:26" x14ac:dyDescent="0.2">
      <c r="A355" s="1" t="s">
        <v>835</v>
      </c>
      <c r="B355" s="1" t="s">
        <v>836</v>
      </c>
      <c r="C355" s="1" t="s">
        <v>13</v>
      </c>
      <c r="D355" s="3">
        <v>45894.487442303238</v>
      </c>
      <c r="E355" s="3">
        <v>45894.497730648145</v>
      </c>
      <c r="F355" s="1" t="s">
        <v>52</v>
      </c>
      <c r="G355" s="1" t="s">
        <v>21</v>
      </c>
      <c r="H355" s="1" t="s">
        <v>13</v>
      </c>
      <c r="I355" s="1" t="s">
        <v>18</v>
      </c>
      <c r="J355" s="1" t="s">
        <v>16</v>
      </c>
      <c r="K355" s="1" t="s">
        <v>15</v>
      </c>
      <c r="L355" s="1" t="s">
        <v>13</v>
      </c>
      <c r="M355" s="1" t="s">
        <v>1163</v>
      </c>
      <c r="N355" s="1" t="str">
        <f t="shared" si="74"/>
        <v>SOPORTE</v>
      </c>
      <c r="O355" s="3">
        <f t="shared" si="78"/>
        <v>45894.487442303238</v>
      </c>
      <c r="P355" s="3">
        <f t="shared" si="79"/>
        <v>45894.497730648145</v>
      </c>
      <c r="Q355" s="1" t="str">
        <f t="shared" si="75"/>
        <v>Externo</v>
      </c>
      <c r="R355" s="1">
        <f t="shared" si="80"/>
        <v>35</v>
      </c>
      <c r="S355" s="6">
        <f t="shared" si="81"/>
        <v>45894</v>
      </c>
      <c r="T355" s="1">
        <f t="shared" si="82"/>
        <v>35</v>
      </c>
      <c r="U355" s="6">
        <f t="shared" si="83"/>
        <v>45894</v>
      </c>
      <c r="V355" s="1">
        <f t="shared" si="84"/>
        <v>1.0288344907166902E-2</v>
      </c>
      <c r="W355" s="1">
        <f t="shared" si="85"/>
        <v>2025</v>
      </c>
      <c r="X355" s="1">
        <f t="shared" si="86"/>
        <v>2025</v>
      </c>
      <c r="Y355" s="1" t="str">
        <f t="shared" si="76"/>
        <v>2025-08</v>
      </c>
      <c r="Z355" s="1" t="str">
        <f t="shared" si="77"/>
        <v>2025-08</v>
      </c>
    </row>
    <row r="356" spans="1:26" x14ac:dyDescent="0.2">
      <c r="A356" s="1" t="s">
        <v>837</v>
      </c>
      <c r="B356" s="1" t="s">
        <v>838</v>
      </c>
      <c r="C356" s="1" t="s">
        <v>13</v>
      </c>
      <c r="D356" s="3">
        <v>45894.499635370368</v>
      </c>
      <c r="E356" s="3">
        <v>45903.397102199073</v>
      </c>
      <c r="F356" s="1" t="s">
        <v>52</v>
      </c>
      <c r="G356" s="1" t="s">
        <v>21</v>
      </c>
      <c r="H356" s="1" t="s">
        <v>468</v>
      </c>
      <c r="I356" s="1" t="s">
        <v>18</v>
      </c>
      <c r="J356" s="1" t="s">
        <v>16</v>
      </c>
      <c r="K356" s="1" t="s">
        <v>15</v>
      </c>
      <c r="L356" s="1" t="s">
        <v>13</v>
      </c>
      <c r="M356" s="1" t="s">
        <v>1163</v>
      </c>
      <c r="N356" s="1" t="str">
        <f t="shared" si="74"/>
        <v>SOPORTE</v>
      </c>
      <c r="O356" s="3">
        <f t="shared" si="78"/>
        <v>45894.499635370368</v>
      </c>
      <c r="P356" s="3">
        <f t="shared" si="79"/>
        <v>45903.397102199073</v>
      </c>
      <c r="Q356" s="1" t="str">
        <f t="shared" si="75"/>
        <v>Externo</v>
      </c>
      <c r="R356" s="1">
        <f t="shared" si="80"/>
        <v>35</v>
      </c>
      <c r="S356" s="6">
        <f t="shared" si="81"/>
        <v>45894</v>
      </c>
      <c r="T356" s="1">
        <f t="shared" si="82"/>
        <v>36</v>
      </c>
      <c r="U356" s="6">
        <f t="shared" si="83"/>
        <v>45901</v>
      </c>
      <c r="V356" s="1">
        <f t="shared" si="84"/>
        <v>8.897466828704637</v>
      </c>
      <c r="W356" s="1">
        <f t="shared" si="85"/>
        <v>2025</v>
      </c>
      <c r="X356" s="1">
        <f t="shared" si="86"/>
        <v>2025</v>
      </c>
      <c r="Y356" s="1" t="str">
        <f t="shared" si="76"/>
        <v>2025-08</v>
      </c>
      <c r="Z356" s="1" t="str">
        <f t="shared" si="77"/>
        <v>2025-09</v>
      </c>
    </row>
    <row r="357" spans="1:26" x14ac:dyDescent="0.2">
      <c r="A357" s="1" t="s">
        <v>839</v>
      </c>
      <c r="B357" s="1" t="s">
        <v>840</v>
      </c>
      <c r="C357" s="1" t="s">
        <v>13</v>
      </c>
      <c r="D357" s="3">
        <v>45896.354591134259</v>
      </c>
      <c r="E357" s="3">
        <v>45903.640672037036</v>
      </c>
      <c r="F357" s="1" t="s">
        <v>52</v>
      </c>
      <c r="G357" s="1" t="s">
        <v>21</v>
      </c>
      <c r="H357" s="1" t="s">
        <v>468</v>
      </c>
      <c r="I357" s="1" t="s">
        <v>18</v>
      </c>
      <c r="J357" s="1" t="s">
        <v>16</v>
      </c>
      <c r="K357" s="1" t="s">
        <v>15</v>
      </c>
      <c r="L357" s="1" t="s">
        <v>13</v>
      </c>
      <c r="M357" s="1" t="s">
        <v>1163</v>
      </c>
      <c r="N357" s="1" t="str">
        <f t="shared" si="74"/>
        <v>SOPORTE</v>
      </c>
      <c r="O357" s="3">
        <f t="shared" si="78"/>
        <v>45896.354591134259</v>
      </c>
      <c r="P357" s="3">
        <f t="shared" si="79"/>
        <v>45903.640672037036</v>
      </c>
      <c r="Q357" s="1" t="str">
        <f t="shared" si="75"/>
        <v>Externo</v>
      </c>
      <c r="R357" s="1">
        <f t="shared" si="80"/>
        <v>35</v>
      </c>
      <c r="S357" s="6">
        <f t="shared" si="81"/>
        <v>45894</v>
      </c>
      <c r="T357" s="1">
        <f t="shared" si="82"/>
        <v>36</v>
      </c>
      <c r="U357" s="6">
        <f t="shared" si="83"/>
        <v>45901</v>
      </c>
      <c r="V357" s="1">
        <f t="shared" si="84"/>
        <v>7.2860809027770301</v>
      </c>
      <c r="W357" s="1">
        <f t="shared" si="85"/>
        <v>2025</v>
      </c>
      <c r="X357" s="1">
        <f t="shared" si="86"/>
        <v>2025</v>
      </c>
      <c r="Y357" s="1" t="str">
        <f t="shared" si="76"/>
        <v>2025-08</v>
      </c>
      <c r="Z357" s="1" t="str">
        <f t="shared" si="77"/>
        <v>2025-09</v>
      </c>
    </row>
    <row r="358" spans="1:26" x14ac:dyDescent="0.2">
      <c r="A358" s="1" t="s">
        <v>841</v>
      </c>
      <c r="B358" s="1" t="s">
        <v>842</v>
      </c>
      <c r="C358" s="1" t="s">
        <v>13</v>
      </c>
      <c r="D358" s="3">
        <v>45896.38768334491</v>
      </c>
      <c r="E358" s="3">
        <v>45902.387171932867</v>
      </c>
      <c r="F358" s="1" t="s">
        <v>52</v>
      </c>
      <c r="G358" s="1" t="s">
        <v>21</v>
      </c>
      <c r="H358" s="1" t="s">
        <v>843</v>
      </c>
      <c r="I358" s="1" t="s">
        <v>18</v>
      </c>
      <c r="J358" s="1" t="s">
        <v>16</v>
      </c>
      <c r="K358" s="1" t="s">
        <v>15</v>
      </c>
      <c r="L358" s="1" t="s">
        <v>13</v>
      </c>
      <c r="M358" s="1" t="s">
        <v>1163</v>
      </c>
      <c r="N358" s="1" t="str">
        <f t="shared" si="74"/>
        <v>SOPORTE</v>
      </c>
      <c r="O358" s="3">
        <f t="shared" si="78"/>
        <v>45896.38768334491</v>
      </c>
      <c r="P358" s="3">
        <f t="shared" si="79"/>
        <v>45902.387171932867</v>
      </c>
      <c r="Q358" s="1" t="str">
        <f t="shared" si="75"/>
        <v>Externo</v>
      </c>
      <c r="R358" s="1">
        <f t="shared" si="80"/>
        <v>35</v>
      </c>
      <c r="S358" s="6">
        <f t="shared" si="81"/>
        <v>45894</v>
      </c>
      <c r="T358" s="1">
        <f t="shared" si="82"/>
        <v>36</v>
      </c>
      <c r="U358" s="6">
        <f t="shared" si="83"/>
        <v>45901</v>
      </c>
      <c r="V358" s="1">
        <f t="shared" si="84"/>
        <v>5.9994885879568756</v>
      </c>
      <c r="W358" s="1">
        <f t="shared" si="85"/>
        <v>2025</v>
      </c>
      <c r="X358" s="1">
        <f t="shared" si="86"/>
        <v>2025</v>
      </c>
      <c r="Y358" s="1" t="str">
        <f t="shared" si="76"/>
        <v>2025-08</v>
      </c>
      <c r="Z358" s="1" t="str">
        <f t="shared" si="77"/>
        <v>2025-09</v>
      </c>
    </row>
    <row r="359" spans="1:26" x14ac:dyDescent="0.2">
      <c r="A359" s="1" t="s">
        <v>844</v>
      </c>
      <c r="B359" s="1" t="s">
        <v>845</v>
      </c>
      <c r="C359" s="1" t="s">
        <v>13</v>
      </c>
      <c r="D359" s="3">
        <v>45896.388495520834</v>
      </c>
      <c r="E359" s="4">
        <v>45901.58673505787</v>
      </c>
      <c r="F359" s="1" t="s">
        <v>52</v>
      </c>
      <c r="G359" s="1" t="s">
        <v>21</v>
      </c>
      <c r="H359" s="1" t="s">
        <v>843</v>
      </c>
      <c r="I359" s="1" t="s">
        <v>13</v>
      </c>
      <c r="J359" s="1" t="s">
        <v>16</v>
      </c>
      <c r="K359" s="1" t="s">
        <v>15</v>
      </c>
      <c r="L359" s="1" t="s">
        <v>13</v>
      </c>
      <c r="M359" s="1" t="s">
        <v>1163</v>
      </c>
      <c r="N359" s="1" t="str">
        <f t="shared" si="74"/>
        <v>SOPORTE</v>
      </c>
      <c r="O359" s="3">
        <f t="shared" si="78"/>
        <v>45896.388495520834</v>
      </c>
      <c r="P359" s="3">
        <f t="shared" si="79"/>
        <v>45901.58673505787</v>
      </c>
      <c r="Q359" s="1" t="str">
        <f t="shared" si="75"/>
        <v>Externo</v>
      </c>
      <c r="R359" s="1">
        <f t="shared" si="80"/>
        <v>35</v>
      </c>
      <c r="S359" s="6">
        <f t="shared" si="81"/>
        <v>45894</v>
      </c>
      <c r="T359" s="1">
        <f t="shared" si="82"/>
        <v>36</v>
      </c>
      <c r="U359" s="6">
        <f t="shared" si="83"/>
        <v>45901</v>
      </c>
      <c r="V359" s="1">
        <f t="shared" si="84"/>
        <v>5.1982395370359882</v>
      </c>
      <c r="W359" s="1">
        <f t="shared" si="85"/>
        <v>2025</v>
      </c>
      <c r="X359" s="1">
        <f t="shared" si="86"/>
        <v>2025</v>
      </c>
      <c r="Y359" s="1" t="str">
        <f t="shared" si="76"/>
        <v>2025-08</v>
      </c>
      <c r="Z359" s="1" t="str">
        <f t="shared" si="77"/>
        <v>2025-09</v>
      </c>
    </row>
    <row r="360" spans="1:26" x14ac:dyDescent="0.2">
      <c r="A360" s="1" t="s">
        <v>846</v>
      </c>
      <c r="B360" s="1" t="s">
        <v>847</v>
      </c>
      <c r="C360" s="1" t="s">
        <v>13</v>
      </c>
      <c r="D360" s="3">
        <v>45896.411252997685</v>
      </c>
      <c r="E360" s="3">
        <v>45904.424457534726</v>
      </c>
      <c r="F360" s="1" t="s">
        <v>52</v>
      </c>
      <c r="G360" s="1" t="s">
        <v>21</v>
      </c>
      <c r="H360" s="1" t="s">
        <v>635</v>
      </c>
      <c r="I360" s="1" t="s">
        <v>18</v>
      </c>
      <c r="J360" s="1" t="s">
        <v>16</v>
      </c>
      <c r="K360" s="1" t="s">
        <v>15</v>
      </c>
      <c r="L360" s="1" t="s">
        <v>13</v>
      </c>
      <c r="M360" s="1" t="s">
        <v>1163</v>
      </c>
      <c r="N360" s="1" t="str">
        <f t="shared" si="74"/>
        <v>SOPORTE</v>
      </c>
      <c r="O360" s="3">
        <f t="shared" si="78"/>
        <v>45896.411252997685</v>
      </c>
      <c r="P360" s="3">
        <f t="shared" si="79"/>
        <v>45904.424457534726</v>
      </c>
      <c r="Q360" s="1" t="str">
        <f t="shared" si="75"/>
        <v>Externo</v>
      </c>
      <c r="R360" s="1">
        <f t="shared" si="80"/>
        <v>35</v>
      </c>
      <c r="S360" s="6">
        <f t="shared" si="81"/>
        <v>45894</v>
      </c>
      <c r="T360" s="1">
        <f t="shared" si="82"/>
        <v>36</v>
      </c>
      <c r="U360" s="6">
        <f t="shared" si="83"/>
        <v>45901</v>
      </c>
      <c r="V360" s="1">
        <f t="shared" si="84"/>
        <v>8.0132045370410196</v>
      </c>
      <c r="W360" s="1">
        <f t="shared" si="85"/>
        <v>2025</v>
      </c>
      <c r="X360" s="1">
        <f t="shared" si="86"/>
        <v>2025</v>
      </c>
      <c r="Y360" s="1" t="str">
        <f t="shared" si="76"/>
        <v>2025-08</v>
      </c>
      <c r="Z360" s="1" t="str">
        <f t="shared" si="77"/>
        <v>2025-09</v>
      </c>
    </row>
    <row r="361" spans="1:26" x14ac:dyDescent="0.2">
      <c r="A361" s="1" t="s">
        <v>848</v>
      </c>
      <c r="B361" s="1" t="s">
        <v>849</v>
      </c>
      <c r="C361" s="1" t="s">
        <v>13</v>
      </c>
      <c r="D361" s="3">
        <v>45896.558970266204</v>
      </c>
      <c r="E361" s="3">
        <v>45932.44449144676</v>
      </c>
      <c r="F361" s="1" t="s">
        <v>52</v>
      </c>
      <c r="G361" s="1" t="s">
        <v>19</v>
      </c>
      <c r="H361" s="1" t="s">
        <v>13</v>
      </c>
      <c r="I361" s="1" t="s">
        <v>148</v>
      </c>
      <c r="J361" s="1" t="s">
        <v>16</v>
      </c>
      <c r="K361" s="1" t="s">
        <v>15</v>
      </c>
      <c r="L361" s="1" t="s">
        <v>850</v>
      </c>
      <c r="M361" s="1" t="s">
        <v>13</v>
      </c>
      <c r="N361" s="1" t="str">
        <f t="shared" si="74"/>
        <v>DEFINICIÓN</v>
      </c>
      <c r="O361" s="3">
        <f t="shared" si="78"/>
        <v>45896.558970266204</v>
      </c>
      <c r="P361" s="3">
        <f t="shared" si="79"/>
        <v>45932.44449144676</v>
      </c>
      <c r="Q361" s="1" t="str">
        <f t="shared" si="75"/>
        <v>Externo</v>
      </c>
      <c r="R361" s="1">
        <f t="shared" si="80"/>
        <v>35</v>
      </c>
      <c r="S361" s="6">
        <f t="shared" si="81"/>
        <v>45894</v>
      </c>
      <c r="T361" s="1">
        <f t="shared" si="82"/>
        <v>40</v>
      </c>
      <c r="U361" s="6">
        <f t="shared" si="83"/>
        <v>45929</v>
      </c>
      <c r="V361" s="1">
        <f t="shared" si="84"/>
        <v>35.88552118055668</v>
      </c>
      <c r="W361" s="1">
        <f t="shared" si="85"/>
        <v>2025</v>
      </c>
      <c r="X361" s="1">
        <f t="shared" si="86"/>
        <v>2025</v>
      </c>
      <c r="Y361" s="1" t="str">
        <f t="shared" si="76"/>
        <v>2025-08</v>
      </c>
      <c r="Z361" s="1" t="str">
        <f t="shared" si="77"/>
        <v>2025-09</v>
      </c>
    </row>
    <row r="362" spans="1:26" x14ac:dyDescent="0.2">
      <c r="A362" s="1" t="s">
        <v>851</v>
      </c>
      <c r="B362" s="1" t="s">
        <v>852</v>
      </c>
      <c r="C362" s="1" t="s">
        <v>13</v>
      </c>
      <c r="D362" s="3">
        <v>45897.347145069441</v>
      </c>
      <c r="E362" s="3">
        <v>45924.483694490744</v>
      </c>
      <c r="F362" s="1" t="s">
        <v>52</v>
      </c>
      <c r="G362" s="1" t="s">
        <v>19</v>
      </c>
      <c r="H362" s="1" t="s">
        <v>13</v>
      </c>
      <c r="I362" s="1" t="s">
        <v>148</v>
      </c>
      <c r="J362" s="1" t="s">
        <v>16</v>
      </c>
      <c r="K362" s="1" t="s">
        <v>15</v>
      </c>
      <c r="L362" s="1" t="s">
        <v>822</v>
      </c>
      <c r="M362" s="1" t="s">
        <v>13</v>
      </c>
      <c r="N362" s="1" t="str">
        <f t="shared" si="74"/>
        <v>DEFINICIÓN</v>
      </c>
      <c r="O362" s="3">
        <f t="shared" si="78"/>
        <v>45897.347145069441</v>
      </c>
      <c r="P362" s="3">
        <f t="shared" si="79"/>
        <v>45924.483694490744</v>
      </c>
      <c r="Q362" s="1" t="str">
        <f t="shared" si="75"/>
        <v>Externo</v>
      </c>
      <c r="R362" s="1">
        <f t="shared" si="80"/>
        <v>35</v>
      </c>
      <c r="S362" s="6">
        <f t="shared" si="81"/>
        <v>45894</v>
      </c>
      <c r="T362" s="1">
        <f t="shared" si="82"/>
        <v>39</v>
      </c>
      <c r="U362" s="6">
        <f t="shared" si="83"/>
        <v>45922</v>
      </c>
      <c r="V362" s="1">
        <f t="shared" si="84"/>
        <v>27.136549421302334</v>
      </c>
      <c r="W362" s="1">
        <f t="shared" si="85"/>
        <v>2025</v>
      </c>
      <c r="X362" s="1">
        <f t="shared" si="86"/>
        <v>2025</v>
      </c>
      <c r="Y362" s="1" t="str">
        <f t="shared" si="76"/>
        <v>2025-08</v>
      </c>
      <c r="Z362" s="1" t="str">
        <f t="shared" si="77"/>
        <v>2025-09</v>
      </c>
    </row>
    <row r="363" spans="1:26" x14ac:dyDescent="0.2">
      <c r="A363" s="1" t="s">
        <v>853</v>
      </c>
      <c r="B363" s="1" t="s">
        <v>854</v>
      </c>
      <c r="C363" s="1" t="s">
        <v>83</v>
      </c>
      <c r="D363" s="4">
        <v>45901.586353773149</v>
      </c>
      <c r="E363" s="3">
        <v>45917.68358921296</v>
      </c>
      <c r="F363" s="1" t="s">
        <v>52</v>
      </c>
      <c r="G363" s="1" t="s">
        <v>21</v>
      </c>
      <c r="H363" s="1" t="s">
        <v>13</v>
      </c>
      <c r="I363" s="1" t="s">
        <v>18</v>
      </c>
      <c r="J363" s="1" t="s">
        <v>16</v>
      </c>
      <c r="K363" s="1" t="s">
        <v>15</v>
      </c>
      <c r="L363" s="1" t="s">
        <v>13</v>
      </c>
      <c r="M363" s="1" t="s">
        <v>1163</v>
      </c>
      <c r="N363" s="1" t="str">
        <f t="shared" si="74"/>
        <v>SOPORTE</v>
      </c>
      <c r="O363" s="3">
        <f t="shared" si="78"/>
        <v>45901.586353773149</v>
      </c>
      <c r="P363" s="3">
        <f t="shared" si="79"/>
        <v>45917.68358921296</v>
      </c>
      <c r="Q363" s="1" t="str">
        <f t="shared" si="75"/>
        <v>Externo</v>
      </c>
      <c r="R363" s="1">
        <f t="shared" si="80"/>
        <v>36</v>
      </c>
      <c r="S363" s="6">
        <f t="shared" si="81"/>
        <v>45901</v>
      </c>
      <c r="T363" s="1">
        <f t="shared" si="82"/>
        <v>38</v>
      </c>
      <c r="U363" s="6">
        <f t="shared" si="83"/>
        <v>45915</v>
      </c>
      <c r="V363" s="1">
        <f t="shared" si="84"/>
        <v>16.097235439810902</v>
      </c>
      <c r="W363" s="1">
        <f t="shared" si="85"/>
        <v>2025</v>
      </c>
      <c r="X363" s="1">
        <f t="shared" si="86"/>
        <v>2025</v>
      </c>
      <c r="Y363" s="1" t="str">
        <f t="shared" si="76"/>
        <v>2025-09</v>
      </c>
      <c r="Z363" s="1" t="str">
        <f t="shared" si="77"/>
        <v>2025-09</v>
      </c>
    </row>
    <row r="364" spans="1:26" x14ac:dyDescent="0.2">
      <c r="A364" s="1" t="s">
        <v>855</v>
      </c>
      <c r="B364" s="1" t="s">
        <v>856</v>
      </c>
      <c r="C364" s="1" t="s">
        <v>58</v>
      </c>
      <c r="D364" s="4">
        <v>45901.60048306713</v>
      </c>
      <c r="E364" s="3">
        <v>45903.643204907406</v>
      </c>
      <c r="F364" s="1" t="s">
        <v>52</v>
      </c>
      <c r="G364" s="1" t="s">
        <v>21</v>
      </c>
      <c r="H364" s="1" t="s">
        <v>13</v>
      </c>
      <c r="I364" s="1" t="s">
        <v>18</v>
      </c>
      <c r="J364" s="1" t="s">
        <v>16</v>
      </c>
      <c r="K364" s="1" t="s">
        <v>15</v>
      </c>
      <c r="L364" s="1" t="s">
        <v>13</v>
      </c>
      <c r="M364" s="1" t="s">
        <v>1163</v>
      </c>
      <c r="N364" s="1" t="str">
        <f t="shared" si="74"/>
        <v>SOPORTE</v>
      </c>
      <c r="O364" s="3">
        <f t="shared" si="78"/>
        <v>45901.60048306713</v>
      </c>
      <c r="P364" s="3">
        <f t="shared" si="79"/>
        <v>45903.643204907406</v>
      </c>
      <c r="Q364" s="1" t="str">
        <f t="shared" si="75"/>
        <v>Externo</v>
      </c>
      <c r="R364" s="1">
        <f t="shared" si="80"/>
        <v>36</v>
      </c>
      <c r="S364" s="6">
        <f t="shared" si="81"/>
        <v>45901</v>
      </c>
      <c r="T364" s="1">
        <f t="shared" si="82"/>
        <v>36</v>
      </c>
      <c r="U364" s="6">
        <f t="shared" si="83"/>
        <v>45901</v>
      </c>
      <c r="V364" s="1">
        <f t="shared" si="84"/>
        <v>2.0427218402764993</v>
      </c>
      <c r="W364" s="1">
        <f t="shared" si="85"/>
        <v>2025</v>
      </c>
      <c r="X364" s="1">
        <f t="shared" si="86"/>
        <v>2025</v>
      </c>
      <c r="Y364" s="1" t="str">
        <f t="shared" si="76"/>
        <v>2025-09</v>
      </c>
      <c r="Z364" s="1" t="str">
        <f t="shared" si="77"/>
        <v>2025-09</v>
      </c>
    </row>
    <row r="365" spans="1:26" x14ac:dyDescent="0.2">
      <c r="A365" s="1" t="s">
        <v>857</v>
      </c>
      <c r="B365" s="1" t="s">
        <v>858</v>
      </c>
      <c r="C365" s="1" t="s">
        <v>96</v>
      </c>
      <c r="D365" s="3">
        <v>45902.355789155095</v>
      </c>
      <c r="E365" s="3">
        <v>45904.425053449071</v>
      </c>
      <c r="F365" s="1" t="s">
        <v>52</v>
      </c>
      <c r="G365" s="1" t="s">
        <v>21</v>
      </c>
      <c r="H365" s="1" t="s">
        <v>13</v>
      </c>
      <c r="I365" s="1" t="s">
        <v>18</v>
      </c>
      <c r="J365" s="1" t="s">
        <v>16</v>
      </c>
      <c r="K365" s="1" t="s">
        <v>15</v>
      </c>
      <c r="L365" s="1" t="s">
        <v>13</v>
      </c>
      <c r="M365" s="1" t="s">
        <v>1163</v>
      </c>
      <c r="N365" s="1" t="str">
        <f t="shared" si="74"/>
        <v>SOPORTE</v>
      </c>
      <c r="O365" s="3">
        <f t="shared" si="78"/>
        <v>45902.355789155095</v>
      </c>
      <c r="P365" s="3">
        <f t="shared" si="79"/>
        <v>45904.425053449071</v>
      </c>
      <c r="Q365" s="1" t="str">
        <f t="shared" si="75"/>
        <v>Externo</v>
      </c>
      <c r="R365" s="1">
        <f t="shared" si="80"/>
        <v>36</v>
      </c>
      <c r="S365" s="6">
        <f t="shared" si="81"/>
        <v>45901</v>
      </c>
      <c r="T365" s="1">
        <f t="shared" si="82"/>
        <v>36</v>
      </c>
      <c r="U365" s="6">
        <f t="shared" si="83"/>
        <v>45901</v>
      </c>
      <c r="V365" s="1">
        <f t="shared" si="84"/>
        <v>2.0692642939757206</v>
      </c>
      <c r="W365" s="1">
        <f t="shared" si="85"/>
        <v>2025</v>
      </c>
      <c r="X365" s="1">
        <f t="shared" si="86"/>
        <v>2025</v>
      </c>
      <c r="Y365" s="1" t="str">
        <f t="shared" si="76"/>
        <v>2025-09</v>
      </c>
      <c r="Z365" s="1" t="str">
        <f t="shared" si="77"/>
        <v>2025-09</v>
      </c>
    </row>
    <row r="366" spans="1:26" x14ac:dyDescent="0.2">
      <c r="A366" s="1" t="s">
        <v>859</v>
      </c>
      <c r="B366" s="1" t="s">
        <v>860</v>
      </c>
      <c r="C366" s="1" t="s">
        <v>127</v>
      </c>
      <c r="D366" s="3">
        <v>45902.393641365743</v>
      </c>
      <c r="E366" s="3">
        <v>45908.410641168979</v>
      </c>
      <c r="F366" s="1" t="s">
        <v>52</v>
      </c>
      <c r="G366" s="1" t="s">
        <v>21</v>
      </c>
      <c r="H366" s="1" t="s">
        <v>468</v>
      </c>
      <c r="I366" s="1" t="s">
        <v>18</v>
      </c>
      <c r="J366" s="1" t="s">
        <v>16</v>
      </c>
      <c r="K366" s="1" t="s">
        <v>15</v>
      </c>
      <c r="L366" s="1" t="s">
        <v>13</v>
      </c>
      <c r="M366" s="1" t="s">
        <v>1163</v>
      </c>
      <c r="N366" s="1" t="str">
        <f t="shared" si="74"/>
        <v>SOPORTE</v>
      </c>
      <c r="O366" s="3">
        <f t="shared" si="78"/>
        <v>45902.393641365743</v>
      </c>
      <c r="P366" s="3">
        <f t="shared" si="79"/>
        <v>45908.410641168979</v>
      </c>
      <c r="Q366" s="1" t="str">
        <f t="shared" si="75"/>
        <v>Externo</v>
      </c>
      <c r="R366" s="1">
        <f t="shared" si="80"/>
        <v>36</v>
      </c>
      <c r="S366" s="6">
        <f t="shared" si="81"/>
        <v>45901</v>
      </c>
      <c r="T366" s="1">
        <f t="shared" si="82"/>
        <v>37</v>
      </c>
      <c r="U366" s="6">
        <f t="shared" si="83"/>
        <v>45908</v>
      </c>
      <c r="V366" s="1">
        <f t="shared" si="84"/>
        <v>6.0169998032361036</v>
      </c>
      <c r="W366" s="1">
        <f t="shared" si="85"/>
        <v>2025</v>
      </c>
      <c r="X366" s="1">
        <f t="shared" si="86"/>
        <v>2025</v>
      </c>
      <c r="Y366" s="1" t="str">
        <f t="shared" si="76"/>
        <v>2025-09</v>
      </c>
      <c r="Z366" s="1" t="str">
        <f t="shared" si="77"/>
        <v>2025-09</v>
      </c>
    </row>
    <row r="367" spans="1:26" x14ac:dyDescent="0.2">
      <c r="A367" s="1" t="s">
        <v>861</v>
      </c>
      <c r="B367" s="1" t="s">
        <v>862</v>
      </c>
      <c r="C367" s="1" t="s">
        <v>70</v>
      </c>
      <c r="D367" s="3">
        <v>45902.413797881942</v>
      </c>
      <c r="E367" s="3">
        <v>45905.646660081016</v>
      </c>
      <c r="F367" s="1" t="s">
        <v>52</v>
      </c>
      <c r="G367" s="1" t="s">
        <v>53</v>
      </c>
      <c r="H367" s="1" t="s">
        <v>13</v>
      </c>
      <c r="I367" s="1" t="s">
        <v>18</v>
      </c>
      <c r="J367" s="1" t="s">
        <v>16</v>
      </c>
      <c r="K367" s="1" t="s">
        <v>15</v>
      </c>
      <c r="L367" s="1" t="s">
        <v>13</v>
      </c>
      <c r="M367" s="1" t="s">
        <v>1163</v>
      </c>
      <c r="N367" s="1" t="str">
        <f t="shared" si="74"/>
        <v>TÉCNICO</v>
      </c>
      <c r="O367" s="3">
        <f t="shared" si="78"/>
        <v>45902.413797881942</v>
      </c>
      <c r="P367" s="3">
        <f t="shared" si="79"/>
        <v>45905.646660081016</v>
      </c>
      <c r="Q367" s="1" t="str">
        <f t="shared" si="75"/>
        <v>Interno</v>
      </c>
      <c r="R367" s="1">
        <f t="shared" si="80"/>
        <v>36</v>
      </c>
      <c r="S367" s="6">
        <f t="shared" si="81"/>
        <v>45901</v>
      </c>
      <c r="T367" s="1">
        <f t="shared" si="82"/>
        <v>36</v>
      </c>
      <c r="U367" s="6">
        <f t="shared" si="83"/>
        <v>45901</v>
      </c>
      <c r="V367" s="1">
        <f t="shared" si="84"/>
        <v>3.2328621990745887</v>
      </c>
      <c r="W367" s="1">
        <f t="shared" si="85"/>
        <v>2025</v>
      </c>
      <c r="X367" s="1">
        <f t="shared" si="86"/>
        <v>2025</v>
      </c>
      <c r="Y367" s="1" t="str">
        <f t="shared" si="76"/>
        <v>2025-09</v>
      </c>
      <c r="Z367" s="1" t="str">
        <f t="shared" si="77"/>
        <v>2025-09</v>
      </c>
    </row>
    <row r="368" spans="1:26" x14ac:dyDescent="0.2">
      <c r="A368" s="1" t="s">
        <v>863</v>
      </c>
      <c r="B368" s="1" t="s">
        <v>864</v>
      </c>
      <c r="C368" s="1" t="s">
        <v>13</v>
      </c>
      <c r="D368" s="3">
        <v>45902.421792569447</v>
      </c>
      <c r="E368" s="3">
        <v>45910.358825219904</v>
      </c>
      <c r="F368" s="1" t="s">
        <v>52</v>
      </c>
      <c r="G368" s="1" t="s">
        <v>53</v>
      </c>
      <c r="H368" s="1" t="s">
        <v>13</v>
      </c>
      <c r="I368" s="1" t="s">
        <v>18</v>
      </c>
      <c r="J368" s="1" t="s">
        <v>16</v>
      </c>
      <c r="K368" s="1" t="s">
        <v>15</v>
      </c>
      <c r="L368" s="1" t="s">
        <v>13</v>
      </c>
      <c r="M368" s="1" t="s">
        <v>1163</v>
      </c>
      <c r="N368" s="1" t="str">
        <f t="shared" si="74"/>
        <v>TÉCNICO</v>
      </c>
      <c r="O368" s="3">
        <f t="shared" si="78"/>
        <v>45902.421792569447</v>
      </c>
      <c r="P368" s="3">
        <f t="shared" si="79"/>
        <v>45910.358825219904</v>
      </c>
      <c r="Q368" s="1" t="str">
        <f t="shared" si="75"/>
        <v>Interno</v>
      </c>
      <c r="R368" s="1">
        <f t="shared" si="80"/>
        <v>36</v>
      </c>
      <c r="S368" s="6">
        <f t="shared" si="81"/>
        <v>45901</v>
      </c>
      <c r="T368" s="1">
        <f t="shared" si="82"/>
        <v>37</v>
      </c>
      <c r="U368" s="6">
        <f t="shared" si="83"/>
        <v>45908</v>
      </c>
      <c r="V368" s="1">
        <f t="shared" si="84"/>
        <v>7.9370326504576951</v>
      </c>
      <c r="W368" s="1">
        <f t="shared" si="85"/>
        <v>2025</v>
      </c>
      <c r="X368" s="1">
        <f t="shared" si="86"/>
        <v>2025</v>
      </c>
      <c r="Y368" s="1" t="str">
        <f t="shared" si="76"/>
        <v>2025-09</v>
      </c>
      <c r="Z368" s="1" t="str">
        <f t="shared" si="77"/>
        <v>2025-09</v>
      </c>
    </row>
    <row r="369" spans="1:26" x14ac:dyDescent="0.2">
      <c r="A369" s="1" t="s">
        <v>865</v>
      </c>
      <c r="B369" s="1" t="s">
        <v>866</v>
      </c>
      <c r="C369" s="1" t="s">
        <v>13</v>
      </c>
      <c r="D369" s="3">
        <v>45902.429454791665</v>
      </c>
      <c r="E369" s="3">
        <v>45902.48230340278</v>
      </c>
      <c r="F369" s="1" t="s">
        <v>52</v>
      </c>
      <c r="G369" s="1" t="s">
        <v>21</v>
      </c>
      <c r="H369" s="1" t="s">
        <v>843</v>
      </c>
      <c r="I369" s="1" t="s">
        <v>18</v>
      </c>
      <c r="J369" s="1" t="s">
        <v>16</v>
      </c>
      <c r="K369" s="1" t="s">
        <v>15</v>
      </c>
      <c r="L369" s="1" t="s">
        <v>13</v>
      </c>
      <c r="M369" s="1" t="s">
        <v>1163</v>
      </c>
      <c r="N369" s="1" t="str">
        <f t="shared" si="74"/>
        <v>SOPORTE</v>
      </c>
      <c r="O369" s="3">
        <f t="shared" si="78"/>
        <v>45902.429454791665</v>
      </c>
      <c r="P369" s="3">
        <f t="shared" si="79"/>
        <v>45902.48230340278</v>
      </c>
      <c r="Q369" s="1" t="str">
        <f t="shared" si="75"/>
        <v>Externo</v>
      </c>
      <c r="R369" s="1">
        <f t="shared" si="80"/>
        <v>36</v>
      </c>
      <c r="S369" s="6">
        <f t="shared" si="81"/>
        <v>45901</v>
      </c>
      <c r="T369" s="1">
        <f t="shared" si="82"/>
        <v>36</v>
      </c>
      <c r="U369" s="6">
        <f t="shared" si="83"/>
        <v>45901</v>
      </c>
      <c r="V369" s="1">
        <f t="shared" si="84"/>
        <v>5.2848611114313826E-2</v>
      </c>
      <c r="W369" s="1">
        <f t="shared" si="85"/>
        <v>2025</v>
      </c>
      <c r="X369" s="1">
        <f t="shared" si="86"/>
        <v>2025</v>
      </c>
      <c r="Y369" s="1" t="str">
        <f t="shared" si="76"/>
        <v>2025-09</v>
      </c>
      <c r="Z369" s="1" t="str">
        <f t="shared" si="77"/>
        <v>2025-09</v>
      </c>
    </row>
    <row r="370" spans="1:26" x14ac:dyDescent="0.2">
      <c r="A370" s="1" t="s">
        <v>867</v>
      </c>
      <c r="B370" s="1" t="s">
        <v>868</v>
      </c>
      <c r="C370" s="1" t="s">
        <v>83</v>
      </c>
      <c r="D370" s="3">
        <v>45902.619884467589</v>
      </c>
      <c r="E370" s="3">
        <v>45908.349795925926</v>
      </c>
      <c r="F370" s="1" t="s">
        <v>52</v>
      </c>
      <c r="G370" s="1" t="s">
        <v>21</v>
      </c>
      <c r="H370" s="1" t="s">
        <v>468</v>
      </c>
      <c r="I370" s="1" t="s">
        <v>18</v>
      </c>
      <c r="J370" s="1" t="s">
        <v>16</v>
      </c>
      <c r="K370" s="1" t="s">
        <v>15</v>
      </c>
      <c r="L370" s="1" t="s">
        <v>13</v>
      </c>
      <c r="M370" s="1" t="s">
        <v>1163</v>
      </c>
      <c r="N370" s="1" t="str">
        <f t="shared" si="74"/>
        <v>SOPORTE</v>
      </c>
      <c r="O370" s="3">
        <f t="shared" si="78"/>
        <v>45902.619884467589</v>
      </c>
      <c r="P370" s="3">
        <f t="shared" si="79"/>
        <v>45908.349795925926</v>
      </c>
      <c r="Q370" s="1" t="str">
        <f t="shared" si="75"/>
        <v>Externo</v>
      </c>
      <c r="R370" s="1">
        <f t="shared" si="80"/>
        <v>36</v>
      </c>
      <c r="S370" s="6">
        <f t="shared" si="81"/>
        <v>45901</v>
      </c>
      <c r="T370" s="1">
        <f t="shared" si="82"/>
        <v>37</v>
      </c>
      <c r="U370" s="6">
        <f t="shared" si="83"/>
        <v>45908</v>
      </c>
      <c r="V370" s="1">
        <f t="shared" si="84"/>
        <v>5.7299114583365736</v>
      </c>
      <c r="W370" s="1">
        <f t="shared" si="85"/>
        <v>2025</v>
      </c>
      <c r="X370" s="1">
        <f t="shared" si="86"/>
        <v>2025</v>
      </c>
      <c r="Y370" s="1" t="str">
        <f t="shared" si="76"/>
        <v>2025-09</v>
      </c>
      <c r="Z370" s="1" t="str">
        <f t="shared" si="77"/>
        <v>2025-09</v>
      </c>
    </row>
    <row r="371" spans="1:26" x14ac:dyDescent="0.2">
      <c r="A371" s="1" t="s">
        <v>869</v>
      </c>
      <c r="B371" s="1" t="s">
        <v>870</v>
      </c>
      <c r="C371" s="1" t="s">
        <v>109</v>
      </c>
      <c r="D371" s="3">
        <v>45903.461943981485</v>
      </c>
      <c r="E371" s="3">
        <v>45904.377516018518</v>
      </c>
      <c r="F371" s="1" t="s">
        <v>52</v>
      </c>
      <c r="G371" s="1" t="s">
        <v>21</v>
      </c>
      <c r="H371" s="1" t="s">
        <v>468</v>
      </c>
      <c r="I371" s="1" t="s">
        <v>18</v>
      </c>
      <c r="J371" s="1" t="s">
        <v>16</v>
      </c>
      <c r="K371" s="1" t="s">
        <v>15</v>
      </c>
      <c r="L371" s="1" t="s">
        <v>13</v>
      </c>
      <c r="M371" s="1" t="s">
        <v>1163</v>
      </c>
      <c r="N371" s="1" t="str">
        <f t="shared" si="74"/>
        <v>SOPORTE</v>
      </c>
      <c r="O371" s="3">
        <f t="shared" si="78"/>
        <v>45903.461943981485</v>
      </c>
      <c r="P371" s="3">
        <f t="shared" si="79"/>
        <v>45904.377516018518</v>
      </c>
      <c r="Q371" s="1" t="str">
        <f t="shared" si="75"/>
        <v>Externo</v>
      </c>
      <c r="R371" s="1">
        <f t="shared" si="80"/>
        <v>36</v>
      </c>
      <c r="S371" s="6">
        <f t="shared" si="81"/>
        <v>45901</v>
      </c>
      <c r="T371" s="1">
        <f t="shared" si="82"/>
        <v>36</v>
      </c>
      <c r="U371" s="6">
        <f t="shared" si="83"/>
        <v>45901</v>
      </c>
      <c r="V371" s="1">
        <f t="shared" si="84"/>
        <v>0.91557203703268897</v>
      </c>
      <c r="W371" s="1">
        <f t="shared" si="85"/>
        <v>2025</v>
      </c>
      <c r="X371" s="1">
        <f t="shared" si="86"/>
        <v>2025</v>
      </c>
      <c r="Y371" s="1" t="str">
        <f t="shared" si="76"/>
        <v>2025-09</v>
      </c>
      <c r="Z371" s="1" t="str">
        <f t="shared" si="77"/>
        <v>2025-09</v>
      </c>
    </row>
    <row r="372" spans="1:26" x14ac:dyDescent="0.2">
      <c r="A372" s="1" t="s">
        <v>871</v>
      </c>
      <c r="B372" s="1" t="s">
        <v>872</v>
      </c>
      <c r="C372" s="1" t="s">
        <v>184</v>
      </c>
      <c r="D372" s="3">
        <v>45904.356645509259</v>
      </c>
      <c r="E372" s="3">
        <v>45904.463152557873</v>
      </c>
      <c r="F372" s="1" t="s">
        <v>52</v>
      </c>
      <c r="G372" s="1" t="s">
        <v>53</v>
      </c>
      <c r="H372" s="1" t="s">
        <v>13</v>
      </c>
      <c r="I372" s="1" t="s">
        <v>18</v>
      </c>
      <c r="J372" s="1" t="s">
        <v>16</v>
      </c>
      <c r="K372" s="1" t="s">
        <v>15</v>
      </c>
      <c r="L372" s="1" t="s">
        <v>13</v>
      </c>
      <c r="M372" s="1" t="s">
        <v>1163</v>
      </c>
      <c r="N372" s="1" t="str">
        <f t="shared" si="74"/>
        <v>TÉCNICO</v>
      </c>
      <c r="O372" s="3">
        <f t="shared" si="78"/>
        <v>45904.356645509259</v>
      </c>
      <c r="P372" s="3">
        <f t="shared" si="79"/>
        <v>45904.463152557873</v>
      </c>
      <c r="Q372" s="1" t="str">
        <f t="shared" si="75"/>
        <v>Interno</v>
      </c>
      <c r="R372" s="1">
        <f t="shared" si="80"/>
        <v>36</v>
      </c>
      <c r="S372" s="6">
        <f t="shared" si="81"/>
        <v>45901</v>
      </c>
      <c r="T372" s="1">
        <f t="shared" si="82"/>
        <v>36</v>
      </c>
      <c r="U372" s="6">
        <f t="shared" si="83"/>
        <v>45901</v>
      </c>
      <c r="V372" s="1">
        <f t="shared" si="84"/>
        <v>0.10650704861473059</v>
      </c>
      <c r="W372" s="1">
        <f t="shared" si="85"/>
        <v>2025</v>
      </c>
      <c r="X372" s="1">
        <f t="shared" si="86"/>
        <v>2025</v>
      </c>
      <c r="Y372" s="1" t="str">
        <f t="shared" si="76"/>
        <v>2025-09</v>
      </c>
      <c r="Z372" s="1" t="str">
        <f t="shared" si="77"/>
        <v>2025-09</v>
      </c>
    </row>
    <row r="373" spans="1:26" x14ac:dyDescent="0.2">
      <c r="A373" s="1" t="s">
        <v>873</v>
      </c>
      <c r="B373" s="1" t="s">
        <v>874</v>
      </c>
      <c r="C373" s="1" t="s">
        <v>13</v>
      </c>
      <c r="D373" s="3">
        <v>45904.368189560184</v>
      </c>
      <c r="E373" s="3">
        <v>45932.509142731484</v>
      </c>
      <c r="F373" s="1" t="s">
        <v>52</v>
      </c>
      <c r="G373" s="1" t="s">
        <v>53</v>
      </c>
      <c r="H373" s="1" t="s">
        <v>13</v>
      </c>
      <c r="I373" s="1" t="s">
        <v>148</v>
      </c>
      <c r="J373" s="1" t="s">
        <v>16</v>
      </c>
      <c r="K373" s="1" t="s">
        <v>15</v>
      </c>
      <c r="L373" s="1" t="s">
        <v>850</v>
      </c>
      <c r="M373" s="1" t="s">
        <v>13</v>
      </c>
      <c r="N373" s="1" t="str">
        <f t="shared" si="74"/>
        <v>TÉCNICO</v>
      </c>
      <c r="O373" s="3">
        <f t="shared" si="78"/>
        <v>45904.368189560184</v>
      </c>
      <c r="P373" s="3">
        <f t="shared" si="79"/>
        <v>45932.509142731484</v>
      </c>
      <c r="Q373" s="1" t="str">
        <f t="shared" si="75"/>
        <v>Interno</v>
      </c>
      <c r="R373" s="1">
        <f t="shared" si="80"/>
        <v>36</v>
      </c>
      <c r="S373" s="6">
        <f t="shared" si="81"/>
        <v>45901</v>
      </c>
      <c r="T373" s="1">
        <f t="shared" si="82"/>
        <v>40</v>
      </c>
      <c r="U373" s="6">
        <f t="shared" si="83"/>
        <v>45929</v>
      </c>
      <c r="V373" s="1">
        <f t="shared" si="84"/>
        <v>28.14095317129977</v>
      </c>
      <c r="W373" s="1">
        <f t="shared" si="85"/>
        <v>2025</v>
      </c>
      <c r="X373" s="1">
        <f t="shared" si="86"/>
        <v>2025</v>
      </c>
      <c r="Y373" s="1" t="str">
        <f t="shared" si="76"/>
        <v>2025-09</v>
      </c>
      <c r="Z373" s="1" t="str">
        <f t="shared" si="77"/>
        <v>2025-09</v>
      </c>
    </row>
    <row r="374" spans="1:26" x14ac:dyDescent="0.2">
      <c r="A374" s="1" t="s">
        <v>875</v>
      </c>
      <c r="B374" s="1" t="s">
        <v>876</v>
      </c>
      <c r="C374" s="1" t="s">
        <v>13</v>
      </c>
      <c r="D374" s="3">
        <v>45904.420452303239</v>
      </c>
      <c r="E374" s="3">
        <v>45911.627115752315</v>
      </c>
      <c r="F374" s="1" t="s">
        <v>52</v>
      </c>
      <c r="G374" s="1" t="s">
        <v>21</v>
      </c>
      <c r="H374" s="1" t="s">
        <v>468</v>
      </c>
      <c r="I374" s="1" t="s">
        <v>18</v>
      </c>
      <c r="J374" s="1" t="s">
        <v>16</v>
      </c>
      <c r="K374" s="1" t="s">
        <v>15</v>
      </c>
      <c r="L374" s="1" t="s">
        <v>13</v>
      </c>
      <c r="M374" s="1" t="s">
        <v>1163</v>
      </c>
      <c r="N374" s="1" t="str">
        <f t="shared" si="74"/>
        <v>SOPORTE</v>
      </c>
      <c r="O374" s="3">
        <f t="shared" si="78"/>
        <v>45904.420452303239</v>
      </c>
      <c r="P374" s="3">
        <f t="shared" si="79"/>
        <v>45911.627115752315</v>
      </c>
      <c r="Q374" s="1" t="str">
        <f t="shared" si="75"/>
        <v>Externo</v>
      </c>
      <c r="R374" s="1">
        <f t="shared" si="80"/>
        <v>36</v>
      </c>
      <c r="S374" s="6">
        <f t="shared" si="81"/>
        <v>45901</v>
      </c>
      <c r="T374" s="1">
        <f t="shared" si="82"/>
        <v>37</v>
      </c>
      <c r="U374" s="6">
        <f t="shared" si="83"/>
        <v>45908</v>
      </c>
      <c r="V374" s="1">
        <f t="shared" si="84"/>
        <v>7.2066634490765864</v>
      </c>
      <c r="W374" s="1">
        <f t="shared" si="85"/>
        <v>2025</v>
      </c>
      <c r="X374" s="1">
        <f t="shared" si="86"/>
        <v>2025</v>
      </c>
      <c r="Y374" s="1" t="str">
        <f t="shared" si="76"/>
        <v>2025-09</v>
      </c>
      <c r="Z374" s="1" t="str">
        <f t="shared" si="77"/>
        <v>2025-09</v>
      </c>
    </row>
    <row r="375" spans="1:26" x14ac:dyDescent="0.2">
      <c r="A375" s="1" t="s">
        <v>877</v>
      </c>
      <c r="B375" s="1" t="s">
        <v>878</v>
      </c>
      <c r="C375" s="1" t="s">
        <v>70</v>
      </c>
      <c r="D375" s="3">
        <v>45904.508808854167</v>
      </c>
      <c r="E375" s="3">
        <v>45904.587863842593</v>
      </c>
      <c r="F375" s="1" t="s">
        <v>52</v>
      </c>
      <c r="G375" s="1" t="s">
        <v>21</v>
      </c>
      <c r="H375" s="1" t="s">
        <v>13</v>
      </c>
      <c r="I375" s="1" t="s">
        <v>18</v>
      </c>
      <c r="J375" s="1" t="s">
        <v>16</v>
      </c>
      <c r="K375" s="1" t="s">
        <v>15</v>
      </c>
      <c r="L375" s="1" t="s">
        <v>13</v>
      </c>
      <c r="M375" s="1" t="s">
        <v>1163</v>
      </c>
      <c r="N375" s="1" t="str">
        <f t="shared" si="74"/>
        <v>SOPORTE</v>
      </c>
      <c r="O375" s="3">
        <f t="shared" si="78"/>
        <v>45904.508808854167</v>
      </c>
      <c r="P375" s="3">
        <f t="shared" si="79"/>
        <v>45904.587863842593</v>
      </c>
      <c r="Q375" s="1" t="str">
        <f t="shared" si="75"/>
        <v>Externo</v>
      </c>
      <c r="R375" s="1">
        <f t="shared" si="80"/>
        <v>36</v>
      </c>
      <c r="S375" s="6">
        <f t="shared" si="81"/>
        <v>45901</v>
      </c>
      <c r="T375" s="1">
        <f t="shared" si="82"/>
        <v>36</v>
      </c>
      <c r="U375" s="6">
        <f t="shared" si="83"/>
        <v>45901</v>
      </c>
      <c r="V375" s="1">
        <f t="shared" si="84"/>
        <v>7.9054988425923511E-2</v>
      </c>
      <c r="W375" s="1">
        <f t="shared" si="85"/>
        <v>2025</v>
      </c>
      <c r="X375" s="1">
        <f t="shared" si="86"/>
        <v>2025</v>
      </c>
      <c r="Y375" s="1" t="str">
        <f t="shared" si="76"/>
        <v>2025-09</v>
      </c>
      <c r="Z375" s="1" t="str">
        <f t="shared" si="77"/>
        <v>2025-09</v>
      </c>
    </row>
    <row r="376" spans="1:26" x14ac:dyDescent="0.2">
      <c r="A376" s="1" t="s">
        <v>879</v>
      </c>
      <c r="B376" s="1" t="s">
        <v>880</v>
      </c>
      <c r="C376" s="1" t="s">
        <v>13</v>
      </c>
      <c r="D376" s="3">
        <v>45904.636036666663</v>
      </c>
      <c r="E376" s="3">
        <v>45908.353033634259</v>
      </c>
      <c r="F376" s="1" t="s">
        <v>52</v>
      </c>
      <c r="G376" s="1" t="s">
        <v>21</v>
      </c>
      <c r="H376" s="1" t="s">
        <v>468</v>
      </c>
      <c r="I376" s="1" t="s">
        <v>18</v>
      </c>
      <c r="J376" s="1" t="s">
        <v>16</v>
      </c>
      <c r="K376" s="1" t="s">
        <v>15</v>
      </c>
      <c r="L376" s="1" t="s">
        <v>13</v>
      </c>
      <c r="M376" s="1" t="s">
        <v>1163</v>
      </c>
      <c r="N376" s="1" t="str">
        <f t="shared" si="74"/>
        <v>SOPORTE</v>
      </c>
      <c r="O376" s="3">
        <f t="shared" si="78"/>
        <v>45904.636036666663</v>
      </c>
      <c r="P376" s="3">
        <f t="shared" si="79"/>
        <v>45908.353033634259</v>
      </c>
      <c r="Q376" s="1" t="str">
        <f t="shared" si="75"/>
        <v>Externo</v>
      </c>
      <c r="R376" s="1">
        <f t="shared" si="80"/>
        <v>36</v>
      </c>
      <c r="S376" s="6">
        <f t="shared" si="81"/>
        <v>45901</v>
      </c>
      <c r="T376" s="1">
        <f t="shared" si="82"/>
        <v>37</v>
      </c>
      <c r="U376" s="6">
        <f t="shared" si="83"/>
        <v>45908</v>
      </c>
      <c r="V376" s="1">
        <f t="shared" si="84"/>
        <v>3.7169969675960601</v>
      </c>
      <c r="W376" s="1">
        <f t="shared" si="85"/>
        <v>2025</v>
      </c>
      <c r="X376" s="1">
        <f t="shared" si="86"/>
        <v>2025</v>
      </c>
      <c r="Y376" s="1" t="str">
        <f t="shared" si="76"/>
        <v>2025-09</v>
      </c>
      <c r="Z376" s="1" t="str">
        <f t="shared" si="77"/>
        <v>2025-09</v>
      </c>
    </row>
    <row r="377" spans="1:26" x14ac:dyDescent="0.2">
      <c r="A377" s="1" t="s">
        <v>881</v>
      </c>
      <c r="B377" s="1" t="s">
        <v>882</v>
      </c>
      <c r="C377" s="1" t="s">
        <v>83</v>
      </c>
      <c r="D377" s="3">
        <v>45908.39523159722</v>
      </c>
      <c r="E377" s="1" t="s">
        <v>13</v>
      </c>
      <c r="F377" s="1" t="s">
        <v>52</v>
      </c>
      <c r="G377" s="1" t="s">
        <v>53</v>
      </c>
      <c r="H377" s="1" t="s">
        <v>13</v>
      </c>
      <c r="I377" s="1" t="s">
        <v>18</v>
      </c>
      <c r="J377" s="1" t="s">
        <v>16</v>
      </c>
      <c r="K377" s="1" t="s">
        <v>811</v>
      </c>
      <c r="L377" s="1" t="s">
        <v>13</v>
      </c>
      <c r="M377" s="1" t="s">
        <v>1162</v>
      </c>
      <c r="N377" s="1" t="str">
        <f t="shared" si="74"/>
        <v>TÉCNICO</v>
      </c>
      <c r="O377" s="3">
        <f t="shared" si="78"/>
        <v>45908.39523159722</v>
      </c>
      <c r="P377" s="3" t="str">
        <f t="shared" si="79"/>
        <v/>
      </c>
      <c r="Q377" s="1" t="str">
        <f t="shared" si="75"/>
        <v>Interno</v>
      </c>
      <c r="R377" s="1">
        <f t="shared" si="80"/>
        <v>37</v>
      </c>
      <c r="S377" s="6">
        <f t="shared" si="81"/>
        <v>45908</v>
      </c>
      <c r="T377" s="1" t="e">
        <f t="shared" si="82"/>
        <v>#VALUE!</v>
      </c>
      <c r="U377" s="6" t="e">
        <f t="shared" si="83"/>
        <v>#VALUE!</v>
      </c>
      <c r="V377" s="1" t="e">
        <f t="shared" si="84"/>
        <v>#VALUE!</v>
      </c>
      <c r="W377" s="1">
        <f t="shared" si="85"/>
        <v>2025</v>
      </c>
      <c r="X377" s="1" t="e">
        <f t="shared" si="86"/>
        <v>#VALUE!</v>
      </c>
      <c r="Y377" s="1" t="str">
        <f t="shared" si="76"/>
        <v>2025-09</v>
      </c>
      <c r="Z377" s="1" t="e">
        <f t="shared" si="77"/>
        <v>#VALUE!</v>
      </c>
    </row>
    <row r="378" spans="1:26" x14ac:dyDescent="0.2">
      <c r="A378" s="1" t="s">
        <v>883</v>
      </c>
      <c r="B378" s="1" t="s">
        <v>884</v>
      </c>
      <c r="C378" s="1" t="s">
        <v>103</v>
      </c>
      <c r="D378" s="3">
        <v>45908.465942650466</v>
      </c>
      <c r="E378" s="3">
        <v>45929.660253773145</v>
      </c>
      <c r="F378" s="1" t="s">
        <v>52</v>
      </c>
      <c r="G378" s="1" t="s">
        <v>12</v>
      </c>
      <c r="H378" s="1" t="s">
        <v>13</v>
      </c>
      <c r="I378" s="1" t="s">
        <v>18</v>
      </c>
      <c r="J378" s="1" t="s">
        <v>16</v>
      </c>
      <c r="K378" s="1" t="s">
        <v>15</v>
      </c>
      <c r="L378" s="1" t="s">
        <v>13</v>
      </c>
      <c r="M378" s="1" t="s">
        <v>13</v>
      </c>
      <c r="N378" s="1" t="str">
        <f t="shared" si="74"/>
        <v>DESARROLLO</v>
      </c>
      <c r="O378" s="3">
        <f t="shared" si="78"/>
        <v>45908.465942650466</v>
      </c>
      <c r="P378" s="3">
        <f t="shared" si="79"/>
        <v>45929.660253773145</v>
      </c>
      <c r="Q378" s="1" t="str">
        <f t="shared" si="75"/>
        <v>Interno</v>
      </c>
      <c r="R378" s="1">
        <f t="shared" si="80"/>
        <v>37</v>
      </c>
      <c r="S378" s="6">
        <f t="shared" si="81"/>
        <v>45908</v>
      </c>
      <c r="T378" s="1">
        <f t="shared" si="82"/>
        <v>40</v>
      </c>
      <c r="U378" s="6">
        <f t="shared" si="83"/>
        <v>45929</v>
      </c>
      <c r="V378" s="1">
        <f t="shared" si="84"/>
        <v>21.19431112267921</v>
      </c>
      <c r="W378" s="1">
        <f t="shared" si="85"/>
        <v>2025</v>
      </c>
      <c r="X378" s="1">
        <f t="shared" si="86"/>
        <v>2025</v>
      </c>
      <c r="Y378" s="1" t="str">
        <f t="shared" si="76"/>
        <v>2025-09</v>
      </c>
      <c r="Z378" s="1" t="str">
        <f t="shared" si="77"/>
        <v>2025-09</v>
      </c>
    </row>
    <row r="379" spans="1:26" x14ac:dyDescent="0.2">
      <c r="A379" s="1" t="s">
        <v>885</v>
      </c>
      <c r="B379" s="1" t="s">
        <v>886</v>
      </c>
      <c r="C379" s="1" t="s">
        <v>184</v>
      </c>
      <c r="D379" s="3">
        <v>45908.53297349537</v>
      </c>
      <c r="E379" s="3">
        <v>45908.64105982639</v>
      </c>
      <c r="F379" s="1" t="s">
        <v>52</v>
      </c>
      <c r="G379" s="1" t="s">
        <v>12</v>
      </c>
      <c r="H379" s="1" t="s">
        <v>13</v>
      </c>
      <c r="I379" s="1" t="s">
        <v>18</v>
      </c>
      <c r="J379" s="1" t="s">
        <v>16</v>
      </c>
      <c r="K379" s="1" t="s">
        <v>15</v>
      </c>
      <c r="L379" s="1" t="s">
        <v>13</v>
      </c>
      <c r="M379" s="1" t="s">
        <v>1163</v>
      </c>
      <c r="N379" s="1" t="str">
        <f t="shared" si="74"/>
        <v>DESARROLLO</v>
      </c>
      <c r="O379" s="3">
        <f t="shared" si="78"/>
        <v>45908.53297349537</v>
      </c>
      <c r="P379" s="3">
        <f t="shared" si="79"/>
        <v>45908.64105982639</v>
      </c>
      <c r="Q379" s="1" t="str">
        <f t="shared" si="75"/>
        <v>Interno</v>
      </c>
      <c r="R379" s="1">
        <f t="shared" si="80"/>
        <v>37</v>
      </c>
      <c r="S379" s="6">
        <f t="shared" si="81"/>
        <v>45908</v>
      </c>
      <c r="T379" s="1">
        <f t="shared" si="82"/>
        <v>37</v>
      </c>
      <c r="U379" s="6">
        <f t="shared" si="83"/>
        <v>45908</v>
      </c>
      <c r="V379" s="1">
        <f t="shared" si="84"/>
        <v>0.10808633101987652</v>
      </c>
      <c r="W379" s="1">
        <f t="shared" si="85"/>
        <v>2025</v>
      </c>
      <c r="X379" s="1">
        <f t="shared" si="86"/>
        <v>2025</v>
      </c>
      <c r="Y379" s="1" t="str">
        <f t="shared" si="76"/>
        <v>2025-09</v>
      </c>
      <c r="Z379" s="1" t="str">
        <f t="shared" si="77"/>
        <v>2025-09</v>
      </c>
    </row>
    <row r="380" spans="1:26" x14ac:dyDescent="0.2">
      <c r="A380" s="1" t="s">
        <v>887</v>
      </c>
      <c r="B380" s="1" t="s">
        <v>888</v>
      </c>
      <c r="C380" s="1" t="s">
        <v>184</v>
      </c>
      <c r="D380" s="3">
        <v>45909.576472395835</v>
      </c>
      <c r="E380" s="3">
        <v>45909.591935833334</v>
      </c>
      <c r="F380" s="1" t="s">
        <v>52</v>
      </c>
      <c r="G380" s="1" t="s">
        <v>21</v>
      </c>
      <c r="H380" s="1" t="s">
        <v>13</v>
      </c>
      <c r="I380" s="1" t="s">
        <v>18</v>
      </c>
      <c r="J380" s="1" t="s">
        <v>16</v>
      </c>
      <c r="K380" s="1" t="s">
        <v>15</v>
      </c>
      <c r="L380" s="1" t="s">
        <v>13</v>
      </c>
      <c r="M380" s="1" t="s">
        <v>1163</v>
      </c>
      <c r="N380" s="1" t="str">
        <f t="shared" si="74"/>
        <v>SOPORTE</v>
      </c>
      <c r="O380" s="3">
        <f t="shared" si="78"/>
        <v>45909.576472395835</v>
      </c>
      <c r="P380" s="3">
        <f t="shared" si="79"/>
        <v>45909.591935833334</v>
      </c>
      <c r="Q380" s="1" t="str">
        <f t="shared" si="75"/>
        <v>Externo</v>
      </c>
      <c r="R380" s="1">
        <f t="shared" si="80"/>
        <v>37</v>
      </c>
      <c r="S380" s="6">
        <f t="shared" si="81"/>
        <v>45908</v>
      </c>
      <c r="T380" s="1">
        <f t="shared" si="82"/>
        <v>37</v>
      </c>
      <c r="U380" s="6">
        <f t="shared" si="83"/>
        <v>45908</v>
      </c>
      <c r="V380" s="1">
        <f t="shared" si="84"/>
        <v>1.5463437499420252E-2</v>
      </c>
      <c r="W380" s="1">
        <f t="shared" si="85"/>
        <v>2025</v>
      </c>
      <c r="X380" s="1">
        <f t="shared" si="86"/>
        <v>2025</v>
      </c>
      <c r="Y380" s="1" t="str">
        <f t="shared" si="76"/>
        <v>2025-09</v>
      </c>
      <c r="Z380" s="1" t="str">
        <f t="shared" si="77"/>
        <v>2025-09</v>
      </c>
    </row>
    <row r="381" spans="1:26" x14ac:dyDescent="0.2">
      <c r="A381" s="1" t="s">
        <v>889</v>
      </c>
      <c r="B381" s="1" t="s">
        <v>890</v>
      </c>
      <c r="C381" s="1" t="s">
        <v>13</v>
      </c>
      <c r="D381" s="3">
        <v>45909.634569131944</v>
      </c>
      <c r="E381" s="3">
        <v>45911.628512905096</v>
      </c>
      <c r="F381" s="1" t="s">
        <v>52</v>
      </c>
      <c r="G381" s="1" t="s">
        <v>21</v>
      </c>
      <c r="H381" s="1" t="s">
        <v>468</v>
      </c>
      <c r="I381" s="1" t="s">
        <v>18</v>
      </c>
      <c r="J381" s="1" t="s">
        <v>16</v>
      </c>
      <c r="K381" s="1" t="s">
        <v>15</v>
      </c>
      <c r="L381" s="1" t="s">
        <v>13</v>
      </c>
      <c r="M381" s="1" t="s">
        <v>1163</v>
      </c>
      <c r="N381" s="1" t="str">
        <f t="shared" si="74"/>
        <v>SOPORTE</v>
      </c>
      <c r="O381" s="3">
        <f t="shared" si="78"/>
        <v>45909.634569131944</v>
      </c>
      <c r="P381" s="3">
        <f t="shared" si="79"/>
        <v>45911.628512905096</v>
      </c>
      <c r="Q381" s="1" t="str">
        <f t="shared" si="75"/>
        <v>Externo</v>
      </c>
      <c r="R381" s="1">
        <f t="shared" si="80"/>
        <v>37</v>
      </c>
      <c r="S381" s="6">
        <f t="shared" si="81"/>
        <v>45908</v>
      </c>
      <c r="T381" s="1">
        <f t="shared" si="82"/>
        <v>37</v>
      </c>
      <c r="U381" s="6">
        <f t="shared" si="83"/>
        <v>45908</v>
      </c>
      <c r="V381" s="1">
        <f t="shared" si="84"/>
        <v>1.993943773151841</v>
      </c>
      <c r="W381" s="1">
        <f t="shared" si="85"/>
        <v>2025</v>
      </c>
      <c r="X381" s="1">
        <f t="shared" si="86"/>
        <v>2025</v>
      </c>
      <c r="Y381" s="1" t="str">
        <f t="shared" si="76"/>
        <v>2025-09</v>
      </c>
      <c r="Z381" s="1" t="str">
        <f t="shared" si="77"/>
        <v>2025-09</v>
      </c>
    </row>
    <row r="382" spans="1:26" x14ac:dyDescent="0.2">
      <c r="A382" s="1" t="s">
        <v>891</v>
      </c>
      <c r="B382" s="1" t="s">
        <v>892</v>
      </c>
      <c r="C382" s="1" t="s">
        <v>156</v>
      </c>
      <c r="D382" s="3">
        <v>45910.414627210645</v>
      </c>
      <c r="E382" s="1" t="s">
        <v>13</v>
      </c>
      <c r="F382" s="1" t="s">
        <v>52</v>
      </c>
      <c r="G382" s="1" t="s">
        <v>53</v>
      </c>
      <c r="H382" s="1" t="s">
        <v>13</v>
      </c>
      <c r="I382" s="1" t="s">
        <v>18</v>
      </c>
      <c r="J382" s="1" t="s">
        <v>16</v>
      </c>
      <c r="K382" s="1" t="s">
        <v>492</v>
      </c>
      <c r="L382" s="1" t="s">
        <v>13</v>
      </c>
      <c r="M382" s="1" t="s">
        <v>1163</v>
      </c>
      <c r="N382" s="1" t="str">
        <f t="shared" si="74"/>
        <v>TÉCNICO</v>
      </c>
      <c r="O382" s="3">
        <f t="shared" si="78"/>
        <v>45910.414627210645</v>
      </c>
      <c r="P382" s="3" t="str">
        <f t="shared" si="79"/>
        <v/>
      </c>
      <c r="Q382" s="1" t="str">
        <f t="shared" si="75"/>
        <v>Interno</v>
      </c>
      <c r="R382" s="1">
        <f t="shared" si="80"/>
        <v>37</v>
      </c>
      <c r="S382" s="6">
        <f t="shared" si="81"/>
        <v>45908</v>
      </c>
      <c r="T382" s="1" t="e">
        <f t="shared" si="82"/>
        <v>#VALUE!</v>
      </c>
      <c r="U382" s="6" t="e">
        <f t="shared" si="83"/>
        <v>#VALUE!</v>
      </c>
      <c r="V382" s="1" t="e">
        <f t="shared" si="84"/>
        <v>#VALUE!</v>
      </c>
      <c r="W382" s="1">
        <f t="shared" si="85"/>
        <v>2025</v>
      </c>
      <c r="X382" s="1" t="e">
        <f t="shared" si="86"/>
        <v>#VALUE!</v>
      </c>
      <c r="Y382" s="1" t="str">
        <f t="shared" si="76"/>
        <v>2025-09</v>
      </c>
      <c r="Z382" s="1" t="e">
        <f t="shared" si="77"/>
        <v>#VALUE!</v>
      </c>
    </row>
    <row r="383" spans="1:26" x14ac:dyDescent="0.2">
      <c r="A383" s="1" t="s">
        <v>893</v>
      </c>
      <c r="B383" s="1" t="s">
        <v>894</v>
      </c>
      <c r="C383" s="1" t="s">
        <v>184</v>
      </c>
      <c r="D383" s="3">
        <v>45910.584937291664</v>
      </c>
      <c r="E383" s="3">
        <v>45944.664650405095</v>
      </c>
      <c r="F383" s="1" t="s">
        <v>52</v>
      </c>
      <c r="G383" s="1" t="s">
        <v>21</v>
      </c>
      <c r="H383" s="1" t="s">
        <v>468</v>
      </c>
      <c r="I383" s="1" t="s">
        <v>18</v>
      </c>
      <c r="J383" s="1" t="s">
        <v>16</v>
      </c>
      <c r="K383" s="1" t="s">
        <v>15</v>
      </c>
      <c r="L383" s="1" t="s">
        <v>13</v>
      </c>
      <c r="M383" s="1" t="s">
        <v>1163</v>
      </c>
      <c r="N383" s="1" t="str">
        <f t="shared" si="74"/>
        <v>SOPORTE</v>
      </c>
      <c r="O383" s="3">
        <f t="shared" si="78"/>
        <v>45910.584937291664</v>
      </c>
      <c r="P383" s="3">
        <f t="shared" si="79"/>
        <v>45944.664650405095</v>
      </c>
      <c r="Q383" s="1" t="str">
        <f t="shared" si="75"/>
        <v>Externo</v>
      </c>
      <c r="R383" s="1">
        <f t="shared" si="80"/>
        <v>37</v>
      </c>
      <c r="S383" s="6">
        <f t="shared" si="81"/>
        <v>45908</v>
      </c>
      <c r="T383" s="1">
        <f t="shared" si="82"/>
        <v>42</v>
      </c>
      <c r="U383" s="6">
        <f t="shared" si="83"/>
        <v>45943</v>
      </c>
      <c r="V383" s="1">
        <f t="shared" si="84"/>
        <v>34.079713113431353</v>
      </c>
      <c r="W383" s="1">
        <f t="shared" si="85"/>
        <v>2025</v>
      </c>
      <c r="X383" s="1">
        <f t="shared" si="86"/>
        <v>2025</v>
      </c>
      <c r="Y383" s="1" t="str">
        <f t="shared" si="76"/>
        <v>2025-09</v>
      </c>
      <c r="Z383" s="1" t="str">
        <f t="shared" si="77"/>
        <v>2025-10</v>
      </c>
    </row>
    <row r="384" spans="1:26" x14ac:dyDescent="0.2">
      <c r="A384" s="1" t="s">
        <v>895</v>
      </c>
      <c r="B384" s="1" t="s">
        <v>896</v>
      </c>
      <c r="C384" s="1" t="s">
        <v>184</v>
      </c>
      <c r="D384" s="3">
        <v>45911.343344791669</v>
      </c>
      <c r="E384" s="3">
        <v>45922.439727268516</v>
      </c>
      <c r="F384" s="1" t="s">
        <v>52</v>
      </c>
      <c r="G384" s="1" t="s">
        <v>21</v>
      </c>
      <c r="H384" s="1" t="s">
        <v>468</v>
      </c>
      <c r="I384" s="1" t="s">
        <v>18</v>
      </c>
      <c r="J384" s="1" t="s">
        <v>16</v>
      </c>
      <c r="K384" s="1" t="s">
        <v>15</v>
      </c>
      <c r="L384" s="1" t="s">
        <v>13</v>
      </c>
      <c r="M384" s="1" t="s">
        <v>1163</v>
      </c>
      <c r="N384" s="1" t="str">
        <f t="shared" si="74"/>
        <v>SOPORTE</v>
      </c>
      <c r="O384" s="3">
        <f t="shared" si="78"/>
        <v>45911.343344791669</v>
      </c>
      <c r="P384" s="3">
        <f t="shared" si="79"/>
        <v>45922.439727268516</v>
      </c>
      <c r="Q384" s="1" t="str">
        <f t="shared" si="75"/>
        <v>Externo</v>
      </c>
      <c r="R384" s="1">
        <f t="shared" si="80"/>
        <v>37</v>
      </c>
      <c r="S384" s="6">
        <f t="shared" si="81"/>
        <v>45908</v>
      </c>
      <c r="T384" s="1">
        <f t="shared" si="82"/>
        <v>39</v>
      </c>
      <c r="U384" s="6">
        <f t="shared" si="83"/>
        <v>45922</v>
      </c>
      <c r="V384" s="1">
        <f t="shared" si="84"/>
        <v>11.096382476847793</v>
      </c>
      <c r="W384" s="1">
        <f t="shared" si="85"/>
        <v>2025</v>
      </c>
      <c r="X384" s="1">
        <f t="shared" si="86"/>
        <v>2025</v>
      </c>
      <c r="Y384" s="1" t="str">
        <f t="shared" si="76"/>
        <v>2025-09</v>
      </c>
      <c r="Z384" s="1" t="str">
        <f t="shared" si="77"/>
        <v>2025-09</v>
      </c>
    </row>
    <row r="385" spans="1:26" x14ac:dyDescent="0.2">
      <c r="A385" s="1" t="s">
        <v>897</v>
      </c>
      <c r="B385" s="1" t="s">
        <v>898</v>
      </c>
      <c r="C385" s="1" t="s">
        <v>899</v>
      </c>
      <c r="D385" s="3">
        <v>45911.378270868059</v>
      </c>
      <c r="E385" s="4">
        <v>45931.408126793984</v>
      </c>
      <c r="F385" s="1" t="s">
        <v>52</v>
      </c>
      <c r="G385" s="1" t="s">
        <v>12</v>
      </c>
      <c r="H385" s="1" t="s">
        <v>13</v>
      </c>
      <c r="I385" s="1" t="s">
        <v>18</v>
      </c>
      <c r="J385" s="1" t="s">
        <v>16</v>
      </c>
      <c r="K385" s="1" t="s">
        <v>15</v>
      </c>
      <c r="L385" s="1" t="s">
        <v>13</v>
      </c>
      <c r="M385" s="1" t="s">
        <v>1163</v>
      </c>
      <c r="N385" s="1" t="str">
        <f t="shared" si="74"/>
        <v>DESARROLLO</v>
      </c>
      <c r="O385" s="3">
        <f t="shared" si="78"/>
        <v>45911.378270868059</v>
      </c>
      <c r="P385" s="3">
        <f t="shared" si="79"/>
        <v>45931.408126793984</v>
      </c>
      <c r="Q385" s="1" t="str">
        <f t="shared" si="75"/>
        <v>Interno</v>
      </c>
      <c r="R385" s="1">
        <f t="shared" si="80"/>
        <v>37</v>
      </c>
      <c r="S385" s="6">
        <f t="shared" si="81"/>
        <v>45908</v>
      </c>
      <c r="T385" s="1">
        <f t="shared" si="82"/>
        <v>40</v>
      </c>
      <c r="U385" s="6">
        <f t="shared" si="83"/>
        <v>45929</v>
      </c>
      <c r="V385" s="1">
        <f t="shared" si="84"/>
        <v>20.029855925924494</v>
      </c>
      <c r="W385" s="1">
        <f t="shared" si="85"/>
        <v>2025</v>
      </c>
      <c r="X385" s="1">
        <f t="shared" si="86"/>
        <v>2025</v>
      </c>
      <c r="Y385" s="1" t="str">
        <f t="shared" si="76"/>
        <v>2025-09</v>
      </c>
      <c r="Z385" s="1" t="str">
        <f t="shared" si="77"/>
        <v>2025-09</v>
      </c>
    </row>
    <row r="386" spans="1:26" x14ac:dyDescent="0.2">
      <c r="A386" s="1" t="s">
        <v>900</v>
      </c>
      <c r="B386" s="1" t="s">
        <v>901</v>
      </c>
      <c r="C386" s="1" t="s">
        <v>109</v>
      </c>
      <c r="D386" s="3">
        <v>45911.603654664352</v>
      </c>
      <c r="E386" s="3">
        <v>45915.44311763889</v>
      </c>
      <c r="F386" s="1" t="s">
        <v>52</v>
      </c>
      <c r="G386" s="1" t="s">
        <v>21</v>
      </c>
      <c r="H386" s="1" t="s">
        <v>468</v>
      </c>
      <c r="I386" s="1" t="s">
        <v>18</v>
      </c>
      <c r="J386" s="1" t="s">
        <v>16</v>
      </c>
      <c r="K386" s="1" t="s">
        <v>15</v>
      </c>
      <c r="L386" s="1" t="s">
        <v>13</v>
      </c>
      <c r="M386" s="1" t="s">
        <v>1163</v>
      </c>
      <c r="N386" s="1" t="str">
        <f t="shared" si="74"/>
        <v>SOPORTE</v>
      </c>
      <c r="O386" s="3">
        <f t="shared" si="78"/>
        <v>45911.603654664352</v>
      </c>
      <c r="P386" s="3">
        <f t="shared" si="79"/>
        <v>45915.44311763889</v>
      </c>
      <c r="Q386" s="1" t="str">
        <f t="shared" si="75"/>
        <v>Externo</v>
      </c>
      <c r="R386" s="1">
        <f t="shared" si="80"/>
        <v>37</v>
      </c>
      <c r="S386" s="6">
        <f t="shared" si="81"/>
        <v>45908</v>
      </c>
      <c r="T386" s="1">
        <f t="shared" si="82"/>
        <v>38</v>
      </c>
      <c r="U386" s="6">
        <f t="shared" si="83"/>
        <v>45915</v>
      </c>
      <c r="V386" s="1">
        <f t="shared" si="84"/>
        <v>3.8394629745380371</v>
      </c>
      <c r="W386" s="1">
        <f t="shared" si="85"/>
        <v>2025</v>
      </c>
      <c r="X386" s="1">
        <f t="shared" si="86"/>
        <v>2025</v>
      </c>
      <c r="Y386" s="1" t="str">
        <f t="shared" si="76"/>
        <v>2025-09</v>
      </c>
      <c r="Z386" s="1" t="str">
        <f t="shared" si="77"/>
        <v>2025-09</v>
      </c>
    </row>
    <row r="387" spans="1:26" x14ac:dyDescent="0.2">
      <c r="A387" s="1" t="s">
        <v>902</v>
      </c>
      <c r="B387" s="1" t="s">
        <v>903</v>
      </c>
      <c r="C387" s="1" t="s">
        <v>13</v>
      </c>
      <c r="D387" s="3">
        <v>45912.380503622684</v>
      </c>
      <c r="E387" s="3">
        <v>45917.432480347219</v>
      </c>
      <c r="F387" s="1" t="s">
        <v>52</v>
      </c>
      <c r="G387" s="1" t="s">
        <v>21</v>
      </c>
      <c r="H387" s="1" t="s">
        <v>468</v>
      </c>
      <c r="I387" s="1" t="s">
        <v>18</v>
      </c>
      <c r="J387" s="1" t="s">
        <v>16</v>
      </c>
      <c r="K387" s="1" t="s">
        <v>15</v>
      </c>
      <c r="L387" s="1" t="s">
        <v>13</v>
      </c>
      <c r="M387" s="1" t="s">
        <v>1163</v>
      </c>
      <c r="N387" s="1" t="str">
        <f t="shared" ref="N387:N450" si="87">G387</f>
        <v>SOPORTE</v>
      </c>
      <c r="O387" s="3">
        <f t="shared" si="78"/>
        <v>45912.380503622684</v>
      </c>
      <c r="P387" s="3">
        <f t="shared" si="79"/>
        <v>45917.432480347219</v>
      </c>
      <c r="Q387" s="1" t="str">
        <f t="shared" ref="Q387:Q450" si="88">IF(OR(N387="Soporte",N387="Definición",N387="Origen"),"Externo",
IF(OR(N387="Funcional",N387="Técnico",N387="Desarrollo",N387="Reproceso"),"Interno",
IF(OR(N387="",N387="Selecciona (SOPORTE/DEFINICIÓN/FUNCIONAL/TÉCNICO/DESARROLLO)"),"Pendiente clasificar","")))</f>
        <v>Externo</v>
      </c>
      <c r="R387" s="1">
        <f t="shared" si="80"/>
        <v>37</v>
      </c>
      <c r="S387" s="6">
        <f t="shared" si="81"/>
        <v>45908</v>
      </c>
      <c r="T387" s="1">
        <f t="shared" si="82"/>
        <v>38</v>
      </c>
      <c r="U387" s="6">
        <f t="shared" si="83"/>
        <v>45915</v>
      </c>
      <c r="V387" s="1">
        <f t="shared" si="84"/>
        <v>5.0519767245350522</v>
      </c>
      <c r="W387" s="1">
        <f t="shared" si="85"/>
        <v>2025</v>
      </c>
      <c r="X387" s="1">
        <f t="shared" si="86"/>
        <v>2025</v>
      </c>
      <c r="Y387" s="1" t="str">
        <f t="shared" ref="Y387:Y417" si="89">(TEXT(S387,"aaaa-mm"))</f>
        <v>2025-09</v>
      </c>
      <c r="Z387" s="1" t="str">
        <f t="shared" ref="Z387:Z417" si="90">(TEXT(U387,"aaaa-mm"))</f>
        <v>2025-09</v>
      </c>
    </row>
    <row r="388" spans="1:26" x14ac:dyDescent="0.2">
      <c r="A388" s="1" t="s">
        <v>904</v>
      </c>
      <c r="B388" s="1" t="s">
        <v>905</v>
      </c>
      <c r="C388" s="1" t="s">
        <v>83</v>
      </c>
      <c r="D388" s="3">
        <v>45912.442836249997</v>
      </c>
      <c r="E388" s="3">
        <v>45930.440383310182</v>
      </c>
      <c r="F388" s="1" t="s">
        <v>52</v>
      </c>
      <c r="G388" s="1" t="s">
        <v>21</v>
      </c>
      <c r="H388" s="1" t="s">
        <v>13</v>
      </c>
      <c r="I388" s="1" t="s">
        <v>18</v>
      </c>
      <c r="J388" s="1" t="s">
        <v>16</v>
      </c>
      <c r="K388" s="1" t="s">
        <v>15</v>
      </c>
      <c r="L388" s="1" t="s">
        <v>13</v>
      </c>
      <c r="M388" s="1" t="s">
        <v>1163</v>
      </c>
      <c r="N388" s="1" t="str">
        <f t="shared" si="87"/>
        <v>SOPORTE</v>
      </c>
      <c r="O388" s="3">
        <f t="shared" si="78"/>
        <v>45912.442836249997</v>
      </c>
      <c r="P388" s="3">
        <f t="shared" si="79"/>
        <v>45930.440383310182</v>
      </c>
      <c r="Q388" s="1" t="str">
        <f t="shared" si="88"/>
        <v>Externo</v>
      </c>
      <c r="R388" s="1">
        <f t="shared" si="80"/>
        <v>37</v>
      </c>
      <c r="S388" s="6">
        <f t="shared" si="81"/>
        <v>45908</v>
      </c>
      <c r="T388" s="1">
        <f t="shared" si="82"/>
        <v>40</v>
      </c>
      <c r="U388" s="6">
        <f t="shared" si="83"/>
        <v>45929</v>
      </c>
      <c r="V388" s="1">
        <f t="shared" si="84"/>
        <v>17.997547060185752</v>
      </c>
      <c r="W388" s="1">
        <f t="shared" si="85"/>
        <v>2025</v>
      </c>
      <c r="X388" s="1">
        <f t="shared" si="86"/>
        <v>2025</v>
      </c>
      <c r="Y388" s="1" t="str">
        <f t="shared" si="89"/>
        <v>2025-09</v>
      </c>
      <c r="Z388" s="1" t="str">
        <f t="shared" si="90"/>
        <v>2025-09</v>
      </c>
    </row>
    <row r="389" spans="1:26" x14ac:dyDescent="0.2">
      <c r="A389" s="1" t="s">
        <v>906</v>
      </c>
      <c r="B389" s="1" t="s">
        <v>907</v>
      </c>
      <c r="C389" s="1" t="s">
        <v>78</v>
      </c>
      <c r="D389" s="3">
        <v>45915.58758806713</v>
      </c>
      <c r="E389" s="3">
        <v>45917.682670289352</v>
      </c>
      <c r="F389" s="1" t="s">
        <v>52</v>
      </c>
      <c r="G389" s="1" t="s">
        <v>21</v>
      </c>
      <c r="H389" s="1" t="s">
        <v>13</v>
      </c>
      <c r="I389" s="1" t="s">
        <v>18</v>
      </c>
      <c r="J389" s="1" t="s">
        <v>16</v>
      </c>
      <c r="K389" s="1" t="s">
        <v>15</v>
      </c>
      <c r="L389" s="1" t="s">
        <v>13</v>
      </c>
      <c r="M389" s="1" t="s">
        <v>1163</v>
      </c>
      <c r="N389" s="1" t="str">
        <f t="shared" si="87"/>
        <v>SOPORTE</v>
      </c>
      <c r="O389" s="3">
        <f t="shared" si="78"/>
        <v>45915.58758806713</v>
      </c>
      <c r="P389" s="3">
        <f t="shared" si="79"/>
        <v>45917.682670289352</v>
      </c>
      <c r="Q389" s="1" t="str">
        <f t="shared" si="88"/>
        <v>Externo</v>
      </c>
      <c r="R389" s="1">
        <f t="shared" si="80"/>
        <v>38</v>
      </c>
      <c r="S389" s="6">
        <f t="shared" si="81"/>
        <v>45915</v>
      </c>
      <c r="T389" s="1">
        <f t="shared" si="82"/>
        <v>38</v>
      </c>
      <c r="U389" s="6">
        <f t="shared" si="83"/>
        <v>45915</v>
      </c>
      <c r="V389" s="1">
        <f t="shared" si="84"/>
        <v>2.0950822222221177</v>
      </c>
      <c r="W389" s="1">
        <f t="shared" si="85"/>
        <v>2025</v>
      </c>
      <c r="X389" s="1">
        <f t="shared" si="86"/>
        <v>2025</v>
      </c>
      <c r="Y389" s="1" t="str">
        <f t="shared" si="89"/>
        <v>2025-09</v>
      </c>
      <c r="Z389" s="1" t="str">
        <f t="shared" si="90"/>
        <v>2025-09</v>
      </c>
    </row>
    <row r="390" spans="1:26" x14ac:dyDescent="0.2">
      <c r="A390" s="1" t="s">
        <v>908</v>
      </c>
      <c r="B390" s="1" t="s">
        <v>909</v>
      </c>
      <c r="C390" s="1" t="s">
        <v>83</v>
      </c>
      <c r="D390" s="3">
        <v>45916.464944317129</v>
      </c>
      <c r="E390" s="3">
        <v>45959.37177208333</v>
      </c>
      <c r="F390" s="1" t="s">
        <v>52</v>
      </c>
      <c r="G390" s="1" t="s">
        <v>21</v>
      </c>
      <c r="H390" s="1" t="s">
        <v>468</v>
      </c>
      <c r="I390" s="1" t="s">
        <v>18</v>
      </c>
      <c r="J390" s="1" t="s">
        <v>16</v>
      </c>
      <c r="K390" s="1" t="s">
        <v>15</v>
      </c>
      <c r="L390" s="1" t="s">
        <v>13</v>
      </c>
      <c r="M390" s="1" t="s">
        <v>1163</v>
      </c>
      <c r="N390" s="1" t="str">
        <f t="shared" si="87"/>
        <v>SOPORTE</v>
      </c>
      <c r="O390" s="3">
        <f t="shared" ref="O390:O406" si="91">D390</f>
        <v>45916.464944317129</v>
      </c>
      <c r="P390" s="3">
        <f t="shared" ref="P390:P406" si="92">E390</f>
        <v>45959.37177208333</v>
      </c>
      <c r="Q390" s="1" t="str">
        <f t="shared" si="88"/>
        <v>Externo</v>
      </c>
      <c r="R390" s="1">
        <f t="shared" ref="R390:R406" si="93">WEEKNUM(O390,1)</f>
        <v>38</v>
      </c>
      <c r="S390" s="6">
        <f t="shared" ref="S390:S406" si="94">DATE(W390,1,4) + (R390-1)*7 - WEEKDAY(DATE(W390,1,4),2) +1</f>
        <v>45915</v>
      </c>
      <c r="T390" s="1">
        <f t="shared" ref="T390:T406" si="95">WEEKNUM(P390,1)</f>
        <v>44</v>
      </c>
      <c r="U390" s="6">
        <f t="shared" ref="U390:U406" si="96">DATE(X390,1,4) + (T390-1)*7 - WEEKDAY(DATE(X390,1,4),2) +1</f>
        <v>45957</v>
      </c>
      <c r="V390" s="1">
        <f t="shared" ref="V390:V406" si="97">ABS(P390-O390)</f>
        <v>42.906827766200877</v>
      </c>
      <c r="W390" s="1">
        <f t="shared" ref="W390:W406" si="98">YEAR(O390)</f>
        <v>2025</v>
      </c>
      <c r="X390" s="1">
        <f t="shared" ref="X390:X406" si="99">YEAR(P390)</f>
        <v>2025</v>
      </c>
      <c r="Y390" s="1" t="str">
        <f t="shared" si="89"/>
        <v>2025-09</v>
      </c>
      <c r="Z390" s="1" t="str">
        <f t="shared" si="90"/>
        <v>2025-10</v>
      </c>
    </row>
    <row r="391" spans="1:26" x14ac:dyDescent="0.2">
      <c r="A391" s="1" t="s">
        <v>910</v>
      </c>
      <c r="B391" s="1" t="s">
        <v>911</v>
      </c>
      <c r="C391" s="1" t="s">
        <v>78</v>
      </c>
      <c r="D391" s="3">
        <v>45916.518874456022</v>
      </c>
      <c r="E391" s="3">
        <v>45917.683049120373</v>
      </c>
      <c r="F391" s="1" t="s">
        <v>52</v>
      </c>
      <c r="G391" s="1" t="s">
        <v>21</v>
      </c>
      <c r="H391" s="1" t="s">
        <v>13</v>
      </c>
      <c r="I391" s="1" t="s">
        <v>18</v>
      </c>
      <c r="J391" s="1" t="s">
        <v>16</v>
      </c>
      <c r="K391" s="1" t="s">
        <v>15</v>
      </c>
      <c r="L391" s="1" t="s">
        <v>13</v>
      </c>
      <c r="M391" s="1" t="s">
        <v>1163</v>
      </c>
      <c r="N391" s="1" t="str">
        <f t="shared" si="87"/>
        <v>SOPORTE</v>
      </c>
      <c r="O391" s="3">
        <f t="shared" si="91"/>
        <v>45916.518874456022</v>
      </c>
      <c r="P391" s="3">
        <f t="shared" si="92"/>
        <v>45917.683049120373</v>
      </c>
      <c r="Q391" s="1" t="str">
        <f t="shared" si="88"/>
        <v>Externo</v>
      </c>
      <c r="R391" s="1">
        <f t="shared" si="93"/>
        <v>38</v>
      </c>
      <c r="S391" s="6">
        <f t="shared" si="94"/>
        <v>45915</v>
      </c>
      <c r="T391" s="1">
        <f t="shared" si="95"/>
        <v>38</v>
      </c>
      <c r="U391" s="6">
        <f t="shared" si="96"/>
        <v>45915</v>
      </c>
      <c r="V391" s="1">
        <f t="shared" si="97"/>
        <v>1.1641746643508668</v>
      </c>
      <c r="W391" s="1">
        <f t="shared" si="98"/>
        <v>2025</v>
      </c>
      <c r="X391" s="1">
        <f t="shared" si="99"/>
        <v>2025</v>
      </c>
      <c r="Y391" s="1" t="str">
        <f t="shared" si="89"/>
        <v>2025-09</v>
      </c>
      <c r="Z391" s="1" t="str">
        <f t="shared" si="90"/>
        <v>2025-09</v>
      </c>
    </row>
    <row r="392" spans="1:26" x14ac:dyDescent="0.2">
      <c r="A392" s="1" t="s">
        <v>912</v>
      </c>
      <c r="B392" s="1" t="s">
        <v>913</v>
      </c>
      <c r="C392" s="1" t="s">
        <v>58</v>
      </c>
      <c r="D392" s="3">
        <v>45916.523483553239</v>
      </c>
      <c r="E392" s="3">
        <v>45922.688264814817</v>
      </c>
      <c r="F392" s="1" t="s">
        <v>52</v>
      </c>
      <c r="G392" s="1" t="s">
        <v>12</v>
      </c>
      <c r="H392" s="1" t="s">
        <v>13</v>
      </c>
      <c r="I392" s="1" t="s">
        <v>18</v>
      </c>
      <c r="J392" s="1" t="s">
        <v>16</v>
      </c>
      <c r="K392" s="1" t="s">
        <v>15</v>
      </c>
      <c r="L392" s="1" t="s">
        <v>13</v>
      </c>
      <c r="M392" s="1" t="s">
        <v>1163</v>
      </c>
      <c r="N392" s="1" t="str">
        <f t="shared" si="87"/>
        <v>DESARROLLO</v>
      </c>
      <c r="O392" s="3">
        <f t="shared" si="91"/>
        <v>45916.523483553239</v>
      </c>
      <c r="P392" s="3">
        <f t="shared" si="92"/>
        <v>45922.688264814817</v>
      </c>
      <c r="Q392" s="1" t="str">
        <f t="shared" si="88"/>
        <v>Interno</v>
      </c>
      <c r="R392" s="1">
        <f t="shared" si="93"/>
        <v>38</v>
      </c>
      <c r="S392" s="6">
        <f t="shared" si="94"/>
        <v>45915</v>
      </c>
      <c r="T392" s="1">
        <f t="shared" si="95"/>
        <v>39</v>
      </c>
      <c r="U392" s="6">
        <f t="shared" si="96"/>
        <v>45922</v>
      </c>
      <c r="V392" s="1">
        <f t="shared" si="97"/>
        <v>6.1647812615774455</v>
      </c>
      <c r="W392" s="1">
        <f t="shared" si="98"/>
        <v>2025</v>
      </c>
      <c r="X392" s="1">
        <f t="shared" si="99"/>
        <v>2025</v>
      </c>
      <c r="Y392" s="1" t="str">
        <f t="shared" si="89"/>
        <v>2025-09</v>
      </c>
      <c r="Z392" s="1" t="str">
        <f t="shared" si="90"/>
        <v>2025-09</v>
      </c>
    </row>
    <row r="393" spans="1:26" x14ac:dyDescent="0.2">
      <c r="A393" s="1" t="s">
        <v>914</v>
      </c>
      <c r="B393" s="1" t="s">
        <v>915</v>
      </c>
      <c r="C393" s="1" t="s">
        <v>127</v>
      </c>
      <c r="D393" s="3">
        <v>45917.495187986111</v>
      </c>
      <c r="E393" s="1" t="s">
        <v>13</v>
      </c>
      <c r="F393" s="1" t="s">
        <v>52</v>
      </c>
      <c r="G393" s="1" t="s">
        <v>21</v>
      </c>
      <c r="H393" s="1" t="s">
        <v>468</v>
      </c>
      <c r="I393" s="1" t="s">
        <v>18</v>
      </c>
      <c r="J393" s="1" t="s">
        <v>16</v>
      </c>
      <c r="K393" s="1" t="s">
        <v>23</v>
      </c>
      <c r="L393" s="1" t="s">
        <v>13</v>
      </c>
      <c r="M393" s="1" t="s">
        <v>1163</v>
      </c>
      <c r="N393" s="1" t="str">
        <f t="shared" si="87"/>
        <v>SOPORTE</v>
      </c>
      <c r="O393" s="3">
        <f t="shared" si="91"/>
        <v>45917.495187986111</v>
      </c>
      <c r="P393" s="3" t="str">
        <f t="shared" si="92"/>
        <v/>
      </c>
      <c r="Q393" s="1" t="str">
        <f t="shared" si="88"/>
        <v>Externo</v>
      </c>
      <c r="R393" s="1">
        <f t="shared" si="93"/>
        <v>38</v>
      </c>
      <c r="S393" s="6">
        <f t="shared" si="94"/>
        <v>45915</v>
      </c>
      <c r="T393" s="1" t="e">
        <f t="shared" si="95"/>
        <v>#VALUE!</v>
      </c>
      <c r="U393" s="6" t="e">
        <f t="shared" si="96"/>
        <v>#VALUE!</v>
      </c>
      <c r="V393" s="1" t="e">
        <f t="shared" si="97"/>
        <v>#VALUE!</v>
      </c>
      <c r="W393" s="1">
        <f t="shared" si="98"/>
        <v>2025</v>
      </c>
      <c r="X393" s="1" t="e">
        <f t="shared" si="99"/>
        <v>#VALUE!</v>
      </c>
      <c r="Y393" s="1" t="str">
        <f t="shared" si="89"/>
        <v>2025-09</v>
      </c>
      <c r="Z393" s="1" t="e">
        <f t="shared" si="90"/>
        <v>#VALUE!</v>
      </c>
    </row>
    <row r="394" spans="1:26" x14ac:dyDescent="0.2">
      <c r="A394" s="1" t="s">
        <v>916</v>
      </c>
      <c r="B394" s="1" t="s">
        <v>917</v>
      </c>
      <c r="C394" s="1" t="s">
        <v>13</v>
      </c>
      <c r="D394" s="3">
        <v>45917.554272824076</v>
      </c>
      <c r="E394" s="1" t="s">
        <v>13</v>
      </c>
      <c r="F394" s="1" t="s">
        <v>52</v>
      </c>
      <c r="G394" s="1" t="s">
        <v>21</v>
      </c>
      <c r="H394" s="1" t="s">
        <v>1050</v>
      </c>
      <c r="I394" s="1" t="s">
        <v>18</v>
      </c>
      <c r="J394" s="1" t="s">
        <v>16</v>
      </c>
      <c r="K394" s="1" t="s">
        <v>23</v>
      </c>
      <c r="L394" s="1" t="s">
        <v>13</v>
      </c>
      <c r="M394" s="1" t="s">
        <v>1163</v>
      </c>
      <c r="N394" s="1" t="str">
        <f t="shared" si="87"/>
        <v>SOPORTE</v>
      </c>
      <c r="O394" s="3">
        <f t="shared" si="91"/>
        <v>45917.554272824076</v>
      </c>
      <c r="P394" s="3" t="str">
        <f t="shared" si="92"/>
        <v/>
      </c>
      <c r="Q394" s="1" t="str">
        <f t="shared" si="88"/>
        <v>Externo</v>
      </c>
      <c r="R394" s="1">
        <f t="shared" si="93"/>
        <v>38</v>
      </c>
      <c r="S394" s="6">
        <f t="shared" si="94"/>
        <v>45915</v>
      </c>
      <c r="T394" s="1" t="e">
        <f t="shared" si="95"/>
        <v>#VALUE!</v>
      </c>
      <c r="U394" s="6" t="e">
        <f t="shared" si="96"/>
        <v>#VALUE!</v>
      </c>
      <c r="V394" s="1" t="e">
        <f t="shared" si="97"/>
        <v>#VALUE!</v>
      </c>
      <c r="W394" s="1">
        <f t="shared" si="98"/>
        <v>2025</v>
      </c>
      <c r="X394" s="1" t="e">
        <f t="shared" si="99"/>
        <v>#VALUE!</v>
      </c>
      <c r="Y394" s="1" t="str">
        <f t="shared" si="89"/>
        <v>2025-09</v>
      </c>
      <c r="Z394" s="1" t="e">
        <f t="shared" si="90"/>
        <v>#VALUE!</v>
      </c>
    </row>
    <row r="395" spans="1:26" x14ac:dyDescent="0.2">
      <c r="A395" s="1" t="s">
        <v>918</v>
      </c>
      <c r="B395" s="1" t="s">
        <v>919</v>
      </c>
      <c r="C395" s="1" t="s">
        <v>83</v>
      </c>
      <c r="D395" s="3">
        <v>45917.637111307871</v>
      </c>
      <c r="E395" s="3">
        <v>45930.441518541666</v>
      </c>
      <c r="F395" s="1" t="s">
        <v>52</v>
      </c>
      <c r="G395" s="1" t="s">
        <v>21</v>
      </c>
      <c r="H395" s="1" t="s">
        <v>468</v>
      </c>
      <c r="I395" s="1" t="s">
        <v>18</v>
      </c>
      <c r="J395" s="1" t="s">
        <v>16</v>
      </c>
      <c r="K395" s="1" t="s">
        <v>15</v>
      </c>
      <c r="L395" s="1" t="s">
        <v>13</v>
      </c>
      <c r="M395" s="1" t="s">
        <v>1163</v>
      </c>
      <c r="N395" s="1" t="str">
        <f t="shared" si="87"/>
        <v>SOPORTE</v>
      </c>
      <c r="O395" s="3">
        <f t="shared" si="91"/>
        <v>45917.637111307871</v>
      </c>
      <c r="P395" s="3">
        <f t="shared" si="92"/>
        <v>45930.441518541666</v>
      </c>
      <c r="Q395" s="1" t="str">
        <f t="shared" si="88"/>
        <v>Externo</v>
      </c>
      <c r="R395" s="1">
        <f t="shared" si="93"/>
        <v>38</v>
      </c>
      <c r="S395" s="6">
        <f t="shared" si="94"/>
        <v>45915</v>
      </c>
      <c r="T395" s="1">
        <f t="shared" si="95"/>
        <v>40</v>
      </c>
      <c r="U395" s="6">
        <f t="shared" si="96"/>
        <v>45929</v>
      </c>
      <c r="V395" s="1">
        <f t="shared" si="97"/>
        <v>12.804407233794336</v>
      </c>
      <c r="W395" s="1">
        <f t="shared" si="98"/>
        <v>2025</v>
      </c>
      <c r="X395" s="1">
        <f t="shared" si="99"/>
        <v>2025</v>
      </c>
      <c r="Y395" s="1" t="str">
        <f t="shared" si="89"/>
        <v>2025-09</v>
      </c>
      <c r="Z395" s="1" t="str">
        <f t="shared" si="90"/>
        <v>2025-09</v>
      </c>
    </row>
    <row r="396" spans="1:26" x14ac:dyDescent="0.2">
      <c r="A396" s="1" t="s">
        <v>920</v>
      </c>
      <c r="B396" s="1" t="s">
        <v>921</v>
      </c>
      <c r="C396" s="1" t="s">
        <v>83</v>
      </c>
      <c r="D396" s="3">
        <v>45919.419877245367</v>
      </c>
      <c r="E396" s="3">
        <v>45923.523389513888</v>
      </c>
      <c r="F396" s="1" t="s">
        <v>52</v>
      </c>
      <c r="G396" s="1" t="s">
        <v>21</v>
      </c>
      <c r="H396" s="1" t="s">
        <v>468</v>
      </c>
      <c r="I396" s="1" t="s">
        <v>18</v>
      </c>
      <c r="J396" s="1" t="s">
        <v>16</v>
      </c>
      <c r="K396" s="1" t="s">
        <v>15</v>
      </c>
      <c r="L396" s="1" t="s">
        <v>13</v>
      </c>
      <c r="M396" s="1" t="s">
        <v>1163</v>
      </c>
      <c r="N396" s="1" t="str">
        <f t="shared" si="87"/>
        <v>SOPORTE</v>
      </c>
      <c r="O396" s="3">
        <f t="shared" si="91"/>
        <v>45919.419877245367</v>
      </c>
      <c r="P396" s="3">
        <f t="shared" si="92"/>
        <v>45923.523389513888</v>
      </c>
      <c r="Q396" s="1" t="str">
        <f t="shared" si="88"/>
        <v>Externo</v>
      </c>
      <c r="R396" s="1">
        <f t="shared" si="93"/>
        <v>38</v>
      </c>
      <c r="S396" s="6">
        <f t="shared" si="94"/>
        <v>45915</v>
      </c>
      <c r="T396" s="1">
        <f t="shared" si="95"/>
        <v>39</v>
      </c>
      <c r="U396" s="6">
        <f t="shared" si="96"/>
        <v>45922</v>
      </c>
      <c r="V396" s="1">
        <f t="shared" si="97"/>
        <v>4.103512268520717</v>
      </c>
      <c r="W396" s="1">
        <f t="shared" si="98"/>
        <v>2025</v>
      </c>
      <c r="X396" s="1">
        <f t="shared" si="99"/>
        <v>2025</v>
      </c>
      <c r="Y396" s="1" t="str">
        <f t="shared" si="89"/>
        <v>2025-09</v>
      </c>
      <c r="Z396" s="1" t="str">
        <f t="shared" si="90"/>
        <v>2025-09</v>
      </c>
    </row>
    <row r="397" spans="1:26" x14ac:dyDescent="0.2">
      <c r="A397" s="1" t="s">
        <v>922</v>
      </c>
      <c r="B397" s="1" t="s">
        <v>923</v>
      </c>
      <c r="C397" s="1" t="s">
        <v>127</v>
      </c>
      <c r="D397" s="3">
        <v>45922.365116215275</v>
      </c>
      <c r="E397" s="3">
        <v>45923.685687534722</v>
      </c>
      <c r="F397" s="1" t="s">
        <v>52</v>
      </c>
      <c r="G397" s="1" t="s">
        <v>21</v>
      </c>
      <c r="H397" s="1" t="s">
        <v>13</v>
      </c>
      <c r="I397" s="1" t="s">
        <v>18</v>
      </c>
      <c r="J397" s="1" t="s">
        <v>16</v>
      </c>
      <c r="K397" s="1" t="s">
        <v>15</v>
      </c>
      <c r="L397" s="1" t="s">
        <v>13</v>
      </c>
      <c r="M397" s="1" t="s">
        <v>1163</v>
      </c>
      <c r="N397" s="1" t="str">
        <f t="shared" si="87"/>
        <v>SOPORTE</v>
      </c>
      <c r="O397" s="3">
        <f t="shared" si="91"/>
        <v>45922.365116215275</v>
      </c>
      <c r="P397" s="3">
        <f t="shared" si="92"/>
        <v>45923.685687534722</v>
      </c>
      <c r="Q397" s="1" t="str">
        <f t="shared" si="88"/>
        <v>Externo</v>
      </c>
      <c r="R397" s="1">
        <f t="shared" si="93"/>
        <v>39</v>
      </c>
      <c r="S397" s="6">
        <f t="shared" si="94"/>
        <v>45922</v>
      </c>
      <c r="T397" s="1">
        <f t="shared" si="95"/>
        <v>39</v>
      </c>
      <c r="U397" s="6">
        <f t="shared" si="96"/>
        <v>45922</v>
      </c>
      <c r="V397" s="1">
        <f t="shared" si="97"/>
        <v>1.3205713194474811</v>
      </c>
      <c r="W397" s="1">
        <f t="shared" si="98"/>
        <v>2025</v>
      </c>
      <c r="X397" s="1">
        <f t="shared" si="99"/>
        <v>2025</v>
      </c>
      <c r="Y397" s="1" t="str">
        <f t="shared" si="89"/>
        <v>2025-09</v>
      </c>
      <c r="Z397" s="1" t="str">
        <f t="shared" si="90"/>
        <v>2025-09</v>
      </c>
    </row>
    <row r="398" spans="1:26" x14ac:dyDescent="0.2">
      <c r="A398" s="1" t="s">
        <v>924</v>
      </c>
      <c r="B398" s="1" t="s">
        <v>925</v>
      </c>
      <c r="C398" s="1" t="s">
        <v>13</v>
      </c>
      <c r="D398" s="3">
        <v>45922.413844861112</v>
      </c>
      <c r="E398" s="3">
        <v>45922.41526966435</v>
      </c>
      <c r="F398" s="1" t="s">
        <v>52</v>
      </c>
      <c r="G398" s="1" t="s">
        <v>21</v>
      </c>
      <c r="H398" s="1" t="s">
        <v>13</v>
      </c>
      <c r="I398" s="1" t="s">
        <v>18</v>
      </c>
      <c r="J398" s="1" t="s">
        <v>16</v>
      </c>
      <c r="K398" s="1" t="s">
        <v>15</v>
      </c>
      <c r="L398" s="1" t="s">
        <v>13</v>
      </c>
      <c r="M398" s="1" t="s">
        <v>1163</v>
      </c>
      <c r="N398" s="1" t="str">
        <f t="shared" si="87"/>
        <v>SOPORTE</v>
      </c>
      <c r="O398" s="3">
        <f t="shared" si="91"/>
        <v>45922.413844861112</v>
      </c>
      <c r="P398" s="3">
        <f t="shared" si="92"/>
        <v>45922.41526966435</v>
      </c>
      <c r="Q398" s="1" t="str">
        <f t="shared" si="88"/>
        <v>Externo</v>
      </c>
      <c r="R398" s="1">
        <f t="shared" si="93"/>
        <v>39</v>
      </c>
      <c r="S398" s="6">
        <f t="shared" si="94"/>
        <v>45922</v>
      </c>
      <c r="T398" s="1">
        <f t="shared" si="95"/>
        <v>39</v>
      </c>
      <c r="U398" s="6">
        <f t="shared" si="96"/>
        <v>45922</v>
      </c>
      <c r="V398" s="1">
        <f t="shared" si="97"/>
        <v>1.4248032384784892E-3</v>
      </c>
      <c r="W398" s="1">
        <f t="shared" si="98"/>
        <v>2025</v>
      </c>
      <c r="X398" s="1">
        <f t="shared" si="99"/>
        <v>2025</v>
      </c>
      <c r="Y398" s="1" t="str">
        <f t="shared" si="89"/>
        <v>2025-09</v>
      </c>
      <c r="Z398" s="1" t="str">
        <f t="shared" si="90"/>
        <v>2025-09</v>
      </c>
    </row>
    <row r="399" spans="1:26" x14ac:dyDescent="0.2">
      <c r="A399" s="1" t="s">
        <v>926</v>
      </c>
      <c r="B399" s="1" t="s">
        <v>927</v>
      </c>
      <c r="C399" s="1" t="s">
        <v>109</v>
      </c>
      <c r="D399" s="3">
        <v>45922.675232893518</v>
      </c>
      <c r="E399" s="3">
        <v>45922.711606724537</v>
      </c>
      <c r="F399" s="1" t="s">
        <v>52</v>
      </c>
      <c r="G399" s="1" t="s">
        <v>20</v>
      </c>
      <c r="H399" s="1" t="s">
        <v>13</v>
      </c>
      <c r="I399" s="1" t="s">
        <v>18</v>
      </c>
      <c r="J399" s="1" t="s">
        <v>16</v>
      </c>
      <c r="K399" s="1" t="s">
        <v>15</v>
      </c>
      <c r="L399" s="1" t="s">
        <v>13</v>
      </c>
      <c r="M399" s="1" t="s">
        <v>1163</v>
      </c>
      <c r="N399" s="1" t="str">
        <f t="shared" si="87"/>
        <v>FUNCIONAL</v>
      </c>
      <c r="O399" s="3">
        <f t="shared" si="91"/>
        <v>45922.675232893518</v>
      </c>
      <c r="P399" s="3">
        <f t="shared" si="92"/>
        <v>45922.711606724537</v>
      </c>
      <c r="Q399" s="1" t="str">
        <f t="shared" si="88"/>
        <v>Interno</v>
      </c>
      <c r="R399" s="1">
        <f t="shared" si="93"/>
        <v>39</v>
      </c>
      <c r="S399" s="6">
        <f t="shared" si="94"/>
        <v>45922</v>
      </c>
      <c r="T399" s="1">
        <f t="shared" si="95"/>
        <v>39</v>
      </c>
      <c r="U399" s="6">
        <f t="shared" si="96"/>
        <v>45922</v>
      </c>
      <c r="V399" s="1">
        <f t="shared" si="97"/>
        <v>3.6373831018863712E-2</v>
      </c>
      <c r="W399" s="1">
        <f t="shared" si="98"/>
        <v>2025</v>
      </c>
      <c r="X399" s="1">
        <f t="shared" si="99"/>
        <v>2025</v>
      </c>
      <c r="Y399" s="1" t="str">
        <f t="shared" si="89"/>
        <v>2025-09</v>
      </c>
      <c r="Z399" s="1" t="str">
        <f t="shared" si="90"/>
        <v>2025-09</v>
      </c>
    </row>
    <row r="400" spans="1:26" x14ac:dyDescent="0.2">
      <c r="A400" s="1" t="s">
        <v>928</v>
      </c>
      <c r="B400" s="1" t="s">
        <v>929</v>
      </c>
      <c r="C400" s="1" t="s">
        <v>109</v>
      </c>
      <c r="D400" s="3">
        <v>45923.488001574071</v>
      </c>
      <c r="E400" s="3">
        <v>45924.450007881947</v>
      </c>
      <c r="F400" s="1" t="s">
        <v>52</v>
      </c>
      <c r="G400" s="1" t="s">
        <v>21</v>
      </c>
      <c r="H400" s="1" t="s">
        <v>468</v>
      </c>
      <c r="I400" s="1" t="s">
        <v>18</v>
      </c>
      <c r="J400" s="1" t="s">
        <v>16</v>
      </c>
      <c r="K400" s="1" t="s">
        <v>15</v>
      </c>
      <c r="L400" s="1" t="s">
        <v>13</v>
      </c>
      <c r="M400" s="1" t="s">
        <v>1163</v>
      </c>
      <c r="N400" s="1" t="str">
        <f t="shared" si="87"/>
        <v>SOPORTE</v>
      </c>
      <c r="O400" s="3">
        <f t="shared" si="91"/>
        <v>45923.488001574071</v>
      </c>
      <c r="P400" s="3">
        <f t="shared" si="92"/>
        <v>45924.450007881947</v>
      </c>
      <c r="Q400" s="1" t="str">
        <f t="shared" si="88"/>
        <v>Externo</v>
      </c>
      <c r="R400" s="1">
        <f t="shared" si="93"/>
        <v>39</v>
      </c>
      <c r="S400" s="6">
        <f t="shared" si="94"/>
        <v>45922</v>
      </c>
      <c r="T400" s="1">
        <f t="shared" si="95"/>
        <v>39</v>
      </c>
      <c r="U400" s="6">
        <f t="shared" si="96"/>
        <v>45922</v>
      </c>
      <c r="V400" s="1">
        <f t="shared" si="97"/>
        <v>0.96200630787643604</v>
      </c>
      <c r="W400" s="1">
        <f t="shared" si="98"/>
        <v>2025</v>
      </c>
      <c r="X400" s="1">
        <f t="shared" si="99"/>
        <v>2025</v>
      </c>
      <c r="Y400" s="1" t="str">
        <f t="shared" si="89"/>
        <v>2025-09</v>
      </c>
      <c r="Z400" s="1" t="str">
        <f t="shared" si="90"/>
        <v>2025-09</v>
      </c>
    </row>
    <row r="401" spans="1:26" x14ac:dyDescent="0.2">
      <c r="A401" s="1" t="s">
        <v>930</v>
      </c>
      <c r="B401" s="1" t="s">
        <v>931</v>
      </c>
      <c r="C401" s="1" t="s">
        <v>13</v>
      </c>
      <c r="D401" s="3">
        <v>45923.646264699077</v>
      </c>
      <c r="E401" s="3">
        <v>45932.511856504629</v>
      </c>
      <c r="F401" s="1" t="s">
        <v>52</v>
      </c>
      <c r="G401" s="1" t="s">
        <v>53</v>
      </c>
      <c r="H401" s="1" t="s">
        <v>13</v>
      </c>
      <c r="I401" s="1" t="s">
        <v>18</v>
      </c>
      <c r="J401" s="1" t="s">
        <v>16</v>
      </c>
      <c r="K401" s="1" t="s">
        <v>15</v>
      </c>
      <c r="L401" s="1" t="s">
        <v>13</v>
      </c>
      <c r="M401" s="1" t="s">
        <v>1163</v>
      </c>
      <c r="N401" s="1" t="str">
        <f t="shared" si="87"/>
        <v>TÉCNICO</v>
      </c>
      <c r="O401" s="3">
        <f t="shared" si="91"/>
        <v>45923.646264699077</v>
      </c>
      <c r="P401" s="3">
        <f t="shared" si="92"/>
        <v>45932.511856504629</v>
      </c>
      <c r="Q401" s="1" t="str">
        <f t="shared" si="88"/>
        <v>Interno</v>
      </c>
      <c r="R401" s="1">
        <f t="shared" si="93"/>
        <v>39</v>
      </c>
      <c r="S401" s="6">
        <f t="shared" si="94"/>
        <v>45922</v>
      </c>
      <c r="T401" s="1">
        <f t="shared" si="95"/>
        <v>40</v>
      </c>
      <c r="U401" s="6">
        <f t="shared" si="96"/>
        <v>45929</v>
      </c>
      <c r="V401" s="1">
        <f t="shared" si="97"/>
        <v>8.8655918055519578</v>
      </c>
      <c r="W401" s="1">
        <f t="shared" si="98"/>
        <v>2025</v>
      </c>
      <c r="X401" s="1">
        <f t="shared" si="99"/>
        <v>2025</v>
      </c>
      <c r="Y401" s="1" t="str">
        <f t="shared" si="89"/>
        <v>2025-09</v>
      </c>
      <c r="Z401" s="1" t="str">
        <f t="shared" si="90"/>
        <v>2025-09</v>
      </c>
    </row>
    <row r="402" spans="1:26" x14ac:dyDescent="0.2">
      <c r="A402" s="1" t="s">
        <v>932</v>
      </c>
      <c r="B402" s="1" t="s">
        <v>933</v>
      </c>
      <c r="C402" s="1" t="s">
        <v>13</v>
      </c>
      <c r="D402" s="3">
        <v>45924.426422696757</v>
      </c>
      <c r="E402" s="4">
        <v>45931.403807569448</v>
      </c>
      <c r="F402" s="1" t="s">
        <v>52</v>
      </c>
      <c r="G402" s="1" t="s">
        <v>21</v>
      </c>
      <c r="H402" s="1" t="s">
        <v>635</v>
      </c>
      <c r="I402" s="1" t="s">
        <v>18</v>
      </c>
      <c r="J402" s="1" t="s">
        <v>16</v>
      </c>
      <c r="K402" s="1" t="s">
        <v>15</v>
      </c>
      <c r="L402" s="1" t="s">
        <v>13</v>
      </c>
      <c r="M402" s="1" t="s">
        <v>1163</v>
      </c>
      <c r="N402" s="1" t="str">
        <f t="shared" si="87"/>
        <v>SOPORTE</v>
      </c>
      <c r="O402" s="3">
        <f t="shared" si="91"/>
        <v>45924.426422696757</v>
      </c>
      <c r="P402" s="3">
        <f t="shared" si="92"/>
        <v>45931.403807569448</v>
      </c>
      <c r="Q402" s="1" t="str">
        <f t="shared" si="88"/>
        <v>Externo</v>
      </c>
      <c r="R402" s="1">
        <f t="shared" si="93"/>
        <v>39</v>
      </c>
      <c r="S402" s="6">
        <f t="shared" si="94"/>
        <v>45922</v>
      </c>
      <c r="T402" s="1">
        <f t="shared" si="95"/>
        <v>40</v>
      </c>
      <c r="U402" s="6">
        <f t="shared" si="96"/>
        <v>45929</v>
      </c>
      <c r="V402" s="1">
        <f t="shared" si="97"/>
        <v>6.9773848726908909</v>
      </c>
      <c r="W402" s="1">
        <f t="shared" si="98"/>
        <v>2025</v>
      </c>
      <c r="X402" s="1">
        <f t="shared" si="99"/>
        <v>2025</v>
      </c>
      <c r="Y402" s="1" t="str">
        <f t="shared" si="89"/>
        <v>2025-09</v>
      </c>
      <c r="Z402" s="1" t="str">
        <f t="shared" si="90"/>
        <v>2025-09</v>
      </c>
    </row>
    <row r="403" spans="1:26" x14ac:dyDescent="0.2">
      <c r="A403" s="1" t="s">
        <v>935</v>
      </c>
      <c r="B403" s="1" t="s">
        <v>936</v>
      </c>
      <c r="C403" s="1" t="s">
        <v>13</v>
      </c>
      <c r="D403" s="3">
        <v>45924.513327939814</v>
      </c>
      <c r="E403" s="1" t="s">
        <v>13</v>
      </c>
      <c r="F403" s="1" t="s">
        <v>52</v>
      </c>
      <c r="G403" s="1" t="s">
        <v>21</v>
      </c>
      <c r="H403" s="1" t="s">
        <v>468</v>
      </c>
      <c r="I403" s="1" t="s">
        <v>18</v>
      </c>
      <c r="J403" s="1" t="s">
        <v>16</v>
      </c>
      <c r="K403" s="1" t="s">
        <v>23</v>
      </c>
      <c r="L403" s="1" t="s">
        <v>13</v>
      </c>
      <c r="M403" s="1" t="s">
        <v>1163</v>
      </c>
      <c r="N403" s="1" t="str">
        <f t="shared" si="87"/>
        <v>SOPORTE</v>
      </c>
      <c r="O403" s="3">
        <f t="shared" si="91"/>
        <v>45924.513327939814</v>
      </c>
      <c r="P403" s="3" t="str">
        <f t="shared" si="92"/>
        <v/>
      </c>
      <c r="Q403" s="1" t="str">
        <f t="shared" si="88"/>
        <v>Externo</v>
      </c>
      <c r="R403" s="1">
        <f t="shared" si="93"/>
        <v>39</v>
      </c>
      <c r="S403" s="6">
        <f t="shared" si="94"/>
        <v>45922</v>
      </c>
      <c r="T403" s="1" t="e">
        <f t="shared" si="95"/>
        <v>#VALUE!</v>
      </c>
      <c r="U403" s="6" t="e">
        <f t="shared" si="96"/>
        <v>#VALUE!</v>
      </c>
      <c r="V403" s="1" t="e">
        <f t="shared" si="97"/>
        <v>#VALUE!</v>
      </c>
      <c r="W403" s="1">
        <f t="shared" si="98"/>
        <v>2025</v>
      </c>
      <c r="X403" s="1" t="e">
        <f t="shared" si="99"/>
        <v>#VALUE!</v>
      </c>
      <c r="Y403" s="1" t="str">
        <f t="shared" si="89"/>
        <v>2025-09</v>
      </c>
      <c r="Z403" s="1" t="e">
        <f t="shared" si="90"/>
        <v>#VALUE!</v>
      </c>
    </row>
    <row r="404" spans="1:26" x14ac:dyDescent="0.2">
      <c r="A404" s="1" t="s">
        <v>937</v>
      </c>
      <c r="B404" s="1" t="s">
        <v>938</v>
      </c>
      <c r="C404" s="1" t="s">
        <v>939</v>
      </c>
      <c r="D404" s="3">
        <v>45924.618825925929</v>
      </c>
      <c r="E404" s="3">
        <v>45925.494753171297</v>
      </c>
      <c r="F404" s="1" t="s">
        <v>52</v>
      </c>
      <c r="G404" s="1" t="s">
        <v>21</v>
      </c>
      <c r="H404" s="1" t="s">
        <v>468</v>
      </c>
      <c r="I404" s="1" t="s">
        <v>18</v>
      </c>
      <c r="J404" s="1" t="s">
        <v>16</v>
      </c>
      <c r="K404" s="1" t="s">
        <v>15</v>
      </c>
      <c r="L404" s="1" t="s">
        <v>13</v>
      </c>
      <c r="M404" s="1" t="s">
        <v>1163</v>
      </c>
      <c r="N404" s="1" t="str">
        <f t="shared" si="87"/>
        <v>SOPORTE</v>
      </c>
      <c r="O404" s="3">
        <f t="shared" si="91"/>
        <v>45924.618825925929</v>
      </c>
      <c r="P404" s="3">
        <f t="shared" si="92"/>
        <v>45925.494753171297</v>
      </c>
      <c r="Q404" s="1" t="str">
        <f t="shared" si="88"/>
        <v>Externo</v>
      </c>
      <c r="R404" s="1">
        <f t="shared" si="93"/>
        <v>39</v>
      </c>
      <c r="S404" s="6">
        <f t="shared" si="94"/>
        <v>45922</v>
      </c>
      <c r="T404" s="1">
        <f t="shared" si="95"/>
        <v>39</v>
      </c>
      <c r="U404" s="6">
        <f t="shared" si="96"/>
        <v>45922</v>
      </c>
      <c r="V404" s="1">
        <f t="shared" si="97"/>
        <v>0.87592724536807509</v>
      </c>
      <c r="W404" s="1">
        <f t="shared" si="98"/>
        <v>2025</v>
      </c>
      <c r="X404" s="1">
        <f t="shared" si="99"/>
        <v>2025</v>
      </c>
      <c r="Y404" s="1" t="str">
        <f t="shared" si="89"/>
        <v>2025-09</v>
      </c>
      <c r="Z404" s="1" t="str">
        <f t="shared" si="90"/>
        <v>2025-09</v>
      </c>
    </row>
    <row r="405" spans="1:26" x14ac:dyDescent="0.2">
      <c r="A405" s="1" t="s">
        <v>940</v>
      </c>
      <c r="B405" s="1" t="s">
        <v>941</v>
      </c>
      <c r="C405" s="1" t="s">
        <v>83</v>
      </c>
      <c r="D405" s="3">
        <v>45924.629812129628</v>
      </c>
      <c r="E405" s="3">
        <v>45924.720474490743</v>
      </c>
      <c r="F405" s="1" t="s">
        <v>52</v>
      </c>
      <c r="G405" s="1" t="s">
        <v>12</v>
      </c>
      <c r="H405" s="1" t="s">
        <v>13</v>
      </c>
      <c r="I405" s="1" t="s">
        <v>18</v>
      </c>
      <c r="J405" s="1" t="s">
        <v>16</v>
      </c>
      <c r="K405" s="1" t="s">
        <v>15</v>
      </c>
      <c r="L405" s="1" t="s">
        <v>13</v>
      </c>
      <c r="M405" s="1" t="s">
        <v>1163</v>
      </c>
      <c r="N405" s="1" t="str">
        <f t="shared" si="87"/>
        <v>DESARROLLO</v>
      </c>
      <c r="O405" s="3">
        <f t="shared" si="91"/>
        <v>45924.629812129628</v>
      </c>
      <c r="P405" s="3">
        <f t="shared" si="92"/>
        <v>45924.720474490743</v>
      </c>
      <c r="Q405" s="1" t="str">
        <f t="shared" si="88"/>
        <v>Interno</v>
      </c>
      <c r="R405" s="1">
        <f t="shared" si="93"/>
        <v>39</v>
      </c>
      <c r="S405" s="6">
        <f t="shared" si="94"/>
        <v>45922</v>
      </c>
      <c r="T405" s="1">
        <f t="shared" si="95"/>
        <v>39</v>
      </c>
      <c r="U405" s="6">
        <f t="shared" si="96"/>
        <v>45922</v>
      </c>
      <c r="V405" s="1">
        <f t="shared" si="97"/>
        <v>9.0662361115391832E-2</v>
      </c>
      <c r="W405" s="1">
        <f t="shared" si="98"/>
        <v>2025</v>
      </c>
      <c r="X405" s="1">
        <f t="shared" si="99"/>
        <v>2025</v>
      </c>
      <c r="Y405" s="1" t="str">
        <f t="shared" si="89"/>
        <v>2025-09</v>
      </c>
      <c r="Z405" s="1" t="str">
        <f t="shared" si="90"/>
        <v>2025-09</v>
      </c>
    </row>
    <row r="406" spans="1:26" x14ac:dyDescent="0.2">
      <c r="A406" s="1" t="s">
        <v>944</v>
      </c>
      <c r="B406" s="1" t="s">
        <v>945</v>
      </c>
      <c r="C406" s="1" t="s">
        <v>13</v>
      </c>
      <c r="D406" s="3">
        <v>45925.555116400465</v>
      </c>
      <c r="E406" s="3">
        <v>45926.463819398145</v>
      </c>
      <c r="F406" s="1" t="s">
        <v>52</v>
      </c>
      <c r="G406" s="1" t="s">
        <v>21</v>
      </c>
      <c r="H406" s="1" t="s">
        <v>468</v>
      </c>
      <c r="I406" s="1" t="s">
        <v>18</v>
      </c>
      <c r="J406" s="1" t="s">
        <v>16</v>
      </c>
      <c r="K406" s="1" t="s">
        <v>15</v>
      </c>
      <c r="L406" s="1" t="s">
        <v>13</v>
      </c>
      <c r="M406" s="1" t="s">
        <v>1163</v>
      </c>
      <c r="N406" s="1" t="str">
        <f t="shared" si="87"/>
        <v>SOPORTE</v>
      </c>
      <c r="O406" s="3">
        <f t="shared" si="91"/>
        <v>45925.555116400465</v>
      </c>
      <c r="P406" s="3">
        <f t="shared" si="92"/>
        <v>45926.463819398145</v>
      </c>
      <c r="Q406" s="1" t="str">
        <f t="shared" si="88"/>
        <v>Externo</v>
      </c>
      <c r="R406" s="1">
        <f t="shared" si="93"/>
        <v>39</v>
      </c>
      <c r="S406" s="6">
        <f t="shared" si="94"/>
        <v>45922</v>
      </c>
      <c r="T406" s="1">
        <f t="shared" si="95"/>
        <v>39</v>
      </c>
      <c r="U406" s="6">
        <f t="shared" si="96"/>
        <v>45922</v>
      </c>
      <c r="V406" s="1">
        <f t="shared" si="97"/>
        <v>0.90870299767993856</v>
      </c>
      <c r="W406" s="1">
        <f t="shared" si="98"/>
        <v>2025</v>
      </c>
      <c r="X406" s="1">
        <f t="shared" si="99"/>
        <v>2025</v>
      </c>
      <c r="Y406" s="1" t="str">
        <f t="shared" si="89"/>
        <v>2025-09</v>
      </c>
      <c r="Z406" s="1" t="str">
        <f t="shared" si="90"/>
        <v>2025-09</v>
      </c>
    </row>
    <row r="407" spans="1:26" x14ac:dyDescent="0.2">
      <c r="A407" s="1" t="s">
        <v>946</v>
      </c>
      <c r="B407" s="1" t="s">
        <v>947</v>
      </c>
      <c r="C407" s="1" t="s">
        <v>13</v>
      </c>
      <c r="D407" s="3">
        <v>45925.635076562503</v>
      </c>
      <c r="E407" s="3">
        <v>45926.539965752316</v>
      </c>
      <c r="F407" s="1" t="s">
        <v>52</v>
      </c>
      <c r="G407" s="1" t="s">
        <v>21</v>
      </c>
      <c r="H407" s="1" t="s">
        <v>468</v>
      </c>
      <c r="I407" s="1" t="s">
        <v>18</v>
      </c>
      <c r="J407" s="1" t="s">
        <v>16</v>
      </c>
      <c r="K407" s="1" t="s">
        <v>15</v>
      </c>
      <c r="L407" s="1" t="s">
        <v>13</v>
      </c>
      <c r="M407" s="1" t="s">
        <v>1163</v>
      </c>
      <c r="N407" s="1" t="str">
        <f t="shared" si="87"/>
        <v>SOPORTE</v>
      </c>
      <c r="O407" s="3">
        <f t="shared" ref="O407:O417" si="100">D407</f>
        <v>45925.635076562503</v>
      </c>
      <c r="P407" s="3">
        <f t="shared" ref="P407:P417" si="101">E407</f>
        <v>45926.539965752316</v>
      </c>
      <c r="Q407" s="1" t="str">
        <f t="shared" si="88"/>
        <v>Externo</v>
      </c>
      <c r="R407" s="1">
        <f t="shared" ref="R407:R417" si="102">WEEKNUM(O407,1)</f>
        <v>39</v>
      </c>
      <c r="S407" s="6">
        <f t="shared" ref="S407:S417" si="103">DATE(W407,1,4) + (R407-1)*7 - WEEKDAY(DATE(W407,1,4),2) +1</f>
        <v>45922</v>
      </c>
      <c r="T407" s="1">
        <f t="shared" ref="T407:T417" si="104">WEEKNUM(P407,1)</f>
        <v>39</v>
      </c>
      <c r="U407" s="6">
        <f t="shared" ref="U407:U417" si="105">DATE(X407,1,4) + (T407-1)*7 - WEEKDAY(DATE(X407,1,4),2) +1</f>
        <v>45922</v>
      </c>
      <c r="V407" s="1">
        <f t="shared" ref="V407:V417" si="106">ABS(P407-O407)</f>
        <v>0.9048891898128204</v>
      </c>
      <c r="W407" s="1">
        <f t="shared" ref="W407:W417" si="107">YEAR(O407)</f>
        <v>2025</v>
      </c>
      <c r="X407" s="1">
        <f t="shared" ref="X407:X417" si="108">YEAR(P407)</f>
        <v>2025</v>
      </c>
      <c r="Y407" s="1" t="str">
        <f t="shared" si="89"/>
        <v>2025-09</v>
      </c>
      <c r="Z407" s="1" t="str">
        <f t="shared" si="90"/>
        <v>2025-09</v>
      </c>
    </row>
    <row r="408" spans="1:26" x14ac:dyDescent="0.2">
      <c r="A408" s="1" t="s">
        <v>948</v>
      </c>
      <c r="B408" s="1" t="s">
        <v>949</v>
      </c>
      <c r="C408" s="1" t="s">
        <v>13</v>
      </c>
      <c r="D408" s="3">
        <v>45926.415382071762</v>
      </c>
      <c r="E408" s="3">
        <v>45930.442435381941</v>
      </c>
      <c r="F408" s="1" t="s">
        <v>52</v>
      </c>
      <c r="G408" s="1" t="s">
        <v>21</v>
      </c>
      <c r="H408" s="1" t="s">
        <v>13</v>
      </c>
      <c r="I408" s="1" t="s">
        <v>18</v>
      </c>
      <c r="J408" s="1" t="s">
        <v>16</v>
      </c>
      <c r="K408" s="1" t="s">
        <v>15</v>
      </c>
      <c r="L408" s="1" t="s">
        <v>13</v>
      </c>
      <c r="M408" s="1" t="s">
        <v>1163</v>
      </c>
      <c r="N408" s="1" t="str">
        <f t="shared" si="87"/>
        <v>SOPORTE</v>
      </c>
      <c r="O408" s="3">
        <f t="shared" si="100"/>
        <v>45926.415382071762</v>
      </c>
      <c r="P408" s="3">
        <f t="shared" si="101"/>
        <v>45930.442435381941</v>
      </c>
      <c r="Q408" s="1" t="str">
        <f t="shared" si="88"/>
        <v>Externo</v>
      </c>
      <c r="R408" s="1">
        <f t="shared" si="102"/>
        <v>39</v>
      </c>
      <c r="S408" s="6">
        <f t="shared" si="103"/>
        <v>45922</v>
      </c>
      <c r="T408" s="1">
        <f t="shared" si="104"/>
        <v>40</v>
      </c>
      <c r="U408" s="6">
        <f t="shared" si="105"/>
        <v>45929</v>
      </c>
      <c r="V408" s="1">
        <f t="shared" si="106"/>
        <v>4.0270533101793262</v>
      </c>
      <c r="W408" s="1">
        <f t="shared" si="107"/>
        <v>2025</v>
      </c>
      <c r="X408" s="1">
        <f t="shared" si="108"/>
        <v>2025</v>
      </c>
      <c r="Y408" s="1" t="str">
        <f t="shared" si="89"/>
        <v>2025-09</v>
      </c>
      <c r="Z408" s="1" t="str">
        <f t="shared" si="90"/>
        <v>2025-09</v>
      </c>
    </row>
    <row r="409" spans="1:26" x14ac:dyDescent="0.2">
      <c r="A409" s="1" t="s">
        <v>950</v>
      </c>
      <c r="B409" s="1" t="s">
        <v>951</v>
      </c>
      <c r="C409" s="1" t="s">
        <v>13</v>
      </c>
      <c r="D409" s="3">
        <v>45926.417886134259</v>
      </c>
      <c r="E409" s="3">
        <v>45930.443013877317</v>
      </c>
      <c r="F409" s="1" t="s">
        <v>52</v>
      </c>
      <c r="G409" s="1" t="s">
        <v>21</v>
      </c>
      <c r="H409" s="1" t="s">
        <v>635</v>
      </c>
      <c r="I409" s="1" t="s">
        <v>18</v>
      </c>
      <c r="J409" s="1" t="s">
        <v>16</v>
      </c>
      <c r="K409" s="1" t="s">
        <v>15</v>
      </c>
      <c r="L409" s="1" t="s">
        <v>13</v>
      </c>
      <c r="M409" s="1" t="s">
        <v>1163</v>
      </c>
      <c r="N409" s="1" t="str">
        <f t="shared" si="87"/>
        <v>SOPORTE</v>
      </c>
      <c r="O409" s="3">
        <f t="shared" si="100"/>
        <v>45926.417886134259</v>
      </c>
      <c r="P409" s="3">
        <f t="shared" si="101"/>
        <v>45930.443013877317</v>
      </c>
      <c r="Q409" s="1" t="str">
        <f t="shared" si="88"/>
        <v>Externo</v>
      </c>
      <c r="R409" s="1">
        <f t="shared" si="102"/>
        <v>39</v>
      </c>
      <c r="S409" s="6">
        <f t="shared" si="103"/>
        <v>45922</v>
      </c>
      <c r="T409" s="1">
        <f t="shared" si="104"/>
        <v>40</v>
      </c>
      <c r="U409" s="6">
        <f t="shared" si="105"/>
        <v>45929</v>
      </c>
      <c r="V409" s="1">
        <f t="shared" si="106"/>
        <v>4.0251277430579648</v>
      </c>
      <c r="W409" s="1">
        <f t="shared" si="107"/>
        <v>2025</v>
      </c>
      <c r="X409" s="1">
        <f t="shared" si="108"/>
        <v>2025</v>
      </c>
      <c r="Y409" s="1" t="str">
        <f t="shared" si="89"/>
        <v>2025-09</v>
      </c>
      <c r="Z409" s="1" t="str">
        <f t="shared" si="90"/>
        <v>2025-09</v>
      </c>
    </row>
    <row r="410" spans="1:26" x14ac:dyDescent="0.2">
      <c r="A410" s="1" t="s">
        <v>952</v>
      </c>
      <c r="B410" s="1" t="s">
        <v>953</v>
      </c>
      <c r="C410" s="1" t="s">
        <v>13</v>
      </c>
      <c r="D410" s="3">
        <v>45926.46472916667</v>
      </c>
      <c r="E410" s="3">
        <v>45930.44353866898</v>
      </c>
      <c r="F410" s="1" t="s">
        <v>52</v>
      </c>
      <c r="G410" s="1" t="s">
        <v>21</v>
      </c>
      <c r="H410" s="1" t="s">
        <v>468</v>
      </c>
      <c r="I410" s="1" t="s">
        <v>18</v>
      </c>
      <c r="J410" s="1" t="s">
        <v>16</v>
      </c>
      <c r="K410" s="1" t="s">
        <v>15</v>
      </c>
      <c r="L410" s="1" t="s">
        <v>13</v>
      </c>
      <c r="M410" s="1" t="s">
        <v>1163</v>
      </c>
      <c r="N410" s="1" t="str">
        <f t="shared" si="87"/>
        <v>SOPORTE</v>
      </c>
      <c r="O410" s="3">
        <f t="shared" si="100"/>
        <v>45926.46472916667</v>
      </c>
      <c r="P410" s="3">
        <f t="shared" si="101"/>
        <v>45930.44353866898</v>
      </c>
      <c r="Q410" s="1" t="str">
        <f t="shared" si="88"/>
        <v>Externo</v>
      </c>
      <c r="R410" s="1">
        <f t="shared" si="102"/>
        <v>39</v>
      </c>
      <c r="S410" s="6">
        <f t="shared" si="103"/>
        <v>45922</v>
      </c>
      <c r="T410" s="1">
        <f t="shared" si="104"/>
        <v>40</v>
      </c>
      <c r="U410" s="6">
        <f t="shared" si="105"/>
        <v>45929</v>
      </c>
      <c r="V410" s="1">
        <f t="shared" si="106"/>
        <v>3.9788095023104688</v>
      </c>
      <c r="W410" s="1">
        <f t="shared" si="107"/>
        <v>2025</v>
      </c>
      <c r="X410" s="1">
        <f t="shared" si="108"/>
        <v>2025</v>
      </c>
      <c r="Y410" s="1" t="str">
        <f t="shared" si="89"/>
        <v>2025-09</v>
      </c>
      <c r="Z410" s="1" t="str">
        <f t="shared" si="90"/>
        <v>2025-09</v>
      </c>
    </row>
    <row r="411" spans="1:26" x14ac:dyDescent="0.2">
      <c r="A411" s="1" t="s">
        <v>954</v>
      </c>
      <c r="B411" s="1" t="s">
        <v>955</v>
      </c>
      <c r="C411" s="1" t="s">
        <v>13</v>
      </c>
      <c r="D411" s="3">
        <v>45926.476936226849</v>
      </c>
      <c r="E411" s="3">
        <v>45936.48880608796</v>
      </c>
      <c r="F411" s="1" t="s">
        <v>52</v>
      </c>
      <c r="G411" s="1" t="s">
        <v>21</v>
      </c>
      <c r="H411" s="1" t="s">
        <v>468</v>
      </c>
      <c r="I411" s="1" t="s">
        <v>18</v>
      </c>
      <c r="J411" s="1" t="s">
        <v>16</v>
      </c>
      <c r="K411" s="1" t="s">
        <v>15</v>
      </c>
      <c r="L411" s="1" t="s">
        <v>13</v>
      </c>
      <c r="M411" s="1" t="s">
        <v>1163</v>
      </c>
      <c r="N411" s="1" t="str">
        <f t="shared" si="87"/>
        <v>SOPORTE</v>
      </c>
      <c r="O411" s="3">
        <f t="shared" si="100"/>
        <v>45926.476936226849</v>
      </c>
      <c r="P411" s="3">
        <f t="shared" si="101"/>
        <v>45936.48880608796</v>
      </c>
      <c r="Q411" s="1" t="str">
        <f t="shared" si="88"/>
        <v>Externo</v>
      </c>
      <c r="R411" s="1">
        <f t="shared" si="102"/>
        <v>39</v>
      </c>
      <c r="S411" s="6">
        <f t="shared" si="103"/>
        <v>45922</v>
      </c>
      <c r="T411" s="1">
        <f t="shared" si="104"/>
        <v>41</v>
      </c>
      <c r="U411" s="6">
        <f t="shared" si="105"/>
        <v>45936</v>
      </c>
      <c r="V411" s="1">
        <f t="shared" si="106"/>
        <v>10.011869861111336</v>
      </c>
      <c r="W411" s="1">
        <f t="shared" si="107"/>
        <v>2025</v>
      </c>
      <c r="X411" s="1">
        <f t="shared" si="108"/>
        <v>2025</v>
      </c>
      <c r="Y411" s="1" t="str">
        <f t="shared" si="89"/>
        <v>2025-09</v>
      </c>
      <c r="Z411" s="1" t="str">
        <f t="shared" si="90"/>
        <v>2025-10</v>
      </c>
    </row>
    <row r="412" spans="1:26" x14ac:dyDescent="0.2">
      <c r="A412" s="1" t="s">
        <v>956</v>
      </c>
      <c r="B412" s="1" t="s">
        <v>957</v>
      </c>
      <c r="C412" s="1" t="s">
        <v>13</v>
      </c>
      <c r="D412" s="3">
        <v>45926.478504039354</v>
      </c>
      <c r="E412" s="3">
        <v>45930.444988773146</v>
      </c>
      <c r="F412" s="1" t="s">
        <v>52</v>
      </c>
      <c r="G412" s="1" t="s">
        <v>21</v>
      </c>
      <c r="H412" s="1" t="s">
        <v>468</v>
      </c>
      <c r="I412" s="1" t="s">
        <v>18</v>
      </c>
      <c r="J412" s="1" t="s">
        <v>16</v>
      </c>
      <c r="K412" s="1" t="s">
        <v>15</v>
      </c>
      <c r="L412" s="1" t="s">
        <v>13</v>
      </c>
      <c r="M412" s="1" t="s">
        <v>1163</v>
      </c>
      <c r="N412" s="1" t="str">
        <f t="shared" si="87"/>
        <v>SOPORTE</v>
      </c>
      <c r="O412" s="3">
        <f t="shared" si="100"/>
        <v>45926.478504039354</v>
      </c>
      <c r="P412" s="3">
        <f t="shared" si="101"/>
        <v>45930.444988773146</v>
      </c>
      <c r="Q412" s="1" t="str">
        <f t="shared" si="88"/>
        <v>Externo</v>
      </c>
      <c r="R412" s="1">
        <f t="shared" si="102"/>
        <v>39</v>
      </c>
      <c r="S412" s="6">
        <f t="shared" si="103"/>
        <v>45922</v>
      </c>
      <c r="T412" s="1">
        <f t="shared" si="104"/>
        <v>40</v>
      </c>
      <c r="U412" s="6">
        <f t="shared" si="105"/>
        <v>45929</v>
      </c>
      <c r="V412" s="1">
        <f t="shared" si="106"/>
        <v>3.9664847337917308</v>
      </c>
      <c r="W412" s="1">
        <f t="shared" si="107"/>
        <v>2025</v>
      </c>
      <c r="X412" s="1">
        <f t="shared" si="108"/>
        <v>2025</v>
      </c>
      <c r="Y412" s="1" t="str">
        <f t="shared" si="89"/>
        <v>2025-09</v>
      </c>
      <c r="Z412" s="1" t="str">
        <f t="shared" si="90"/>
        <v>2025-09</v>
      </c>
    </row>
    <row r="413" spans="1:26" x14ac:dyDescent="0.2">
      <c r="A413" s="1" t="s">
        <v>958</v>
      </c>
      <c r="B413" s="1" t="s">
        <v>959</v>
      </c>
      <c r="C413" s="1" t="s">
        <v>109</v>
      </c>
      <c r="D413" s="3">
        <v>45926.480466435183</v>
      </c>
      <c r="E413" s="3">
        <v>45936.48999440972</v>
      </c>
      <c r="F413" s="1" t="s">
        <v>52</v>
      </c>
      <c r="G413" s="1" t="s">
        <v>21</v>
      </c>
      <c r="H413" s="1" t="s">
        <v>468</v>
      </c>
      <c r="I413" s="1" t="s">
        <v>18</v>
      </c>
      <c r="J413" s="1" t="s">
        <v>16</v>
      </c>
      <c r="K413" s="1" t="s">
        <v>15</v>
      </c>
      <c r="L413" s="1" t="s">
        <v>13</v>
      </c>
      <c r="M413" s="1" t="s">
        <v>1163</v>
      </c>
      <c r="N413" s="1" t="str">
        <f t="shared" si="87"/>
        <v>SOPORTE</v>
      </c>
      <c r="O413" s="3">
        <f t="shared" si="100"/>
        <v>45926.480466435183</v>
      </c>
      <c r="P413" s="3">
        <f t="shared" si="101"/>
        <v>45936.48999440972</v>
      </c>
      <c r="Q413" s="1" t="str">
        <f t="shared" si="88"/>
        <v>Externo</v>
      </c>
      <c r="R413" s="1">
        <f t="shared" si="102"/>
        <v>39</v>
      </c>
      <c r="S413" s="6">
        <f t="shared" si="103"/>
        <v>45922</v>
      </c>
      <c r="T413" s="1">
        <f t="shared" si="104"/>
        <v>41</v>
      </c>
      <c r="U413" s="6">
        <f t="shared" si="105"/>
        <v>45936</v>
      </c>
      <c r="V413" s="1">
        <f t="shared" si="106"/>
        <v>10.009527974536468</v>
      </c>
      <c r="W413" s="1">
        <f t="shared" si="107"/>
        <v>2025</v>
      </c>
      <c r="X413" s="1">
        <f t="shared" si="108"/>
        <v>2025</v>
      </c>
      <c r="Y413" s="1" t="str">
        <f t="shared" si="89"/>
        <v>2025-09</v>
      </c>
      <c r="Z413" s="1" t="str">
        <f t="shared" si="90"/>
        <v>2025-10</v>
      </c>
    </row>
    <row r="414" spans="1:26" x14ac:dyDescent="0.2">
      <c r="A414" s="1" t="s">
        <v>960</v>
      </c>
      <c r="B414" s="1" t="s">
        <v>961</v>
      </c>
      <c r="C414" s="1" t="s">
        <v>70</v>
      </c>
      <c r="D414" s="3">
        <v>45926.609009618056</v>
      </c>
      <c r="E414" s="3">
        <v>45930.446008831015</v>
      </c>
      <c r="F414" s="1" t="s">
        <v>52</v>
      </c>
      <c r="G414" s="1" t="s">
        <v>21</v>
      </c>
      <c r="H414" s="1" t="s">
        <v>13</v>
      </c>
      <c r="I414" s="1" t="s">
        <v>18</v>
      </c>
      <c r="J414" s="1" t="s">
        <v>16</v>
      </c>
      <c r="K414" s="1" t="s">
        <v>15</v>
      </c>
      <c r="L414" s="1" t="s">
        <v>13</v>
      </c>
      <c r="M414" s="1" t="s">
        <v>1163</v>
      </c>
      <c r="N414" s="1" t="str">
        <f t="shared" si="87"/>
        <v>SOPORTE</v>
      </c>
      <c r="O414" s="3">
        <f t="shared" si="100"/>
        <v>45926.609009618056</v>
      </c>
      <c r="P414" s="3">
        <f t="shared" si="101"/>
        <v>45930.446008831015</v>
      </c>
      <c r="Q414" s="1" t="str">
        <f t="shared" si="88"/>
        <v>Externo</v>
      </c>
      <c r="R414" s="1">
        <f t="shared" si="102"/>
        <v>39</v>
      </c>
      <c r="S414" s="6">
        <f t="shared" si="103"/>
        <v>45922</v>
      </c>
      <c r="T414" s="1">
        <f t="shared" si="104"/>
        <v>40</v>
      </c>
      <c r="U414" s="6">
        <f t="shared" si="105"/>
        <v>45929</v>
      </c>
      <c r="V414" s="1">
        <f t="shared" si="106"/>
        <v>3.8369992129591992</v>
      </c>
      <c r="W414" s="1">
        <f t="shared" si="107"/>
        <v>2025</v>
      </c>
      <c r="X414" s="1">
        <f t="shared" si="108"/>
        <v>2025</v>
      </c>
      <c r="Y414" s="1" t="str">
        <f t="shared" si="89"/>
        <v>2025-09</v>
      </c>
      <c r="Z414" s="1" t="str">
        <f t="shared" si="90"/>
        <v>2025-09</v>
      </c>
    </row>
    <row r="415" spans="1:26" x14ac:dyDescent="0.2">
      <c r="A415" s="1" t="s">
        <v>962</v>
      </c>
      <c r="B415" s="1" t="s">
        <v>963</v>
      </c>
      <c r="C415" s="1" t="s">
        <v>70</v>
      </c>
      <c r="D415" s="3">
        <v>45929.640162141201</v>
      </c>
      <c r="E415" s="3">
        <v>45929.657795995372</v>
      </c>
      <c r="F415" s="1" t="s">
        <v>52</v>
      </c>
      <c r="G415" s="1" t="s">
        <v>12</v>
      </c>
      <c r="H415" s="1" t="s">
        <v>13</v>
      </c>
      <c r="I415" s="1" t="s">
        <v>18</v>
      </c>
      <c r="J415" s="1" t="s">
        <v>16</v>
      </c>
      <c r="K415" s="1" t="s">
        <v>15</v>
      </c>
      <c r="L415" s="1" t="s">
        <v>13</v>
      </c>
      <c r="M415" s="1" t="s">
        <v>1163</v>
      </c>
      <c r="N415" s="1" t="str">
        <f t="shared" si="87"/>
        <v>DESARROLLO</v>
      </c>
      <c r="O415" s="3">
        <f t="shared" si="100"/>
        <v>45929.640162141201</v>
      </c>
      <c r="P415" s="3">
        <f t="shared" si="101"/>
        <v>45929.657795995372</v>
      </c>
      <c r="Q415" s="1" t="str">
        <f t="shared" si="88"/>
        <v>Interno</v>
      </c>
      <c r="R415" s="1">
        <f t="shared" si="102"/>
        <v>40</v>
      </c>
      <c r="S415" s="6">
        <f t="shared" si="103"/>
        <v>45929</v>
      </c>
      <c r="T415" s="1">
        <f t="shared" si="104"/>
        <v>40</v>
      </c>
      <c r="U415" s="6">
        <f t="shared" si="105"/>
        <v>45929</v>
      </c>
      <c r="V415" s="1">
        <f t="shared" si="106"/>
        <v>1.7633854171435814E-2</v>
      </c>
      <c r="W415" s="1">
        <f t="shared" si="107"/>
        <v>2025</v>
      </c>
      <c r="X415" s="1">
        <f t="shared" si="108"/>
        <v>2025</v>
      </c>
      <c r="Y415" s="1" t="str">
        <f t="shared" si="89"/>
        <v>2025-09</v>
      </c>
      <c r="Z415" s="1" t="str">
        <f t="shared" si="90"/>
        <v>2025-09</v>
      </c>
    </row>
    <row r="416" spans="1:26" x14ac:dyDescent="0.2">
      <c r="A416" s="1" t="s">
        <v>964</v>
      </c>
      <c r="B416" s="1" t="s">
        <v>965</v>
      </c>
      <c r="C416" s="1" t="s">
        <v>70</v>
      </c>
      <c r="D416" s="3">
        <v>45930.380361400465</v>
      </c>
      <c r="E416" s="3">
        <v>45930.676230532408</v>
      </c>
      <c r="F416" s="1" t="s">
        <v>52</v>
      </c>
      <c r="G416" s="1" t="s">
        <v>12</v>
      </c>
      <c r="H416" s="1" t="s">
        <v>13</v>
      </c>
      <c r="I416" s="1" t="s">
        <v>18</v>
      </c>
      <c r="J416" s="1" t="s">
        <v>16</v>
      </c>
      <c r="K416" s="1" t="s">
        <v>15</v>
      </c>
      <c r="L416" s="1" t="s">
        <v>13</v>
      </c>
      <c r="M416" s="1" t="s">
        <v>1163</v>
      </c>
      <c r="N416" s="1" t="str">
        <f t="shared" si="87"/>
        <v>DESARROLLO</v>
      </c>
      <c r="O416" s="3">
        <f t="shared" si="100"/>
        <v>45930.380361400465</v>
      </c>
      <c r="P416" s="3">
        <f t="shared" si="101"/>
        <v>45930.676230532408</v>
      </c>
      <c r="Q416" s="1" t="str">
        <f t="shared" si="88"/>
        <v>Interno</v>
      </c>
      <c r="R416" s="1">
        <f t="shared" si="102"/>
        <v>40</v>
      </c>
      <c r="S416" s="6">
        <f t="shared" si="103"/>
        <v>45929</v>
      </c>
      <c r="T416" s="1">
        <f t="shared" si="104"/>
        <v>40</v>
      </c>
      <c r="U416" s="6">
        <f t="shared" si="105"/>
        <v>45929</v>
      </c>
      <c r="V416" s="1">
        <f t="shared" si="106"/>
        <v>0.29586913194361841</v>
      </c>
      <c r="W416" s="1">
        <f t="shared" si="107"/>
        <v>2025</v>
      </c>
      <c r="X416" s="1">
        <f t="shared" si="108"/>
        <v>2025</v>
      </c>
      <c r="Y416" s="1" t="str">
        <f t="shared" si="89"/>
        <v>2025-09</v>
      </c>
      <c r="Z416" s="1" t="str">
        <f t="shared" si="90"/>
        <v>2025-09</v>
      </c>
    </row>
    <row r="417" spans="1:26" x14ac:dyDescent="0.2">
      <c r="A417" s="1" t="s">
        <v>999</v>
      </c>
      <c r="B417" s="1" t="s">
        <v>1000</v>
      </c>
      <c r="C417" s="1" t="s">
        <v>13</v>
      </c>
      <c r="D417" s="3">
        <v>45930.497037349538</v>
      </c>
      <c r="E417" s="3">
        <v>45930.658601296294</v>
      </c>
      <c r="F417" s="1" t="s">
        <v>52</v>
      </c>
      <c r="G417" s="1" t="s">
        <v>12</v>
      </c>
      <c r="H417" s="1" t="s">
        <v>13</v>
      </c>
      <c r="I417" s="1" t="s">
        <v>18</v>
      </c>
      <c r="J417" s="1" t="s">
        <v>16</v>
      </c>
      <c r="K417" s="1" t="s">
        <v>15</v>
      </c>
      <c r="L417" s="1" t="s">
        <v>13</v>
      </c>
      <c r="M417" s="1" t="s">
        <v>1163</v>
      </c>
      <c r="N417" s="1" t="str">
        <f t="shared" si="87"/>
        <v>DESARROLLO</v>
      </c>
      <c r="O417" s="3">
        <f t="shared" si="100"/>
        <v>45930.497037349538</v>
      </c>
      <c r="P417" s="3">
        <f t="shared" si="101"/>
        <v>45930.658601296294</v>
      </c>
      <c r="Q417" s="1" t="str">
        <f t="shared" si="88"/>
        <v>Interno</v>
      </c>
      <c r="R417" s="1">
        <f t="shared" si="102"/>
        <v>40</v>
      </c>
      <c r="S417" s="6">
        <f t="shared" si="103"/>
        <v>45929</v>
      </c>
      <c r="T417" s="1">
        <f t="shared" si="104"/>
        <v>40</v>
      </c>
      <c r="U417" s="6">
        <f t="shared" si="105"/>
        <v>45929</v>
      </c>
      <c r="V417" s="1">
        <f t="shared" si="106"/>
        <v>0.16156394675635966</v>
      </c>
      <c r="W417" s="1">
        <f t="shared" si="107"/>
        <v>2025</v>
      </c>
      <c r="X417" s="1">
        <f t="shared" si="108"/>
        <v>2025</v>
      </c>
      <c r="Y417" s="1" t="str">
        <f t="shared" si="89"/>
        <v>2025-09</v>
      </c>
      <c r="Z417" s="1" t="str">
        <f t="shared" si="90"/>
        <v>2025-09</v>
      </c>
    </row>
    <row r="418" spans="1:26" x14ac:dyDescent="0.2">
      <c r="A418" s="1" t="s">
        <v>1001</v>
      </c>
      <c r="B418" s="1" t="s">
        <v>1002</v>
      </c>
      <c r="C418" s="1" t="s">
        <v>78</v>
      </c>
      <c r="D418" s="3">
        <v>45930.568365983796</v>
      </c>
      <c r="E418" s="3">
        <v>45933.371135486108</v>
      </c>
      <c r="F418" s="1" t="s">
        <v>52</v>
      </c>
      <c r="G418" s="1" t="s">
        <v>21</v>
      </c>
      <c r="H418" s="1" t="s">
        <v>13</v>
      </c>
      <c r="I418" s="1" t="s">
        <v>18</v>
      </c>
      <c r="J418" s="1" t="s">
        <v>16</v>
      </c>
      <c r="K418" s="1" t="s">
        <v>15</v>
      </c>
      <c r="L418" s="1" t="s">
        <v>13</v>
      </c>
      <c r="M418" s="1" t="s">
        <v>1163</v>
      </c>
      <c r="N418" s="1" t="str">
        <f t="shared" si="87"/>
        <v>SOPORTE</v>
      </c>
      <c r="O418" s="3">
        <f t="shared" ref="O418:O422" si="109">D418</f>
        <v>45930.568365983796</v>
      </c>
      <c r="P418" s="3">
        <f t="shared" ref="P418:P422" si="110">E418</f>
        <v>45933.371135486108</v>
      </c>
      <c r="Q418" s="1" t="str">
        <f t="shared" si="88"/>
        <v>Externo</v>
      </c>
      <c r="R418" s="1">
        <f t="shared" ref="R418:R422" si="111">WEEKNUM(O418,1)</f>
        <v>40</v>
      </c>
      <c r="S418" s="6">
        <f t="shared" ref="S418:S422" si="112">DATE(W418,1,4) + (R418-1)*7 - WEEKDAY(DATE(W418,1,4),2) +1</f>
        <v>45929</v>
      </c>
      <c r="T418" s="1">
        <f t="shared" ref="T418:T422" si="113">WEEKNUM(P418,1)</f>
        <v>40</v>
      </c>
      <c r="U418" s="6">
        <f t="shared" ref="U418:U422" si="114">DATE(X418,1,4) + (T418-1)*7 - WEEKDAY(DATE(X418,1,4),2) +1</f>
        <v>45929</v>
      </c>
      <c r="V418" s="1">
        <f t="shared" ref="V418:V422" si="115">ABS(P418-O418)</f>
        <v>2.8027695023120032</v>
      </c>
      <c r="W418" s="1">
        <f t="shared" ref="W418:W422" si="116">YEAR(O418)</f>
        <v>2025</v>
      </c>
      <c r="X418" s="1">
        <f t="shared" ref="X418:X422" si="117">YEAR(P418)</f>
        <v>2025</v>
      </c>
      <c r="Y418" s="1" t="str">
        <f t="shared" ref="Y418:Y422" si="118">(TEXT(S418,"aaaa-mm"))</f>
        <v>2025-09</v>
      </c>
      <c r="Z418" s="1" t="str">
        <f t="shared" ref="Z418:Z422" si="119">(TEXT(U418,"aaaa-mm"))</f>
        <v>2025-09</v>
      </c>
    </row>
    <row r="419" spans="1:26" x14ac:dyDescent="0.2">
      <c r="A419" s="1" t="s">
        <v>1003</v>
      </c>
      <c r="B419" s="1" t="s">
        <v>1004</v>
      </c>
      <c r="C419" s="1" t="s">
        <v>58</v>
      </c>
      <c r="D419" s="3">
        <v>45930.623043217594</v>
      </c>
      <c r="E419" s="3">
        <v>45936.491475393515</v>
      </c>
      <c r="F419" s="1" t="s">
        <v>52</v>
      </c>
      <c r="G419" s="1" t="s">
        <v>21</v>
      </c>
      <c r="H419" s="1" t="s">
        <v>468</v>
      </c>
      <c r="I419" s="1" t="s">
        <v>18</v>
      </c>
      <c r="J419" s="1" t="s">
        <v>16</v>
      </c>
      <c r="K419" s="1" t="s">
        <v>15</v>
      </c>
      <c r="L419" s="1" t="s">
        <v>13</v>
      </c>
      <c r="M419" s="1" t="s">
        <v>1163</v>
      </c>
      <c r="N419" s="1" t="str">
        <f t="shared" si="87"/>
        <v>SOPORTE</v>
      </c>
      <c r="O419" s="3">
        <f t="shared" si="109"/>
        <v>45930.623043217594</v>
      </c>
      <c r="P419" s="3">
        <f t="shared" si="110"/>
        <v>45936.491475393515</v>
      </c>
      <c r="Q419" s="1" t="str">
        <f t="shared" si="88"/>
        <v>Externo</v>
      </c>
      <c r="R419" s="1">
        <f t="shared" si="111"/>
        <v>40</v>
      </c>
      <c r="S419" s="6">
        <f t="shared" si="112"/>
        <v>45929</v>
      </c>
      <c r="T419" s="1">
        <f t="shared" si="113"/>
        <v>41</v>
      </c>
      <c r="U419" s="6">
        <f t="shared" si="114"/>
        <v>45936</v>
      </c>
      <c r="V419" s="1">
        <f t="shared" si="115"/>
        <v>5.8684321759210434</v>
      </c>
      <c r="W419" s="1">
        <f t="shared" si="116"/>
        <v>2025</v>
      </c>
      <c r="X419" s="1">
        <f t="shared" si="117"/>
        <v>2025</v>
      </c>
      <c r="Y419" s="1" t="str">
        <f t="shared" si="118"/>
        <v>2025-09</v>
      </c>
      <c r="Z419" s="1" t="str">
        <f t="shared" si="119"/>
        <v>2025-10</v>
      </c>
    </row>
    <row r="420" spans="1:26" x14ac:dyDescent="0.2">
      <c r="A420" s="1" t="s">
        <v>1005</v>
      </c>
      <c r="B420" s="1" t="s">
        <v>1006</v>
      </c>
      <c r="C420" s="1" t="s">
        <v>83</v>
      </c>
      <c r="D420" s="4">
        <v>45931.370042789349</v>
      </c>
      <c r="E420" s="3">
        <v>45946.702165439812</v>
      </c>
      <c r="F420" s="1" t="s">
        <v>52</v>
      </c>
      <c r="G420" s="1" t="s">
        <v>21</v>
      </c>
      <c r="H420" s="1" t="s">
        <v>13</v>
      </c>
      <c r="I420" s="1" t="s">
        <v>18</v>
      </c>
      <c r="J420" s="1" t="s">
        <v>16</v>
      </c>
      <c r="K420" s="1" t="s">
        <v>15</v>
      </c>
      <c r="L420" s="1" t="s">
        <v>13</v>
      </c>
      <c r="M420" s="1" t="s">
        <v>1163</v>
      </c>
      <c r="N420" s="1" t="str">
        <f t="shared" si="87"/>
        <v>SOPORTE</v>
      </c>
      <c r="O420" s="3">
        <f t="shared" si="109"/>
        <v>45931.370042789349</v>
      </c>
      <c r="P420" s="3">
        <f t="shared" si="110"/>
        <v>45946.702165439812</v>
      </c>
      <c r="Q420" s="1" t="str">
        <f t="shared" si="88"/>
        <v>Externo</v>
      </c>
      <c r="R420" s="1">
        <f t="shared" si="111"/>
        <v>40</v>
      </c>
      <c r="S420" s="6">
        <f t="shared" si="112"/>
        <v>45929</v>
      </c>
      <c r="T420" s="1">
        <f t="shared" si="113"/>
        <v>42</v>
      </c>
      <c r="U420" s="6">
        <f t="shared" si="114"/>
        <v>45943</v>
      </c>
      <c r="V420" s="1">
        <f t="shared" si="115"/>
        <v>15.332122650463134</v>
      </c>
      <c r="W420" s="1">
        <f t="shared" si="116"/>
        <v>2025</v>
      </c>
      <c r="X420" s="1">
        <f t="shared" si="117"/>
        <v>2025</v>
      </c>
      <c r="Y420" s="1" t="str">
        <f t="shared" si="118"/>
        <v>2025-09</v>
      </c>
      <c r="Z420" s="1" t="str">
        <f t="shared" si="119"/>
        <v>2025-10</v>
      </c>
    </row>
    <row r="421" spans="1:26" x14ac:dyDescent="0.2">
      <c r="A421" s="1" t="s">
        <v>1007</v>
      </c>
      <c r="B421" s="1" t="s">
        <v>1008</v>
      </c>
      <c r="C421" s="1" t="s">
        <v>124</v>
      </c>
      <c r="D421" s="4">
        <v>45931.390450787039</v>
      </c>
      <c r="E421" s="3">
        <v>45933.371530625001</v>
      </c>
      <c r="F421" s="1" t="s">
        <v>52</v>
      </c>
      <c r="G421" s="1" t="s">
        <v>21</v>
      </c>
      <c r="H421" s="1" t="s">
        <v>13</v>
      </c>
      <c r="I421" s="1" t="s">
        <v>18</v>
      </c>
      <c r="J421" s="1" t="s">
        <v>16</v>
      </c>
      <c r="K421" s="1" t="s">
        <v>15</v>
      </c>
      <c r="L421" s="1" t="s">
        <v>13</v>
      </c>
      <c r="M421" s="1" t="s">
        <v>1163</v>
      </c>
      <c r="N421" s="1" t="str">
        <f t="shared" si="87"/>
        <v>SOPORTE</v>
      </c>
      <c r="O421" s="3">
        <f t="shared" si="109"/>
        <v>45931.390450787039</v>
      </c>
      <c r="P421" s="3">
        <f t="shared" si="110"/>
        <v>45933.371530625001</v>
      </c>
      <c r="Q421" s="1" t="str">
        <f t="shared" si="88"/>
        <v>Externo</v>
      </c>
      <c r="R421" s="1">
        <f t="shared" si="111"/>
        <v>40</v>
      </c>
      <c r="S421" s="6">
        <f t="shared" si="112"/>
        <v>45929</v>
      </c>
      <c r="T421" s="1">
        <f t="shared" si="113"/>
        <v>40</v>
      </c>
      <c r="U421" s="6">
        <f t="shared" si="114"/>
        <v>45929</v>
      </c>
      <c r="V421" s="1">
        <f t="shared" si="115"/>
        <v>1.9810798379621701</v>
      </c>
      <c r="W421" s="1">
        <f t="shared" si="116"/>
        <v>2025</v>
      </c>
      <c r="X421" s="1">
        <f t="shared" si="117"/>
        <v>2025</v>
      </c>
      <c r="Y421" s="1" t="str">
        <f t="shared" si="118"/>
        <v>2025-09</v>
      </c>
      <c r="Z421" s="1" t="str">
        <f t="shared" si="119"/>
        <v>2025-09</v>
      </c>
    </row>
    <row r="422" spans="1:26" x14ac:dyDescent="0.2">
      <c r="A422" s="1" t="s">
        <v>1009</v>
      </c>
      <c r="B422" s="1" t="s">
        <v>1010</v>
      </c>
      <c r="C422" s="1" t="s">
        <v>83</v>
      </c>
      <c r="D422" s="4">
        <v>45931.529175671298</v>
      </c>
      <c r="E422" s="3">
        <v>45936.493174849536</v>
      </c>
      <c r="F422" s="1" t="s">
        <v>52</v>
      </c>
      <c r="G422" s="1" t="s">
        <v>21</v>
      </c>
      <c r="H422" s="1" t="s">
        <v>468</v>
      </c>
      <c r="I422" s="1" t="s">
        <v>18</v>
      </c>
      <c r="J422" s="1" t="s">
        <v>16</v>
      </c>
      <c r="K422" s="1" t="s">
        <v>15</v>
      </c>
      <c r="L422" s="1" t="s">
        <v>13</v>
      </c>
      <c r="M422" s="1" t="s">
        <v>1163</v>
      </c>
      <c r="N422" s="1" t="str">
        <f t="shared" si="87"/>
        <v>SOPORTE</v>
      </c>
      <c r="O422" s="3">
        <f t="shared" si="109"/>
        <v>45931.529175671298</v>
      </c>
      <c r="P422" s="3">
        <f t="shared" si="110"/>
        <v>45936.493174849536</v>
      </c>
      <c r="Q422" s="1" t="str">
        <f t="shared" si="88"/>
        <v>Externo</v>
      </c>
      <c r="R422" s="1">
        <f t="shared" si="111"/>
        <v>40</v>
      </c>
      <c r="S422" s="6">
        <f t="shared" si="112"/>
        <v>45929</v>
      </c>
      <c r="T422" s="1">
        <f t="shared" si="113"/>
        <v>41</v>
      </c>
      <c r="U422" s="6">
        <f t="shared" si="114"/>
        <v>45936</v>
      </c>
      <c r="V422" s="1">
        <f t="shared" si="115"/>
        <v>4.9639991782387369</v>
      </c>
      <c r="W422" s="1">
        <f t="shared" si="116"/>
        <v>2025</v>
      </c>
      <c r="X422" s="1">
        <f t="shared" si="117"/>
        <v>2025</v>
      </c>
      <c r="Y422" s="1" t="str">
        <f t="shared" si="118"/>
        <v>2025-09</v>
      </c>
      <c r="Z422" s="1" t="str">
        <f t="shared" si="119"/>
        <v>2025-10</v>
      </c>
    </row>
    <row r="423" spans="1:26" x14ac:dyDescent="0.2">
      <c r="A423" s="1" t="s">
        <v>1011</v>
      </c>
      <c r="B423" s="1" t="s">
        <v>1012</v>
      </c>
      <c r="C423" s="1" t="s">
        <v>1013</v>
      </c>
      <c r="D423" s="4">
        <v>45931.741696724537</v>
      </c>
      <c r="E423" s="3">
        <v>45936.654578796297</v>
      </c>
      <c r="F423" s="1" t="s">
        <v>52</v>
      </c>
      <c r="G423" s="1" t="s">
        <v>21</v>
      </c>
      <c r="H423" s="1" t="s">
        <v>468</v>
      </c>
      <c r="I423" s="1" t="s">
        <v>18</v>
      </c>
      <c r="J423" s="1" t="s">
        <v>16</v>
      </c>
      <c r="K423" s="1" t="s">
        <v>15</v>
      </c>
      <c r="L423" s="1" t="s">
        <v>13</v>
      </c>
      <c r="M423" s="1" t="s">
        <v>1163</v>
      </c>
      <c r="N423" s="1" t="str">
        <f t="shared" si="87"/>
        <v>SOPORTE</v>
      </c>
      <c r="O423" s="3">
        <f t="shared" ref="O423:O428" si="120">D423</f>
        <v>45931.741696724537</v>
      </c>
      <c r="P423" s="3">
        <f t="shared" ref="P423:P428" si="121">E423</f>
        <v>45936.654578796297</v>
      </c>
      <c r="Q423" s="1" t="str">
        <f t="shared" si="88"/>
        <v>Externo</v>
      </c>
      <c r="R423" s="1">
        <f t="shared" ref="R423:R428" si="122">WEEKNUM(O423,1)</f>
        <v>40</v>
      </c>
      <c r="S423" s="6">
        <f t="shared" ref="S423:S428" si="123">DATE(W423,1,4) + (R423-1)*7 - WEEKDAY(DATE(W423,1,4),2) +1</f>
        <v>45929</v>
      </c>
      <c r="T423" s="1">
        <f t="shared" ref="T423:T428" si="124">WEEKNUM(P423,1)</f>
        <v>41</v>
      </c>
      <c r="U423" s="6">
        <f t="shared" ref="U423:U428" si="125">DATE(X423,1,4) + (T423-1)*7 - WEEKDAY(DATE(X423,1,4),2) +1</f>
        <v>45936</v>
      </c>
      <c r="V423" s="1">
        <f t="shared" ref="V423:V428" si="126">ABS(P423-O423)</f>
        <v>4.9128820717596682</v>
      </c>
      <c r="W423" s="1">
        <f t="shared" ref="W423:W428" si="127">YEAR(O423)</f>
        <v>2025</v>
      </c>
      <c r="X423" s="1">
        <f t="shared" ref="X423:X428" si="128">YEAR(P423)</f>
        <v>2025</v>
      </c>
      <c r="Y423" s="1" t="str">
        <f t="shared" ref="Y423:Y428" si="129">(TEXT(S423,"aaaa-mm"))</f>
        <v>2025-09</v>
      </c>
      <c r="Z423" s="1" t="str">
        <f t="shared" ref="Z423:Z428" si="130">(TEXT(U423,"aaaa-mm"))</f>
        <v>2025-10</v>
      </c>
    </row>
    <row r="424" spans="1:26" x14ac:dyDescent="0.2">
      <c r="A424" s="1" t="s">
        <v>1014</v>
      </c>
      <c r="B424" s="1" t="s">
        <v>1015</v>
      </c>
      <c r="C424" s="1" t="s">
        <v>682</v>
      </c>
      <c r="D424" s="3">
        <v>45932.4226877662</v>
      </c>
      <c r="E424" s="3">
        <v>45946.703809548613</v>
      </c>
      <c r="F424" s="1" t="s">
        <v>52</v>
      </c>
      <c r="G424" s="1" t="s">
        <v>21</v>
      </c>
      <c r="H424" s="1" t="s">
        <v>468</v>
      </c>
      <c r="I424" s="1" t="s">
        <v>18</v>
      </c>
      <c r="J424" s="1" t="s">
        <v>16</v>
      </c>
      <c r="K424" s="1" t="s">
        <v>15</v>
      </c>
      <c r="L424" s="1" t="s">
        <v>13</v>
      </c>
      <c r="M424" s="1" t="s">
        <v>1163</v>
      </c>
      <c r="N424" s="1" t="str">
        <f t="shared" si="87"/>
        <v>SOPORTE</v>
      </c>
      <c r="O424" s="3">
        <f t="shared" si="120"/>
        <v>45932.4226877662</v>
      </c>
      <c r="P424" s="3">
        <f t="shared" si="121"/>
        <v>45946.703809548613</v>
      </c>
      <c r="Q424" s="1" t="str">
        <f t="shared" si="88"/>
        <v>Externo</v>
      </c>
      <c r="R424" s="1">
        <f t="shared" si="122"/>
        <v>40</v>
      </c>
      <c r="S424" s="6">
        <f t="shared" si="123"/>
        <v>45929</v>
      </c>
      <c r="T424" s="1">
        <f t="shared" si="124"/>
        <v>42</v>
      </c>
      <c r="U424" s="6">
        <f t="shared" si="125"/>
        <v>45943</v>
      </c>
      <c r="V424" s="1">
        <f t="shared" si="126"/>
        <v>14.281121782412811</v>
      </c>
      <c r="W424" s="1">
        <f t="shared" si="127"/>
        <v>2025</v>
      </c>
      <c r="X424" s="1">
        <f t="shared" si="128"/>
        <v>2025</v>
      </c>
      <c r="Y424" s="1" t="str">
        <f t="shared" si="129"/>
        <v>2025-09</v>
      </c>
      <c r="Z424" s="1" t="str">
        <f t="shared" si="130"/>
        <v>2025-10</v>
      </c>
    </row>
    <row r="425" spans="1:26" x14ac:dyDescent="0.2">
      <c r="A425" s="1" t="s">
        <v>1016</v>
      </c>
      <c r="B425" s="1" t="s">
        <v>1017</v>
      </c>
      <c r="C425" s="1" t="s">
        <v>1018</v>
      </c>
      <c r="D425" s="3">
        <v>45932.423536180555</v>
      </c>
      <c r="E425" s="3">
        <v>45946.704640358796</v>
      </c>
      <c r="F425" s="1" t="s">
        <v>52</v>
      </c>
      <c r="G425" s="1" t="s">
        <v>21</v>
      </c>
      <c r="H425" s="1" t="s">
        <v>468</v>
      </c>
      <c r="I425" s="1" t="s">
        <v>18</v>
      </c>
      <c r="J425" s="1" t="s">
        <v>16</v>
      </c>
      <c r="K425" s="1" t="s">
        <v>15</v>
      </c>
      <c r="L425" s="1" t="s">
        <v>13</v>
      </c>
      <c r="M425" s="1" t="s">
        <v>1163</v>
      </c>
      <c r="N425" s="1" t="str">
        <f t="shared" si="87"/>
        <v>SOPORTE</v>
      </c>
      <c r="O425" s="3">
        <f t="shared" si="120"/>
        <v>45932.423536180555</v>
      </c>
      <c r="P425" s="3">
        <f t="shared" si="121"/>
        <v>45946.704640358796</v>
      </c>
      <c r="Q425" s="1" t="str">
        <f t="shared" si="88"/>
        <v>Externo</v>
      </c>
      <c r="R425" s="1">
        <f t="shared" si="122"/>
        <v>40</v>
      </c>
      <c r="S425" s="6">
        <f t="shared" si="123"/>
        <v>45929</v>
      </c>
      <c r="T425" s="1">
        <f t="shared" si="124"/>
        <v>42</v>
      </c>
      <c r="U425" s="6">
        <f t="shared" si="125"/>
        <v>45943</v>
      </c>
      <c r="V425" s="1">
        <f t="shared" si="126"/>
        <v>14.281104178240639</v>
      </c>
      <c r="W425" s="1">
        <f t="shared" si="127"/>
        <v>2025</v>
      </c>
      <c r="X425" s="1">
        <f t="shared" si="128"/>
        <v>2025</v>
      </c>
      <c r="Y425" s="1" t="str">
        <f t="shared" si="129"/>
        <v>2025-09</v>
      </c>
      <c r="Z425" s="1" t="str">
        <f t="shared" si="130"/>
        <v>2025-10</v>
      </c>
    </row>
    <row r="426" spans="1:26" x14ac:dyDescent="0.2">
      <c r="A426" s="1" t="s">
        <v>1019</v>
      </c>
      <c r="B426" s="1" t="s">
        <v>1020</v>
      </c>
      <c r="C426" s="1" t="s">
        <v>83</v>
      </c>
      <c r="D426" s="3">
        <v>45932.428908182868</v>
      </c>
      <c r="E426" s="3">
        <v>45950.430360937498</v>
      </c>
      <c r="F426" s="1" t="s">
        <v>52</v>
      </c>
      <c r="G426" s="1" t="s">
        <v>21</v>
      </c>
      <c r="H426" s="1" t="s">
        <v>1050</v>
      </c>
      <c r="I426" s="1" t="s">
        <v>18</v>
      </c>
      <c r="J426" s="1" t="s">
        <v>16</v>
      </c>
      <c r="K426" s="1" t="s">
        <v>15</v>
      </c>
      <c r="L426" s="1" t="s">
        <v>13</v>
      </c>
      <c r="M426" s="1" t="s">
        <v>1163</v>
      </c>
      <c r="N426" s="1" t="str">
        <f t="shared" si="87"/>
        <v>SOPORTE</v>
      </c>
      <c r="O426" s="3">
        <f t="shared" si="120"/>
        <v>45932.428908182868</v>
      </c>
      <c r="P426" s="3">
        <f t="shared" si="121"/>
        <v>45950.430360937498</v>
      </c>
      <c r="Q426" s="1" t="str">
        <f t="shared" si="88"/>
        <v>Externo</v>
      </c>
      <c r="R426" s="1">
        <f t="shared" si="122"/>
        <v>40</v>
      </c>
      <c r="S426" s="6">
        <f t="shared" si="123"/>
        <v>45929</v>
      </c>
      <c r="T426" s="1">
        <f t="shared" si="124"/>
        <v>43</v>
      </c>
      <c r="U426" s="6">
        <f t="shared" si="125"/>
        <v>45950</v>
      </c>
      <c r="V426" s="1">
        <f t="shared" si="126"/>
        <v>18.001452754630009</v>
      </c>
      <c r="W426" s="1">
        <f t="shared" si="127"/>
        <v>2025</v>
      </c>
      <c r="X426" s="1">
        <f t="shared" si="128"/>
        <v>2025</v>
      </c>
      <c r="Y426" s="1" t="str">
        <f t="shared" si="129"/>
        <v>2025-09</v>
      </c>
      <c r="Z426" s="1" t="str">
        <f t="shared" si="130"/>
        <v>2025-10</v>
      </c>
    </row>
    <row r="427" spans="1:26" x14ac:dyDescent="0.2">
      <c r="A427" s="1" t="s">
        <v>1021</v>
      </c>
      <c r="B427" s="1" t="s">
        <v>1051</v>
      </c>
      <c r="C427" s="1" t="s">
        <v>112</v>
      </c>
      <c r="D427" s="3">
        <v>45932.514060983798</v>
      </c>
      <c r="E427" s="3">
        <v>45945.51365296296</v>
      </c>
      <c r="F427" s="1" t="s">
        <v>52</v>
      </c>
      <c r="G427" s="1" t="s">
        <v>21</v>
      </c>
      <c r="H427" s="1" t="s">
        <v>13</v>
      </c>
      <c r="I427" s="1" t="s">
        <v>18</v>
      </c>
      <c r="J427" s="1" t="s">
        <v>16</v>
      </c>
      <c r="K427" s="1" t="s">
        <v>15</v>
      </c>
      <c r="L427" s="1" t="s">
        <v>13</v>
      </c>
      <c r="M427" s="1" t="s">
        <v>1163</v>
      </c>
      <c r="N427" s="1" t="str">
        <f t="shared" si="87"/>
        <v>SOPORTE</v>
      </c>
      <c r="O427" s="3">
        <f t="shared" si="120"/>
        <v>45932.514060983798</v>
      </c>
      <c r="P427" s="3">
        <f t="shared" si="121"/>
        <v>45945.51365296296</v>
      </c>
      <c r="Q427" s="1" t="str">
        <f t="shared" si="88"/>
        <v>Externo</v>
      </c>
      <c r="R427" s="1">
        <f t="shared" si="122"/>
        <v>40</v>
      </c>
      <c r="S427" s="6">
        <f t="shared" si="123"/>
        <v>45929</v>
      </c>
      <c r="T427" s="1">
        <f t="shared" si="124"/>
        <v>42</v>
      </c>
      <c r="U427" s="6">
        <f t="shared" si="125"/>
        <v>45943</v>
      </c>
      <c r="V427" s="1">
        <f t="shared" si="126"/>
        <v>12.999591979161778</v>
      </c>
      <c r="W427" s="1">
        <f t="shared" si="127"/>
        <v>2025</v>
      </c>
      <c r="X427" s="1">
        <f t="shared" si="128"/>
        <v>2025</v>
      </c>
      <c r="Y427" s="1" t="str">
        <f t="shared" si="129"/>
        <v>2025-09</v>
      </c>
      <c r="Z427" s="1" t="str">
        <f t="shared" si="130"/>
        <v>2025-10</v>
      </c>
    </row>
    <row r="428" spans="1:26" x14ac:dyDescent="0.2">
      <c r="A428" s="1" t="s">
        <v>1022</v>
      </c>
      <c r="B428" s="1" t="s">
        <v>1023</v>
      </c>
      <c r="C428" s="1" t="s">
        <v>70</v>
      </c>
      <c r="D428" s="3">
        <v>45932.556305254628</v>
      </c>
      <c r="E428" s="3">
        <v>45932.660026030091</v>
      </c>
      <c r="F428" s="1" t="s">
        <v>52</v>
      </c>
      <c r="G428" s="1" t="s">
        <v>12</v>
      </c>
      <c r="H428" s="1" t="s">
        <v>13</v>
      </c>
      <c r="I428" s="1" t="s">
        <v>18</v>
      </c>
      <c r="J428" s="1" t="s">
        <v>16</v>
      </c>
      <c r="K428" s="1" t="s">
        <v>15</v>
      </c>
      <c r="L428" s="1" t="s">
        <v>13</v>
      </c>
      <c r="M428" s="1" t="s">
        <v>1163</v>
      </c>
      <c r="N428" s="1" t="str">
        <f t="shared" si="87"/>
        <v>DESARROLLO</v>
      </c>
      <c r="O428" s="3">
        <f t="shared" si="120"/>
        <v>45932.556305254628</v>
      </c>
      <c r="P428" s="3">
        <f t="shared" si="121"/>
        <v>45932.660026030091</v>
      </c>
      <c r="Q428" s="1" t="str">
        <f t="shared" si="88"/>
        <v>Interno</v>
      </c>
      <c r="R428" s="1">
        <f t="shared" si="122"/>
        <v>40</v>
      </c>
      <c r="S428" s="6">
        <f t="shared" si="123"/>
        <v>45929</v>
      </c>
      <c r="T428" s="1">
        <f t="shared" si="124"/>
        <v>40</v>
      </c>
      <c r="U428" s="6">
        <f t="shared" si="125"/>
        <v>45929</v>
      </c>
      <c r="V428" s="1">
        <f t="shared" si="126"/>
        <v>0.10372077546344372</v>
      </c>
      <c r="W428" s="1">
        <f t="shared" si="127"/>
        <v>2025</v>
      </c>
      <c r="X428" s="1">
        <f t="shared" si="128"/>
        <v>2025</v>
      </c>
      <c r="Y428" s="1" t="str">
        <f t="shared" si="129"/>
        <v>2025-09</v>
      </c>
      <c r="Z428" s="1" t="str">
        <f t="shared" si="130"/>
        <v>2025-09</v>
      </c>
    </row>
    <row r="429" spans="1:26" x14ac:dyDescent="0.2">
      <c r="A429" s="1" t="s">
        <v>1024</v>
      </c>
      <c r="B429" s="1" t="s">
        <v>1025</v>
      </c>
      <c r="C429" s="1" t="s">
        <v>78</v>
      </c>
      <c r="D429" s="3">
        <v>45932.66337519676</v>
      </c>
      <c r="E429" s="3">
        <v>45938.399336203707</v>
      </c>
      <c r="F429" s="1" t="s">
        <v>52</v>
      </c>
      <c r="G429" s="1" t="s">
        <v>21</v>
      </c>
      <c r="H429" s="1" t="s">
        <v>468</v>
      </c>
      <c r="I429" s="1" t="s">
        <v>18</v>
      </c>
      <c r="J429" s="1" t="s">
        <v>16</v>
      </c>
      <c r="K429" s="1" t="s">
        <v>15</v>
      </c>
      <c r="L429" s="1" t="s">
        <v>13</v>
      </c>
      <c r="M429" s="1" t="s">
        <v>1163</v>
      </c>
      <c r="N429" s="1" t="str">
        <f t="shared" si="87"/>
        <v>SOPORTE</v>
      </c>
      <c r="O429" s="3">
        <f t="shared" ref="O429:O437" si="131">D429</f>
        <v>45932.66337519676</v>
      </c>
      <c r="P429" s="3">
        <f t="shared" ref="P429:P437" si="132">E429</f>
        <v>45938.399336203707</v>
      </c>
      <c r="Q429" s="1" t="str">
        <f t="shared" si="88"/>
        <v>Externo</v>
      </c>
      <c r="R429" s="1">
        <f t="shared" ref="R429:R437" si="133">WEEKNUM(O429,1)</f>
        <v>40</v>
      </c>
      <c r="S429" s="6">
        <f t="shared" ref="S429:S437" si="134">DATE(W429,1,4) + (R429-1)*7 - WEEKDAY(DATE(W429,1,4),2) +1</f>
        <v>45929</v>
      </c>
      <c r="T429" s="1">
        <f t="shared" ref="T429:T437" si="135">WEEKNUM(P429,1)</f>
        <v>41</v>
      </c>
      <c r="U429" s="6">
        <f t="shared" ref="U429:U437" si="136">DATE(X429,1,4) + (T429-1)*7 - WEEKDAY(DATE(X429,1,4),2) +1</f>
        <v>45936</v>
      </c>
      <c r="V429" s="1">
        <f t="shared" ref="V429:V437" si="137">ABS(P429-O429)</f>
        <v>5.7359610069470364</v>
      </c>
      <c r="W429" s="1">
        <f t="shared" ref="W429:W437" si="138">YEAR(O429)</f>
        <v>2025</v>
      </c>
      <c r="X429" s="1">
        <f t="shared" ref="X429:X437" si="139">YEAR(P429)</f>
        <v>2025</v>
      </c>
      <c r="Y429" s="1" t="str">
        <f t="shared" ref="Y429:Y437" si="140">(TEXT(S429,"aaaa-mm"))</f>
        <v>2025-09</v>
      </c>
      <c r="Z429" s="1" t="str">
        <f t="shared" ref="Z429:Z437" si="141">(TEXT(U429,"aaaa-mm"))</f>
        <v>2025-10</v>
      </c>
    </row>
    <row r="430" spans="1:26" x14ac:dyDescent="0.2">
      <c r="A430" s="1" t="s">
        <v>1026</v>
      </c>
      <c r="B430" s="1" t="s">
        <v>1027</v>
      </c>
      <c r="C430" s="1" t="s">
        <v>13</v>
      </c>
      <c r="D430" s="3">
        <v>45932.665867372685</v>
      </c>
      <c r="E430" s="3">
        <v>45950.520119108798</v>
      </c>
      <c r="F430" s="1" t="s">
        <v>52</v>
      </c>
      <c r="G430" s="1" t="s">
        <v>21</v>
      </c>
      <c r="H430" s="1" t="s">
        <v>468</v>
      </c>
      <c r="I430" s="1" t="s">
        <v>18</v>
      </c>
      <c r="J430" s="1" t="s">
        <v>16</v>
      </c>
      <c r="K430" s="1" t="s">
        <v>15</v>
      </c>
      <c r="L430" s="1" t="s">
        <v>13</v>
      </c>
      <c r="M430" s="1" t="s">
        <v>1163</v>
      </c>
      <c r="N430" s="1" t="str">
        <f t="shared" si="87"/>
        <v>SOPORTE</v>
      </c>
      <c r="O430" s="3">
        <f t="shared" si="131"/>
        <v>45932.665867372685</v>
      </c>
      <c r="P430" s="3">
        <f t="shared" si="132"/>
        <v>45950.520119108798</v>
      </c>
      <c r="Q430" s="1" t="str">
        <f t="shared" si="88"/>
        <v>Externo</v>
      </c>
      <c r="R430" s="1">
        <f t="shared" si="133"/>
        <v>40</v>
      </c>
      <c r="S430" s="6">
        <f t="shared" si="134"/>
        <v>45929</v>
      </c>
      <c r="T430" s="1">
        <f t="shared" si="135"/>
        <v>43</v>
      </c>
      <c r="U430" s="6">
        <f t="shared" si="136"/>
        <v>45950</v>
      </c>
      <c r="V430" s="1">
        <f t="shared" si="137"/>
        <v>17.854251736112928</v>
      </c>
      <c r="W430" s="1">
        <f t="shared" si="138"/>
        <v>2025</v>
      </c>
      <c r="X430" s="1">
        <f t="shared" si="139"/>
        <v>2025</v>
      </c>
      <c r="Y430" s="1" t="str">
        <f t="shared" si="140"/>
        <v>2025-09</v>
      </c>
      <c r="Z430" s="1" t="str">
        <f t="shared" si="141"/>
        <v>2025-10</v>
      </c>
    </row>
    <row r="431" spans="1:26" x14ac:dyDescent="0.2">
      <c r="A431" s="1" t="s">
        <v>1028</v>
      </c>
      <c r="B431" s="1" t="s">
        <v>1029</v>
      </c>
      <c r="C431" s="1" t="s">
        <v>83</v>
      </c>
      <c r="D431" s="3">
        <v>45933.361574953706</v>
      </c>
      <c r="E431" s="3">
        <v>45933.610191250002</v>
      </c>
      <c r="F431" s="1" t="s">
        <v>52</v>
      </c>
      <c r="G431" s="1" t="s">
        <v>12</v>
      </c>
      <c r="H431" s="1" t="s">
        <v>13</v>
      </c>
      <c r="I431" s="1" t="s">
        <v>18</v>
      </c>
      <c r="J431" s="1" t="s">
        <v>16</v>
      </c>
      <c r="K431" s="1" t="s">
        <v>15</v>
      </c>
      <c r="L431" s="1" t="s">
        <v>13</v>
      </c>
      <c r="M431" s="1" t="s">
        <v>1163</v>
      </c>
      <c r="N431" s="1" t="str">
        <f t="shared" si="87"/>
        <v>DESARROLLO</v>
      </c>
      <c r="O431" s="3">
        <f t="shared" si="131"/>
        <v>45933.361574953706</v>
      </c>
      <c r="P431" s="3">
        <f t="shared" si="132"/>
        <v>45933.610191250002</v>
      </c>
      <c r="Q431" s="1" t="str">
        <f t="shared" si="88"/>
        <v>Interno</v>
      </c>
      <c r="R431" s="1">
        <f t="shared" si="133"/>
        <v>40</v>
      </c>
      <c r="S431" s="6">
        <f t="shared" si="134"/>
        <v>45929</v>
      </c>
      <c r="T431" s="1">
        <f t="shared" si="135"/>
        <v>40</v>
      </c>
      <c r="U431" s="6">
        <f t="shared" si="136"/>
        <v>45929</v>
      </c>
      <c r="V431" s="1">
        <f t="shared" si="137"/>
        <v>0.24861629629594972</v>
      </c>
      <c r="W431" s="1">
        <f t="shared" si="138"/>
        <v>2025</v>
      </c>
      <c r="X431" s="1">
        <f t="shared" si="139"/>
        <v>2025</v>
      </c>
      <c r="Y431" s="1" t="str">
        <f t="shared" si="140"/>
        <v>2025-09</v>
      </c>
      <c r="Z431" s="1" t="str">
        <f t="shared" si="141"/>
        <v>2025-09</v>
      </c>
    </row>
    <row r="432" spans="1:26" x14ac:dyDescent="0.2">
      <c r="A432" s="1" t="s">
        <v>1030</v>
      </c>
      <c r="B432" s="1" t="s">
        <v>1031</v>
      </c>
      <c r="C432" s="1" t="s">
        <v>83</v>
      </c>
      <c r="D432" s="3">
        <v>45936.397233136573</v>
      </c>
      <c r="E432" s="3">
        <v>45945.513999178242</v>
      </c>
      <c r="F432" s="1" t="s">
        <v>52</v>
      </c>
      <c r="G432" s="1" t="s">
        <v>21</v>
      </c>
      <c r="H432" s="1" t="s">
        <v>1050</v>
      </c>
      <c r="I432" s="1" t="s">
        <v>18</v>
      </c>
      <c r="J432" s="1" t="s">
        <v>16</v>
      </c>
      <c r="K432" s="1" t="s">
        <v>15</v>
      </c>
      <c r="L432" s="1" t="s">
        <v>13</v>
      </c>
      <c r="M432" s="1" t="s">
        <v>1163</v>
      </c>
      <c r="N432" s="1" t="str">
        <f t="shared" si="87"/>
        <v>SOPORTE</v>
      </c>
      <c r="O432" s="3">
        <f t="shared" si="131"/>
        <v>45936.397233136573</v>
      </c>
      <c r="P432" s="3">
        <f t="shared" si="132"/>
        <v>45945.513999178242</v>
      </c>
      <c r="Q432" s="1" t="str">
        <f t="shared" si="88"/>
        <v>Externo</v>
      </c>
      <c r="R432" s="1">
        <f t="shared" si="133"/>
        <v>41</v>
      </c>
      <c r="S432" s="6">
        <f t="shared" si="134"/>
        <v>45936</v>
      </c>
      <c r="T432" s="1">
        <f t="shared" si="135"/>
        <v>42</v>
      </c>
      <c r="U432" s="6">
        <f t="shared" si="136"/>
        <v>45943</v>
      </c>
      <c r="V432" s="1">
        <f t="shared" si="137"/>
        <v>9.1167660416685976</v>
      </c>
      <c r="W432" s="1">
        <f t="shared" si="138"/>
        <v>2025</v>
      </c>
      <c r="X432" s="1">
        <f t="shared" si="139"/>
        <v>2025</v>
      </c>
      <c r="Y432" s="1" t="str">
        <f t="shared" si="140"/>
        <v>2025-10</v>
      </c>
      <c r="Z432" s="1" t="str">
        <f t="shared" si="141"/>
        <v>2025-10</v>
      </c>
    </row>
    <row r="433" spans="1:26" x14ac:dyDescent="0.2">
      <c r="A433" s="1" t="s">
        <v>1032</v>
      </c>
      <c r="B433" s="1" t="s">
        <v>1033</v>
      </c>
      <c r="C433" s="1" t="s">
        <v>83</v>
      </c>
      <c r="D433" s="3">
        <v>45936.424802615744</v>
      </c>
      <c r="E433" s="3">
        <v>45951.657900243059</v>
      </c>
      <c r="F433" s="1" t="s">
        <v>52</v>
      </c>
      <c r="G433" s="1" t="s">
        <v>21</v>
      </c>
      <c r="H433" s="1" t="s">
        <v>468</v>
      </c>
      <c r="I433" s="1" t="s">
        <v>18</v>
      </c>
      <c r="J433" s="1" t="s">
        <v>16</v>
      </c>
      <c r="K433" s="1" t="s">
        <v>17</v>
      </c>
      <c r="L433" s="1" t="s">
        <v>13</v>
      </c>
      <c r="M433" s="1" t="s">
        <v>1163</v>
      </c>
      <c r="N433" s="1" t="str">
        <f t="shared" si="87"/>
        <v>SOPORTE</v>
      </c>
      <c r="O433" s="3">
        <f t="shared" si="131"/>
        <v>45936.424802615744</v>
      </c>
      <c r="P433" s="3">
        <f t="shared" si="132"/>
        <v>45951.657900243059</v>
      </c>
      <c r="Q433" s="1" t="str">
        <f t="shared" si="88"/>
        <v>Externo</v>
      </c>
      <c r="R433" s="1">
        <f t="shared" si="133"/>
        <v>41</v>
      </c>
      <c r="S433" s="6">
        <f t="shared" si="134"/>
        <v>45936</v>
      </c>
      <c r="T433" s="1">
        <f t="shared" si="135"/>
        <v>43</v>
      </c>
      <c r="U433" s="6">
        <f t="shared" si="136"/>
        <v>45950</v>
      </c>
      <c r="V433" s="1">
        <f t="shared" si="137"/>
        <v>15.233097627315146</v>
      </c>
      <c r="W433" s="1">
        <f t="shared" si="138"/>
        <v>2025</v>
      </c>
      <c r="X433" s="1">
        <f t="shared" si="139"/>
        <v>2025</v>
      </c>
      <c r="Y433" s="1" t="str">
        <f t="shared" si="140"/>
        <v>2025-10</v>
      </c>
      <c r="Z433" s="1" t="str">
        <f t="shared" si="141"/>
        <v>2025-10</v>
      </c>
    </row>
    <row r="434" spans="1:26" x14ac:dyDescent="0.2">
      <c r="A434" s="1" t="s">
        <v>1034</v>
      </c>
      <c r="B434" s="1" t="s">
        <v>1035</v>
      </c>
      <c r="C434" s="1" t="s">
        <v>58</v>
      </c>
      <c r="D434" s="3">
        <v>45937.361713298611</v>
      </c>
      <c r="E434" s="3">
        <v>45946.706715231485</v>
      </c>
      <c r="F434" s="1" t="s">
        <v>52</v>
      </c>
      <c r="G434" s="1" t="s">
        <v>21</v>
      </c>
      <c r="H434" s="1" t="s">
        <v>468</v>
      </c>
      <c r="I434" s="1" t="s">
        <v>18</v>
      </c>
      <c r="J434" s="1" t="s">
        <v>16</v>
      </c>
      <c r="K434" s="1" t="s">
        <v>15</v>
      </c>
      <c r="L434" s="1" t="s">
        <v>13</v>
      </c>
      <c r="M434" s="1" t="s">
        <v>1163</v>
      </c>
      <c r="N434" s="1" t="str">
        <f t="shared" si="87"/>
        <v>SOPORTE</v>
      </c>
      <c r="O434" s="3">
        <f t="shared" si="131"/>
        <v>45937.361713298611</v>
      </c>
      <c r="P434" s="3">
        <f t="shared" si="132"/>
        <v>45946.706715231485</v>
      </c>
      <c r="Q434" s="1" t="str">
        <f t="shared" si="88"/>
        <v>Externo</v>
      </c>
      <c r="R434" s="1">
        <f t="shared" si="133"/>
        <v>41</v>
      </c>
      <c r="S434" s="6">
        <f t="shared" si="134"/>
        <v>45936</v>
      </c>
      <c r="T434" s="1">
        <f t="shared" si="135"/>
        <v>42</v>
      </c>
      <c r="U434" s="6">
        <f t="shared" si="136"/>
        <v>45943</v>
      </c>
      <c r="V434" s="1">
        <f t="shared" si="137"/>
        <v>9.3450019328738563</v>
      </c>
      <c r="W434" s="1">
        <f t="shared" si="138"/>
        <v>2025</v>
      </c>
      <c r="X434" s="1">
        <f t="shared" si="139"/>
        <v>2025</v>
      </c>
      <c r="Y434" s="1" t="str">
        <f t="shared" si="140"/>
        <v>2025-10</v>
      </c>
      <c r="Z434" s="1" t="str">
        <f t="shared" si="141"/>
        <v>2025-10</v>
      </c>
    </row>
    <row r="435" spans="1:26" x14ac:dyDescent="0.2">
      <c r="A435" s="1" t="s">
        <v>1036</v>
      </c>
      <c r="B435" s="1" t="s">
        <v>1052</v>
      </c>
      <c r="C435" s="1" t="s">
        <v>740</v>
      </c>
      <c r="D435" s="3">
        <v>45937.398881168985</v>
      </c>
      <c r="E435" s="3">
        <v>45946.707967835646</v>
      </c>
      <c r="F435" s="1" t="s">
        <v>52</v>
      </c>
      <c r="G435" s="1" t="s">
        <v>21</v>
      </c>
      <c r="H435" s="1" t="s">
        <v>468</v>
      </c>
      <c r="I435" s="1" t="s">
        <v>18</v>
      </c>
      <c r="J435" s="1" t="s">
        <v>16</v>
      </c>
      <c r="K435" s="1" t="s">
        <v>15</v>
      </c>
      <c r="L435" s="1" t="s">
        <v>13</v>
      </c>
      <c r="M435" s="1" t="s">
        <v>1163</v>
      </c>
      <c r="N435" s="1" t="str">
        <f t="shared" si="87"/>
        <v>SOPORTE</v>
      </c>
      <c r="O435" s="3">
        <f t="shared" si="131"/>
        <v>45937.398881168985</v>
      </c>
      <c r="P435" s="3">
        <f t="shared" si="132"/>
        <v>45946.707967835646</v>
      </c>
      <c r="Q435" s="1" t="str">
        <f t="shared" si="88"/>
        <v>Externo</v>
      </c>
      <c r="R435" s="1">
        <f t="shared" si="133"/>
        <v>41</v>
      </c>
      <c r="S435" s="6">
        <f t="shared" si="134"/>
        <v>45936</v>
      </c>
      <c r="T435" s="1">
        <f t="shared" si="135"/>
        <v>42</v>
      </c>
      <c r="U435" s="6">
        <f t="shared" si="136"/>
        <v>45943</v>
      </c>
      <c r="V435" s="1">
        <f t="shared" si="137"/>
        <v>9.3090866666607326</v>
      </c>
      <c r="W435" s="1">
        <f t="shared" si="138"/>
        <v>2025</v>
      </c>
      <c r="X435" s="1">
        <f t="shared" si="139"/>
        <v>2025</v>
      </c>
      <c r="Y435" s="1" t="str">
        <f t="shared" si="140"/>
        <v>2025-10</v>
      </c>
      <c r="Z435" s="1" t="str">
        <f t="shared" si="141"/>
        <v>2025-10</v>
      </c>
    </row>
    <row r="436" spans="1:26" x14ac:dyDescent="0.2">
      <c r="A436" s="1" t="s">
        <v>1037</v>
      </c>
      <c r="B436" s="1" t="s">
        <v>1038</v>
      </c>
      <c r="C436" s="1" t="s">
        <v>682</v>
      </c>
      <c r="D436" s="3">
        <v>45937.402135358796</v>
      </c>
      <c r="E436" s="3">
        <v>45946.708855208337</v>
      </c>
      <c r="F436" s="1" t="s">
        <v>52</v>
      </c>
      <c r="G436" s="1" t="s">
        <v>21</v>
      </c>
      <c r="H436" s="1" t="s">
        <v>468</v>
      </c>
      <c r="I436" s="1" t="s">
        <v>18</v>
      </c>
      <c r="J436" s="1" t="s">
        <v>16</v>
      </c>
      <c r="K436" s="1" t="s">
        <v>15</v>
      </c>
      <c r="L436" s="1" t="s">
        <v>13</v>
      </c>
      <c r="M436" s="1" t="s">
        <v>1163</v>
      </c>
      <c r="N436" s="1" t="str">
        <f t="shared" si="87"/>
        <v>SOPORTE</v>
      </c>
      <c r="O436" s="3">
        <f t="shared" si="131"/>
        <v>45937.402135358796</v>
      </c>
      <c r="P436" s="3">
        <f t="shared" si="132"/>
        <v>45946.708855208337</v>
      </c>
      <c r="Q436" s="1" t="str">
        <f t="shared" si="88"/>
        <v>Externo</v>
      </c>
      <c r="R436" s="1">
        <f t="shared" si="133"/>
        <v>41</v>
      </c>
      <c r="S436" s="6">
        <f t="shared" si="134"/>
        <v>45936</v>
      </c>
      <c r="T436" s="1">
        <f t="shared" si="135"/>
        <v>42</v>
      </c>
      <c r="U436" s="6">
        <f t="shared" si="136"/>
        <v>45943</v>
      </c>
      <c r="V436" s="1">
        <f t="shared" si="137"/>
        <v>9.3067198495409684</v>
      </c>
      <c r="W436" s="1">
        <f t="shared" si="138"/>
        <v>2025</v>
      </c>
      <c r="X436" s="1">
        <f t="shared" si="139"/>
        <v>2025</v>
      </c>
      <c r="Y436" s="1" t="str">
        <f t="shared" si="140"/>
        <v>2025-10</v>
      </c>
      <c r="Z436" s="1" t="str">
        <f t="shared" si="141"/>
        <v>2025-10</v>
      </c>
    </row>
    <row r="437" spans="1:26" x14ac:dyDescent="0.2">
      <c r="A437" s="1" t="s">
        <v>1039</v>
      </c>
      <c r="B437" s="1" t="s">
        <v>1040</v>
      </c>
      <c r="C437" s="1" t="s">
        <v>70</v>
      </c>
      <c r="D437" s="3">
        <v>45937.414026631945</v>
      </c>
      <c r="E437" s="3">
        <v>45939.640607013891</v>
      </c>
      <c r="F437" s="1" t="s">
        <v>52</v>
      </c>
      <c r="G437" s="1" t="s">
        <v>21</v>
      </c>
      <c r="H437" s="1" t="s">
        <v>468</v>
      </c>
      <c r="I437" s="1" t="s">
        <v>18</v>
      </c>
      <c r="J437" s="1" t="s">
        <v>16</v>
      </c>
      <c r="K437" s="1" t="s">
        <v>15</v>
      </c>
      <c r="L437" s="1" t="s">
        <v>13</v>
      </c>
      <c r="M437" s="1" t="s">
        <v>1163</v>
      </c>
      <c r="N437" s="1" t="str">
        <f t="shared" si="87"/>
        <v>SOPORTE</v>
      </c>
      <c r="O437" s="3">
        <f t="shared" si="131"/>
        <v>45937.414026631945</v>
      </c>
      <c r="P437" s="3">
        <f t="shared" si="132"/>
        <v>45939.640607013891</v>
      </c>
      <c r="Q437" s="1" t="str">
        <f t="shared" si="88"/>
        <v>Externo</v>
      </c>
      <c r="R437" s="1">
        <f t="shared" si="133"/>
        <v>41</v>
      </c>
      <c r="S437" s="6">
        <f t="shared" si="134"/>
        <v>45936</v>
      </c>
      <c r="T437" s="1">
        <f t="shared" si="135"/>
        <v>41</v>
      </c>
      <c r="U437" s="6">
        <f t="shared" si="136"/>
        <v>45936</v>
      </c>
      <c r="V437" s="1">
        <f t="shared" si="137"/>
        <v>2.2265803819464054</v>
      </c>
      <c r="W437" s="1">
        <f t="shared" si="138"/>
        <v>2025</v>
      </c>
      <c r="X437" s="1">
        <f t="shared" si="139"/>
        <v>2025</v>
      </c>
      <c r="Y437" s="1" t="str">
        <f t="shared" si="140"/>
        <v>2025-10</v>
      </c>
      <c r="Z437" s="1" t="str">
        <f t="shared" si="141"/>
        <v>2025-10</v>
      </c>
    </row>
    <row r="438" spans="1:26" x14ac:dyDescent="0.2">
      <c r="A438" s="1" t="s">
        <v>1041</v>
      </c>
      <c r="B438" s="1" t="s">
        <v>1042</v>
      </c>
      <c r="C438" s="1" t="s">
        <v>70</v>
      </c>
      <c r="D438" s="3">
        <v>45937.419205428239</v>
      </c>
      <c r="E438" s="1" t="s">
        <v>13</v>
      </c>
      <c r="F438" s="1" t="s">
        <v>52</v>
      </c>
      <c r="G438" s="1" t="s">
        <v>21</v>
      </c>
      <c r="H438" s="1" t="s">
        <v>13</v>
      </c>
      <c r="I438" s="1" t="s">
        <v>18</v>
      </c>
      <c r="J438" s="1" t="s">
        <v>16</v>
      </c>
      <c r="K438" s="1" t="s">
        <v>23</v>
      </c>
      <c r="L438" s="1" t="s">
        <v>13</v>
      </c>
      <c r="M438" s="1" t="s">
        <v>1163</v>
      </c>
      <c r="N438" s="1" t="str">
        <f t="shared" si="87"/>
        <v>SOPORTE</v>
      </c>
      <c r="O438" s="3">
        <f t="shared" ref="O438:O455" si="142">D438</f>
        <v>45937.419205428239</v>
      </c>
      <c r="P438" s="3" t="str">
        <f t="shared" ref="P438:P455" si="143">E438</f>
        <v/>
      </c>
      <c r="Q438" s="1" t="str">
        <f t="shared" si="88"/>
        <v>Externo</v>
      </c>
      <c r="R438" s="1">
        <f t="shared" ref="R438:R455" si="144">WEEKNUM(O438,1)</f>
        <v>41</v>
      </c>
      <c r="S438" s="6">
        <f t="shared" ref="S438:S455" si="145">DATE(W438,1,4) + (R438-1)*7 - WEEKDAY(DATE(W438,1,4),2) +1</f>
        <v>45936</v>
      </c>
      <c r="T438" s="1" t="e">
        <f t="shared" ref="T438:T455" si="146">WEEKNUM(P438,1)</f>
        <v>#VALUE!</v>
      </c>
      <c r="U438" s="6" t="e">
        <f t="shared" ref="U438:U455" si="147">DATE(X438,1,4) + (T438-1)*7 - WEEKDAY(DATE(X438,1,4),2) +1</f>
        <v>#VALUE!</v>
      </c>
      <c r="V438" s="1" t="e">
        <f t="shared" ref="V438:V455" si="148">ABS(P438-O438)</f>
        <v>#VALUE!</v>
      </c>
      <c r="W438" s="1">
        <f t="shared" ref="W438:W455" si="149">YEAR(O438)</f>
        <v>2025</v>
      </c>
      <c r="X438" s="1" t="e">
        <f t="shared" ref="X438:X455" si="150">YEAR(P438)</f>
        <v>#VALUE!</v>
      </c>
      <c r="Y438" s="1" t="str">
        <f t="shared" ref="Y438:Y455" si="151">(TEXT(S438,"aaaa-mm"))</f>
        <v>2025-10</v>
      </c>
      <c r="Z438" s="1" t="e">
        <f t="shared" ref="Z438:Z455" si="152">(TEXT(U438,"aaaa-mm"))</f>
        <v>#VALUE!</v>
      </c>
    </row>
    <row r="439" spans="1:26" x14ac:dyDescent="0.2">
      <c r="A439" s="1" t="s">
        <v>1043</v>
      </c>
      <c r="B439" s="1" t="s">
        <v>1044</v>
      </c>
      <c r="C439" s="1" t="s">
        <v>682</v>
      </c>
      <c r="D439" s="3">
        <v>45937.712198622685</v>
      </c>
      <c r="E439" s="3">
        <v>45946.709953055557</v>
      </c>
      <c r="F439" s="1" t="s">
        <v>52</v>
      </c>
      <c r="G439" s="1" t="s">
        <v>21</v>
      </c>
      <c r="H439" s="1" t="s">
        <v>468</v>
      </c>
      <c r="I439" s="1" t="s">
        <v>18</v>
      </c>
      <c r="J439" s="1" t="s">
        <v>16</v>
      </c>
      <c r="K439" s="1" t="s">
        <v>15</v>
      </c>
      <c r="L439" s="1" t="s">
        <v>13</v>
      </c>
      <c r="M439" s="1" t="s">
        <v>1163</v>
      </c>
      <c r="N439" s="1" t="str">
        <f t="shared" si="87"/>
        <v>SOPORTE</v>
      </c>
      <c r="O439" s="3">
        <f t="shared" si="142"/>
        <v>45937.712198622685</v>
      </c>
      <c r="P439" s="3">
        <f t="shared" si="143"/>
        <v>45946.709953055557</v>
      </c>
      <c r="Q439" s="1" t="str">
        <f t="shared" si="88"/>
        <v>Externo</v>
      </c>
      <c r="R439" s="1">
        <f t="shared" si="144"/>
        <v>41</v>
      </c>
      <c r="S439" s="6">
        <f t="shared" si="145"/>
        <v>45936</v>
      </c>
      <c r="T439" s="1">
        <f t="shared" si="146"/>
        <v>42</v>
      </c>
      <c r="U439" s="6">
        <f t="shared" si="147"/>
        <v>45943</v>
      </c>
      <c r="V439" s="1">
        <f t="shared" si="148"/>
        <v>8.9977544328721706</v>
      </c>
      <c r="W439" s="1">
        <f t="shared" si="149"/>
        <v>2025</v>
      </c>
      <c r="X439" s="1">
        <f t="shared" si="150"/>
        <v>2025</v>
      </c>
      <c r="Y439" s="1" t="str">
        <f t="shared" si="151"/>
        <v>2025-10</v>
      </c>
      <c r="Z439" s="1" t="str">
        <f t="shared" si="152"/>
        <v>2025-10</v>
      </c>
    </row>
    <row r="440" spans="1:26" x14ac:dyDescent="0.2">
      <c r="A440" s="1" t="s">
        <v>1045</v>
      </c>
      <c r="B440" s="1" t="s">
        <v>1046</v>
      </c>
      <c r="C440" s="1" t="s">
        <v>78</v>
      </c>
      <c r="D440" s="3">
        <v>45937.722379363426</v>
      </c>
      <c r="E440" s="3">
        <v>45938.392131851855</v>
      </c>
      <c r="F440" s="1" t="s">
        <v>52</v>
      </c>
      <c r="G440" s="1" t="s">
        <v>21</v>
      </c>
      <c r="H440" s="1" t="s">
        <v>13</v>
      </c>
      <c r="I440" s="1" t="s">
        <v>18</v>
      </c>
      <c r="J440" s="1" t="s">
        <v>16</v>
      </c>
      <c r="K440" s="1" t="s">
        <v>15</v>
      </c>
      <c r="L440" s="1" t="s">
        <v>13</v>
      </c>
      <c r="M440" s="1" t="s">
        <v>1163</v>
      </c>
      <c r="N440" s="1" t="str">
        <f t="shared" si="87"/>
        <v>SOPORTE</v>
      </c>
      <c r="O440" s="3">
        <f t="shared" si="142"/>
        <v>45937.722379363426</v>
      </c>
      <c r="P440" s="3">
        <f t="shared" si="143"/>
        <v>45938.392131851855</v>
      </c>
      <c r="Q440" s="1" t="str">
        <f t="shared" si="88"/>
        <v>Externo</v>
      </c>
      <c r="R440" s="1">
        <f t="shared" si="144"/>
        <v>41</v>
      </c>
      <c r="S440" s="6">
        <f t="shared" si="145"/>
        <v>45936</v>
      </c>
      <c r="T440" s="1">
        <f t="shared" si="146"/>
        <v>41</v>
      </c>
      <c r="U440" s="6">
        <f t="shared" si="147"/>
        <v>45936</v>
      </c>
      <c r="V440" s="1">
        <f t="shared" si="148"/>
        <v>0.66975248842936708</v>
      </c>
      <c r="W440" s="1">
        <f t="shared" si="149"/>
        <v>2025</v>
      </c>
      <c r="X440" s="1">
        <f t="shared" si="150"/>
        <v>2025</v>
      </c>
      <c r="Y440" s="1" t="str">
        <f t="shared" si="151"/>
        <v>2025-10</v>
      </c>
      <c r="Z440" s="1" t="str">
        <f t="shared" si="152"/>
        <v>2025-10</v>
      </c>
    </row>
    <row r="441" spans="1:26" x14ac:dyDescent="0.2">
      <c r="A441" s="1" t="s">
        <v>1047</v>
      </c>
      <c r="B441" s="1" t="s">
        <v>1048</v>
      </c>
      <c r="C441" s="1" t="s">
        <v>83</v>
      </c>
      <c r="D441" s="3">
        <v>45938.403636319446</v>
      </c>
      <c r="E441" s="3">
        <v>45950.521571365738</v>
      </c>
      <c r="F441" s="1" t="s">
        <v>52</v>
      </c>
      <c r="G441" s="1" t="s">
        <v>21</v>
      </c>
      <c r="H441" s="1" t="s">
        <v>468</v>
      </c>
      <c r="I441" s="1" t="s">
        <v>18</v>
      </c>
      <c r="J441" s="1" t="s">
        <v>16</v>
      </c>
      <c r="K441" s="1" t="s">
        <v>15</v>
      </c>
      <c r="L441" s="1" t="s">
        <v>13</v>
      </c>
      <c r="M441" s="1" t="s">
        <v>1163</v>
      </c>
      <c r="N441" s="1" t="str">
        <f t="shared" si="87"/>
        <v>SOPORTE</v>
      </c>
      <c r="O441" s="3">
        <f t="shared" si="142"/>
        <v>45938.403636319446</v>
      </c>
      <c r="P441" s="3">
        <f t="shared" si="143"/>
        <v>45950.521571365738</v>
      </c>
      <c r="Q441" s="1" t="str">
        <f t="shared" si="88"/>
        <v>Externo</v>
      </c>
      <c r="R441" s="1">
        <f t="shared" si="144"/>
        <v>41</v>
      </c>
      <c r="S441" s="6">
        <f t="shared" si="145"/>
        <v>45936</v>
      </c>
      <c r="T441" s="1">
        <f t="shared" si="146"/>
        <v>43</v>
      </c>
      <c r="U441" s="6">
        <f t="shared" si="147"/>
        <v>45950</v>
      </c>
      <c r="V441" s="1">
        <f t="shared" si="148"/>
        <v>12.117935046291677</v>
      </c>
      <c r="W441" s="1">
        <f t="shared" si="149"/>
        <v>2025</v>
      </c>
      <c r="X441" s="1">
        <f t="shared" si="150"/>
        <v>2025</v>
      </c>
      <c r="Y441" s="1" t="str">
        <f t="shared" si="151"/>
        <v>2025-10</v>
      </c>
      <c r="Z441" s="1" t="str">
        <f t="shared" si="152"/>
        <v>2025-10</v>
      </c>
    </row>
    <row r="442" spans="1:26" x14ac:dyDescent="0.2">
      <c r="A442" s="1" t="s">
        <v>1053</v>
      </c>
      <c r="B442" s="1" t="s">
        <v>1054</v>
      </c>
      <c r="C442" s="1" t="s">
        <v>78</v>
      </c>
      <c r="D442" s="3">
        <v>45938.678891597221</v>
      </c>
      <c r="E442" s="3">
        <v>45939.513171284721</v>
      </c>
      <c r="F442" s="1" t="s">
        <v>52</v>
      </c>
      <c r="G442" s="1" t="s">
        <v>12</v>
      </c>
      <c r="H442" s="1" t="s">
        <v>13</v>
      </c>
      <c r="I442" s="1" t="s">
        <v>18</v>
      </c>
      <c r="J442" s="1" t="s">
        <v>16</v>
      </c>
      <c r="K442" s="1" t="s">
        <v>15</v>
      </c>
      <c r="L442" s="1" t="s">
        <v>13</v>
      </c>
      <c r="M442" s="1" t="s">
        <v>1163</v>
      </c>
      <c r="N442" s="1" t="str">
        <f t="shared" si="87"/>
        <v>DESARROLLO</v>
      </c>
      <c r="O442" s="3">
        <f t="shared" si="142"/>
        <v>45938.678891597221</v>
      </c>
      <c r="P442" s="3">
        <f t="shared" si="143"/>
        <v>45939.513171284721</v>
      </c>
      <c r="Q442" s="1" t="str">
        <f t="shared" si="88"/>
        <v>Interno</v>
      </c>
      <c r="R442" s="1">
        <f t="shared" si="144"/>
        <v>41</v>
      </c>
      <c r="S442" s="6">
        <f t="shared" si="145"/>
        <v>45936</v>
      </c>
      <c r="T442" s="1">
        <f t="shared" si="146"/>
        <v>41</v>
      </c>
      <c r="U442" s="6">
        <f t="shared" si="147"/>
        <v>45936</v>
      </c>
      <c r="V442" s="1">
        <f t="shared" si="148"/>
        <v>0.83427968750038417</v>
      </c>
      <c r="W442" s="1">
        <f t="shared" si="149"/>
        <v>2025</v>
      </c>
      <c r="X442" s="1">
        <f t="shared" si="150"/>
        <v>2025</v>
      </c>
      <c r="Y442" s="1" t="str">
        <f t="shared" si="151"/>
        <v>2025-10</v>
      </c>
      <c r="Z442" s="1" t="str">
        <f t="shared" si="152"/>
        <v>2025-10</v>
      </c>
    </row>
    <row r="443" spans="1:26" x14ac:dyDescent="0.2">
      <c r="A443" s="1" t="s">
        <v>1055</v>
      </c>
      <c r="B443" s="1" t="s">
        <v>1056</v>
      </c>
      <c r="C443" s="1" t="s">
        <v>740</v>
      </c>
      <c r="D443" s="3">
        <v>45939.462782766204</v>
      </c>
      <c r="E443" s="3">
        <v>45950.522701759262</v>
      </c>
      <c r="F443" s="1" t="s">
        <v>52</v>
      </c>
      <c r="G443" s="1" t="s">
        <v>21</v>
      </c>
      <c r="H443" s="1" t="s">
        <v>468</v>
      </c>
      <c r="I443" s="1" t="s">
        <v>18</v>
      </c>
      <c r="J443" s="1" t="s">
        <v>16</v>
      </c>
      <c r="K443" s="1" t="s">
        <v>15</v>
      </c>
      <c r="L443" s="1" t="s">
        <v>13</v>
      </c>
      <c r="M443" s="1" t="s">
        <v>1163</v>
      </c>
      <c r="N443" s="1" t="str">
        <f t="shared" si="87"/>
        <v>SOPORTE</v>
      </c>
      <c r="O443" s="3">
        <f t="shared" si="142"/>
        <v>45939.462782766204</v>
      </c>
      <c r="P443" s="3">
        <f t="shared" si="143"/>
        <v>45950.522701759262</v>
      </c>
      <c r="Q443" s="1" t="str">
        <f t="shared" si="88"/>
        <v>Externo</v>
      </c>
      <c r="R443" s="1">
        <f t="shared" si="144"/>
        <v>41</v>
      </c>
      <c r="S443" s="6">
        <f t="shared" si="145"/>
        <v>45936</v>
      </c>
      <c r="T443" s="1">
        <f t="shared" si="146"/>
        <v>43</v>
      </c>
      <c r="U443" s="6">
        <f t="shared" si="147"/>
        <v>45950</v>
      </c>
      <c r="V443" s="1">
        <f t="shared" si="148"/>
        <v>11.059918993058091</v>
      </c>
      <c r="W443" s="1">
        <f t="shared" si="149"/>
        <v>2025</v>
      </c>
      <c r="X443" s="1">
        <f t="shared" si="150"/>
        <v>2025</v>
      </c>
      <c r="Y443" s="1" t="str">
        <f t="shared" si="151"/>
        <v>2025-10</v>
      </c>
      <c r="Z443" s="1" t="str">
        <f t="shared" si="152"/>
        <v>2025-10</v>
      </c>
    </row>
    <row r="444" spans="1:26" x14ac:dyDescent="0.2">
      <c r="A444" s="1" t="s">
        <v>1057</v>
      </c>
      <c r="B444" s="1" t="s">
        <v>1058</v>
      </c>
      <c r="C444" s="1" t="s">
        <v>740</v>
      </c>
      <c r="D444" s="3">
        <v>45940.354987800929</v>
      </c>
      <c r="E444" s="3">
        <v>45950.516966192132</v>
      </c>
      <c r="F444" s="1" t="s">
        <v>52</v>
      </c>
      <c r="G444" s="1" t="s">
        <v>21</v>
      </c>
      <c r="H444" s="1" t="s">
        <v>1050</v>
      </c>
      <c r="I444" s="1" t="s">
        <v>18</v>
      </c>
      <c r="J444" s="1" t="s">
        <v>16</v>
      </c>
      <c r="K444" s="1" t="s">
        <v>15</v>
      </c>
      <c r="L444" s="1" t="s">
        <v>13</v>
      </c>
      <c r="M444" s="1" t="s">
        <v>1163</v>
      </c>
      <c r="N444" s="1" t="str">
        <f t="shared" si="87"/>
        <v>SOPORTE</v>
      </c>
      <c r="O444" s="3">
        <f t="shared" si="142"/>
        <v>45940.354987800929</v>
      </c>
      <c r="P444" s="3">
        <f t="shared" si="143"/>
        <v>45950.516966192132</v>
      </c>
      <c r="Q444" s="1" t="str">
        <f t="shared" si="88"/>
        <v>Externo</v>
      </c>
      <c r="R444" s="1">
        <f t="shared" si="144"/>
        <v>41</v>
      </c>
      <c r="S444" s="6">
        <f t="shared" si="145"/>
        <v>45936</v>
      </c>
      <c r="T444" s="1">
        <f t="shared" si="146"/>
        <v>43</v>
      </c>
      <c r="U444" s="6">
        <f t="shared" si="147"/>
        <v>45950</v>
      </c>
      <c r="V444" s="1">
        <f t="shared" si="148"/>
        <v>10.161978391202865</v>
      </c>
      <c r="W444" s="1">
        <f t="shared" si="149"/>
        <v>2025</v>
      </c>
      <c r="X444" s="1">
        <f t="shared" si="150"/>
        <v>2025</v>
      </c>
      <c r="Y444" s="1" t="str">
        <f t="shared" si="151"/>
        <v>2025-10</v>
      </c>
      <c r="Z444" s="1" t="str">
        <f t="shared" si="152"/>
        <v>2025-10</v>
      </c>
    </row>
    <row r="445" spans="1:26" x14ac:dyDescent="0.2">
      <c r="A445" s="1" t="s">
        <v>1059</v>
      </c>
      <c r="B445" s="1" t="s">
        <v>1060</v>
      </c>
      <c r="C445" s="1" t="s">
        <v>83</v>
      </c>
      <c r="D445" s="3">
        <v>45940.482916388886</v>
      </c>
      <c r="E445" s="3">
        <v>45950.516147812501</v>
      </c>
      <c r="F445" s="1" t="s">
        <v>52</v>
      </c>
      <c r="G445" s="1" t="s">
        <v>21</v>
      </c>
      <c r="H445" s="1" t="s">
        <v>468</v>
      </c>
      <c r="I445" s="1" t="s">
        <v>18</v>
      </c>
      <c r="J445" s="1" t="s">
        <v>16</v>
      </c>
      <c r="K445" s="1" t="s">
        <v>15</v>
      </c>
      <c r="L445" s="1" t="s">
        <v>13</v>
      </c>
      <c r="M445" s="1" t="s">
        <v>1163</v>
      </c>
      <c r="N445" s="1" t="str">
        <f t="shared" si="87"/>
        <v>SOPORTE</v>
      </c>
      <c r="O445" s="3">
        <f t="shared" si="142"/>
        <v>45940.482916388886</v>
      </c>
      <c r="P445" s="3">
        <f t="shared" si="143"/>
        <v>45950.516147812501</v>
      </c>
      <c r="Q445" s="1" t="str">
        <f t="shared" si="88"/>
        <v>Externo</v>
      </c>
      <c r="R445" s="1">
        <f t="shared" si="144"/>
        <v>41</v>
      </c>
      <c r="S445" s="6">
        <f t="shared" si="145"/>
        <v>45936</v>
      </c>
      <c r="T445" s="1">
        <f t="shared" si="146"/>
        <v>43</v>
      </c>
      <c r="U445" s="6">
        <f t="shared" si="147"/>
        <v>45950</v>
      </c>
      <c r="V445" s="1">
        <f t="shared" si="148"/>
        <v>10.033231423614779</v>
      </c>
      <c r="W445" s="1">
        <f t="shared" si="149"/>
        <v>2025</v>
      </c>
      <c r="X445" s="1">
        <f t="shared" si="150"/>
        <v>2025</v>
      </c>
      <c r="Y445" s="1" t="str">
        <f t="shared" si="151"/>
        <v>2025-10</v>
      </c>
      <c r="Z445" s="1" t="str">
        <f t="shared" si="152"/>
        <v>2025-10</v>
      </c>
    </row>
    <row r="446" spans="1:26" x14ac:dyDescent="0.2">
      <c r="A446" s="1" t="s">
        <v>1061</v>
      </c>
      <c r="B446" s="1" t="s">
        <v>1062</v>
      </c>
      <c r="C446" s="1" t="s">
        <v>83</v>
      </c>
      <c r="D446" s="3">
        <v>45943.382652476852</v>
      </c>
      <c r="E446" s="3">
        <v>45945.514347812503</v>
      </c>
      <c r="F446" s="1" t="s">
        <v>52</v>
      </c>
      <c r="G446" s="1" t="s">
        <v>21</v>
      </c>
      <c r="H446" s="1" t="s">
        <v>1050</v>
      </c>
      <c r="I446" s="1" t="s">
        <v>18</v>
      </c>
      <c r="J446" s="1" t="s">
        <v>16</v>
      </c>
      <c r="K446" s="1" t="s">
        <v>15</v>
      </c>
      <c r="L446" s="1" t="s">
        <v>13</v>
      </c>
      <c r="M446" s="1" t="s">
        <v>1163</v>
      </c>
      <c r="N446" s="1" t="str">
        <f t="shared" si="87"/>
        <v>SOPORTE</v>
      </c>
      <c r="O446" s="3">
        <f t="shared" si="142"/>
        <v>45943.382652476852</v>
      </c>
      <c r="P446" s="3">
        <f t="shared" si="143"/>
        <v>45945.514347812503</v>
      </c>
      <c r="Q446" s="1" t="str">
        <f t="shared" si="88"/>
        <v>Externo</v>
      </c>
      <c r="R446" s="1">
        <f t="shared" si="144"/>
        <v>42</v>
      </c>
      <c r="S446" s="6">
        <f t="shared" si="145"/>
        <v>45943</v>
      </c>
      <c r="T446" s="1">
        <f t="shared" si="146"/>
        <v>42</v>
      </c>
      <c r="U446" s="6">
        <f t="shared" si="147"/>
        <v>45943</v>
      </c>
      <c r="V446" s="1">
        <f t="shared" si="148"/>
        <v>2.1316953356508748</v>
      </c>
      <c r="W446" s="1">
        <f t="shared" si="149"/>
        <v>2025</v>
      </c>
      <c r="X446" s="1">
        <f t="shared" si="150"/>
        <v>2025</v>
      </c>
      <c r="Y446" s="1" t="str">
        <f t="shared" si="151"/>
        <v>2025-10</v>
      </c>
      <c r="Z446" s="1" t="str">
        <f t="shared" si="152"/>
        <v>2025-10</v>
      </c>
    </row>
    <row r="447" spans="1:26" x14ac:dyDescent="0.2">
      <c r="A447" s="1" t="s">
        <v>1063</v>
      </c>
      <c r="B447" s="1" t="s">
        <v>1064</v>
      </c>
      <c r="C447" s="1" t="s">
        <v>1065</v>
      </c>
      <c r="D447" s="3">
        <v>45943.398013784725</v>
      </c>
      <c r="E447" s="3">
        <v>45945.514490983798</v>
      </c>
      <c r="F447" s="1" t="s">
        <v>52</v>
      </c>
      <c r="G447" s="1" t="s">
        <v>21</v>
      </c>
      <c r="H447" s="1" t="s">
        <v>484</v>
      </c>
      <c r="I447" s="1" t="s">
        <v>18</v>
      </c>
      <c r="J447" s="1" t="s">
        <v>16</v>
      </c>
      <c r="K447" s="1" t="s">
        <v>15</v>
      </c>
      <c r="L447" s="1" t="s">
        <v>13</v>
      </c>
      <c r="M447" s="1" t="s">
        <v>1163</v>
      </c>
      <c r="N447" s="1" t="str">
        <f t="shared" si="87"/>
        <v>SOPORTE</v>
      </c>
      <c r="O447" s="3">
        <f t="shared" si="142"/>
        <v>45943.398013784725</v>
      </c>
      <c r="P447" s="3">
        <f t="shared" si="143"/>
        <v>45945.514490983798</v>
      </c>
      <c r="Q447" s="1" t="str">
        <f t="shared" si="88"/>
        <v>Externo</v>
      </c>
      <c r="R447" s="1">
        <f t="shared" si="144"/>
        <v>42</v>
      </c>
      <c r="S447" s="6">
        <f t="shared" si="145"/>
        <v>45943</v>
      </c>
      <c r="T447" s="1">
        <f t="shared" si="146"/>
        <v>42</v>
      </c>
      <c r="U447" s="6">
        <f t="shared" si="147"/>
        <v>45943</v>
      </c>
      <c r="V447" s="1">
        <f t="shared" si="148"/>
        <v>2.1164771990734152</v>
      </c>
      <c r="W447" s="1">
        <f t="shared" si="149"/>
        <v>2025</v>
      </c>
      <c r="X447" s="1">
        <f t="shared" si="150"/>
        <v>2025</v>
      </c>
      <c r="Y447" s="1" t="str">
        <f t="shared" si="151"/>
        <v>2025-10</v>
      </c>
      <c r="Z447" s="1" t="str">
        <f t="shared" si="152"/>
        <v>2025-10</v>
      </c>
    </row>
    <row r="448" spans="1:26" x14ac:dyDescent="0.2">
      <c r="A448" s="1" t="s">
        <v>1066</v>
      </c>
      <c r="B448" s="1" t="s">
        <v>1067</v>
      </c>
      <c r="C448" s="1" t="s">
        <v>83</v>
      </c>
      <c r="D448" s="3">
        <v>45944.528607361113</v>
      </c>
      <c r="E448" s="3">
        <v>45944.705507893515</v>
      </c>
      <c r="F448" s="1" t="s">
        <v>52</v>
      </c>
      <c r="G448" s="1" t="s">
        <v>21</v>
      </c>
      <c r="H448" s="1" t="s">
        <v>13</v>
      </c>
      <c r="I448" s="1" t="s">
        <v>18</v>
      </c>
      <c r="J448" s="1" t="s">
        <v>16</v>
      </c>
      <c r="K448" s="1" t="s">
        <v>15</v>
      </c>
      <c r="L448" s="1" t="s">
        <v>13</v>
      </c>
      <c r="M448" s="1" t="s">
        <v>1163</v>
      </c>
      <c r="N448" s="1" t="str">
        <f t="shared" si="87"/>
        <v>SOPORTE</v>
      </c>
      <c r="O448" s="3">
        <f t="shared" si="142"/>
        <v>45944.528607361113</v>
      </c>
      <c r="P448" s="3">
        <f t="shared" si="143"/>
        <v>45944.705507893515</v>
      </c>
      <c r="Q448" s="1" t="str">
        <f t="shared" si="88"/>
        <v>Externo</v>
      </c>
      <c r="R448" s="1">
        <f t="shared" si="144"/>
        <v>42</v>
      </c>
      <c r="S448" s="6">
        <f t="shared" si="145"/>
        <v>45943</v>
      </c>
      <c r="T448" s="1">
        <f t="shared" si="146"/>
        <v>42</v>
      </c>
      <c r="U448" s="6">
        <f t="shared" si="147"/>
        <v>45943</v>
      </c>
      <c r="V448" s="1">
        <f t="shared" si="148"/>
        <v>0.17690053240221459</v>
      </c>
      <c r="W448" s="1">
        <f t="shared" si="149"/>
        <v>2025</v>
      </c>
      <c r="X448" s="1">
        <f t="shared" si="150"/>
        <v>2025</v>
      </c>
      <c r="Y448" s="1" t="str">
        <f t="shared" si="151"/>
        <v>2025-10</v>
      </c>
      <c r="Z448" s="1" t="str">
        <f t="shared" si="152"/>
        <v>2025-10</v>
      </c>
    </row>
    <row r="449" spans="1:26" x14ac:dyDescent="0.2">
      <c r="A449" s="1" t="s">
        <v>1068</v>
      </c>
      <c r="B449" s="1" t="s">
        <v>1069</v>
      </c>
      <c r="C449" s="1" t="s">
        <v>13</v>
      </c>
      <c r="D449" s="3">
        <v>45944.711277303242</v>
      </c>
      <c r="E449" s="1" t="s">
        <v>13</v>
      </c>
      <c r="F449" s="1" t="s">
        <v>52</v>
      </c>
      <c r="G449" s="1" t="s">
        <v>20</v>
      </c>
      <c r="H449" s="1" t="s">
        <v>13</v>
      </c>
      <c r="I449" s="1" t="s">
        <v>18</v>
      </c>
      <c r="J449" s="1" t="s">
        <v>16</v>
      </c>
      <c r="K449" s="1" t="s">
        <v>1070</v>
      </c>
      <c r="L449" s="1" t="s">
        <v>13</v>
      </c>
      <c r="M449" s="1" t="s">
        <v>13</v>
      </c>
      <c r="N449" s="1" t="str">
        <f t="shared" si="87"/>
        <v>FUNCIONAL</v>
      </c>
      <c r="O449" s="3">
        <f t="shared" si="142"/>
        <v>45944.711277303242</v>
      </c>
      <c r="P449" s="3" t="str">
        <f t="shared" si="143"/>
        <v/>
      </c>
      <c r="Q449" s="1" t="str">
        <f t="shared" si="88"/>
        <v>Interno</v>
      </c>
      <c r="R449" s="1">
        <f t="shared" si="144"/>
        <v>42</v>
      </c>
      <c r="S449" s="6">
        <f t="shared" si="145"/>
        <v>45943</v>
      </c>
      <c r="T449" s="1" t="e">
        <f t="shared" si="146"/>
        <v>#VALUE!</v>
      </c>
      <c r="U449" s="6" t="e">
        <f t="shared" si="147"/>
        <v>#VALUE!</v>
      </c>
      <c r="V449" s="1" t="e">
        <f t="shared" si="148"/>
        <v>#VALUE!</v>
      </c>
      <c r="W449" s="1">
        <f t="shared" si="149"/>
        <v>2025</v>
      </c>
      <c r="X449" s="1" t="e">
        <f t="shared" si="150"/>
        <v>#VALUE!</v>
      </c>
      <c r="Y449" s="1" t="str">
        <f t="shared" si="151"/>
        <v>2025-10</v>
      </c>
      <c r="Z449" s="1" t="e">
        <f t="shared" si="152"/>
        <v>#VALUE!</v>
      </c>
    </row>
    <row r="450" spans="1:26" x14ac:dyDescent="0.2">
      <c r="A450" s="1" t="s">
        <v>1071</v>
      </c>
      <c r="B450" s="1" t="s">
        <v>1072</v>
      </c>
      <c r="C450" s="1" t="s">
        <v>13</v>
      </c>
      <c r="D450" s="3">
        <v>45945.354716064816</v>
      </c>
      <c r="E450" s="3">
        <v>45945.35640355324</v>
      </c>
      <c r="F450" s="1" t="s">
        <v>52</v>
      </c>
      <c r="G450" s="1" t="s">
        <v>53</v>
      </c>
      <c r="H450" s="1" t="s">
        <v>13</v>
      </c>
      <c r="I450" s="1" t="s">
        <v>148</v>
      </c>
      <c r="J450" s="1" t="s">
        <v>16</v>
      </c>
      <c r="K450" s="1" t="s">
        <v>17</v>
      </c>
      <c r="L450" s="1" t="s">
        <v>13</v>
      </c>
      <c r="M450" s="1" t="s">
        <v>13</v>
      </c>
      <c r="N450" s="1" t="str">
        <f t="shared" si="87"/>
        <v>TÉCNICO</v>
      </c>
      <c r="O450" s="3">
        <f t="shared" si="142"/>
        <v>45945.354716064816</v>
      </c>
      <c r="P450" s="3">
        <f t="shared" si="143"/>
        <v>45945.35640355324</v>
      </c>
      <c r="Q450" s="1" t="str">
        <f t="shared" si="88"/>
        <v>Interno</v>
      </c>
      <c r="R450" s="1">
        <f t="shared" si="144"/>
        <v>42</v>
      </c>
      <c r="S450" s="6">
        <f t="shared" si="145"/>
        <v>45943</v>
      </c>
      <c r="T450" s="1">
        <f t="shared" si="146"/>
        <v>42</v>
      </c>
      <c r="U450" s="6">
        <f t="shared" si="147"/>
        <v>45943</v>
      </c>
      <c r="V450" s="1">
        <f t="shared" si="148"/>
        <v>1.6874884240678512E-3</v>
      </c>
      <c r="W450" s="1">
        <f t="shared" si="149"/>
        <v>2025</v>
      </c>
      <c r="X450" s="1">
        <f t="shared" si="150"/>
        <v>2025</v>
      </c>
      <c r="Y450" s="1" t="str">
        <f t="shared" si="151"/>
        <v>2025-10</v>
      </c>
      <c r="Z450" s="1" t="str">
        <f t="shared" si="152"/>
        <v>2025-10</v>
      </c>
    </row>
    <row r="451" spans="1:26" x14ac:dyDescent="0.2">
      <c r="A451" s="1" t="s">
        <v>1074</v>
      </c>
      <c r="B451" s="1" t="s">
        <v>1072</v>
      </c>
      <c r="C451" s="1" t="s">
        <v>13</v>
      </c>
      <c r="D451" s="3">
        <v>45945.356601099535</v>
      </c>
      <c r="E451" s="3">
        <v>45959.615170185185</v>
      </c>
      <c r="F451" s="1" t="s">
        <v>52</v>
      </c>
      <c r="G451" s="1" t="s">
        <v>53</v>
      </c>
      <c r="H451" s="1" t="s">
        <v>13</v>
      </c>
      <c r="I451" s="1" t="s">
        <v>148</v>
      </c>
      <c r="J451" s="1" t="s">
        <v>16</v>
      </c>
      <c r="K451" s="1" t="s">
        <v>15</v>
      </c>
      <c r="L451" s="1" t="s">
        <v>1073</v>
      </c>
      <c r="M451" s="1" t="s">
        <v>13</v>
      </c>
      <c r="N451" s="1" t="str">
        <f t="shared" ref="N451:N491" si="153">G451</f>
        <v>TÉCNICO</v>
      </c>
      <c r="O451" s="3">
        <f t="shared" si="142"/>
        <v>45945.356601099535</v>
      </c>
      <c r="P451" s="3">
        <f t="shared" si="143"/>
        <v>45959.615170185185</v>
      </c>
      <c r="Q451" s="1" t="str">
        <f t="shared" ref="Q451:Q491" si="154">IF(OR(N451="Soporte",N451="Definición",N451="Origen"),"Externo",
IF(OR(N451="Funcional",N451="Técnico",N451="Desarrollo",N451="Reproceso"),"Interno",
IF(OR(N451="",N451="Selecciona (SOPORTE/DEFINICIÓN/FUNCIONAL/TÉCNICO/DESARROLLO)"),"Pendiente clasificar","")))</f>
        <v>Interno</v>
      </c>
      <c r="R451" s="1">
        <f t="shared" si="144"/>
        <v>42</v>
      </c>
      <c r="S451" s="6">
        <f t="shared" si="145"/>
        <v>45943</v>
      </c>
      <c r="T451" s="1">
        <f t="shared" si="146"/>
        <v>44</v>
      </c>
      <c r="U451" s="6">
        <f t="shared" si="147"/>
        <v>45957</v>
      </c>
      <c r="V451" s="1">
        <f t="shared" si="148"/>
        <v>14.258569085650379</v>
      </c>
      <c r="W451" s="1">
        <f t="shared" si="149"/>
        <v>2025</v>
      </c>
      <c r="X451" s="1">
        <f t="shared" si="150"/>
        <v>2025</v>
      </c>
      <c r="Y451" s="1" t="str">
        <f t="shared" si="151"/>
        <v>2025-10</v>
      </c>
      <c r="Z451" s="1" t="str">
        <f t="shared" si="152"/>
        <v>2025-10</v>
      </c>
    </row>
    <row r="452" spans="1:26" x14ac:dyDescent="0.2">
      <c r="A452" s="1" t="s">
        <v>1075</v>
      </c>
      <c r="B452" s="1" t="s">
        <v>1076</v>
      </c>
      <c r="C452" s="1" t="s">
        <v>406</v>
      </c>
      <c r="D452" s="3">
        <v>45945.512336342596</v>
      </c>
      <c r="E452" s="3">
        <v>45950.433218877311</v>
      </c>
      <c r="F452" s="1" t="s">
        <v>52</v>
      </c>
      <c r="G452" s="1" t="s">
        <v>21</v>
      </c>
      <c r="H452" s="1" t="s">
        <v>13</v>
      </c>
      <c r="I452" s="1" t="s">
        <v>18</v>
      </c>
      <c r="J452" s="1" t="s">
        <v>16</v>
      </c>
      <c r="K452" s="1" t="s">
        <v>15</v>
      </c>
      <c r="L452" s="1" t="s">
        <v>13</v>
      </c>
      <c r="M452" s="1" t="s">
        <v>1163</v>
      </c>
      <c r="N452" s="1" t="str">
        <f t="shared" si="153"/>
        <v>SOPORTE</v>
      </c>
      <c r="O452" s="3">
        <f t="shared" si="142"/>
        <v>45945.512336342596</v>
      </c>
      <c r="P452" s="3">
        <f t="shared" si="143"/>
        <v>45950.433218877311</v>
      </c>
      <c r="Q452" s="1" t="str">
        <f t="shared" si="154"/>
        <v>Externo</v>
      </c>
      <c r="R452" s="1">
        <f t="shared" si="144"/>
        <v>42</v>
      </c>
      <c r="S452" s="6">
        <f t="shared" si="145"/>
        <v>45943</v>
      </c>
      <c r="T452" s="1">
        <f t="shared" si="146"/>
        <v>43</v>
      </c>
      <c r="U452" s="6">
        <f t="shared" si="147"/>
        <v>45950</v>
      </c>
      <c r="V452" s="1">
        <f t="shared" si="148"/>
        <v>4.9208825347159291</v>
      </c>
      <c r="W452" s="1">
        <f t="shared" si="149"/>
        <v>2025</v>
      </c>
      <c r="X452" s="1">
        <f t="shared" si="150"/>
        <v>2025</v>
      </c>
      <c r="Y452" s="1" t="str">
        <f t="shared" si="151"/>
        <v>2025-10</v>
      </c>
      <c r="Z452" s="1" t="str">
        <f t="shared" si="152"/>
        <v>2025-10</v>
      </c>
    </row>
    <row r="453" spans="1:26" x14ac:dyDescent="0.2">
      <c r="A453" s="1" t="s">
        <v>1077</v>
      </c>
      <c r="B453" s="1" t="s">
        <v>1078</v>
      </c>
      <c r="C453" s="1" t="s">
        <v>83</v>
      </c>
      <c r="D453" s="3">
        <v>45945.51929935185</v>
      </c>
      <c r="E453" s="3">
        <v>45959.405467037039</v>
      </c>
      <c r="F453" s="1" t="s">
        <v>52</v>
      </c>
      <c r="G453" s="1" t="s">
        <v>21</v>
      </c>
      <c r="H453" s="1" t="s">
        <v>468</v>
      </c>
      <c r="I453" s="1" t="s">
        <v>18</v>
      </c>
      <c r="J453" s="1" t="s">
        <v>16</v>
      </c>
      <c r="K453" s="1" t="s">
        <v>15</v>
      </c>
      <c r="L453" s="1" t="s">
        <v>13</v>
      </c>
      <c r="M453" s="1" t="s">
        <v>1163</v>
      </c>
      <c r="N453" s="1" t="str">
        <f t="shared" si="153"/>
        <v>SOPORTE</v>
      </c>
      <c r="O453" s="3">
        <f t="shared" si="142"/>
        <v>45945.51929935185</v>
      </c>
      <c r="P453" s="3">
        <f t="shared" si="143"/>
        <v>45959.405467037039</v>
      </c>
      <c r="Q453" s="1" t="str">
        <f t="shared" si="154"/>
        <v>Externo</v>
      </c>
      <c r="R453" s="1">
        <f t="shared" si="144"/>
        <v>42</v>
      </c>
      <c r="S453" s="6">
        <f t="shared" si="145"/>
        <v>45943</v>
      </c>
      <c r="T453" s="1">
        <f t="shared" si="146"/>
        <v>44</v>
      </c>
      <c r="U453" s="6">
        <f t="shared" si="147"/>
        <v>45957</v>
      </c>
      <c r="V453" s="1">
        <f t="shared" si="148"/>
        <v>13.886167685188411</v>
      </c>
      <c r="W453" s="1">
        <f t="shared" si="149"/>
        <v>2025</v>
      </c>
      <c r="X453" s="1">
        <f t="shared" si="150"/>
        <v>2025</v>
      </c>
      <c r="Y453" s="1" t="str">
        <f t="shared" si="151"/>
        <v>2025-10</v>
      </c>
      <c r="Z453" s="1" t="str">
        <f t="shared" si="152"/>
        <v>2025-10</v>
      </c>
    </row>
    <row r="454" spans="1:26" x14ac:dyDescent="0.2">
      <c r="A454" s="1" t="s">
        <v>1079</v>
      </c>
      <c r="B454" s="1" t="s">
        <v>1080</v>
      </c>
      <c r="C454" s="1" t="s">
        <v>1081</v>
      </c>
      <c r="D454" s="3">
        <v>45945.531475266202</v>
      </c>
      <c r="E454" s="3">
        <v>45959.614933020835</v>
      </c>
      <c r="F454" s="1" t="s">
        <v>52</v>
      </c>
      <c r="G454" s="1" t="s">
        <v>12</v>
      </c>
      <c r="H454" s="1" t="s">
        <v>13</v>
      </c>
      <c r="I454" s="1" t="s">
        <v>18</v>
      </c>
      <c r="J454" s="1" t="s">
        <v>16</v>
      </c>
      <c r="K454" s="1" t="s">
        <v>15</v>
      </c>
      <c r="L454" s="1" t="s">
        <v>13</v>
      </c>
      <c r="M454" s="1" t="s">
        <v>1163</v>
      </c>
      <c r="N454" s="1" t="str">
        <f t="shared" si="153"/>
        <v>DESARROLLO</v>
      </c>
      <c r="O454" s="3">
        <f t="shared" si="142"/>
        <v>45945.531475266202</v>
      </c>
      <c r="P454" s="3">
        <f t="shared" si="143"/>
        <v>45959.614933020835</v>
      </c>
      <c r="Q454" s="1" t="str">
        <f t="shared" si="154"/>
        <v>Interno</v>
      </c>
      <c r="R454" s="1">
        <f t="shared" si="144"/>
        <v>42</v>
      </c>
      <c r="S454" s="6">
        <f t="shared" si="145"/>
        <v>45943</v>
      </c>
      <c r="T454" s="1">
        <f t="shared" si="146"/>
        <v>44</v>
      </c>
      <c r="U454" s="6">
        <f t="shared" si="147"/>
        <v>45957</v>
      </c>
      <c r="V454" s="1">
        <f t="shared" si="148"/>
        <v>14.083457754633855</v>
      </c>
      <c r="W454" s="1">
        <f t="shared" si="149"/>
        <v>2025</v>
      </c>
      <c r="X454" s="1">
        <f t="shared" si="150"/>
        <v>2025</v>
      </c>
      <c r="Y454" s="1" t="str">
        <f t="shared" si="151"/>
        <v>2025-10</v>
      </c>
      <c r="Z454" s="1" t="str">
        <f t="shared" si="152"/>
        <v>2025-10</v>
      </c>
    </row>
    <row r="455" spans="1:26" x14ac:dyDescent="0.2">
      <c r="A455" s="1" t="s">
        <v>1082</v>
      </c>
      <c r="B455" s="1" t="s">
        <v>1083</v>
      </c>
      <c r="C455" s="1" t="s">
        <v>58</v>
      </c>
      <c r="D455" s="3">
        <v>45945.681528506946</v>
      </c>
      <c r="E455" s="1" t="s">
        <v>13</v>
      </c>
      <c r="F455" s="1" t="s">
        <v>52</v>
      </c>
      <c r="G455" s="1" t="s">
        <v>21</v>
      </c>
      <c r="H455" s="1" t="s">
        <v>13</v>
      </c>
      <c r="I455" s="1" t="s">
        <v>18</v>
      </c>
      <c r="J455" s="1" t="s">
        <v>16</v>
      </c>
      <c r="K455" s="1" t="s">
        <v>966</v>
      </c>
      <c r="L455" s="1" t="s">
        <v>13</v>
      </c>
      <c r="M455" s="1" t="s">
        <v>1163</v>
      </c>
      <c r="N455" s="1" t="str">
        <f t="shared" si="153"/>
        <v>SOPORTE</v>
      </c>
      <c r="O455" s="3">
        <f t="shared" si="142"/>
        <v>45945.681528506946</v>
      </c>
      <c r="P455" s="3" t="str">
        <f t="shared" si="143"/>
        <v/>
      </c>
      <c r="Q455" s="1" t="str">
        <f t="shared" si="154"/>
        <v>Externo</v>
      </c>
      <c r="R455" s="1">
        <f t="shared" si="144"/>
        <v>42</v>
      </c>
      <c r="S455" s="6">
        <f t="shared" si="145"/>
        <v>45943</v>
      </c>
      <c r="T455" s="1" t="e">
        <f t="shared" si="146"/>
        <v>#VALUE!</v>
      </c>
      <c r="U455" s="6" t="e">
        <f t="shared" si="147"/>
        <v>#VALUE!</v>
      </c>
      <c r="V455" s="1" t="e">
        <f t="shared" si="148"/>
        <v>#VALUE!</v>
      </c>
      <c r="W455" s="1">
        <f t="shared" si="149"/>
        <v>2025</v>
      </c>
      <c r="X455" s="1" t="e">
        <f t="shared" si="150"/>
        <v>#VALUE!</v>
      </c>
      <c r="Y455" s="1" t="str">
        <f t="shared" si="151"/>
        <v>2025-10</v>
      </c>
      <c r="Z455" s="1" t="e">
        <f t="shared" si="152"/>
        <v>#VALUE!</v>
      </c>
    </row>
    <row r="456" spans="1:26" x14ac:dyDescent="0.2">
      <c r="A456" s="1" t="s">
        <v>1084</v>
      </c>
      <c r="B456" s="1" t="s">
        <v>1085</v>
      </c>
      <c r="C456" s="1" t="s">
        <v>13</v>
      </c>
      <c r="D456" s="3">
        <v>45946.367204768518</v>
      </c>
      <c r="E456" s="3">
        <v>45950.395670902777</v>
      </c>
      <c r="F456" s="1" t="s">
        <v>52</v>
      </c>
      <c r="G456" s="1" t="s">
        <v>12</v>
      </c>
      <c r="H456" s="1" t="s">
        <v>1086</v>
      </c>
      <c r="I456" s="1" t="s">
        <v>18</v>
      </c>
      <c r="J456" s="1" t="s">
        <v>16</v>
      </c>
      <c r="K456" s="1" t="s">
        <v>15</v>
      </c>
      <c r="L456" s="1" t="s">
        <v>13</v>
      </c>
      <c r="M456" s="1" t="s">
        <v>1163</v>
      </c>
      <c r="N456" s="1" t="str">
        <f t="shared" si="153"/>
        <v>DESARROLLO</v>
      </c>
      <c r="O456" s="3">
        <f t="shared" ref="O456:O476" si="155">D456</f>
        <v>45946.367204768518</v>
      </c>
      <c r="P456" s="3">
        <f t="shared" ref="P456:P476" si="156">E456</f>
        <v>45950.395670902777</v>
      </c>
      <c r="Q456" s="1" t="str">
        <f t="shared" si="154"/>
        <v>Interno</v>
      </c>
      <c r="R456" s="1">
        <f t="shared" ref="R456:R476" si="157">WEEKNUM(O456,1)</f>
        <v>42</v>
      </c>
      <c r="S456" s="6">
        <f t="shared" ref="S456:S476" si="158">DATE(W456,1,4) + (R456-1)*7 - WEEKDAY(DATE(W456,1,4),2) +1</f>
        <v>45943</v>
      </c>
      <c r="T456" s="1">
        <f t="shared" ref="T456:T476" si="159">WEEKNUM(P456,1)</f>
        <v>43</v>
      </c>
      <c r="U456" s="6">
        <f t="shared" ref="U456:U476" si="160">DATE(X456,1,4) + (T456-1)*7 - WEEKDAY(DATE(X456,1,4),2) +1</f>
        <v>45950</v>
      </c>
      <c r="V456" s="1">
        <f t="shared" ref="V456:V476" si="161">ABS(P456-O456)</f>
        <v>4.0284661342593608</v>
      </c>
      <c r="W456" s="1">
        <f t="shared" ref="W456:W476" si="162">YEAR(O456)</f>
        <v>2025</v>
      </c>
      <c r="X456" s="1">
        <f t="shared" ref="X456:X476" si="163">YEAR(P456)</f>
        <v>2025</v>
      </c>
      <c r="Y456" s="1" t="str">
        <f t="shared" ref="Y456:Y476" si="164">(TEXT(S456,"aaaa-mm"))</f>
        <v>2025-10</v>
      </c>
      <c r="Z456" s="1" t="str">
        <f t="shared" ref="Z456:Z476" si="165">(TEXT(U456,"aaaa-mm"))</f>
        <v>2025-10</v>
      </c>
    </row>
    <row r="457" spans="1:26" x14ac:dyDescent="0.2">
      <c r="A457" s="1" t="s">
        <v>1087</v>
      </c>
      <c r="B457" s="1" t="s">
        <v>1088</v>
      </c>
      <c r="C457" s="1" t="s">
        <v>124</v>
      </c>
      <c r="D457" s="3">
        <v>45946.376022326389</v>
      </c>
      <c r="E457" s="3">
        <v>45946.483491157407</v>
      </c>
      <c r="F457" s="1" t="s">
        <v>52</v>
      </c>
      <c r="G457" s="1" t="s">
        <v>12</v>
      </c>
      <c r="H457" s="1" t="s">
        <v>13</v>
      </c>
      <c r="I457" s="1" t="s">
        <v>18</v>
      </c>
      <c r="J457" s="1" t="s">
        <v>16</v>
      </c>
      <c r="K457" s="1" t="s">
        <v>15</v>
      </c>
      <c r="L457" s="1" t="s">
        <v>13</v>
      </c>
      <c r="M457" s="1" t="s">
        <v>1163</v>
      </c>
      <c r="N457" s="1" t="str">
        <f t="shared" si="153"/>
        <v>DESARROLLO</v>
      </c>
      <c r="O457" s="3">
        <f t="shared" si="155"/>
        <v>45946.376022326389</v>
      </c>
      <c r="P457" s="3">
        <f t="shared" si="156"/>
        <v>45946.483491157407</v>
      </c>
      <c r="Q457" s="1" t="str">
        <f t="shared" si="154"/>
        <v>Interno</v>
      </c>
      <c r="R457" s="1">
        <f t="shared" si="157"/>
        <v>42</v>
      </c>
      <c r="S457" s="6">
        <f t="shared" si="158"/>
        <v>45943</v>
      </c>
      <c r="T457" s="1">
        <f t="shared" si="159"/>
        <v>42</v>
      </c>
      <c r="U457" s="6">
        <f t="shared" si="160"/>
        <v>45943</v>
      </c>
      <c r="V457" s="1">
        <f t="shared" si="161"/>
        <v>0.10746883101819549</v>
      </c>
      <c r="W457" s="1">
        <f t="shared" si="162"/>
        <v>2025</v>
      </c>
      <c r="X457" s="1">
        <f t="shared" si="163"/>
        <v>2025</v>
      </c>
      <c r="Y457" s="1" t="str">
        <f t="shared" si="164"/>
        <v>2025-10</v>
      </c>
      <c r="Z457" s="1" t="str">
        <f t="shared" si="165"/>
        <v>2025-10</v>
      </c>
    </row>
    <row r="458" spans="1:26" x14ac:dyDescent="0.2">
      <c r="A458" s="1" t="s">
        <v>1089</v>
      </c>
      <c r="B458" s="1" t="s">
        <v>1090</v>
      </c>
      <c r="C458" s="1" t="s">
        <v>13</v>
      </c>
      <c r="D458" s="3">
        <v>45946.98698159722</v>
      </c>
      <c r="E458" s="3">
        <v>45946.990249421295</v>
      </c>
      <c r="F458" s="1" t="s">
        <v>52</v>
      </c>
      <c r="G458" s="1" t="s">
        <v>21</v>
      </c>
      <c r="H458" s="1" t="s">
        <v>468</v>
      </c>
      <c r="I458" s="1" t="s">
        <v>18</v>
      </c>
      <c r="J458" s="1" t="s">
        <v>16</v>
      </c>
      <c r="K458" s="1" t="s">
        <v>15</v>
      </c>
      <c r="L458" s="1" t="s">
        <v>13</v>
      </c>
      <c r="M458" s="1" t="s">
        <v>1163</v>
      </c>
      <c r="N458" s="1" t="str">
        <f t="shared" si="153"/>
        <v>SOPORTE</v>
      </c>
      <c r="O458" s="3">
        <f t="shared" si="155"/>
        <v>45946.98698159722</v>
      </c>
      <c r="P458" s="3">
        <f t="shared" si="156"/>
        <v>45946.990249421295</v>
      </c>
      <c r="Q458" s="1" t="str">
        <f t="shared" si="154"/>
        <v>Externo</v>
      </c>
      <c r="R458" s="1">
        <f t="shared" si="157"/>
        <v>42</v>
      </c>
      <c r="S458" s="6">
        <f t="shared" si="158"/>
        <v>45943</v>
      </c>
      <c r="T458" s="1">
        <f t="shared" si="159"/>
        <v>42</v>
      </c>
      <c r="U458" s="6">
        <f t="shared" si="160"/>
        <v>45943</v>
      </c>
      <c r="V458" s="1">
        <f t="shared" si="161"/>
        <v>3.2678240750101395E-3</v>
      </c>
      <c r="W458" s="1">
        <f t="shared" si="162"/>
        <v>2025</v>
      </c>
      <c r="X458" s="1">
        <f t="shared" si="163"/>
        <v>2025</v>
      </c>
      <c r="Y458" s="1" t="str">
        <f t="shared" si="164"/>
        <v>2025-10</v>
      </c>
      <c r="Z458" s="1" t="str">
        <f t="shared" si="165"/>
        <v>2025-10</v>
      </c>
    </row>
    <row r="459" spans="1:26" x14ac:dyDescent="0.2">
      <c r="A459" s="1" t="s">
        <v>1091</v>
      </c>
      <c r="B459" s="1" t="s">
        <v>1092</v>
      </c>
      <c r="C459" s="1" t="s">
        <v>1081</v>
      </c>
      <c r="D459" s="3">
        <v>45947.496619178244</v>
      </c>
      <c r="E459" s="3">
        <v>45959.412347708334</v>
      </c>
      <c r="F459" s="1" t="s">
        <v>52</v>
      </c>
      <c r="G459" s="1" t="s">
        <v>21</v>
      </c>
      <c r="H459" s="1" t="s">
        <v>468</v>
      </c>
      <c r="I459" s="1" t="s">
        <v>18</v>
      </c>
      <c r="J459" s="1" t="s">
        <v>16</v>
      </c>
      <c r="K459" s="1" t="s">
        <v>15</v>
      </c>
      <c r="L459" s="1" t="s">
        <v>13</v>
      </c>
      <c r="M459" s="1" t="s">
        <v>1163</v>
      </c>
      <c r="N459" s="1" t="str">
        <f t="shared" si="153"/>
        <v>SOPORTE</v>
      </c>
      <c r="O459" s="3">
        <f t="shared" si="155"/>
        <v>45947.496619178244</v>
      </c>
      <c r="P459" s="3">
        <f t="shared" si="156"/>
        <v>45959.412347708334</v>
      </c>
      <c r="Q459" s="1" t="str">
        <f t="shared" si="154"/>
        <v>Externo</v>
      </c>
      <c r="R459" s="1">
        <f t="shared" si="157"/>
        <v>42</v>
      </c>
      <c r="S459" s="6">
        <f t="shared" si="158"/>
        <v>45943</v>
      </c>
      <c r="T459" s="1">
        <f t="shared" si="159"/>
        <v>44</v>
      </c>
      <c r="U459" s="6">
        <f t="shared" si="160"/>
        <v>45957</v>
      </c>
      <c r="V459" s="1">
        <f t="shared" si="161"/>
        <v>11.915728530089837</v>
      </c>
      <c r="W459" s="1">
        <f t="shared" si="162"/>
        <v>2025</v>
      </c>
      <c r="X459" s="1">
        <f t="shared" si="163"/>
        <v>2025</v>
      </c>
      <c r="Y459" s="1" t="str">
        <f t="shared" si="164"/>
        <v>2025-10</v>
      </c>
      <c r="Z459" s="1" t="str">
        <f t="shared" si="165"/>
        <v>2025-10</v>
      </c>
    </row>
    <row r="460" spans="1:26" x14ac:dyDescent="0.2">
      <c r="A460" s="1" t="s">
        <v>1093</v>
      </c>
      <c r="B460" s="1" t="s">
        <v>1094</v>
      </c>
      <c r="C460" s="1" t="s">
        <v>13</v>
      </c>
      <c r="D460" s="3">
        <v>45947.539530810187</v>
      </c>
      <c r="E460" s="1" t="s">
        <v>13</v>
      </c>
      <c r="F460" s="1" t="s">
        <v>52</v>
      </c>
      <c r="G460" s="1" t="s">
        <v>13</v>
      </c>
      <c r="H460" s="1" t="s">
        <v>13</v>
      </c>
      <c r="I460" s="1" t="s">
        <v>13</v>
      </c>
      <c r="J460" s="1" t="s">
        <v>16</v>
      </c>
      <c r="K460" s="1" t="s">
        <v>492</v>
      </c>
      <c r="L460" s="1" t="s">
        <v>13</v>
      </c>
      <c r="M460" s="1" t="s">
        <v>13</v>
      </c>
      <c r="N460" s="1" t="str">
        <f t="shared" si="153"/>
        <v/>
      </c>
      <c r="O460" s="3">
        <f t="shared" si="155"/>
        <v>45947.539530810187</v>
      </c>
      <c r="P460" s="3" t="str">
        <f t="shared" si="156"/>
        <v/>
      </c>
      <c r="Q460" s="1" t="str">
        <f t="shared" si="154"/>
        <v>Pendiente clasificar</v>
      </c>
      <c r="R460" s="1">
        <f t="shared" si="157"/>
        <v>42</v>
      </c>
      <c r="S460" s="6">
        <f t="shared" si="158"/>
        <v>45943</v>
      </c>
      <c r="T460" s="1" t="e">
        <f t="shared" si="159"/>
        <v>#VALUE!</v>
      </c>
      <c r="U460" s="6" t="e">
        <f t="shared" si="160"/>
        <v>#VALUE!</v>
      </c>
      <c r="V460" s="1" t="e">
        <f t="shared" si="161"/>
        <v>#VALUE!</v>
      </c>
      <c r="W460" s="1">
        <f t="shared" si="162"/>
        <v>2025</v>
      </c>
      <c r="X460" s="1" t="e">
        <f t="shared" si="163"/>
        <v>#VALUE!</v>
      </c>
      <c r="Y460" s="1" t="str">
        <f t="shared" si="164"/>
        <v>2025-10</v>
      </c>
      <c r="Z460" s="1" t="e">
        <f t="shared" si="165"/>
        <v>#VALUE!</v>
      </c>
    </row>
    <row r="461" spans="1:26" x14ac:dyDescent="0.2">
      <c r="A461" s="1" t="s">
        <v>1095</v>
      </c>
      <c r="B461" s="1" t="s">
        <v>1096</v>
      </c>
      <c r="C461" s="1" t="s">
        <v>1097</v>
      </c>
      <c r="D461" s="3">
        <v>45947.598433217594</v>
      </c>
      <c r="E461" s="3">
        <v>45957.741056319443</v>
      </c>
      <c r="F461" s="1" t="s">
        <v>52</v>
      </c>
      <c r="G461" s="1" t="s">
        <v>21</v>
      </c>
      <c r="H461" s="1" t="s">
        <v>13</v>
      </c>
      <c r="I461" s="1" t="s">
        <v>18</v>
      </c>
      <c r="J461" s="1" t="s">
        <v>16</v>
      </c>
      <c r="K461" s="1" t="s">
        <v>15</v>
      </c>
      <c r="L461" s="1" t="s">
        <v>13</v>
      </c>
      <c r="M461" s="1" t="s">
        <v>1163</v>
      </c>
      <c r="N461" s="1" t="str">
        <f t="shared" si="153"/>
        <v>SOPORTE</v>
      </c>
      <c r="O461" s="3">
        <f t="shared" si="155"/>
        <v>45947.598433217594</v>
      </c>
      <c r="P461" s="3">
        <f t="shared" si="156"/>
        <v>45957.741056319443</v>
      </c>
      <c r="Q461" s="1" t="str">
        <f t="shared" si="154"/>
        <v>Externo</v>
      </c>
      <c r="R461" s="1">
        <f t="shared" si="157"/>
        <v>42</v>
      </c>
      <c r="S461" s="6">
        <f t="shared" si="158"/>
        <v>45943</v>
      </c>
      <c r="T461" s="1">
        <f t="shared" si="159"/>
        <v>44</v>
      </c>
      <c r="U461" s="6">
        <f t="shared" si="160"/>
        <v>45957</v>
      </c>
      <c r="V461" s="1">
        <f t="shared" si="161"/>
        <v>10.142623101848585</v>
      </c>
      <c r="W461" s="1">
        <f t="shared" si="162"/>
        <v>2025</v>
      </c>
      <c r="X461" s="1">
        <f t="shared" si="163"/>
        <v>2025</v>
      </c>
      <c r="Y461" s="1" t="str">
        <f t="shared" si="164"/>
        <v>2025-10</v>
      </c>
      <c r="Z461" s="1" t="str">
        <f t="shared" si="165"/>
        <v>2025-10</v>
      </c>
    </row>
    <row r="462" spans="1:26" x14ac:dyDescent="0.2">
      <c r="A462" s="1" t="s">
        <v>1098</v>
      </c>
      <c r="B462" s="1" t="s">
        <v>1099</v>
      </c>
      <c r="C462" s="1" t="s">
        <v>124</v>
      </c>
      <c r="D462" s="3">
        <v>45947.605624525466</v>
      </c>
      <c r="E462" s="3">
        <v>45959.414179259256</v>
      </c>
      <c r="F462" s="1" t="s">
        <v>52</v>
      </c>
      <c r="G462" s="1" t="s">
        <v>21</v>
      </c>
      <c r="H462" s="1" t="s">
        <v>468</v>
      </c>
      <c r="I462" s="1" t="s">
        <v>18</v>
      </c>
      <c r="J462" s="1" t="s">
        <v>16</v>
      </c>
      <c r="K462" s="1" t="s">
        <v>15</v>
      </c>
      <c r="L462" s="1" t="s">
        <v>13</v>
      </c>
      <c r="M462" s="1" t="s">
        <v>1163</v>
      </c>
      <c r="N462" s="1" t="str">
        <f t="shared" si="153"/>
        <v>SOPORTE</v>
      </c>
      <c r="O462" s="3">
        <f t="shared" si="155"/>
        <v>45947.605624525466</v>
      </c>
      <c r="P462" s="3">
        <f t="shared" si="156"/>
        <v>45959.414179259256</v>
      </c>
      <c r="Q462" s="1" t="str">
        <f t="shared" si="154"/>
        <v>Externo</v>
      </c>
      <c r="R462" s="1">
        <f t="shared" si="157"/>
        <v>42</v>
      </c>
      <c r="S462" s="6">
        <f t="shared" si="158"/>
        <v>45943</v>
      </c>
      <c r="T462" s="1">
        <f t="shared" si="159"/>
        <v>44</v>
      </c>
      <c r="U462" s="6">
        <f t="shared" si="160"/>
        <v>45957</v>
      </c>
      <c r="V462" s="1">
        <f t="shared" si="161"/>
        <v>11.808554733790515</v>
      </c>
      <c r="W462" s="1">
        <f t="shared" si="162"/>
        <v>2025</v>
      </c>
      <c r="X462" s="1">
        <f t="shared" si="163"/>
        <v>2025</v>
      </c>
      <c r="Y462" s="1" t="str">
        <f t="shared" si="164"/>
        <v>2025-10</v>
      </c>
      <c r="Z462" s="1" t="str">
        <f t="shared" si="165"/>
        <v>2025-10</v>
      </c>
    </row>
    <row r="463" spans="1:26" x14ac:dyDescent="0.2">
      <c r="A463" s="1" t="s">
        <v>1100</v>
      </c>
      <c r="B463" s="1" t="s">
        <v>1101</v>
      </c>
      <c r="C463" s="1" t="s">
        <v>83</v>
      </c>
      <c r="D463" s="3">
        <v>45947.619304988424</v>
      </c>
      <c r="E463" s="3">
        <v>45947.621297731479</v>
      </c>
      <c r="F463" s="1" t="s">
        <v>52</v>
      </c>
      <c r="G463" s="1" t="s">
        <v>21</v>
      </c>
      <c r="H463" s="1" t="s">
        <v>13</v>
      </c>
      <c r="I463" s="1" t="s">
        <v>18</v>
      </c>
      <c r="J463" s="1" t="s">
        <v>16</v>
      </c>
      <c r="K463" s="1" t="s">
        <v>15</v>
      </c>
      <c r="L463" s="1" t="s">
        <v>13</v>
      </c>
      <c r="M463" s="1" t="s">
        <v>1163</v>
      </c>
      <c r="N463" s="1" t="str">
        <f t="shared" si="153"/>
        <v>SOPORTE</v>
      </c>
      <c r="O463" s="3">
        <f t="shared" si="155"/>
        <v>45947.619304988424</v>
      </c>
      <c r="P463" s="3">
        <f t="shared" si="156"/>
        <v>45947.621297731479</v>
      </c>
      <c r="Q463" s="1" t="str">
        <f t="shared" si="154"/>
        <v>Externo</v>
      </c>
      <c r="R463" s="1">
        <f t="shared" si="157"/>
        <v>42</v>
      </c>
      <c r="S463" s="6">
        <f t="shared" si="158"/>
        <v>45943</v>
      </c>
      <c r="T463" s="1">
        <f t="shared" si="159"/>
        <v>42</v>
      </c>
      <c r="U463" s="6">
        <f t="shared" si="160"/>
        <v>45943</v>
      </c>
      <c r="V463" s="1">
        <f t="shared" si="161"/>
        <v>1.9927430548705161E-3</v>
      </c>
      <c r="W463" s="1">
        <f t="shared" si="162"/>
        <v>2025</v>
      </c>
      <c r="X463" s="1">
        <f t="shared" si="163"/>
        <v>2025</v>
      </c>
      <c r="Y463" s="1" t="str">
        <f t="shared" si="164"/>
        <v>2025-10</v>
      </c>
      <c r="Z463" s="1" t="str">
        <f t="shared" si="165"/>
        <v>2025-10</v>
      </c>
    </row>
    <row r="464" spans="1:26" x14ac:dyDescent="0.2">
      <c r="A464" s="1" t="s">
        <v>1102</v>
      </c>
      <c r="B464" s="1" t="s">
        <v>1103</v>
      </c>
      <c r="C464" s="1" t="s">
        <v>740</v>
      </c>
      <c r="D464" s="3">
        <v>45950.387999432867</v>
      </c>
      <c r="E464" s="3">
        <v>45950.390802060188</v>
      </c>
      <c r="F464" s="1" t="s">
        <v>52</v>
      </c>
      <c r="G464" s="1" t="s">
        <v>53</v>
      </c>
      <c r="H464" s="1" t="s">
        <v>13</v>
      </c>
      <c r="I464" s="1" t="s">
        <v>18</v>
      </c>
      <c r="J464" s="1" t="s">
        <v>16</v>
      </c>
      <c r="K464" s="1" t="s">
        <v>15</v>
      </c>
      <c r="L464" s="1" t="s">
        <v>13</v>
      </c>
      <c r="M464" s="1" t="s">
        <v>1163</v>
      </c>
      <c r="N464" s="1" t="str">
        <f t="shared" si="153"/>
        <v>TÉCNICO</v>
      </c>
      <c r="O464" s="3">
        <f t="shared" si="155"/>
        <v>45950.387999432867</v>
      </c>
      <c r="P464" s="3">
        <f t="shared" si="156"/>
        <v>45950.390802060188</v>
      </c>
      <c r="Q464" s="1" t="str">
        <f t="shared" si="154"/>
        <v>Interno</v>
      </c>
      <c r="R464" s="1">
        <f t="shared" si="157"/>
        <v>43</v>
      </c>
      <c r="S464" s="6">
        <f t="shared" si="158"/>
        <v>45950</v>
      </c>
      <c r="T464" s="1">
        <f t="shared" si="159"/>
        <v>43</v>
      </c>
      <c r="U464" s="6">
        <f t="shared" si="160"/>
        <v>45950</v>
      </c>
      <c r="V464" s="1">
        <f t="shared" si="161"/>
        <v>2.8026273212162778E-3</v>
      </c>
      <c r="W464" s="1">
        <f t="shared" si="162"/>
        <v>2025</v>
      </c>
      <c r="X464" s="1">
        <f t="shared" si="163"/>
        <v>2025</v>
      </c>
      <c r="Y464" s="1" t="str">
        <f t="shared" si="164"/>
        <v>2025-10</v>
      </c>
      <c r="Z464" s="1" t="str">
        <f t="shared" si="165"/>
        <v>2025-10</v>
      </c>
    </row>
    <row r="465" spans="1:26" x14ac:dyDescent="0.2">
      <c r="A465" s="1" t="s">
        <v>1104</v>
      </c>
      <c r="B465" s="1" t="s">
        <v>1105</v>
      </c>
      <c r="C465" s="1" t="s">
        <v>1081</v>
      </c>
      <c r="D465" s="3">
        <v>45950.39115984954</v>
      </c>
      <c r="E465" s="1" t="s">
        <v>13</v>
      </c>
      <c r="F465" s="1" t="s">
        <v>52</v>
      </c>
      <c r="G465" s="1" t="s">
        <v>21</v>
      </c>
      <c r="H465" s="1" t="s">
        <v>468</v>
      </c>
      <c r="I465" s="1" t="s">
        <v>18</v>
      </c>
      <c r="J465" s="1" t="s">
        <v>16</v>
      </c>
      <c r="K465" s="1" t="s">
        <v>23</v>
      </c>
      <c r="L465" s="1" t="s">
        <v>13</v>
      </c>
      <c r="M465" s="1" t="s">
        <v>1163</v>
      </c>
      <c r="N465" s="1" t="str">
        <f t="shared" si="153"/>
        <v>SOPORTE</v>
      </c>
      <c r="O465" s="3">
        <f t="shared" si="155"/>
        <v>45950.39115984954</v>
      </c>
      <c r="P465" s="3" t="str">
        <f t="shared" si="156"/>
        <v/>
      </c>
      <c r="Q465" s="1" t="str">
        <f t="shared" si="154"/>
        <v>Externo</v>
      </c>
      <c r="R465" s="1">
        <f t="shared" si="157"/>
        <v>43</v>
      </c>
      <c r="S465" s="6">
        <f t="shared" si="158"/>
        <v>45950</v>
      </c>
      <c r="T465" s="1" t="e">
        <f t="shared" si="159"/>
        <v>#VALUE!</v>
      </c>
      <c r="U465" s="6" t="e">
        <f t="shared" si="160"/>
        <v>#VALUE!</v>
      </c>
      <c r="V465" s="1" t="e">
        <f t="shared" si="161"/>
        <v>#VALUE!</v>
      </c>
      <c r="W465" s="1">
        <f t="shared" si="162"/>
        <v>2025</v>
      </c>
      <c r="X465" s="1" t="e">
        <f t="shared" si="163"/>
        <v>#VALUE!</v>
      </c>
      <c r="Y465" s="1" t="str">
        <f t="shared" si="164"/>
        <v>2025-10</v>
      </c>
      <c r="Z465" s="1" t="e">
        <f t="shared" si="165"/>
        <v>#VALUE!</v>
      </c>
    </row>
    <row r="466" spans="1:26" x14ac:dyDescent="0.2">
      <c r="A466" s="1" t="s">
        <v>1106</v>
      </c>
      <c r="B466" s="1" t="s">
        <v>1107</v>
      </c>
      <c r="C466" s="1" t="s">
        <v>156</v>
      </c>
      <c r="D466" s="3">
        <v>45950.508256250003</v>
      </c>
      <c r="E466" s="3">
        <v>45951.661306180555</v>
      </c>
      <c r="F466" s="1" t="s">
        <v>52</v>
      </c>
      <c r="G466" s="1" t="s">
        <v>21</v>
      </c>
      <c r="H466" s="1" t="s">
        <v>468</v>
      </c>
      <c r="I466" s="1" t="s">
        <v>18</v>
      </c>
      <c r="J466" s="1" t="s">
        <v>16</v>
      </c>
      <c r="K466" s="1" t="s">
        <v>15</v>
      </c>
      <c r="L466" s="1" t="s">
        <v>13</v>
      </c>
      <c r="M466" s="1" t="s">
        <v>1163</v>
      </c>
      <c r="N466" s="1" t="str">
        <f t="shared" si="153"/>
        <v>SOPORTE</v>
      </c>
      <c r="O466" s="3">
        <f t="shared" si="155"/>
        <v>45950.508256250003</v>
      </c>
      <c r="P466" s="3">
        <f t="shared" si="156"/>
        <v>45951.661306180555</v>
      </c>
      <c r="Q466" s="1" t="str">
        <f t="shared" si="154"/>
        <v>Externo</v>
      </c>
      <c r="R466" s="1">
        <f t="shared" si="157"/>
        <v>43</v>
      </c>
      <c r="S466" s="6">
        <f t="shared" si="158"/>
        <v>45950</v>
      </c>
      <c r="T466" s="1">
        <f t="shared" si="159"/>
        <v>43</v>
      </c>
      <c r="U466" s="6">
        <f t="shared" si="160"/>
        <v>45950</v>
      </c>
      <c r="V466" s="1">
        <f t="shared" si="161"/>
        <v>1.1530499305517878</v>
      </c>
      <c r="W466" s="1">
        <f t="shared" si="162"/>
        <v>2025</v>
      </c>
      <c r="X466" s="1">
        <f t="shared" si="163"/>
        <v>2025</v>
      </c>
      <c r="Y466" s="1" t="str">
        <f t="shared" si="164"/>
        <v>2025-10</v>
      </c>
      <c r="Z466" s="1" t="str">
        <f t="shared" si="165"/>
        <v>2025-10</v>
      </c>
    </row>
    <row r="467" spans="1:26" x14ac:dyDescent="0.2">
      <c r="A467" s="1" t="s">
        <v>1108</v>
      </c>
      <c r="B467" s="1" t="s">
        <v>1109</v>
      </c>
      <c r="C467" s="1" t="s">
        <v>70</v>
      </c>
      <c r="D467" s="3">
        <v>45950.535955671294</v>
      </c>
      <c r="E467" s="1" t="s">
        <v>13</v>
      </c>
      <c r="F467" s="1" t="s">
        <v>52</v>
      </c>
      <c r="G467" s="1" t="s">
        <v>1110</v>
      </c>
      <c r="H467" s="1" t="s">
        <v>13</v>
      </c>
      <c r="I467" s="1" t="s">
        <v>18</v>
      </c>
      <c r="J467" s="1" t="s">
        <v>16</v>
      </c>
      <c r="K467" s="1" t="s">
        <v>934</v>
      </c>
      <c r="L467" s="1" t="s">
        <v>13</v>
      </c>
      <c r="M467" s="1" t="s">
        <v>1163</v>
      </c>
      <c r="N467" s="1" t="str">
        <f t="shared" si="153"/>
        <v>Selecciona (SOPORTE/DEFINICIÓN/FUNCIONAL/TÉCNICO/DESARROLLO)</v>
      </c>
      <c r="O467" s="3">
        <f t="shared" si="155"/>
        <v>45950.535955671294</v>
      </c>
      <c r="P467" s="3" t="str">
        <f t="shared" si="156"/>
        <v/>
      </c>
      <c r="Q467" s="1" t="str">
        <f t="shared" si="154"/>
        <v>Pendiente clasificar</v>
      </c>
      <c r="R467" s="1">
        <f t="shared" si="157"/>
        <v>43</v>
      </c>
      <c r="S467" s="6">
        <f t="shared" si="158"/>
        <v>45950</v>
      </c>
      <c r="T467" s="1" t="e">
        <f t="shared" si="159"/>
        <v>#VALUE!</v>
      </c>
      <c r="U467" s="6" t="e">
        <f t="shared" si="160"/>
        <v>#VALUE!</v>
      </c>
      <c r="V467" s="1" t="e">
        <f t="shared" si="161"/>
        <v>#VALUE!</v>
      </c>
      <c r="W467" s="1">
        <f t="shared" si="162"/>
        <v>2025</v>
      </c>
      <c r="X467" s="1" t="e">
        <f t="shared" si="163"/>
        <v>#VALUE!</v>
      </c>
      <c r="Y467" s="1" t="str">
        <f t="shared" si="164"/>
        <v>2025-10</v>
      </c>
      <c r="Z467" s="1" t="e">
        <f t="shared" si="165"/>
        <v>#VALUE!</v>
      </c>
    </row>
    <row r="468" spans="1:26" x14ac:dyDescent="0.2">
      <c r="A468" s="1" t="s">
        <v>1111</v>
      </c>
      <c r="B468" s="1" t="s">
        <v>1112</v>
      </c>
      <c r="C468" s="1" t="s">
        <v>58</v>
      </c>
      <c r="D468" s="3">
        <v>45950.558856076386</v>
      </c>
      <c r="E468" s="3">
        <v>45950.666871099536</v>
      </c>
      <c r="F468" s="1" t="s">
        <v>52</v>
      </c>
      <c r="G468" s="1" t="s">
        <v>12</v>
      </c>
      <c r="H468" s="1" t="s">
        <v>13</v>
      </c>
      <c r="I468" s="1" t="s">
        <v>18</v>
      </c>
      <c r="J468" s="1" t="s">
        <v>16</v>
      </c>
      <c r="K468" s="1" t="s">
        <v>15</v>
      </c>
      <c r="L468" s="1" t="s">
        <v>13</v>
      </c>
      <c r="M468" s="1" t="s">
        <v>1163</v>
      </c>
      <c r="N468" s="1" t="str">
        <f t="shared" si="153"/>
        <v>DESARROLLO</v>
      </c>
      <c r="O468" s="3">
        <f t="shared" si="155"/>
        <v>45950.558856076386</v>
      </c>
      <c r="P468" s="3">
        <f t="shared" si="156"/>
        <v>45950.666871099536</v>
      </c>
      <c r="Q468" s="1" t="str">
        <f t="shared" si="154"/>
        <v>Interno</v>
      </c>
      <c r="R468" s="1">
        <f t="shared" si="157"/>
        <v>43</v>
      </c>
      <c r="S468" s="6">
        <f t="shared" si="158"/>
        <v>45950</v>
      </c>
      <c r="T468" s="1">
        <f t="shared" si="159"/>
        <v>43</v>
      </c>
      <c r="U468" s="6">
        <f t="shared" si="160"/>
        <v>45950</v>
      </c>
      <c r="V468" s="1">
        <f t="shared" si="161"/>
        <v>0.10801502315007383</v>
      </c>
      <c r="W468" s="1">
        <f t="shared" si="162"/>
        <v>2025</v>
      </c>
      <c r="X468" s="1">
        <f t="shared" si="163"/>
        <v>2025</v>
      </c>
      <c r="Y468" s="1" t="str">
        <f t="shared" si="164"/>
        <v>2025-10</v>
      </c>
      <c r="Z468" s="1" t="str">
        <f t="shared" si="165"/>
        <v>2025-10</v>
      </c>
    </row>
    <row r="469" spans="1:26" x14ac:dyDescent="0.2">
      <c r="A469" s="1" t="s">
        <v>1113</v>
      </c>
      <c r="B469" s="1" t="s">
        <v>1114</v>
      </c>
      <c r="C469" s="1" t="s">
        <v>13</v>
      </c>
      <c r="D469" s="3">
        <v>45950.649704120369</v>
      </c>
      <c r="E469" s="3">
        <v>45951.656409374998</v>
      </c>
      <c r="F469" s="1" t="s">
        <v>52</v>
      </c>
      <c r="G469" s="1" t="s">
        <v>21</v>
      </c>
      <c r="H469" s="1" t="s">
        <v>484</v>
      </c>
      <c r="I469" s="1" t="s">
        <v>18</v>
      </c>
      <c r="J469" s="1" t="s">
        <v>16</v>
      </c>
      <c r="K469" s="1" t="s">
        <v>15</v>
      </c>
      <c r="L469" s="1" t="s">
        <v>13</v>
      </c>
      <c r="M469" s="1" t="s">
        <v>1163</v>
      </c>
      <c r="N469" s="1" t="str">
        <f t="shared" si="153"/>
        <v>SOPORTE</v>
      </c>
      <c r="O469" s="3">
        <f t="shared" si="155"/>
        <v>45950.649704120369</v>
      </c>
      <c r="P469" s="3">
        <f t="shared" si="156"/>
        <v>45951.656409374998</v>
      </c>
      <c r="Q469" s="1" t="str">
        <f t="shared" si="154"/>
        <v>Externo</v>
      </c>
      <c r="R469" s="1">
        <f t="shared" si="157"/>
        <v>43</v>
      </c>
      <c r="S469" s="6">
        <f t="shared" si="158"/>
        <v>45950</v>
      </c>
      <c r="T469" s="1">
        <f t="shared" si="159"/>
        <v>43</v>
      </c>
      <c r="U469" s="6">
        <f t="shared" si="160"/>
        <v>45950</v>
      </c>
      <c r="V469" s="1">
        <f t="shared" si="161"/>
        <v>1.0067052546291961</v>
      </c>
      <c r="W469" s="1">
        <f t="shared" si="162"/>
        <v>2025</v>
      </c>
      <c r="X469" s="1">
        <f t="shared" si="163"/>
        <v>2025</v>
      </c>
      <c r="Y469" s="1" t="str">
        <f t="shared" si="164"/>
        <v>2025-10</v>
      </c>
      <c r="Z469" s="1" t="str">
        <f t="shared" si="165"/>
        <v>2025-10</v>
      </c>
    </row>
    <row r="470" spans="1:26" x14ac:dyDescent="0.2">
      <c r="A470" s="1" t="s">
        <v>1115</v>
      </c>
      <c r="B470" s="1" t="s">
        <v>1116</v>
      </c>
      <c r="C470" s="1" t="s">
        <v>13</v>
      </c>
      <c r="D470" s="3">
        <v>45950.697808553239</v>
      </c>
      <c r="E470" s="3">
        <v>45951.663445949074</v>
      </c>
      <c r="F470" s="1" t="s">
        <v>52</v>
      </c>
      <c r="G470" s="1" t="s">
        <v>21</v>
      </c>
      <c r="H470" s="1" t="s">
        <v>468</v>
      </c>
      <c r="I470" s="1" t="s">
        <v>18</v>
      </c>
      <c r="J470" s="1" t="s">
        <v>16</v>
      </c>
      <c r="K470" s="1" t="s">
        <v>15</v>
      </c>
      <c r="L470" s="1" t="s">
        <v>13</v>
      </c>
      <c r="M470" s="1" t="s">
        <v>1163</v>
      </c>
      <c r="N470" s="1" t="str">
        <f t="shared" si="153"/>
        <v>SOPORTE</v>
      </c>
      <c r="O470" s="3">
        <f t="shared" si="155"/>
        <v>45950.697808553239</v>
      </c>
      <c r="P470" s="3">
        <f t="shared" si="156"/>
        <v>45951.663445949074</v>
      </c>
      <c r="Q470" s="1" t="str">
        <f t="shared" si="154"/>
        <v>Externo</v>
      </c>
      <c r="R470" s="1">
        <f t="shared" si="157"/>
        <v>43</v>
      </c>
      <c r="S470" s="6">
        <f t="shared" si="158"/>
        <v>45950</v>
      </c>
      <c r="T470" s="1">
        <f t="shared" si="159"/>
        <v>43</v>
      </c>
      <c r="U470" s="6">
        <f t="shared" si="160"/>
        <v>45950</v>
      </c>
      <c r="V470" s="1">
        <f t="shared" si="161"/>
        <v>0.96563739583507413</v>
      </c>
      <c r="W470" s="1">
        <f t="shared" si="162"/>
        <v>2025</v>
      </c>
      <c r="X470" s="1">
        <f t="shared" si="163"/>
        <v>2025</v>
      </c>
      <c r="Y470" s="1" t="str">
        <f t="shared" si="164"/>
        <v>2025-10</v>
      </c>
      <c r="Z470" s="1" t="str">
        <f t="shared" si="165"/>
        <v>2025-10</v>
      </c>
    </row>
    <row r="471" spans="1:26" x14ac:dyDescent="0.2">
      <c r="A471" s="1" t="s">
        <v>1117</v>
      </c>
      <c r="B471" s="1" t="s">
        <v>1118</v>
      </c>
      <c r="C471" s="1" t="s">
        <v>83</v>
      </c>
      <c r="D471" s="3">
        <v>45951.437529513889</v>
      </c>
      <c r="E471" s="3">
        <v>45951.549691655091</v>
      </c>
      <c r="F471" s="1" t="s">
        <v>52</v>
      </c>
      <c r="G471" s="1" t="s">
        <v>21</v>
      </c>
      <c r="H471" s="1" t="s">
        <v>13</v>
      </c>
      <c r="I471" s="1" t="s">
        <v>18</v>
      </c>
      <c r="J471" s="1" t="s">
        <v>16</v>
      </c>
      <c r="K471" s="1" t="s">
        <v>15</v>
      </c>
      <c r="L471" s="1" t="s">
        <v>13</v>
      </c>
      <c r="M471" s="1" t="s">
        <v>1163</v>
      </c>
      <c r="N471" s="1" t="str">
        <f t="shared" si="153"/>
        <v>SOPORTE</v>
      </c>
      <c r="O471" s="3">
        <f t="shared" si="155"/>
        <v>45951.437529513889</v>
      </c>
      <c r="P471" s="3">
        <f t="shared" si="156"/>
        <v>45951.549691655091</v>
      </c>
      <c r="Q471" s="1" t="str">
        <f t="shared" si="154"/>
        <v>Externo</v>
      </c>
      <c r="R471" s="1">
        <f t="shared" si="157"/>
        <v>43</v>
      </c>
      <c r="S471" s="6">
        <f t="shared" si="158"/>
        <v>45950</v>
      </c>
      <c r="T471" s="1">
        <f t="shared" si="159"/>
        <v>43</v>
      </c>
      <c r="U471" s="6">
        <f t="shared" si="160"/>
        <v>45950</v>
      </c>
      <c r="V471" s="1">
        <f t="shared" si="161"/>
        <v>0.11216214120213408</v>
      </c>
      <c r="W471" s="1">
        <f t="shared" si="162"/>
        <v>2025</v>
      </c>
      <c r="X471" s="1">
        <f t="shared" si="163"/>
        <v>2025</v>
      </c>
      <c r="Y471" s="1" t="str">
        <f t="shared" si="164"/>
        <v>2025-10</v>
      </c>
      <c r="Z471" s="1" t="str">
        <f t="shared" si="165"/>
        <v>2025-10</v>
      </c>
    </row>
    <row r="472" spans="1:26" x14ac:dyDescent="0.2">
      <c r="A472" s="1" t="s">
        <v>1119</v>
      </c>
      <c r="B472" s="1" t="s">
        <v>1120</v>
      </c>
      <c r="C472" s="1" t="s">
        <v>13</v>
      </c>
      <c r="D472" s="3">
        <v>45951.438213946756</v>
      </c>
      <c r="E472" s="3">
        <v>45959.415493472225</v>
      </c>
      <c r="F472" s="1" t="s">
        <v>52</v>
      </c>
      <c r="G472" s="1" t="s">
        <v>21</v>
      </c>
      <c r="H472" s="1" t="s">
        <v>468</v>
      </c>
      <c r="I472" s="1" t="s">
        <v>18</v>
      </c>
      <c r="J472" s="1" t="s">
        <v>16</v>
      </c>
      <c r="K472" s="1" t="s">
        <v>15</v>
      </c>
      <c r="L472" s="1" t="s">
        <v>13</v>
      </c>
      <c r="M472" s="1" t="s">
        <v>1163</v>
      </c>
      <c r="N472" s="1" t="str">
        <f t="shared" si="153"/>
        <v>SOPORTE</v>
      </c>
      <c r="O472" s="3">
        <f t="shared" si="155"/>
        <v>45951.438213946756</v>
      </c>
      <c r="P472" s="3">
        <f t="shared" si="156"/>
        <v>45959.415493472225</v>
      </c>
      <c r="Q472" s="1" t="str">
        <f t="shared" si="154"/>
        <v>Externo</v>
      </c>
      <c r="R472" s="1">
        <f t="shared" si="157"/>
        <v>43</v>
      </c>
      <c r="S472" s="6">
        <f t="shared" si="158"/>
        <v>45950</v>
      </c>
      <c r="T472" s="1">
        <f t="shared" si="159"/>
        <v>44</v>
      </c>
      <c r="U472" s="6">
        <f t="shared" si="160"/>
        <v>45957</v>
      </c>
      <c r="V472" s="1">
        <f t="shared" si="161"/>
        <v>7.9772795254684752</v>
      </c>
      <c r="W472" s="1">
        <f t="shared" si="162"/>
        <v>2025</v>
      </c>
      <c r="X472" s="1">
        <f t="shared" si="163"/>
        <v>2025</v>
      </c>
      <c r="Y472" s="1" t="str">
        <f t="shared" si="164"/>
        <v>2025-10</v>
      </c>
      <c r="Z472" s="1" t="str">
        <f t="shared" si="165"/>
        <v>2025-10</v>
      </c>
    </row>
    <row r="473" spans="1:26" x14ac:dyDescent="0.2">
      <c r="A473" s="1" t="s">
        <v>1121</v>
      </c>
      <c r="B473" s="1" t="s">
        <v>1122</v>
      </c>
      <c r="C473" s="1" t="s">
        <v>13</v>
      </c>
      <c r="D473" s="3">
        <v>45951.508324849536</v>
      </c>
      <c r="E473" s="1" t="s">
        <v>13</v>
      </c>
      <c r="F473" s="1" t="s">
        <v>52</v>
      </c>
      <c r="G473" s="1" t="s">
        <v>53</v>
      </c>
      <c r="H473" s="1" t="s">
        <v>13</v>
      </c>
      <c r="I473" s="1" t="s">
        <v>18</v>
      </c>
      <c r="J473" s="1" t="s">
        <v>16</v>
      </c>
      <c r="K473" s="1" t="s">
        <v>1167</v>
      </c>
      <c r="L473" s="1" t="s">
        <v>13</v>
      </c>
      <c r="M473" s="1" t="s">
        <v>13</v>
      </c>
      <c r="N473" s="1" t="str">
        <f t="shared" si="153"/>
        <v>TÉCNICO</v>
      </c>
      <c r="O473" s="3">
        <f t="shared" si="155"/>
        <v>45951.508324849536</v>
      </c>
      <c r="P473" s="3" t="str">
        <f t="shared" si="156"/>
        <v/>
      </c>
      <c r="Q473" s="1" t="str">
        <f t="shared" si="154"/>
        <v>Interno</v>
      </c>
      <c r="R473" s="1">
        <f t="shared" si="157"/>
        <v>43</v>
      </c>
      <c r="S473" s="6">
        <f t="shared" si="158"/>
        <v>45950</v>
      </c>
      <c r="T473" s="1" t="e">
        <f t="shared" si="159"/>
        <v>#VALUE!</v>
      </c>
      <c r="U473" s="6" t="e">
        <f t="shared" si="160"/>
        <v>#VALUE!</v>
      </c>
      <c r="V473" s="1" t="e">
        <f t="shared" si="161"/>
        <v>#VALUE!</v>
      </c>
      <c r="W473" s="1">
        <f t="shared" si="162"/>
        <v>2025</v>
      </c>
      <c r="X473" s="1" t="e">
        <f t="shared" si="163"/>
        <v>#VALUE!</v>
      </c>
      <c r="Y473" s="1" t="str">
        <f t="shared" si="164"/>
        <v>2025-10</v>
      </c>
      <c r="Z473" s="1" t="e">
        <f t="shared" si="165"/>
        <v>#VALUE!</v>
      </c>
    </row>
    <row r="474" spans="1:26" x14ac:dyDescent="0.2">
      <c r="A474" s="1" t="s">
        <v>1123</v>
      </c>
      <c r="B474" s="1" t="s">
        <v>1124</v>
      </c>
      <c r="C474" s="1" t="s">
        <v>58</v>
      </c>
      <c r="D474" s="3">
        <v>45951.58604962963</v>
      </c>
      <c r="E474" s="3">
        <v>45952.392008842595</v>
      </c>
      <c r="F474" s="1" t="s">
        <v>52</v>
      </c>
      <c r="G474" s="1" t="s">
        <v>12</v>
      </c>
      <c r="H474" s="1" t="s">
        <v>13</v>
      </c>
      <c r="I474" s="1" t="s">
        <v>18</v>
      </c>
      <c r="J474" s="1" t="s">
        <v>16</v>
      </c>
      <c r="K474" s="1" t="s">
        <v>15</v>
      </c>
      <c r="L474" s="1" t="s">
        <v>13</v>
      </c>
      <c r="M474" s="1" t="s">
        <v>1163</v>
      </c>
      <c r="N474" s="1" t="str">
        <f t="shared" si="153"/>
        <v>DESARROLLO</v>
      </c>
      <c r="O474" s="3">
        <f t="shared" si="155"/>
        <v>45951.58604962963</v>
      </c>
      <c r="P474" s="3">
        <f t="shared" si="156"/>
        <v>45952.392008842595</v>
      </c>
      <c r="Q474" s="1" t="str">
        <f t="shared" si="154"/>
        <v>Interno</v>
      </c>
      <c r="R474" s="1">
        <f t="shared" si="157"/>
        <v>43</v>
      </c>
      <c r="S474" s="6">
        <f t="shared" si="158"/>
        <v>45950</v>
      </c>
      <c r="T474" s="1">
        <f t="shared" si="159"/>
        <v>43</v>
      </c>
      <c r="U474" s="6">
        <f t="shared" si="160"/>
        <v>45950</v>
      </c>
      <c r="V474" s="1">
        <f t="shared" si="161"/>
        <v>0.8059592129648081</v>
      </c>
      <c r="W474" s="1">
        <f t="shared" si="162"/>
        <v>2025</v>
      </c>
      <c r="X474" s="1">
        <f t="shared" si="163"/>
        <v>2025</v>
      </c>
      <c r="Y474" s="1" t="str">
        <f t="shared" si="164"/>
        <v>2025-10</v>
      </c>
      <c r="Z474" s="1" t="str">
        <f t="shared" si="165"/>
        <v>2025-10</v>
      </c>
    </row>
    <row r="475" spans="1:26" x14ac:dyDescent="0.2">
      <c r="A475" s="1" t="s">
        <v>1125</v>
      </c>
      <c r="B475" s="1" t="s">
        <v>1126</v>
      </c>
      <c r="C475" s="1" t="s">
        <v>13</v>
      </c>
      <c r="D475" s="3">
        <v>45951.587939293982</v>
      </c>
      <c r="E475" s="3">
        <v>45959.41625952546</v>
      </c>
      <c r="F475" s="1" t="s">
        <v>52</v>
      </c>
      <c r="G475" s="1" t="s">
        <v>21</v>
      </c>
      <c r="H475" s="1" t="s">
        <v>468</v>
      </c>
      <c r="I475" s="1" t="s">
        <v>18</v>
      </c>
      <c r="J475" s="1" t="s">
        <v>16</v>
      </c>
      <c r="K475" s="1" t="s">
        <v>15</v>
      </c>
      <c r="L475" s="1" t="s">
        <v>13</v>
      </c>
      <c r="M475" s="1" t="s">
        <v>1163</v>
      </c>
      <c r="N475" s="1" t="str">
        <f t="shared" si="153"/>
        <v>SOPORTE</v>
      </c>
      <c r="O475" s="3">
        <f t="shared" si="155"/>
        <v>45951.587939293982</v>
      </c>
      <c r="P475" s="3">
        <f t="shared" si="156"/>
        <v>45959.41625952546</v>
      </c>
      <c r="Q475" s="1" t="str">
        <f t="shared" si="154"/>
        <v>Externo</v>
      </c>
      <c r="R475" s="1">
        <f t="shared" si="157"/>
        <v>43</v>
      </c>
      <c r="S475" s="6">
        <f t="shared" si="158"/>
        <v>45950</v>
      </c>
      <c r="T475" s="1">
        <f t="shared" si="159"/>
        <v>44</v>
      </c>
      <c r="U475" s="6">
        <f t="shared" si="160"/>
        <v>45957</v>
      </c>
      <c r="V475" s="1">
        <f t="shared" si="161"/>
        <v>7.8283202314778464</v>
      </c>
      <c r="W475" s="1">
        <f t="shared" si="162"/>
        <v>2025</v>
      </c>
      <c r="X475" s="1">
        <f t="shared" si="163"/>
        <v>2025</v>
      </c>
      <c r="Y475" s="1" t="str">
        <f t="shared" si="164"/>
        <v>2025-10</v>
      </c>
      <c r="Z475" s="1" t="str">
        <f t="shared" si="165"/>
        <v>2025-10</v>
      </c>
    </row>
    <row r="476" spans="1:26" x14ac:dyDescent="0.2">
      <c r="A476" s="1" t="s">
        <v>1127</v>
      </c>
      <c r="B476" s="1" t="s">
        <v>1128</v>
      </c>
      <c r="C476" s="1" t="s">
        <v>13</v>
      </c>
      <c r="D476" s="3">
        <v>45952.358335486111</v>
      </c>
      <c r="E476" s="3">
        <v>45959.417280162037</v>
      </c>
      <c r="F476" s="1" t="s">
        <v>52</v>
      </c>
      <c r="G476" s="1" t="s">
        <v>21</v>
      </c>
      <c r="H476" s="1" t="s">
        <v>468</v>
      </c>
      <c r="I476" s="1" t="s">
        <v>18</v>
      </c>
      <c r="J476" s="1" t="s">
        <v>16</v>
      </c>
      <c r="K476" s="1" t="s">
        <v>15</v>
      </c>
      <c r="L476" s="1" t="s">
        <v>13</v>
      </c>
      <c r="M476" s="1" t="s">
        <v>1163</v>
      </c>
      <c r="N476" s="1" t="str">
        <f t="shared" si="153"/>
        <v>SOPORTE</v>
      </c>
      <c r="O476" s="3">
        <f t="shared" si="155"/>
        <v>45952.358335486111</v>
      </c>
      <c r="P476" s="3">
        <f t="shared" si="156"/>
        <v>45959.417280162037</v>
      </c>
      <c r="Q476" s="1" t="str">
        <f t="shared" si="154"/>
        <v>Externo</v>
      </c>
      <c r="R476" s="1">
        <f t="shared" si="157"/>
        <v>43</v>
      </c>
      <c r="S476" s="6">
        <f t="shared" si="158"/>
        <v>45950</v>
      </c>
      <c r="T476" s="1">
        <f t="shared" si="159"/>
        <v>44</v>
      </c>
      <c r="U476" s="6">
        <f t="shared" si="160"/>
        <v>45957</v>
      </c>
      <c r="V476" s="1">
        <f t="shared" si="161"/>
        <v>7.0589446759258863</v>
      </c>
      <c r="W476" s="1">
        <f t="shared" si="162"/>
        <v>2025</v>
      </c>
      <c r="X476" s="1">
        <f t="shared" si="163"/>
        <v>2025</v>
      </c>
      <c r="Y476" s="1" t="str">
        <f t="shared" si="164"/>
        <v>2025-10</v>
      </c>
      <c r="Z476" s="1" t="str">
        <f t="shared" si="165"/>
        <v>2025-10</v>
      </c>
    </row>
    <row r="477" spans="1:26" x14ac:dyDescent="0.2">
      <c r="A477" s="1" t="s">
        <v>1130</v>
      </c>
      <c r="B477" s="1" t="s">
        <v>1131</v>
      </c>
      <c r="C477" s="1" t="s">
        <v>109</v>
      </c>
      <c r="D477" s="3">
        <v>45952.542058368053</v>
      </c>
      <c r="E477" s="3">
        <v>45959.418540196762</v>
      </c>
      <c r="F477" s="1" t="s">
        <v>52</v>
      </c>
      <c r="G477" s="1" t="s">
        <v>21</v>
      </c>
      <c r="H477" s="1" t="s">
        <v>468</v>
      </c>
      <c r="I477" s="1" t="s">
        <v>18</v>
      </c>
      <c r="J477" s="1" t="s">
        <v>16</v>
      </c>
      <c r="K477" s="1" t="s">
        <v>15</v>
      </c>
      <c r="L477" s="1" t="s">
        <v>13</v>
      </c>
      <c r="M477" s="1" t="s">
        <v>1163</v>
      </c>
      <c r="N477" s="1" t="str">
        <f t="shared" si="153"/>
        <v>SOPORTE</v>
      </c>
      <c r="O477" s="3">
        <f t="shared" ref="O477:O491" si="166">D477</f>
        <v>45952.542058368053</v>
      </c>
      <c r="P477" s="3">
        <f t="shared" ref="P477:P491" si="167">E477</f>
        <v>45959.418540196762</v>
      </c>
      <c r="Q477" s="1" t="str">
        <f t="shared" si="154"/>
        <v>Externo</v>
      </c>
      <c r="R477" s="1">
        <f t="shared" ref="R477:R491" si="168">WEEKNUM(O477,1)</f>
        <v>43</v>
      </c>
      <c r="S477" s="6">
        <f t="shared" ref="S477:S491" si="169">DATE(W477,1,4) + (R477-1)*7 - WEEKDAY(DATE(W477,1,4),2) +1</f>
        <v>45950</v>
      </c>
      <c r="T477" s="1">
        <f t="shared" ref="T477:T491" si="170">WEEKNUM(P477,1)</f>
        <v>44</v>
      </c>
      <c r="U477" s="6">
        <f t="shared" ref="U477:U491" si="171">DATE(X477,1,4) + (T477-1)*7 - WEEKDAY(DATE(X477,1,4),2) +1</f>
        <v>45957</v>
      </c>
      <c r="V477" s="1">
        <f t="shared" ref="V477:V491" si="172">ABS(P477-O477)</f>
        <v>6.8764818287090748</v>
      </c>
      <c r="W477" s="1">
        <f t="shared" ref="W477:W491" si="173">YEAR(O477)</f>
        <v>2025</v>
      </c>
      <c r="X477" s="1">
        <f t="shared" ref="X477:X491" si="174">YEAR(P477)</f>
        <v>2025</v>
      </c>
      <c r="Y477" s="1" t="str">
        <f t="shared" ref="Y477:Y491" si="175">(TEXT(S477,"aaaa-mm"))</f>
        <v>2025-10</v>
      </c>
      <c r="Z477" s="1" t="str">
        <f t="shared" ref="Z477:Z491" si="176">(TEXT(U477,"aaaa-mm"))</f>
        <v>2025-10</v>
      </c>
    </row>
    <row r="478" spans="1:26" x14ac:dyDescent="0.2">
      <c r="A478" s="1" t="s">
        <v>1132</v>
      </c>
      <c r="B478" s="1" t="s">
        <v>1133</v>
      </c>
      <c r="C478" s="1" t="s">
        <v>58</v>
      </c>
      <c r="D478" s="3">
        <v>45952.559904641203</v>
      </c>
      <c r="E478" s="3">
        <v>45953.372610648148</v>
      </c>
      <c r="F478" s="1" t="s">
        <v>52</v>
      </c>
      <c r="G478" s="1" t="s">
        <v>12</v>
      </c>
      <c r="H478" s="1" t="s">
        <v>13</v>
      </c>
      <c r="I478" s="1" t="s">
        <v>18</v>
      </c>
      <c r="J478" s="1" t="s">
        <v>16</v>
      </c>
      <c r="K478" s="1" t="s">
        <v>15</v>
      </c>
      <c r="L478" s="1" t="s">
        <v>13</v>
      </c>
      <c r="M478" s="1" t="s">
        <v>1163</v>
      </c>
      <c r="N478" s="1" t="str">
        <f t="shared" si="153"/>
        <v>DESARROLLO</v>
      </c>
      <c r="O478" s="3">
        <f t="shared" si="166"/>
        <v>45952.559904641203</v>
      </c>
      <c r="P478" s="3">
        <f t="shared" si="167"/>
        <v>45953.372610648148</v>
      </c>
      <c r="Q478" s="1" t="str">
        <f t="shared" si="154"/>
        <v>Interno</v>
      </c>
      <c r="R478" s="1">
        <f t="shared" si="168"/>
        <v>43</v>
      </c>
      <c r="S478" s="6">
        <f t="shared" si="169"/>
        <v>45950</v>
      </c>
      <c r="T478" s="1">
        <f t="shared" si="170"/>
        <v>43</v>
      </c>
      <c r="U478" s="6">
        <f t="shared" si="171"/>
        <v>45950</v>
      </c>
      <c r="V478" s="1">
        <f t="shared" si="172"/>
        <v>0.81270600694551831</v>
      </c>
      <c r="W478" s="1">
        <f t="shared" si="173"/>
        <v>2025</v>
      </c>
      <c r="X478" s="1">
        <f t="shared" si="174"/>
        <v>2025</v>
      </c>
      <c r="Y478" s="1" t="str">
        <f t="shared" si="175"/>
        <v>2025-10</v>
      </c>
      <c r="Z478" s="1" t="str">
        <f t="shared" si="176"/>
        <v>2025-10</v>
      </c>
    </row>
    <row r="479" spans="1:26" x14ac:dyDescent="0.2">
      <c r="A479" s="1" t="s">
        <v>1134</v>
      </c>
      <c r="B479" s="1" t="s">
        <v>1135</v>
      </c>
      <c r="C479" s="1" t="s">
        <v>1136</v>
      </c>
      <c r="D479" s="3">
        <v>45952.652422002313</v>
      </c>
      <c r="E479" s="3">
        <v>45953.643397708336</v>
      </c>
      <c r="F479" s="1" t="s">
        <v>52</v>
      </c>
      <c r="G479" s="1" t="s">
        <v>21</v>
      </c>
      <c r="H479" s="1" t="s">
        <v>13</v>
      </c>
      <c r="I479" s="1" t="s">
        <v>18</v>
      </c>
      <c r="J479" s="1" t="s">
        <v>16</v>
      </c>
      <c r="K479" s="1" t="s">
        <v>15</v>
      </c>
      <c r="L479" s="1" t="s">
        <v>13</v>
      </c>
      <c r="M479" s="1" t="s">
        <v>1163</v>
      </c>
      <c r="N479" s="1" t="str">
        <f t="shared" si="153"/>
        <v>SOPORTE</v>
      </c>
      <c r="O479" s="3">
        <f t="shared" si="166"/>
        <v>45952.652422002313</v>
      </c>
      <c r="P479" s="3">
        <f t="shared" si="167"/>
        <v>45953.643397708336</v>
      </c>
      <c r="Q479" s="1" t="str">
        <f t="shared" si="154"/>
        <v>Externo</v>
      </c>
      <c r="R479" s="1">
        <f t="shared" si="168"/>
        <v>43</v>
      </c>
      <c r="S479" s="6">
        <f t="shared" si="169"/>
        <v>45950</v>
      </c>
      <c r="T479" s="1">
        <f t="shared" si="170"/>
        <v>43</v>
      </c>
      <c r="U479" s="6">
        <f t="shared" si="171"/>
        <v>45950</v>
      </c>
      <c r="V479" s="1">
        <f t="shared" si="172"/>
        <v>0.99097570602316409</v>
      </c>
      <c r="W479" s="1">
        <f t="shared" si="173"/>
        <v>2025</v>
      </c>
      <c r="X479" s="1">
        <f t="shared" si="174"/>
        <v>2025</v>
      </c>
      <c r="Y479" s="1" t="str">
        <f t="shared" si="175"/>
        <v>2025-10</v>
      </c>
      <c r="Z479" s="1" t="str">
        <f t="shared" si="176"/>
        <v>2025-10</v>
      </c>
    </row>
    <row r="480" spans="1:26" x14ac:dyDescent="0.2">
      <c r="A480" s="1" t="s">
        <v>1137</v>
      </c>
      <c r="B480" s="1" t="s">
        <v>1168</v>
      </c>
      <c r="C480" s="1" t="s">
        <v>78</v>
      </c>
      <c r="D480" s="3">
        <v>45952.654927997683</v>
      </c>
      <c r="E480" s="1" t="s">
        <v>13</v>
      </c>
      <c r="F480" s="1" t="s">
        <v>52</v>
      </c>
      <c r="G480" s="1" t="s">
        <v>12</v>
      </c>
      <c r="H480" s="1" t="s">
        <v>13</v>
      </c>
      <c r="I480" s="1" t="s">
        <v>18</v>
      </c>
      <c r="J480" s="1" t="s">
        <v>16</v>
      </c>
      <c r="K480" s="1" t="s">
        <v>22</v>
      </c>
      <c r="L480" s="1" t="s">
        <v>13</v>
      </c>
      <c r="M480" s="1" t="s">
        <v>1163</v>
      </c>
      <c r="N480" s="1" t="str">
        <f t="shared" si="153"/>
        <v>DESARROLLO</v>
      </c>
      <c r="O480" s="3">
        <f t="shared" si="166"/>
        <v>45952.654927997683</v>
      </c>
      <c r="P480" s="3" t="str">
        <f t="shared" si="167"/>
        <v/>
      </c>
      <c r="Q480" s="1" t="str">
        <f t="shared" si="154"/>
        <v>Interno</v>
      </c>
      <c r="R480" s="1">
        <f t="shared" si="168"/>
        <v>43</v>
      </c>
      <c r="S480" s="6">
        <f t="shared" si="169"/>
        <v>45950</v>
      </c>
      <c r="T480" s="1" t="e">
        <f t="shared" si="170"/>
        <v>#VALUE!</v>
      </c>
      <c r="U480" s="6" t="e">
        <f t="shared" si="171"/>
        <v>#VALUE!</v>
      </c>
      <c r="V480" s="1" t="e">
        <f t="shared" si="172"/>
        <v>#VALUE!</v>
      </c>
      <c r="W480" s="1">
        <f t="shared" si="173"/>
        <v>2025</v>
      </c>
      <c r="X480" s="1" t="e">
        <f t="shared" si="174"/>
        <v>#VALUE!</v>
      </c>
      <c r="Y480" s="1" t="str">
        <f t="shared" si="175"/>
        <v>2025-10</v>
      </c>
      <c r="Z480" s="1" t="e">
        <f t="shared" si="176"/>
        <v>#VALUE!</v>
      </c>
    </row>
    <row r="481" spans="1:26" x14ac:dyDescent="0.2">
      <c r="A481" s="1" t="s">
        <v>1138</v>
      </c>
      <c r="B481" s="1" t="s">
        <v>1139</v>
      </c>
      <c r="C481" s="1" t="s">
        <v>156</v>
      </c>
      <c r="D481" s="3">
        <v>45953.457758020835</v>
      </c>
      <c r="E481" s="1" t="s">
        <v>13</v>
      </c>
      <c r="F481" s="1" t="s">
        <v>52</v>
      </c>
      <c r="G481" s="1" t="s">
        <v>21</v>
      </c>
      <c r="H481" s="1" t="s">
        <v>13</v>
      </c>
      <c r="I481" s="1" t="s">
        <v>18</v>
      </c>
      <c r="J481" s="1" t="s">
        <v>16</v>
      </c>
      <c r="K481" s="1" t="s">
        <v>23</v>
      </c>
      <c r="L481" s="1" t="s">
        <v>13</v>
      </c>
      <c r="M481" s="1" t="s">
        <v>1163</v>
      </c>
      <c r="N481" s="1" t="str">
        <f t="shared" si="153"/>
        <v>SOPORTE</v>
      </c>
      <c r="O481" s="3">
        <f t="shared" si="166"/>
        <v>45953.457758020835</v>
      </c>
      <c r="P481" s="3" t="str">
        <f t="shared" si="167"/>
        <v/>
      </c>
      <c r="Q481" s="1" t="str">
        <f t="shared" si="154"/>
        <v>Externo</v>
      </c>
      <c r="R481" s="1">
        <f t="shared" si="168"/>
        <v>43</v>
      </c>
      <c r="S481" s="6">
        <f t="shared" si="169"/>
        <v>45950</v>
      </c>
      <c r="T481" s="1" t="e">
        <f t="shared" si="170"/>
        <v>#VALUE!</v>
      </c>
      <c r="U481" s="6" t="e">
        <f t="shared" si="171"/>
        <v>#VALUE!</v>
      </c>
      <c r="V481" s="1" t="e">
        <f t="shared" si="172"/>
        <v>#VALUE!</v>
      </c>
      <c r="W481" s="1">
        <f t="shared" si="173"/>
        <v>2025</v>
      </c>
      <c r="X481" s="1" t="e">
        <f t="shared" si="174"/>
        <v>#VALUE!</v>
      </c>
      <c r="Y481" s="1" t="str">
        <f t="shared" si="175"/>
        <v>2025-10</v>
      </c>
      <c r="Z481" s="1" t="e">
        <f t="shared" si="176"/>
        <v>#VALUE!</v>
      </c>
    </row>
    <row r="482" spans="1:26" x14ac:dyDescent="0.2">
      <c r="A482" s="1" t="s">
        <v>1140</v>
      </c>
      <c r="B482" s="1" t="s">
        <v>1141</v>
      </c>
      <c r="C482" s="1" t="s">
        <v>109</v>
      </c>
      <c r="D482" s="3">
        <v>45953.560818900463</v>
      </c>
      <c r="E482" s="3">
        <v>45953.703487326391</v>
      </c>
      <c r="F482" s="1" t="s">
        <v>52</v>
      </c>
      <c r="G482" s="1" t="s">
        <v>21</v>
      </c>
      <c r="H482" s="1" t="s">
        <v>13</v>
      </c>
      <c r="I482" s="1" t="s">
        <v>18</v>
      </c>
      <c r="J482" s="1" t="s">
        <v>16</v>
      </c>
      <c r="K482" s="1" t="s">
        <v>15</v>
      </c>
      <c r="L482" s="1" t="s">
        <v>13</v>
      </c>
      <c r="M482" s="1" t="s">
        <v>1163</v>
      </c>
      <c r="N482" s="1" t="str">
        <f t="shared" si="153"/>
        <v>SOPORTE</v>
      </c>
      <c r="O482" s="3">
        <f t="shared" si="166"/>
        <v>45953.560818900463</v>
      </c>
      <c r="P482" s="3">
        <f t="shared" si="167"/>
        <v>45953.703487326391</v>
      </c>
      <c r="Q482" s="1" t="str">
        <f t="shared" si="154"/>
        <v>Externo</v>
      </c>
      <c r="R482" s="1">
        <f t="shared" si="168"/>
        <v>43</v>
      </c>
      <c r="S482" s="6">
        <f t="shared" si="169"/>
        <v>45950</v>
      </c>
      <c r="T482" s="1">
        <f t="shared" si="170"/>
        <v>43</v>
      </c>
      <c r="U482" s="6">
        <f t="shared" si="171"/>
        <v>45950</v>
      </c>
      <c r="V482" s="1">
        <f t="shared" si="172"/>
        <v>0.14266842592769535</v>
      </c>
      <c r="W482" s="1">
        <f t="shared" si="173"/>
        <v>2025</v>
      </c>
      <c r="X482" s="1">
        <f t="shared" si="174"/>
        <v>2025</v>
      </c>
      <c r="Y482" s="1" t="str">
        <f t="shared" si="175"/>
        <v>2025-10</v>
      </c>
      <c r="Z482" s="1" t="str">
        <f t="shared" si="176"/>
        <v>2025-10</v>
      </c>
    </row>
    <row r="483" spans="1:26" x14ac:dyDescent="0.2">
      <c r="A483" s="1" t="s">
        <v>1142</v>
      </c>
      <c r="B483" s="1" t="s">
        <v>1143</v>
      </c>
      <c r="C483" s="1" t="s">
        <v>109</v>
      </c>
      <c r="D483" s="3">
        <v>45953.661306400463</v>
      </c>
      <c r="E483" s="3">
        <v>45953.703820208335</v>
      </c>
      <c r="F483" s="1" t="s">
        <v>52</v>
      </c>
      <c r="G483" s="1" t="s">
        <v>21</v>
      </c>
      <c r="H483" s="1" t="s">
        <v>13</v>
      </c>
      <c r="I483" s="1" t="s">
        <v>18</v>
      </c>
      <c r="J483" s="1" t="s">
        <v>16</v>
      </c>
      <c r="K483" s="1" t="s">
        <v>15</v>
      </c>
      <c r="L483" s="1" t="s">
        <v>13</v>
      </c>
      <c r="M483" s="1" t="s">
        <v>1163</v>
      </c>
      <c r="N483" s="1" t="str">
        <f t="shared" si="153"/>
        <v>SOPORTE</v>
      </c>
      <c r="O483" s="3">
        <f t="shared" si="166"/>
        <v>45953.661306400463</v>
      </c>
      <c r="P483" s="3">
        <f t="shared" si="167"/>
        <v>45953.703820208335</v>
      </c>
      <c r="Q483" s="1" t="str">
        <f t="shared" si="154"/>
        <v>Externo</v>
      </c>
      <c r="R483" s="1">
        <f t="shared" si="168"/>
        <v>43</v>
      </c>
      <c r="S483" s="6">
        <f t="shared" si="169"/>
        <v>45950</v>
      </c>
      <c r="T483" s="1">
        <f t="shared" si="170"/>
        <v>43</v>
      </c>
      <c r="U483" s="6">
        <f t="shared" si="171"/>
        <v>45950</v>
      </c>
      <c r="V483" s="1">
        <f t="shared" si="172"/>
        <v>4.2513807871728204E-2</v>
      </c>
      <c r="W483" s="1">
        <f t="shared" si="173"/>
        <v>2025</v>
      </c>
      <c r="X483" s="1">
        <f t="shared" si="174"/>
        <v>2025</v>
      </c>
      <c r="Y483" s="1" t="str">
        <f t="shared" si="175"/>
        <v>2025-10</v>
      </c>
      <c r="Z483" s="1" t="str">
        <f t="shared" si="176"/>
        <v>2025-10</v>
      </c>
    </row>
    <row r="484" spans="1:26" x14ac:dyDescent="0.2">
      <c r="A484" s="1" t="s">
        <v>1144</v>
      </c>
      <c r="B484" s="1" t="s">
        <v>1145</v>
      </c>
      <c r="C484" s="1" t="s">
        <v>584</v>
      </c>
      <c r="D484" s="3">
        <v>45954.403432824074</v>
      </c>
      <c r="E484" s="1" t="s">
        <v>13</v>
      </c>
      <c r="F484" s="1" t="s">
        <v>52</v>
      </c>
      <c r="G484" s="1" t="s">
        <v>21</v>
      </c>
      <c r="H484" s="1" t="s">
        <v>13</v>
      </c>
      <c r="I484" s="1" t="s">
        <v>18</v>
      </c>
      <c r="J484" s="1" t="s">
        <v>16</v>
      </c>
      <c r="K484" s="1" t="s">
        <v>934</v>
      </c>
      <c r="L484" s="1" t="s">
        <v>13</v>
      </c>
      <c r="M484" s="1" t="s">
        <v>1163</v>
      </c>
      <c r="N484" s="1" t="str">
        <f t="shared" si="153"/>
        <v>SOPORTE</v>
      </c>
      <c r="O484" s="3">
        <f t="shared" si="166"/>
        <v>45954.403432824074</v>
      </c>
      <c r="P484" s="3" t="str">
        <f t="shared" si="167"/>
        <v/>
      </c>
      <c r="Q484" s="1" t="str">
        <f t="shared" si="154"/>
        <v>Externo</v>
      </c>
      <c r="R484" s="1">
        <f t="shared" si="168"/>
        <v>43</v>
      </c>
      <c r="S484" s="6">
        <f t="shared" si="169"/>
        <v>45950</v>
      </c>
      <c r="T484" s="1" t="e">
        <f t="shared" si="170"/>
        <v>#VALUE!</v>
      </c>
      <c r="U484" s="6" t="e">
        <f t="shared" si="171"/>
        <v>#VALUE!</v>
      </c>
      <c r="V484" s="1" t="e">
        <f t="shared" si="172"/>
        <v>#VALUE!</v>
      </c>
      <c r="W484" s="1">
        <f t="shared" si="173"/>
        <v>2025</v>
      </c>
      <c r="X484" s="1" t="e">
        <f t="shared" si="174"/>
        <v>#VALUE!</v>
      </c>
      <c r="Y484" s="1" t="str">
        <f t="shared" si="175"/>
        <v>2025-10</v>
      </c>
      <c r="Z484" s="1" t="e">
        <f t="shared" si="176"/>
        <v>#VALUE!</v>
      </c>
    </row>
    <row r="485" spans="1:26" x14ac:dyDescent="0.2">
      <c r="A485" s="1" t="s">
        <v>1146</v>
      </c>
      <c r="B485" s="1" t="s">
        <v>1147</v>
      </c>
      <c r="C485" s="1" t="s">
        <v>184</v>
      </c>
      <c r="D485" s="3">
        <v>45954.5552966088</v>
      </c>
      <c r="E485" s="3">
        <v>45957.545290486109</v>
      </c>
      <c r="F485" s="1" t="s">
        <v>52</v>
      </c>
      <c r="G485" s="1" t="s">
        <v>12</v>
      </c>
      <c r="H485" s="1" t="s">
        <v>13</v>
      </c>
      <c r="I485" s="1" t="s">
        <v>18</v>
      </c>
      <c r="J485" s="1" t="s">
        <v>16</v>
      </c>
      <c r="K485" s="1" t="s">
        <v>15</v>
      </c>
      <c r="L485" s="1" t="s">
        <v>13</v>
      </c>
      <c r="M485" s="1" t="s">
        <v>1163</v>
      </c>
      <c r="N485" s="1" t="str">
        <f t="shared" si="153"/>
        <v>DESARROLLO</v>
      </c>
      <c r="O485" s="3">
        <f t="shared" si="166"/>
        <v>45954.5552966088</v>
      </c>
      <c r="P485" s="3">
        <f t="shared" si="167"/>
        <v>45957.545290486109</v>
      </c>
      <c r="Q485" s="1" t="str">
        <f t="shared" si="154"/>
        <v>Interno</v>
      </c>
      <c r="R485" s="1">
        <f t="shared" si="168"/>
        <v>43</v>
      </c>
      <c r="S485" s="6">
        <f t="shared" si="169"/>
        <v>45950</v>
      </c>
      <c r="T485" s="1">
        <f t="shared" si="170"/>
        <v>44</v>
      </c>
      <c r="U485" s="6">
        <f t="shared" si="171"/>
        <v>45957</v>
      </c>
      <c r="V485" s="1">
        <f t="shared" si="172"/>
        <v>2.9899938773087342</v>
      </c>
      <c r="W485" s="1">
        <f t="shared" si="173"/>
        <v>2025</v>
      </c>
      <c r="X485" s="1">
        <f t="shared" si="174"/>
        <v>2025</v>
      </c>
      <c r="Y485" s="1" t="str">
        <f t="shared" si="175"/>
        <v>2025-10</v>
      </c>
      <c r="Z485" s="1" t="str">
        <f t="shared" si="176"/>
        <v>2025-10</v>
      </c>
    </row>
    <row r="486" spans="1:26" x14ac:dyDescent="0.2">
      <c r="A486" s="1" t="s">
        <v>1148</v>
      </c>
      <c r="B486" s="1" t="s">
        <v>1149</v>
      </c>
      <c r="C486" s="1" t="s">
        <v>1150</v>
      </c>
      <c r="D486" s="3">
        <v>45957.486384131946</v>
      </c>
      <c r="E486" s="3">
        <v>45959.421617893517</v>
      </c>
      <c r="F486" s="1" t="s">
        <v>52</v>
      </c>
      <c r="G486" s="1" t="s">
        <v>21</v>
      </c>
      <c r="H486" s="1" t="s">
        <v>468</v>
      </c>
      <c r="I486" s="1" t="s">
        <v>18</v>
      </c>
      <c r="J486" s="1" t="s">
        <v>16</v>
      </c>
      <c r="K486" s="1" t="s">
        <v>15</v>
      </c>
      <c r="L486" s="1" t="s">
        <v>13</v>
      </c>
      <c r="M486" s="1" t="s">
        <v>1163</v>
      </c>
      <c r="N486" s="1" t="str">
        <f t="shared" si="153"/>
        <v>SOPORTE</v>
      </c>
      <c r="O486" s="3">
        <f t="shared" si="166"/>
        <v>45957.486384131946</v>
      </c>
      <c r="P486" s="3">
        <f t="shared" si="167"/>
        <v>45959.421617893517</v>
      </c>
      <c r="Q486" s="1" t="str">
        <f t="shared" si="154"/>
        <v>Externo</v>
      </c>
      <c r="R486" s="1">
        <f t="shared" si="168"/>
        <v>44</v>
      </c>
      <c r="S486" s="6">
        <f t="shared" si="169"/>
        <v>45957</v>
      </c>
      <c r="T486" s="1">
        <f t="shared" si="170"/>
        <v>44</v>
      </c>
      <c r="U486" s="6">
        <f t="shared" si="171"/>
        <v>45957</v>
      </c>
      <c r="V486" s="1">
        <f t="shared" si="172"/>
        <v>1.9352337615709985</v>
      </c>
      <c r="W486" s="1">
        <f t="shared" si="173"/>
        <v>2025</v>
      </c>
      <c r="X486" s="1">
        <f t="shared" si="174"/>
        <v>2025</v>
      </c>
      <c r="Y486" s="1" t="str">
        <f t="shared" si="175"/>
        <v>2025-10</v>
      </c>
      <c r="Z486" s="1" t="str">
        <f t="shared" si="176"/>
        <v>2025-10</v>
      </c>
    </row>
    <row r="487" spans="1:26" x14ac:dyDescent="0.2">
      <c r="A487" s="1" t="s">
        <v>1151</v>
      </c>
      <c r="B487" s="1" t="s">
        <v>1152</v>
      </c>
      <c r="C487" s="1" t="s">
        <v>184</v>
      </c>
      <c r="D487" s="3">
        <v>45958.470786759259</v>
      </c>
      <c r="E487" s="3">
        <v>45959.509989131948</v>
      </c>
      <c r="F487" s="1" t="s">
        <v>52</v>
      </c>
      <c r="G487" s="1" t="s">
        <v>12</v>
      </c>
      <c r="H487" s="1" t="s">
        <v>1161</v>
      </c>
      <c r="I487" s="1" t="s">
        <v>18</v>
      </c>
      <c r="J487" s="1" t="s">
        <v>16</v>
      </c>
      <c r="K487" s="1" t="s">
        <v>15</v>
      </c>
      <c r="L487" s="1" t="s">
        <v>13</v>
      </c>
      <c r="M487" s="1" t="s">
        <v>1163</v>
      </c>
      <c r="N487" s="1" t="str">
        <f t="shared" si="153"/>
        <v>DESARROLLO</v>
      </c>
      <c r="O487" s="3">
        <f t="shared" si="166"/>
        <v>45958.470786759259</v>
      </c>
      <c r="P487" s="3">
        <f t="shared" si="167"/>
        <v>45959.509989131948</v>
      </c>
      <c r="Q487" s="1" t="str">
        <f t="shared" si="154"/>
        <v>Interno</v>
      </c>
      <c r="R487" s="1">
        <f t="shared" si="168"/>
        <v>44</v>
      </c>
      <c r="S487" s="6">
        <f t="shared" si="169"/>
        <v>45957</v>
      </c>
      <c r="T487" s="1">
        <f t="shared" si="170"/>
        <v>44</v>
      </c>
      <c r="U487" s="6">
        <f t="shared" si="171"/>
        <v>45957</v>
      </c>
      <c r="V487" s="1">
        <f t="shared" si="172"/>
        <v>1.0392023726890329</v>
      </c>
      <c r="W487" s="1">
        <f t="shared" si="173"/>
        <v>2025</v>
      </c>
      <c r="X487" s="1">
        <f t="shared" si="174"/>
        <v>2025</v>
      </c>
      <c r="Y487" s="1" t="str">
        <f t="shared" si="175"/>
        <v>2025-10</v>
      </c>
      <c r="Z487" s="1" t="str">
        <f t="shared" si="176"/>
        <v>2025-10</v>
      </c>
    </row>
    <row r="488" spans="1:26" x14ac:dyDescent="0.2">
      <c r="A488" s="1" t="s">
        <v>1153</v>
      </c>
      <c r="B488" s="1" t="s">
        <v>1154</v>
      </c>
      <c r="C488" s="1" t="s">
        <v>109</v>
      </c>
      <c r="D488" s="3">
        <v>45958.47461232639</v>
      </c>
      <c r="E488" s="3">
        <v>45959.424667349536</v>
      </c>
      <c r="F488" s="1" t="s">
        <v>52</v>
      </c>
      <c r="G488" s="1" t="s">
        <v>21</v>
      </c>
      <c r="H488" s="1" t="s">
        <v>468</v>
      </c>
      <c r="I488" s="1" t="s">
        <v>18</v>
      </c>
      <c r="J488" s="1" t="s">
        <v>16</v>
      </c>
      <c r="K488" s="1" t="s">
        <v>15</v>
      </c>
      <c r="L488" s="1" t="s">
        <v>13</v>
      </c>
      <c r="M488" s="1" t="s">
        <v>1163</v>
      </c>
      <c r="N488" s="1" t="str">
        <f t="shared" si="153"/>
        <v>SOPORTE</v>
      </c>
      <c r="O488" s="3">
        <f t="shared" si="166"/>
        <v>45958.47461232639</v>
      </c>
      <c r="P488" s="3">
        <f t="shared" si="167"/>
        <v>45959.424667349536</v>
      </c>
      <c r="Q488" s="1" t="str">
        <f t="shared" si="154"/>
        <v>Externo</v>
      </c>
      <c r="R488" s="1">
        <f t="shared" si="168"/>
        <v>44</v>
      </c>
      <c r="S488" s="6">
        <f t="shared" si="169"/>
        <v>45957</v>
      </c>
      <c r="T488" s="1">
        <f t="shared" si="170"/>
        <v>44</v>
      </c>
      <c r="U488" s="6">
        <f t="shared" si="171"/>
        <v>45957</v>
      </c>
      <c r="V488" s="1">
        <f t="shared" si="172"/>
        <v>0.95005502314597834</v>
      </c>
      <c r="W488" s="1">
        <f t="shared" si="173"/>
        <v>2025</v>
      </c>
      <c r="X488" s="1">
        <f t="shared" si="174"/>
        <v>2025</v>
      </c>
      <c r="Y488" s="1" t="str">
        <f t="shared" si="175"/>
        <v>2025-10</v>
      </c>
      <c r="Z488" s="1" t="str">
        <f t="shared" si="176"/>
        <v>2025-10</v>
      </c>
    </row>
    <row r="489" spans="1:26" x14ac:dyDescent="0.2">
      <c r="A489" s="1" t="s">
        <v>1155</v>
      </c>
      <c r="B489" s="1" t="s">
        <v>1156</v>
      </c>
      <c r="C489" s="1" t="s">
        <v>184</v>
      </c>
      <c r="D489" s="3">
        <v>45958.482709918979</v>
      </c>
      <c r="E489" s="3">
        <v>45959.510203252314</v>
      </c>
      <c r="F489" s="1" t="s">
        <v>52</v>
      </c>
      <c r="G489" s="1" t="s">
        <v>12</v>
      </c>
      <c r="H489" s="1" t="s">
        <v>1161</v>
      </c>
      <c r="I489" s="1" t="s">
        <v>18</v>
      </c>
      <c r="J489" s="1" t="s">
        <v>16</v>
      </c>
      <c r="K489" s="1" t="s">
        <v>15</v>
      </c>
      <c r="L489" s="1" t="s">
        <v>13</v>
      </c>
      <c r="M489" s="1" t="s">
        <v>1163</v>
      </c>
      <c r="N489" s="1" t="str">
        <f t="shared" si="153"/>
        <v>DESARROLLO</v>
      </c>
      <c r="O489" s="3">
        <f t="shared" si="166"/>
        <v>45958.482709918979</v>
      </c>
      <c r="P489" s="3">
        <f t="shared" si="167"/>
        <v>45959.510203252314</v>
      </c>
      <c r="Q489" s="1" t="str">
        <f t="shared" si="154"/>
        <v>Interno</v>
      </c>
      <c r="R489" s="1">
        <f t="shared" si="168"/>
        <v>44</v>
      </c>
      <c r="S489" s="6">
        <f t="shared" si="169"/>
        <v>45957</v>
      </c>
      <c r="T489" s="1">
        <f t="shared" si="170"/>
        <v>44</v>
      </c>
      <c r="U489" s="6">
        <f t="shared" si="171"/>
        <v>45957</v>
      </c>
      <c r="V489" s="1">
        <f t="shared" si="172"/>
        <v>1.0274933333348599</v>
      </c>
      <c r="W489" s="1">
        <f t="shared" si="173"/>
        <v>2025</v>
      </c>
      <c r="X489" s="1">
        <f t="shared" si="174"/>
        <v>2025</v>
      </c>
      <c r="Y489" s="1" t="str">
        <f t="shared" si="175"/>
        <v>2025-10</v>
      </c>
      <c r="Z489" s="1" t="str">
        <f t="shared" si="176"/>
        <v>2025-10</v>
      </c>
    </row>
    <row r="490" spans="1:26" x14ac:dyDescent="0.2">
      <c r="A490" s="1" t="s">
        <v>1157</v>
      </c>
      <c r="B490" s="1" t="s">
        <v>1158</v>
      </c>
      <c r="C490" s="1" t="s">
        <v>13</v>
      </c>
      <c r="D490" s="3">
        <v>45958.496780474539</v>
      </c>
      <c r="E490" s="3">
        <v>45959.42277740741</v>
      </c>
      <c r="F490" s="1" t="s">
        <v>52</v>
      </c>
      <c r="G490" s="1" t="s">
        <v>21</v>
      </c>
      <c r="H490" s="1" t="s">
        <v>468</v>
      </c>
      <c r="I490" s="1" t="s">
        <v>18</v>
      </c>
      <c r="J490" s="1" t="s">
        <v>16</v>
      </c>
      <c r="K490" s="1" t="s">
        <v>15</v>
      </c>
      <c r="L490" s="1" t="s">
        <v>13</v>
      </c>
      <c r="M490" s="1" t="s">
        <v>1163</v>
      </c>
      <c r="N490" s="1" t="str">
        <f t="shared" si="153"/>
        <v>SOPORTE</v>
      </c>
      <c r="O490" s="3">
        <f t="shared" si="166"/>
        <v>45958.496780474539</v>
      </c>
      <c r="P490" s="3">
        <f t="shared" si="167"/>
        <v>45959.42277740741</v>
      </c>
      <c r="Q490" s="1" t="str">
        <f t="shared" si="154"/>
        <v>Externo</v>
      </c>
      <c r="R490" s="1">
        <f t="shared" si="168"/>
        <v>44</v>
      </c>
      <c r="S490" s="6">
        <f t="shared" si="169"/>
        <v>45957</v>
      </c>
      <c r="T490" s="1">
        <f t="shared" si="170"/>
        <v>44</v>
      </c>
      <c r="U490" s="6">
        <f t="shared" si="171"/>
        <v>45957</v>
      </c>
      <c r="V490" s="1">
        <f t="shared" si="172"/>
        <v>0.92599693287047558</v>
      </c>
      <c r="W490" s="1">
        <f t="shared" si="173"/>
        <v>2025</v>
      </c>
      <c r="X490" s="1">
        <f t="shared" si="174"/>
        <v>2025</v>
      </c>
      <c r="Y490" s="1" t="str">
        <f t="shared" si="175"/>
        <v>2025-10</v>
      </c>
      <c r="Z490" s="1" t="str">
        <f t="shared" si="176"/>
        <v>2025-10</v>
      </c>
    </row>
    <row r="491" spans="1:26" x14ac:dyDescent="0.2">
      <c r="A491" s="1" t="s">
        <v>1159</v>
      </c>
      <c r="B491" s="1" t="s">
        <v>1160</v>
      </c>
      <c r="C491" s="1" t="s">
        <v>109</v>
      </c>
      <c r="D491" s="3">
        <v>45958.62492829861</v>
      </c>
      <c r="E491" s="1" t="s">
        <v>13</v>
      </c>
      <c r="F491" s="1" t="s">
        <v>52</v>
      </c>
      <c r="G491" s="1" t="s">
        <v>21</v>
      </c>
      <c r="H491" s="1" t="s">
        <v>468</v>
      </c>
      <c r="I491" s="1" t="s">
        <v>18</v>
      </c>
      <c r="J491" s="1" t="s">
        <v>16</v>
      </c>
      <c r="K491" s="1" t="s">
        <v>23</v>
      </c>
      <c r="L491" s="1" t="s">
        <v>13</v>
      </c>
      <c r="M491" s="1" t="s">
        <v>1163</v>
      </c>
      <c r="N491" s="1" t="str">
        <f t="shared" si="153"/>
        <v>SOPORTE</v>
      </c>
      <c r="O491" s="3">
        <f t="shared" si="166"/>
        <v>45958.62492829861</v>
      </c>
      <c r="P491" s="3" t="str">
        <f t="shared" si="167"/>
        <v/>
      </c>
      <c r="Q491" s="1" t="str">
        <f t="shared" si="154"/>
        <v>Externo</v>
      </c>
      <c r="R491" s="1">
        <f t="shared" si="168"/>
        <v>44</v>
      </c>
      <c r="S491" s="6">
        <f t="shared" si="169"/>
        <v>45957</v>
      </c>
      <c r="T491" s="1" t="e">
        <f t="shared" si="170"/>
        <v>#VALUE!</v>
      </c>
      <c r="U491" s="6" t="e">
        <f t="shared" si="171"/>
        <v>#VALUE!</v>
      </c>
      <c r="V491" s="1" t="e">
        <f t="shared" si="172"/>
        <v>#VALUE!</v>
      </c>
      <c r="W491" s="1">
        <f t="shared" si="173"/>
        <v>2025</v>
      </c>
      <c r="X491" s="1" t="e">
        <f t="shared" si="174"/>
        <v>#VALUE!</v>
      </c>
      <c r="Y491" s="1" t="str">
        <f t="shared" si="175"/>
        <v>2025-10</v>
      </c>
      <c r="Z491" s="1" t="e">
        <f t="shared" si="176"/>
        <v>#VALUE!</v>
      </c>
    </row>
    <row r="492" spans="1:26" x14ac:dyDescent="0.2">
      <c r="A492" s="1" t="s">
        <v>1169</v>
      </c>
      <c r="B492" s="1" t="s">
        <v>1170</v>
      </c>
      <c r="C492" s="1" t="s">
        <v>78</v>
      </c>
      <c r="D492" s="3">
        <v>45960.395810717593</v>
      </c>
      <c r="E492" s="1" t="s">
        <v>13</v>
      </c>
      <c r="F492" s="1" t="s">
        <v>52</v>
      </c>
      <c r="G492" s="1" t="s">
        <v>21</v>
      </c>
      <c r="H492" s="1" t="s">
        <v>468</v>
      </c>
      <c r="I492" s="1" t="s">
        <v>18</v>
      </c>
      <c r="J492" s="1" t="s">
        <v>16</v>
      </c>
      <c r="K492" s="1" t="s">
        <v>23</v>
      </c>
      <c r="L492" s="1" t="s">
        <v>13</v>
      </c>
      <c r="M492" s="1" t="s">
        <v>1163</v>
      </c>
      <c r="N492" s="1" t="str">
        <f t="shared" ref="N492:N497" si="177">G492</f>
        <v>SOPORTE</v>
      </c>
      <c r="O492" s="3">
        <f t="shared" ref="O492:O497" si="178">D492</f>
        <v>45960.395810717593</v>
      </c>
      <c r="P492" s="3" t="str">
        <f t="shared" ref="P492:P497" si="179">E492</f>
        <v/>
      </c>
      <c r="Q492" s="1" t="str">
        <f t="shared" ref="Q492:Q497" si="180">IF(OR(N492="Soporte",N492="Definición",N492="Origen"),"Externo",
IF(OR(N492="Funcional",N492="Técnico",N492="Desarrollo",N492="Reproceso"),"Interno",
IF(OR(N492="",N492="Selecciona (SOPORTE/DEFINICIÓN/FUNCIONAL/TÉCNICO/DESARROLLO)"),"Pendiente clasificar","")))</f>
        <v>Externo</v>
      </c>
      <c r="R492" s="1">
        <f t="shared" ref="R492:R497" si="181">WEEKNUM(O492,1)</f>
        <v>44</v>
      </c>
      <c r="S492" s="6">
        <f t="shared" ref="S492:S497" si="182">DATE(W492,1,4) + (R492-1)*7 - WEEKDAY(DATE(W492,1,4),2) +1</f>
        <v>45957</v>
      </c>
      <c r="T492" s="1" t="e">
        <f t="shared" ref="T492:T497" si="183">WEEKNUM(P492,1)</f>
        <v>#VALUE!</v>
      </c>
      <c r="U492" s="6" t="e">
        <f t="shared" ref="U492:U497" si="184">DATE(X492,1,4) + (T492-1)*7 - WEEKDAY(DATE(X492,1,4),2) +1</f>
        <v>#VALUE!</v>
      </c>
      <c r="V492" s="1" t="e">
        <f t="shared" ref="V492:V497" si="185">ABS(P492-O492)</f>
        <v>#VALUE!</v>
      </c>
      <c r="W492" s="1">
        <f t="shared" ref="W492:W497" si="186">YEAR(O492)</f>
        <v>2025</v>
      </c>
      <c r="X492" s="1" t="e">
        <f t="shared" ref="X492:X497" si="187">YEAR(P492)</f>
        <v>#VALUE!</v>
      </c>
      <c r="Y492" s="1" t="str">
        <f t="shared" ref="Y492:Y497" si="188">(TEXT(S492,"aaaa-mm"))</f>
        <v>2025-10</v>
      </c>
      <c r="Z492" s="1" t="e">
        <f t="shared" ref="Z492:Z497" si="189">(TEXT(U492,"aaaa-mm"))</f>
        <v>#VALUE!</v>
      </c>
    </row>
    <row r="493" spans="1:26" x14ac:dyDescent="0.2">
      <c r="A493" s="1" t="s">
        <v>1171</v>
      </c>
      <c r="B493" s="1" t="s">
        <v>1172</v>
      </c>
      <c r="C493" s="1" t="s">
        <v>13</v>
      </c>
      <c r="D493" s="3">
        <v>45960.448990150464</v>
      </c>
      <c r="E493" s="1" t="s">
        <v>13</v>
      </c>
      <c r="F493" s="1" t="s">
        <v>52</v>
      </c>
      <c r="G493" s="1" t="s">
        <v>21</v>
      </c>
      <c r="H493" s="1" t="s">
        <v>468</v>
      </c>
      <c r="I493" s="1" t="s">
        <v>18</v>
      </c>
      <c r="J493" s="1" t="s">
        <v>16</v>
      </c>
      <c r="K493" s="1" t="s">
        <v>23</v>
      </c>
      <c r="L493" s="1" t="s">
        <v>13</v>
      </c>
      <c r="M493" s="1" t="s">
        <v>1163</v>
      </c>
      <c r="N493" s="1" t="str">
        <f t="shared" si="177"/>
        <v>SOPORTE</v>
      </c>
      <c r="O493" s="3">
        <f t="shared" si="178"/>
        <v>45960.448990150464</v>
      </c>
      <c r="P493" s="3" t="str">
        <f t="shared" si="179"/>
        <v/>
      </c>
      <c r="Q493" s="1" t="str">
        <f t="shared" si="180"/>
        <v>Externo</v>
      </c>
      <c r="R493" s="1">
        <f t="shared" si="181"/>
        <v>44</v>
      </c>
      <c r="S493" s="6">
        <f t="shared" si="182"/>
        <v>45957</v>
      </c>
      <c r="T493" s="1" t="e">
        <f t="shared" si="183"/>
        <v>#VALUE!</v>
      </c>
      <c r="U493" s="6" t="e">
        <f t="shared" si="184"/>
        <v>#VALUE!</v>
      </c>
      <c r="V493" s="1" t="e">
        <f t="shared" si="185"/>
        <v>#VALUE!</v>
      </c>
      <c r="W493" s="1">
        <f t="shared" si="186"/>
        <v>2025</v>
      </c>
      <c r="X493" s="1" t="e">
        <f t="shared" si="187"/>
        <v>#VALUE!</v>
      </c>
      <c r="Y493" s="1" t="str">
        <f t="shared" si="188"/>
        <v>2025-10</v>
      </c>
      <c r="Z493" s="1" t="e">
        <f t="shared" si="189"/>
        <v>#VALUE!</v>
      </c>
    </row>
    <row r="494" spans="1:26" x14ac:dyDescent="0.2">
      <c r="A494" s="1" t="s">
        <v>1173</v>
      </c>
      <c r="B494" s="1" t="s">
        <v>1174</v>
      </c>
      <c r="C494" s="1" t="s">
        <v>83</v>
      </c>
      <c r="D494" s="3">
        <v>45960.450040960648</v>
      </c>
      <c r="E494" s="3">
        <v>45960.458607777779</v>
      </c>
      <c r="F494" s="1" t="s">
        <v>52</v>
      </c>
      <c r="G494" s="1" t="s">
        <v>12</v>
      </c>
      <c r="H494" s="1" t="s">
        <v>1175</v>
      </c>
      <c r="I494" s="1" t="s">
        <v>18</v>
      </c>
      <c r="J494" s="1" t="s">
        <v>16</v>
      </c>
      <c r="K494" s="1" t="s">
        <v>15</v>
      </c>
      <c r="L494" s="1" t="s">
        <v>13</v>
      </c>
      <c r="M494" s="1" t="s">
        <v>13</v>
      </c>
      <c r="N494" s="1" t="str">
        <f t="shared" si="177"/>
        <v>DESARROLLO</v>
      </c>
      <c r="O494" s="3">
        <f t="shared" si="178"/>
        <v>45960.450040960648</v>
      </c>
      <c r="P494" s="3">
        <f t="shared" si="179"/>
        <v>45960.458607777779</v>
      </c>
      <c r="Q494" s="1" t="str">
        <f t="shared" si="180"/>
        <v>Interno</v>
      </c>
      <c r="R494" s="1">
        <f t="shared" si="181"/>
        <v>44</v>
      </c>
      <c r="S494" s="6">
        <f t="shared" si="182"/>
        <v>45957</v>
      </c>
      <c r="T494" s="1">
        <f t="shared" si="183"/>
        <v>44</v>
      </c>
      <c r="U494" s="6">
        <f t="shared" si="184"/>
        <v>45957</v>
      </c>
      <c r="V494" s="1">
        <f t="shared" si="185"/>
        <v>8.5668171304860152E-3</v>
      </c>
      <c r="W494" s="1">
        <f t="shared" si="186"/>
        <v>2025</v>
      </c>
      <c r="X494" s="1">
        <f t="shared" si="187"/>
        <v>2025</v>
      </c>
      <c r="Y494" s="1" t="str">
        <f t="shared" si="188"/>
        <v>2025-10</v>
      </c>
      <c r="Z494" s="1" t="str">
        <f t="shared" si="189"/>
        <v>2025-10</v>
      </c>
    </row>
    <row r="495" spans="1:26" x14ac:dyDescent="0.2">
      <c r="A495" s="1" t="s">
        <v>1176</v>
      </c>
      <c r="B495" s="1" t="s">
        <v>1177</v>
      </c>
      <c r="C495" s="1" t="s">
        <v>13</v>
      </c>
      <c r="D495" s="3">
        <v>45960.451843194445</v>
      </c>
      <c r="E495" s="1" t="s">
        <v>13</v>
      </c>
      <c r="F495" s="1" t="s">
        <v>52</v>
      </c>
      <c r="G495" s="1" t="s">
        <v>21</v>
      </c>
      <c r="H495" s="1" t="s">
        <v>468</v>
      </c>
      <c r="I495" s="1" t="s">
        <v>18</v>
      </c>
      <c r="J495" s="1" t="s">
        <v>16</v>
      </c>
      <c r="K495" s="1" t="s">
        <v>23</v>
      </c>
      <c r="L495" s="1" t="s">
        <v>13</v>
      </c>
      <c r="M495" s="1" t="s">
        <v>1163</v>
      </c>
      <c r="N495" s="1" t="str">
        <f t="shared" si="177"/>
        <v>SOPORTE</v>
      </c>
      <c r="O495" s="3">
        <f t="shared" si="178"/>
        <v>45960.451843194445</v>
      </c>
      <c r="P495" s="3" t="str">
        <f t="shared" si="179"/>
        <v/>
      </c>
      <c r="Q495" s="1" t="str">
        <f t="shared" si="180"/>
        <v>Externo</v>
      </c>
      <c r="R495" s="1">
        <f t="shared" si="181"/>
        <v>44</v>
      </c>
      <c r="S495" s="6">
        <f t="shared" si="182"/>
        <v>45957</v>
      </c>
      <c r="T495" s="1" t="e">
        <f t="shared" si="183"/>
        <v>#VALUE!</v>
      </c>
      <c r="U495" s="6" t="e">
        <f t="shared" si="184"/>
        <v>#VALUE!</v>
      </c>
      <c r="V495" s="1" t="e">
        <f t="shared" si="185"/>
        <v>#VALUE!</v>
      </c>
      <c r="W495" s="1">
        <f t="shared" si="186"/>
        <v>2025</v>
      </c>
      <c r="X495" s="1" t="e">
        <f t="shared" si="187"/>
        <v>#VALUE!</v>
      </c>
      <c r="Y495" s="1" t="str">
        <f t="shared" si="188"/>
        <v>2025-10</v>
      </c>
      <c r="Z495" s="1" t="e">
        <f t="shared" si="189"/>
        <v>#VALUE!</v>
      </c>
    </row>
    <row r="496" spans="1:26" x14ac:dyDescent="0.2">
      <c r="A496" s="1" t="s">
        <v>1178</v>
      </c>
      <c r="B496" s="1" t="s">
        <v>1179</v>
      </c>
      <c r="C496" s="1" t="s">
        <v>58</v>
      </c>
      <c r="D496" s="3">
        <v>45964.432035740741</v>
      </c>
      <c r="E496" s="3">
        <v>45964.435065104168</v>
      </c>
      <c r="F496" s="1" t="s">
        <v>52</v>
      </c>
      <c r="G496" s="1" t="s">
        <v>21</v>
      </c>
      <c r="H496" s="1" t="s">
        <v>484</v>
      </c>
      <c r="I496" s="1" t="s">
        <v>18</v>
      </c>
      <c r="J496" s="1" t="s">
        <v>16</v>
      </c>
      <c r="K496" s="1" t="s">
        <v>15</v>
      </c>
      <c r="L496" s="1" t="s">
        <v>13</v>
      </c>
      <c r="M496" s="1" t="s">
        <v>1163</v>
      </c>
      <c r="N496" s="1" t="str">
        <f t="shared" si="177"/>
        <v>SOPORTE</v>
      </c>
      <c r="O496" s="3">
        <f t="shared" si="178"/>
        <v>45964.432035740741</v>
      </c>
      <c r="P496" s="3">
        <f t="shared" si="179"/>
        <v>45964.435065104168</v>
      </c>
      <c r="Q496" s="1" t="str">
        <f t="shared" si="180"/>
        <v>Externo</v>
      </c>
      <c r="R496" s="1">
        <f t="shared" si="181"/>
        <v>45</v>
      </c>
      <c r="S496" s="6">
        <f t="shared" si="182"/>
        <v>45964</v>
      </c>
      <c r="T496" s="1">
        <f t="shared" si="183"/>
        <v>45</v>
      </c>
      <c r="U496" s="6">
        <f t="shared" si="184"/>
        <v>45964</v>
      </c>
      <c r="V496" s="1">
        <f t="shared" si="185"/>
        <v>3.0293634263216518E-3</v>
      </c>
      <c r="W496" s="1">
        <f t="shared" si="186"/>
        <v>2025</v>
      </c>
      <c r="X496" s="1">
        <f t="shared" si="187"/>
        <v>2025</v>
      </c>
      <c r="Y496" s="1" t="str">
        <f t="shared" si="188"/>
        <v>2025-11</v>
      </c>
      <c r="Z496" s="1" t="str">
        <f t="shared" si="189"/>
        <v>2025-11</v>
      </c>
    </row>
    <row r="497" spans="1:26" x14ac:dyDescent="0.2">
      <c r="A497" s="1" t="s">
        <v>1180</v>
      </c>
      <c r="B497" s="1" t="s">
        <v>1181</v>
      </c>
      <c r="C497" s="1" t="s">
        <v>13</v>
      </c>
      <c r="D497" s="3">
        <v>45964.437378622686</v>
      </c>
      <c r="E497" s="1" t="s">
        <v>13</v>
      </c>
      <c r="F497" s="1" t="s">
        <v>52</v>
      </c>
      <c r="G497" s="1" t="s">
        <v>21</v>
      </c>
      <c r="H497" s="1" t="s">
        <v>635</v>
      </c>
      <c r="I497" s="1" t="s">
        <v>18</v>
      </c>
      <c r="J497" s="1" t="s">
        <v>16</v>
      </c>
      <c r="K497" s="1" t="s">
        <v>934</v>
      </c>
      <c r="L497" s="1" t="s">
        <v>13</v>
      </c>
      <c r="M497" s="1" t="s">
        <v>1163</v>
      </c>
      <c r="N497" s="1" t="str">
        <f t="shared" si="177"/>
        <v>SOPORTE</v>
      </c>
      <c r="O497" s="3">
        <f t="shared" si="178"/>
        <v>45964.437378622686</v>
      </c>
      <c r="P497" s="3" t="str">
        <f t="shared" si="179"/>
        <v/>
      </c>
      <c r="Q497" s="1" t="str">
        <f t="shared" si="180"/>
        <v>Externo</v>
      </c>
      <c r="R497" s="1">
        <f t="shared" si="181"/>
        <v>45</v>
      </c>
      <c r="S497" s="6">
        <f t="shared" si="182"/>
        <v>45964</v>
      </c>
      <c r="T497" s="1" t="e">
        <f t="shared" si="183"/>
        <v>#VALUE!</v>
      </c>
      <c r="U497" s="6" t="e">
        <f t="shared" si="184"/>
        <v>#VALUE!</v>
      </c>
      <c r="V497" s="1" t="e">
        <f t="shared" si="185"/>
        <v>#VALUE!</v>
      </c>
      <c r="W497" s="1">
        <f t="shared" si="186"/>
        <v>2025</v>
      </c>
      <c r="X497" s="1" t="e">
        <f t="shared" si="187"/>
        <v>#VALUE!</v>
      </c>
      <c r="Y497" s="1" t="str">
        <f t="shared" si="188"/>
        <v>2025-11</v>
      </c>
      <c r="Z497" s="1" t="e">
        <f t="shared" si="189"/>
        <v>#VALUE!</v>
      </c>
    </row>
  </sheetData>
  <autoFilter ref="A1:Q497" xr:uid="{00000000-0001-0000-0000-000000000000}"/>
  <hyperlinks>
    <hyperlink ref="A2" r:id="rId1" display="ESPC360-12632" xr:uid="{00000000-0004-0000-0100-000000000000}"/>
    <hyperlink ref="A3" r:id="rId2" display="ESPC360-13131" xr:uid="{00000000-0004-0000-0100-000001000000}"/>
    <hyperlink ref="A4" r:id="rId3" display="ESPC360-13309" xr:uid="{00000000-0004-0000-0100-000002000000}"/>
    <hyperlink ref="A5" r:id="rId4" display="ESPC360-13363" xr:uid="{00000000-0004-0000-0100-000003000000}"/>
    <hyperlink ref="A6" r:id="rId5" display="ESPC360-13375" xr:uid="{00000000-0004-0000-0100-000004000000}"/>
    <hyperlink ref="A7" r:id="rId6" display="ESPC360-13377" xr:uid="{00000000-0004-0000-0100-000005000000}"/>
    <hyperlink ref="A8" r:id="rId7" display="ESPC360-13482" xr:uid="{00000000-0004-0000-0100-000006000000}"/>
    <hyperlink ref="A9" r:id="rId8" display="ESPC360-13540" xr:uid="{00000000-0004-0000-0100-000007000000}"/>
    <hyperlink ref="A10" r:id="rId9" display="ESPC360-13557" xr:uid="{00000000-0004-0000-0100-000008000000}"/>
    <hyperlink ref="A11" r:id="rId10" display="ESPC360-13803" xr:uid="{00000000-0004-0000-0100-000009000000}"/>
    <hyperlink ref="A12" r:id="rId11" display="ESPC360-13804" xr:uid="{00000000-0004-0000-0100-00000A000000}"/>
    <hyperlink ref="A13" r:id="rId12" display="ESPC360-13805" xr:uid="{00000000-0004-0000-0100-00000B000000}"/>
    <hyperlink ref="A14" r:id="rId13" display="ESPC360-13825" xr:uid="{00000000-0004-0000-0100-00000C000000}"/>
    <hyperlink ref="A15" r:id="rId14" display="ESPC360-13831" xr:uid="{00000000-0004-0000-0100-00000D000000}"/>
    <hyperlink ref="A16" r:id="rId15" display="ESPC360-13965" xr:uid="{00000000-0004-0000-0100-00000E000000}"/>
    <hyperlink ref="A17" r:id="rId16" display="ESPC360-14082" xr:uid="{00000000-0004-0000-0100-00000F000000}"/>
    <hyperlink ref="A18" r:id="rId17" display="ESPC360-14089" xr:uid="{00000000-0004-0000-0100-000010000000}"/>
    <hyperlink ref="A19" r:id="rId18" display="ESPC360-14097" xr:uid="{00000000-0004-0000-0100-000011000000}"/>
    <hyperlink ref="A20" r:id="rId19" display="ESPC360-14103" xr:uid="{00000000-0004-0000-0100-000012000000}"/>
    <hyperlink ref="A21" r:id="rId20" display="ESPC360-14106" xr:uid="{00000000-0004-0000-0100-000013000000}"/>
    <hyperlink ref="A22" r:id="rId21" display="ESPC360-14124" xr:uid="{00000000-0004-0000-0100-000014000000}"/>
    <hyperlink ref="A23" r:id="rId22" display="ESPC360-14158" xr:uid="{00000000-0004-0000-0100-000015000000}"/>
    <hyperlink ref="A24" r:id="rId23" display="ESPC360-14160" xr:uid="{00000000-0004-0000-0100-000016000000}"/>
    <hyperlink ref="A25" r:id="rId24" display="ESPC360-14172" xr:uid="{00000000-0004-0000-0100-000017000000}"/>
    <hyperlink ref="A26" r:id="rId25" display="ESPC360-14862" xr:uid="{00000000-0004-0000-0100-000018000000}"/>
    <hyperlink ref="A27" r:id="rId26" display="ESPC360-14863" xr:uid="{00000000-0004-0000-0100-000019000000}"/>
    <hyperlink ref="A28" r:id="rId27" display="ESPC360-14883" xr:uid="{00000000-0004-0000-0100-00001A000000}"/>
    <hyperlink ref="A29" r:id="rId28" display="ESPC360-14884" xr:uid="{00000000-0004-0000-0100-00001B000000}"/>
    <hyperlink ref="A30" r:id="rId29" display="ESPC360-15046" xr:uid="{00000000-0004-0000-0100-00001C000000}"/>
    <hyperlink ref="A31" r:id="rId30" display="ESPC360-15069" xr:uid="{00000000-0004-0000-0100-00001D000000}"/>
    <hyperlink ref="A32" r:id="rId31" display="ESPC360-15408" xr:uid="{00000000-0004-0000-0100-00001E000000}"/>
    <hyperlink ref="A33" r:id="rId32" display="ESPC360-15447" xr:uid="{00000000-0004-0000-0100-00001F000000}"/>
    <hyperlink ref="A34" r:id="rId33" display="ESPC360-15628" xr:uid="{00000000-0004-0000-0100-000020000000}"/>
    <hyperlink ref="A35" r:id="rId34" display="ESPC360-15697" xr:uid="{00000000-0004-0000-0100-000021000000}"/>
    <hyperlink ref="A36" r:id="rId35" display="ESPC360-15716" xr:uid="{00000000-0004-0000-0100-000022000000}"/>
    <hyperlink ref="A37" r:id="rId36" display="ESPC360-15961" xr:uid="{00000000-0004-0000-0100-000023000000}"/>
    <hyperlink ref="A38" r:id="rId37" display="ESPC360-16140" xr:uid="{00000000-0004-0000-0100-000024000000}"/>
    <hyperlink ref="A39" r:id="rId38" display="ESPC360-16141" xr:uid="{00000000-0004-0000-0100-000025000000}"/>
    <hyperlink ref="A40" r:id="rId39" display="ESPC360-16142" xr:uid="{00000000-0004-0000-0100-000026000000}"/>
    <hyperlink ref="A41" r:id="rId40" display="ESPC360-16143" xr:uid="{00000000-0004-0000-0100-000027000000}"/>
    <hyperlink ref="A42" r:id="rId41" display="ESPC360-16144" xr:uid="{00000000-0004-0000-0100-000028000000}"/>
    <hyperlink ref="A43" r:id="rId42" display="ESPC360-16145" xr:uid="{00000000-0004-0000-0100-000029000000}"/>
    <hyperlink ref="A44" r:id="rId43" display="ESPC360-16211" xr:uid="{00000000-0004-0000-0100-00002A000000}"/>
    <hyperlink ref="A45" r:id="rId44" display="ESPC360-16216" xr:uid="{00000000-0004-0000-0100-00002B000000}"/>
    <hyperlink ref="A46" r:id="rId45" display="ESPC360-16227" xr:uid="{00000000-0004-0000-0100-00002C000000}"/>
    <hyperlink ref="A47" r:id="rId46" display="ESPC360-16493" xr:uid="{00000000-0004-0000-0100-00002D000000}"/>
    <hyperlink ref="A48" r:id="rId47" display="ESPC360-16515" xr:uid="{00000000-0004-0000-0100-00002E000000}"/>
    <hyperlink ref="A49" r:id="rId48" display="ESPC360-16536" xr:uid="{00000000-0004-0000-0100-00002F000000}"/>
    <hyperlink ref="A50" r:id="rId49" display="ESPC360-16537" xr:uid="{00000000-0004-0000-0100-000030000000}"/>
    <hyperlink ref="A51" r:id="rId50" display="ESPC360-16551" xr:uid="{00000000-0004-0000-0100-000031000000}"/>
    <hyperlink ref="A52" r:id="rId51" display="ESPC360-16682" xr:uid="{00000000-0004-0000-0100-000032000000}"/>
    <hyperlink ref="A53" r:id="rId52" display="ESPC360-16702" xr:uid="{00000000-0004-0000-0100-000033000000}"/>
    <hyperlink ref="A54" r:id="rId53" display="ESPC360-16711" xr:uid="{00000000-0004-0000-0100-000034000000}"/>
    <hyperlink ref="A55" r:id="rId54" display="ESPC360-16758" xr:uid="{00000000-0004-0000-0100-000035000000}"/>
    <hyperlink ref="A56" r:id="rId55" display="ESPC360-16766" xr:uid="{00000000-0004-0000-0100-000036000000}"/>
    <hyperlink ref="A57" r:id="rId56" display="ESPC360-16875" xr:uid="{00000000-0004-0000-0100-000037000000}"/>
    <hyperlink ref="A58" r:id="rId57" display="ESPC360-16919" xr:uid="{00000000-0004-0000-0100-000038000000}"/>
    <hyperlink ref="A59" r:id="rId58" display="ESPC360-16920" xr:uid="{00000000-0004-0000-0100-000039000000}"/>
    <hyperlink ref="A60" r:id="rId59" display="ESPC360-16935" xr:uid="{00000000-0004-0000-0100-00003A000000}"/>
    <hyperlink ref="A61" r:id="rId60" display="ESPC360-16969" xr:uid="{00000000-0004-0000-0100-00003B000000}"/>
    <hyperlink ref="A62" r:id="rId61" display="ESPC360-17089" xr:uid="{00000000-0004-0000-0100-00003C000000}"/>
    <hyperlink ref="A63" r:id="rId62" display="ESPC360-17101" xr:uid="{00000000-0004-0000-0100-00003D000000}"/>
    <hyperlink ref="A64" r:id="rId63" display="ESPC360-17102" xr:uid="{00000000-0004-0000-0100-00003E000000}"/>
    <hyperlink ref="A65" r:id="rId64" display="ESPC360-17171" xr:uid="{00000000-0004-0000-0100-00003F000000}"/>
    <hyperlink ref="A66" r:id="rId65" display="ESPC360-17172" xr:uid="{00000000-0004-0000-0100-000040000000}"/>
    <hyperlink ref="A67" r:id="rId66" display="ESPC360-17303" xr:uid="{00000000-0004-0000-0100-000041000000}"/>
    <hyperlink ref="A68" r:id="rId67" display="ESPC360-17351" xr:uid="{00000000-0004-0000-0100-000042000000}"/>
    <hyperlink ref="A69" r:id="rId68" display="ESPC360-17352" xr:uid="{00000000-0004-0000-0100-000043000000}"/>
    <hyperlink ref="A70" r:id="rId69" display="ESPC360-17355" xr:uid="{00000000-0004-0000-0100-000044000000}"/>
    <hyperlink ref="A71" r:id="rId70" display="ESPC360-17366" xr:uid="{00000000-0004-0000-0100-000045000000}"/>
    <hyperlink ref="A72" r:id="rId71" display="ESPC360-17383" xr:uid="{00000000-0004-0000-0100-000046000000}"/>
    <hyperlink ref="A73" r:id="rId72" display="ESPC360-17544" xr:uid="{00000000-0004-0000-0100-000047000000}"/>
    <hyperlink ref="A74" r:id="rId73" display="ESPC360-17563" xr:uid="{00000000-0004-0000-0100-000048000000}"/>
    <hyperlink ref="A75" r:id="rId74" display="ESPC360-17564" xr:uid="{00000000-0004-0000-0100-000049000000}"/>
    <hyperlink ref="A76" r:id="rId75" display="ESPC360-17657" xr:uid="{00000000-0004-0000-0100-00004A000000}"/>
    <hyperlink ref="A77" r:id="rId76" display="ESPC360-17710" xr:uid="{00000000-0004-0000-0100-00004B000000}"/>
    <hyperlink ref="A78" r:id="rId77" display="ESPC360-17777" xr:uid="{00000000-0004-0000-0100-00004C000000}"/>
    <hyperlink ref="A79" r:id="rId78" display="ESPC360-17793" xr:uid="{00000000-0004-0000-0100-00004D000000}"/>
    <hyperlink ref="A80" r:id="rId79" display="ESPC360-17798" xr:uid="{00000000-0004-0000-0100-00004E000000}"/>
    <hyperlink ref="A81" r:id="rId80" display="ESPC360-17811" xr:uid="{00000000-0004-0000-0100-00004F000000}"/>
    <hyperlink ref="A82" r:id="rId81" display="ESPC360-17812" xr:uid="{00000000-0004-0000-0100-000050000000}"/>
    <hyperlink ref="A83" r:id="rId82" display="ESPC360-17819" xr:uid="{00000000-0004-0000-0100-000051000000}"/>
    <hyperlink ref="A84" r:id="rId83" display="ESPC360-18007" xr:uid="{00000000-0004-0000-0100-000052000000}"/>
    <hyperlink ref="A85" r:id="rId84" display="ESPC360-18024" xr:uid="{00000000-0004-0000-0100-000053000000}"/>
    <hyperlink ref="A86" r:id="rId85" display="ESPC360-18047" xr:uid="{00000000-0004-0000-0100-000054000000}"/>
    <hyperlink ref="A87" r:id="rId86" display="ESPC360-18145" xr:uid="{00000000-0004-0000-0100-000055000000}"/>
    <hyperlink ref="A88" r:id="rId87" display="ESPC360-18156" xr:uid="{00000000-0004-0000-0100-000056000000}"/>
    <hyperlink ref="A89" r:id="rId88" display="ESPC360-18174" xr:uid="{00000000-0004-0000-0100-000057000000}"/>
    <hyperlink ref="A90" r:id="rId89" display="ESPC360-18188" xr:uid="{00000000-0004-0000-0100-000058000000}"/>
    <hyperlink ref="A91" r:id="rId90" display="ESPC360-18189" xr:uid="{00000000-0004-0000-0100-000059000000}"/>
    <hyperlink ref="A92" r:id="rId91" display="ESPC360-18332" xr:uid="{00000000-0004-0000-0100-00005A000000}"/>
    <hyperlink ref="A93" r:id="rId92" display="ESPC360-18400" xr:uid="{00000000-0004-0000-0100-00005B000000}"/>
    <hyperlink ref="A94" r:id="rId93" display="ESPC360-18649" xr:uid="{00000000-0004-0000-0100-00005C000000}"/>
    <hyperlink ref="A95" r:id="rId94" display="ESPC360-18758" xr:uid="{00000000-0004-0000-0100-00005D000000}"/>
    <hyperlink ref="A96" r:id="rId95" display="ESPC360-18788" xr:uid="{00000000-0004-0000-0100-00005E000000}"/>
    <hyperlink ref="A97" r:id="rId96" display="ESPC360-18789" xr:uid="{00000000-0004-0000-0100-00005F000000}"/>
    <hyperlink ref="A98" r:id="rId97" display="ESPC360-18794" xr:uid="{00000000-0004-0000-0100-000060000000}"/>
    <hyperlink ref="A99" r:id="rId98" display="ESPC360-18798" xr:uid="{00000000-0004-0000-0100-000061000000}"/>
    <hyperlink ref="A100" r:id="rId99" display="ESPC360-18811" xr:uid="{00000000-0004-0000-0100-000062000000}"/>
    <hyperlink ref="A101" r:id="rId100" display="ESPC360-18815" xr:uid="{00000000-0004-0000-0100-000063000000}"/>
    <hyperlink ref="A102" r:id="rId101" display="ESPC360-18816" xr:uid="{00000000-0004-0000-0100-000064000000}"/>
    <hyperlink ref="A103" r:id="rId102" display="ESPC360-18818" xr:uid="{00000000-0004-0000-0100-000065000000}"/>
    <hyperlink ref="A104" r:id="rId103" display="ESPC360-18942" xr:uid="{00000000-0004-0000-0100-000066000000}"/>
    <hyperlink ref="A105" r:id="rId104" display="ESPC360-18948" xr:uid="{00000000-0004-0000-0100-000067000000}"/>
    <hyperlink ref="A106" r:id="rId105" display="ESPC360-18951" xr:uid="{00000000-0004-0000-0100-000068000000}"/>
    <hyperlink ref="A107" r:id="rId106" display="ESPC360-18962" xr:uid="{00000000-0004-0000-0100-000069000000}"/>
    <hyperlink ref="A108" r:id="rId107" display="ESPC360-19124" xr:uid="{00000000-0004-0000-0100-00006A000000}"/>
    <hyperlink ref="A109" r:id="rId108" display="ESPC360-19132" xr:uid="{00000000-0004-0000-0100-00006B000000}"/>
    <hyperlink ref="A110" r:id="rId109" display="ESPC360-19136" xr:uid="{00000000-0004-0000-0100-00006C000000}"/>
    <hyperlink ref="A111" r:id="rId110" display="ESPC360-19137" xr:uid="{00000000-0004-0000-0100-00006D000000}"/>
    <hyperlink ref="A112" r:id="rId111" display="ESPC360-19143" xr:uid="{00000000-0004-0000-0100-00006E000000}"/>
    <hyperlink ref="A113" r:id="rId112" display="ESPC360-19155" xr:uid="{00000000-0004-0000-0100-00006F000000}"/>
    <hyperlink ref="A114" r:id="rId113" display="ESPC360-19305" xr:uid="{00000000-0004-0000-0100-000070000000}"/>
    <hyperlink ref="A115" r:id="rId114" display="ESPC360-19358" xr:uid="{00000000-0004-0000-0100-000071000000}"/>
    <hyperlink ref="A116" r:id="rId115" display="ESPC360-19367" xr:uid="{00000000-0004-0000-0100-000072000000}"/>
    <hyperlink ref="A117" r:id="rId116" display="ESPC360-19368" xr:uid="{00000000-0004-0000-0100-000073000000}"/>
    <hyperlink ref="A118" r:id="rId117" display="ESPC360-19375" xr:uid="{00000000-0004-0000-0100-000074000000}"/>
    <hyperlink ref="A119" r:id="rId118" display="ESPC360-19376" xr:uid="{00000000-0004-0000-0100-000075000000}"/>
    <hyperlink ref="A120" r:id="rId119" display="ESPC360-19394" xr:uid="{00000000-0004-0000-0100-000076000000}"/>
    <hyperlink ref="A121" r:id="rId120" display="ESPC360-19500" xr:uid="{00000000-0004-0000-0100-000077000000}"/>
    <hyperlink ref="A122" r:id="rId121" display="ESPC360-19525" xr:uid="{00000000-0004-0000-0100-000078000000}"/>
    <hyperlink ref="A123" r:id="rId122" display="ESPC360-19534" xr:uid="{00000000-0004-0000-0100-000079000000}"/>
    <hyperlink ref="A124" r:id="rId123" display="ESPC360-19557" xr:uid="{00000000-0004-0000-0100-00007A000000}"/>
    <hyperlink ref="A125" r:id="rId124" display="ESPC360-19558" xr:uid="{00000000-0004-0000-0100-00007B000000}"/>
    <hyperlink ref="A126" r:id="rId125" display="ESPC360-19765" xr:uid="{00000000-0004-0000-0100-00007C000000}"/>
    <hyperlink ref="A127" r:id="rId126" display="ESPC360-19825" xr:uid="{00000000-0004-0000-0100-00007D000000}"/>
    <hyperlink ref="A128" r:id="rId127" display="ESPC360-19892" xr:uid="{00000000-0004-0000-0100-00007E000000}"/>
    <hyperlink ref="A129" r:id="rId128" display="ESPC360-19924" xr:uid="{00000000-0004-0000-0100-00007F000000}"/>
    <hyperlink ref="A130" r:id="rId129" display="ESPC360-19925" xr:uid="{00000000-0004-0000-0100-000080000000}"/>
    <hyperlink ref="A131" r:id="rId130" display="ESPC360-19926" xr:uid="{00000000-0004-0000-0100-000081000000}"/>
    <hyperlink ref="A132" r:id="rId131" display="ESPC360-20026" xr:uid="{00000000-0004-0000-0100-000082000000}"/>
    <hyperlink ref="A133" r:id="rId132" display="ESPC360-20082" xr:uid="{00000000-0004-0000-0100-000083000000}"/>
    <hyperlink ref="A134" r:id="rId133" display="ESPC360-20164" xr:uid="{00000000-0004-0000-0100-000084000000}"/>
    <hyperlink ref="A135" r:id="rId134" display="ESPC360-20165" xr:uid="{00000000-0004-0000-0100-000085000000}"/>
    <hyperlink ref="A136" r:id="rId135" display="ESPC360-20167" xr:uid="{00000000-0004-0000-0100-000086000000}"/>
    <hyperlink ref="A137" r:id="rId136" display="ESPC360-20168" xr:uid="{00000000-0004-0000-0100-000087000000}"/>
    <hyperlink ref="A138" r:id="rId137" display="ESPC360-20185" xr:uid="{00000000-0004-0000-0100-000088000000}"/>
    <hyperlink ref="A139" r:id="rId138" display="ESPC360-20190" xr:uid="{00000000-0004-0000-0100-000089000000}"/>
    <hyperlink ref="A140" r:id="rId139" display="ESPC360-20328" xr:uid="{00000000-0004-0000-0100-00008A000000}"/>
    <hyperlink ref="A141" r:id="rId140" display="ESPC360-20329" xr:uid="{00000000-0004-0000-0100-00008B000000}"/>
    <hyperlink ref="A142" r:id="rId141" display="ESPC360-20474" xr:uid="{00000000-0004-0000-0100-00008C000000}"/>
    <hyperlink ref="A143" r:id="rId142" display="ESPC360-20476" xr:uid="{00000000-0004-0000-0100-00008D000000}"/>
    <hyperlink ref="A144" r:id="rId143" display="ESPC360-20526" xr:uid="{00000000-0004-0000-0100-00008E000000}"/>
    <hyperlink ref="A145" r:id="rId144" display="ESPC360-20616" xr:uid="{00000000-0004-0000-0100-00008F000000}"/>
    <hyperlink ref="A146" r:id="rId145" display="ESPC360-20639" xr:uid="{00000000-0004-0000-0100-000090000000}"/>
    <hyperlink ref="A147" r:id="rId146" display="ESPC360-20640" xr:uid="{00000000-0004-0000-0100-000091000000}"/>
    <hyperlink ref="A148" r:id="rId147" display="ESPC360-20642" xr:uid="{00000000-0004-0000-0100-000092000000}"/>
    <hyperlink ref="A149" r:id="rId148" display="ESPC360-20754" xr:uid="{00000000-0004-0000-0100-000093000000}"/>
    <hyperlink ref="A150" r:id="rId149" display="ESPC360-20809" xr:uid="{00000000-0004-0000-0100-000094000000}"/>
    <hyperlink ref="A151" r:id="rId150" display="ESPC360-20867" xr:uid="{00000000-0004-0000-0100-000095000000}"/>
    <hyperlink ref="A152" r:id="rId151" display="ESPC360-20873" xr:uid="{00000000-0004-0000-0100-000096000000}"/>
    <hyperlink ref="A153" r:id="rId152" display="ESPC360-20875" xr:uid="{00000000-0004-0000-0100-000097000000}"/>
    <hyperlink ref="A154" r:id="rId153" display="ESPC360-20876" xr:uid="{00000000-0004-0000-0100-000098000000}"/>
    <hyperlink ref="A155" r:id="rId154" display="ESPC360-20914" xr:uid="{00000000-0004-0000-0100-000099000000}"/>
    <hyperlink ref="A156" r:id="rId155" display="ESPC360-20930" xr:uid="{00000000-0004-0000-0100-00009A000000}"/>
    <hyperlink ref="A157" r:id="rId156" display="ESPC360-20931" xr:uid="{00000000-0004-0000-0100-00009B000000}"/>
    <hyperlink ref="A158" r:id="rId157" display="ESPC360-21027" xr:uid="{00000000-0004-0000-0100-00009C000000}"/>
    <hyperlink ref="A159" r:id="rId158" display="ESPC360-21051" xr:uid="{00000000-0004-0000-0100-00009D000000}"/>
    <hyperlink ref="A160" r:id="rId159" display="ESPC360-21068" xr:uid="{00000000-0004-0000-0100-00009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B2DA-D28E-43B9-BB39-B34D58312012}">
  <dimension ref="A2:V127"/>
  <sheetViews>
    <sheetView topLeftCell="C73" zoomScale="70" zoomScaleNormal="70" workbookViewId="0">
      <selection activeCell="L51" sqref="K4:L51"/>
    </sheetView>
  </sheetViews>
  <sheetFormatPr baseColWidth="10" defaultRowHeight="15" x14ac:dyDescent="0.25"/>
  <cols>
    <col min="1" max="1" width="18.7109375" bestFit="1" customWidth="1"/>
    <col min="2" max="2" width="23.7109375" bestFit="1" customWidth="1"/>
    <col min="3" max="3" width="7.85546875" bestFit="1" customWidth="1"/>
    <col min="4" max="4" width="18.5703125" bestFit="1" customWidth="1"/>
    <col min="5" max="5" width="11" bestFit="1" customWidth="1"/>
    <col min="6" max="6" width="12.7109375" bestFit="1" customWidth="1"/>
    <col min="7" max="7" width="16.7109375" bestFit="1" customWidth="1"/>
    <col min="8" max="8" width="19.5703125" customWidth="1"/>
    <col min="9" max="9" width="11.85546875" bestFit="1" customWidth="1"/>
    <col min="14" max="14" width="16.85546875" customWidth="1"/>
    <col min="15" max="15" width="23" bestFit="1" customWidth="1"/>
    <col min="16" max="16" width="22.7109375" bestFit="1" customWidth="1"/>
    <col min="17" max="17" width="23.28515625" bestFit="1" customWidth="1"/>
    <col min="18" max="18" width="23" bestFit="1" customWidth="1"/>
  </cols>
  <sheetData>
    <row r="2" spans="1:22" ht="15.75" thickBot="1" x14ac:dyDescent="0.3">
      <c r="A2" s="7" t="s">
        <v>41</v>
      </c>
      <c r="B2" s="7" t="s">
        <v>38</v>
      </c>
    </row>
    <row r="3" spans="1:22" x14ac:dyDescent="0.25">
      <c r="A3" s="7" t="s">
        <v>36</v>
      </c>
      <c r="B3" t="s">
        <v>39</v>
      </c>
      <c r="C3" t="s">
        <v>40</v>
      </c>
      <c r="D3" t="s">
        <v>1129</v>
      </c>
      <c r="E3" t="s">
        <v>942</v>
      </c>
      <c r="F3" t="s">
        <v>37</v>
      </c>
      <c r="H3" s="21" t="s">
        <v>42</v>
      </c>
      <c r="I3" s="14" t="s">
        <v>44</v>
      </c>
      <c r="J3" s="11" t="s">
        <v>43</v>
      </c>
      <c r="K3" s="15" t="s">
        <v>967</v>
      </c>
      <c r="L3" s="16" t="s">
        <v>45</v>
      </c>
      <c r="M3" s="17" t="s">
        <v>46</v>
      </c>
      <c r="N3" s="18" t="s">
        <v>47</v>
      </c>
      <c r="O3" s="19" t="s">
        <v>968</v>
      </c>
      <c r="P3" s="20" t="s">
        <v>969</v>
      </c>
      <c r="Q3" s="19" t="s">
        <v>49</v>
      </c>
      <c r="R3" s="20" t="s">
        <v>48</v>
      </c>
    </row>
    <row r="4" spans="1:22" x14ac:dyDescent="0.25">
      <c r="A4" s="8">
        <v>45670</v>
      </c>
      <c r="B4" s="29">
        <v>6</v>
      </c>
      <c r="C4" s="29">
        <v>9</v>
      </c>
      <c r="D4" s="29"/>
      <c r="E4" s="29"/>
      <c r="F4" s="29">
        <v>15</v>
      </c>
      <c r="H4" s="22">
        <v>45663</v>
      </c>
      <c r="I4" s="24">
        <v>6</v>
      </c>
      <c r="J4" s="12">
        <v>19</v>
      </c>
      <c r="K4" s="24">
        <v>4</v>
      </c>
      <c r="L4" s="12">
        <v>3</v>
      </c>
      <c r="M4" s="24">
        <f>I4+J4</f>
        <v>25</v>
      </c>
      <c r="N4" s="12">
        <f>K4+L4</f>
        <v>7</v>
      </c>
      <c r="O4" s="24">
        <f>I4</f>
        <v>6</v>
      </c>
      <c r="P4" s="12">
        <f>J4</f>
        <v>19</v>
      </c>
      <c r="Q4" s="24">
        <f>K4</f>
        <v>4</v>
      </c>
      <c r="R4" s="12">
        <f>L4</f>
        <v>3</v>
      </c>
      <c r="V4" s="10"/>
    </row>
    <row r="5" spans="1:22" x14ac:dyDescent="0.25">
      <c r="A5" s="8">
        <v>45677</v>
      </c>
      <c r="B5" s="29">
        <v>4</v>
      </c>
      <c r="C5" s="29">
        <v>3</v>
      </c>
      <c r="D5" s="29"/>
      <c r="E5" s="29"/>
      <c r="F5" s="29">
        <v>7</v>
      </c>
      <c r="H5" s="22">
        <v>45670</v>
      </c>
      <c r="I5" s="24">
        <v>7</v>
      </c>
      <c r="J5" s="12">
        <v>3</v>
      </c>
      <c r="K5" s="24">
        <v>6</v>
      </c>
      <c r="L5" s="12">
        <v>9</v>
      </c>
      <c r="M5" s="24">
        <f t="shared" ref="M5:M45" si="0">I5+J5</f>
        <v>10</v>
      </c>
      <c r="N5" s="12">
        <f t="shared" ref="N5:N46" si="1">K5+L5</f>
        <v>15</v>
      </c>
      <c r="O5" s="24">
        <f t="shared" ref="O5:R7" si="2">O4+I5</f>
        <v>13</v>
      </c>
      <c r="P5" s="12">
        <f t="shared" si="2"/>
        <v>22</v>
      </c>
      <c r="Q5" s="24">
        <f t="shared" si="2"/>
        <v>10</v>
      </c>
      <c r="R5" s="12">
        <f t="shared" si="2"/>
        <v>12</v>
      </c>
      <c r="V5" s="10"/>
    </row>
    <row r="6" spans="1:22" x14ac:dyDescent="0.25">
      <c r="A6" s="8">
        <v>45684</v>
      </c>
      <c r="B6" s="29">
        <v>7</v>
      </c>
      <c r="C6" s="29">
        <v>3</v>
      </c>
      <c r="D6" s="29"/>
      <c r="E6" s="29"/>
      <c r="F6" s="29">
        <v>10</v>
      </c>
      <c r="H6" s="22">
        <v>45677</v>
      </c>
      <c r="I6" s="24">
        <v>6</v>
      </c>
      <c r="J6" s="12">
        <v>4</v>
      </c>
      <c r="K6" s="24">
        <v>4</v>
      </c>
      <c r="L6" s="12">
        <v>3</v>
      </c>
      <c r="M6" s="24">
        <f t="shared" si="0"/>
        <v>10</v>
      </c>
      <c r="N6" s="12">
        <f t="shared" si="1"/>
        <v>7</v>
      </c>
      <c r="O6" s="24">
        <f t="shared" si="2"/>
        <v>19</v>
      </c>
      <c r="P6" s="12">
        <f t="shared" si="2"/>
        <v>26</v>
      </c>
      <c r="Q6" s="24">
        <f t="shared" si="2"/>
        <v>14</v>
      </c>
      <c r="R6" s="12">
        <f t="shared" si="2"/>
        <v>15</v>
      </c>
      <c r="V6" s="10"/>
    </row>
    <row r="7" spans="1:22" x14ac:dyDescent="0.25">
      <c r="A7" s="8">
        <v>45698</v>
      </c>
      <c r="B7" s="29">
        <v>2</v>
      </c>
      <c r="C7" s="29"/>
      <c r="D7" s="29"/>
      <c r="E7" s="29"/>
      <c r="F7" s="29">
        <v>2</v>
      </c>
      <c r="H7" s="22">
        <v>45684</v>
      </c>
      <c r="I7" s="24">
        <v>6</v>
      </c>
      <c r="J7" s="12">
        <v>1</v>
      </c>
      <c r="K7" s="24">
        <v>7</v>
      </c>
      <c r="L7" s="12">
        <v>3</v>
      </c>
      <c r="M7" s="24">
        <f t="shared" si="0"/>
        <v>7</v>
      </c>
      <c r="N7" s="12">
        <f t="shared" si="1"/>
        <v>10</v>
      </c>
      <c r="O7" s="24">
        <f t="shared" si="2"/>
        <v>25</v>
      </c>
      <c r="P7" s="12">
        <f t="shared" si="2"/>
        <v>27</v>
      </c>
      <c r="Q7" s="24">
        <f t="shared" si="2"/>
        <v>21</v>
      </c>
      <c r="R7" s="12">
        <f t="shared" si="2"/>
        <v>18</v>
      </c>
      <c r="V7" s="10"/>
    </row>
    <row r="8" spans="1:22" x14ac:dyDescent="0.25">
      <c r="A8" s="8">
        <v>45705</v>
      </c>
      <c r="B8" s="29">
        <v>9</v>
      </c>
      <c r="C8" s="29">
        <v>4</v>
      </c>
      <c r="D8" s="29"/>
      <c r="E8" s="29"/>
      <c r="F8" s="29">
        <v>13</v>
      </c>
      <c r="H8" s="22">
        <v>45691</v>
      </c>
      <c r="I8" s="24">
        <v>6</v>
      </c>
      <c r="J8" s="12">
        <v>6</v>
      </c>
      <c r="K8" s="24">
        <v>6</v>
      </c>
      <c r="L8" s="12">
        <v>1</v>
      </c>
      <c r="M8" s="24">
        <f t="shared" si="0"/>
        <v>12</v>
      </c>
      <c r="N8" s="12">
        <f t="shared" si="1"/>
        <v>7</v>
      </c>
      <c r="O8" s="24">
        <f t="shared" ref="O8:O46" si="3">O7+I8</f>
        <v>31</v>
      </c>
      <c r="P8" s="12">
        <f t="shared" ref="P8:P46" si="4">P7+J8</f>
        <v>33</v>
      </c>
      <c r="Q8" s="24">
        <f t="shared" ref="Q8:Q46" si="5">Q7+K8</f>
        <v>27</v>
      </c>
      <c r="R8" s="12">
        <f t="shared" ref="R8:R46" si="6">R7+L8</f>
        <v>19</v>
      </c>
      <c r="V8" s="10"/>
    </row>
    <row r="9" spans="1:22" x14ac:dyDescent="0.25">
      <c r="A9" s="8">
        <v>45712</v>
      </c>
      <c r="B9" s="29">
        <v>7</v>
      </c>
      <c r="C9" s="29">
        <v>1</v>
      </c>
      <c r="D9" s="29"/>
      <c r="E9" s="29"/>
      <c r="F9" s="29">
        <v>8</v>
      </c>
      <c r="H9" s="22">
        <v>45698</v>
      </c>
      <c r="I9" s="24">
        <v>5</v>
      </c>
      <c r="J9" s="12">
        <v>8</v>
      </c>
      <c r="K9" s="24">
        <v>2</v>
      </c>
      <c r="L9" s="12"/>
      <c r="M9" s="24">
        <f t="shared" si="0"/>
        <v>13</v>
      </c>
      <c r="N9" s="12">
        <f t="shared" si="1"/>
        <v>2</v>
      </c>
      <c r="O9" s="24">
        <f t="shared" si="3"/>
        <v>36</v>
      </c>
      <c r="P9" s="12">
        <f t="shared" si="4"/>
        <v>41</v>
      </c>
      <c r="Q9" s="24">
        <f t="shared" si="5"/>
        <v>29</v>
      </c>
      <c r="R9" s="12">
        <f t="shared" si="6"/>
        <v>19</v>
      </c>
      <c r="V9" s="10"/>
    </row>
    <row r="10" spans="1:22" x14ac:dyDescent="0.25">
      <c r="A10" s="8">
        <v>45719</v>
      </c>
      <c r="B10" s="29">
        <v>8</v>
      </c>
      <c r="C10" s="29">
        <v>8</v>
      </c>
      <c r="D10" s="29"/>
      <c r="E10" s="29"/>
      <c r="F10" s="29">
        <v>16</v>
      </c>
      <c r="H10" s="22">
        <v>45705</v>
      </c>
      <c r="I10" s="24">
        <v>8</v>
      </c>
      <c r="J10" s="12">
        <v>1</v>
      </c>
      <c r="K10" s="24">
        <v>9</v>
      </c>
      <c r="L10" s="12">
        <v>4</v>
      </c>
      <c r="M10" s="24">
        <f t="shared" si="0"/>
        <v>9</v>
      </c>
      <c r="N10" s="12">
        <f t="shared" si="1"/>
        <v>13</v>
      </c>
      <c r="O10" s="24">
        <f t="shared" si="3"/>
        <v>44</v>
      </c>
      <c r="P10" s="12">
        <f t="shared" si="4"/>
        <v>42</v>
      </c>
      <c r="Q10" s="24">
        <f t="shared" si="5"/>
        <v>38</v>
      </c>
      <c r="R10" s="12">
        <f t="shared" si="6"/>
        <v>23</v>
      </c>
      <c r="V10" s="10"/>
    </row>
    <row r="11" spans="1:22" x14ac:dyDescent="0.25">
      <c r="A11" s="8">
        <v>45726</v>
      </c>
      <c r="B11" s="29">
        <v>4</v>
      </c>
      <c r="C11" s="29">
        <v>2</v>
      </c>
      <c r="D11" s="29"/>
      <c r="E11" s="29"/>
      <c r="F11" s="29">
        <v>6</v>
      </c>
      <c r="H11" s="22">
        <v>45712</v>
      </c>
      <c r="I11" s="24">
        <v>4</v>
      </c>
      <c r="J11" s="12">
        <v>2</v>
      </c>
      <c r="K11" s="24">
        <v>7</v>
      </c>
      <c r="L11" s="12">
        <v>1</v>
      </c>
      <c r="M11" s="24">
        <f t="shared" si="0"/>
        <v>6</v>
      </c>
      <c r="N11" s="12">
        <f t="shared" si="1"/>
        <v>8</v>
      </c>
      <c r="O11" s="24">
        <f t="shared" si="3"/>
        <v>48</v>
      </c>
      <c r="P11" s="12">
        <f t="shared" si="4"/>
        <v>44</v>
      </c>
      <c r="Q11" s="24">
        <f t="shared" si="5"/>
        <v>45</v>
      </c>
      <c r="R11" s="12">
        <f t="shared" si="6"/>
        <v>24</v>
      </c>
      <c r="V11" s="10"/>
    </row>
    <row r="12" spans="1:22" x14ac:dyDescent="0.25">
      <c r="A12" s="8">
        <v>45733</v>
      </c>
      <c r="B12" s="29">
        <v>4</v>
      </c>
      <c r="C12" s="29">
        <v>5</v>
      </c>
      <c r="D12" s="29"/>
      <c r="E12" s="29"/>
      <c r="F12" s="29">
        <v>9</v>
      </c>
      <c r="H12" s="22">
        <v>45719</v>
      </c>
      <c r="I12" s="24">
        <v>6</v>
      </c>
      <c r="J12" s="12">
        <v>3</v>
      </c>
      <c r="K12" s="24">
        <v>8</v>
      </c>
      <c r="L12" s="12">
        <v>8</v>
      </c>
      <c r="M12" s="24">
        <f t="shared" si="0"/>
        <v>9</v>
      </c>
      <c r="N12" s="12">
        <f t="shared" si="1"/>
        <v>16</v>
      </c>
      <c r="O12" s="24">
        <f t="shared" si="3"/>
        <v>54</v>
      </c>
      <c r="P12" s="12">
        <f t="shared" si="4"/>
        <v>47</v>
      </c>
      <c r="Q12" s="24">
        <f t="shared" si="5"/>
        <v>53</v>
      </c>
      <c r="R12" s="12">
        <f t="shared" si="6"/>
        <v>32</v>
      </c>
      <c r="V12" s="10"/>
    </row>
    <row r="13" spans="1:22" x14ac:dyDescent="0.25">
      <c r="A13" s="8">
        <v>45740</v>
      </c>
      <c r="B13" s="29">
        <v>2</v>
      </c>
      <c r="C13" s="29">
        <v>2</v>
      </c>
      <c r="D13" s="29"/>
      <c r="E13" s="29"/>
      <c r="F13" s="29">
        <v>4</v>
      </c>
      <c r="H13" s="22">
        <v>45726</v>
      </c>
      <c r="I13" s="24">
        <v>6</v>
      </c>
      <c r="J13" s="12">
        <v>3</v>
      </c>
      <c r="K13" s="24">
        <v>4</v>
      </c>
      <c r="L13" s="12">
        <v>2</v>
      </c>
      <c r="M13" s="24">
        <f t="shared" si="0"/>
        <v>9</v>
      </c>
      <c r="N13" s="12">
        <f t="shared" si="1"/>
        <v>6</v>
      </c>
      <c r="O13" s="24">
        <f t="shared" si="3"/>
        <v>60</v>
      </c>
      <c r="P13" s="12">
        <f t="shared" si="4"/>
        <v>50</v>
      </c>
      <c r="Q13" s="24">
        <f t="shared" si="5"/>
        <v>57</v>
      </c>
      <c r="R13" s="12">
        <f t="shared" si="6"/>
        <v>34</v>
      </c>
      <c r="V13" s="10"/>
    </row>
    <row r="14" spans="1:22" x14ac:dyDescent="0.25">
      <c r="A14" s="8">
        <v>45747</v>
      </c>
      <c r="B14" s="29">
        <v>3</v>
      </c>
      <c r="C14" s="29">
        <v>7</v>
      </c>
      <c r="D14" s="29"/>
      <c r="E14" s="29"/>
      <c r="F14" s="29">
        <v>10</v>
      </c>
      <c r="H14" s="22">
        <v>45733</v>
      </c>
      <c r="I14" s="24">
        <v>3</v>
      </c>
      <c r="J14" s="12">
        <v>4</v>
      </c>
      <c r="K14" s="24">
        <v>4</v>
      </c>
      <c r="L14" s="12">
        <v>5</v>
      </c>
      <c r="M14" s="24">
        <f t="shared" si="0"/>
        <v>7</v>
      </c>
      <c r="N14" s="12">
        <f t="shared" si="1"/>
        <v>9</v>
      </c>
      <c r="O14" s="24">
        <f t="shared" si="3"/>
        <v>63</v>
      </c>
      <c r="P14" s="12">
        <f t="shared" si="4"/>
        <v>54</v>
      </c>
      <c r="Q14" s="24">
        <f t="shared" si="5"/>
        <v>61</v>
      </c>
      <c r="R14" s="12">
        <f t="shared" si="6"/>
        <v>39</v>
      </c>
      <c r="V14" s="10"/>
    </row>
    <row r="15" spans="1:22" x14ac:dyDescent="0.25">
      <c r="A15" s="8">
        <v>45754</v>
      </c>
      <c r="B15" s="29">
        <v>4</v>
      </c>
      <c r="C15" s="29">
        <v>7</v>
      </c>
      <c r="D15" s="29"/>
      <c r="E15" s="29"/>
      <c r="F15" s="29">
        <v>11</v>
      </c>
      <c r="H15" s="22">
        <v>45740</v>
      </c>
      <c r="I15" s="24">
        <v>4</v>
      </c>
      <c r="J15" s="12">
        <v>10</v>
      </c>
      <c r="K15" s="24">
        <v>2</v>
      </c>
      <c r="L15" s="12">
        <v>2</v>
      </c>
      <c r="M15" s="24">
        <f t="shared" si="0"/>
        <v>14</v>
      </c>
      <c r="N15" s="12">
        <f t="shared" si="1"/>
        <v>4</v>
      </c>
      <c r="O15" s="24">
        <f t="shared" si="3"/>
        <v>67</v>
      </c>
      <c r="P15" s="12">
        <f t="shared" si="4"/>
        <v>64</v>
      </c>
      <c r="Q15" s="24">
        <f t="shared" si="5"/>
        <v>63</v>
      </c>
      <c r="R15" s="12">
        <f t="shared" si="6"/>
        <v>41</v>
      </c>
      <c r="V15" s="10"/>
    </row>
    <row r="16" spans="1:22" x14ac:dyDescent="0.25">
      <c r="A16" s="8">
        <v>45761</v>
      </c>
      <c r="B16" s="29">
        <v>1</v>
      </c>
      <c r="C16" s="29"/>
      <c r="D16" s="29"/>
      <c r="E16" s="29"/>
      <c r="F16" s="29">
        <v>1</v>
      </c>
      <c r="H16" s="22">
        <v>45747</v>
      </c>
      <c r="I16" s="24">
        <v>4</v>
      </c>
      <c r="J16" s="12">
        <v>3</v>
      </c>
      <c r="K16" s="24">
        <v>3</v>
      </c>
      <c r="L16" s="12">
        <v>7</v>
      </c>
      <c r="M16" s="24">
        <f t="shared" si="0"/>
        <v>7</v>
      </c>
      <c r="N16" s="12">
        <f t="shared" si="1"/>
        <v>10</v>
      </c>
      <c r="O16" s="24">
        <f t="shared" si="3"/>
        <v>71</v>
      </c>
      <c r="P16" s="12">
        <f t="shared" si="4"/>
        <v>67</v>
      </c>
      <c r="Q16" s="24">
        <f t="shared" si="5"/>
        <v>66</v>
      </c>
      <c r="R16" s="12">
        <f t="shared" si="6"/>
        <v>48</v>
      </c>
      <c r="V16" s="10"/>
    </row>
    <row r="17" spans="1:22" x14ac:dyDescent="0.25">
      <c r="A17" s="8">
        <v>45768</v>
      </c>
      <c r="B17" s="29">
        <v>7</v>
      </c>
      <c r="C17" s="29">
        <v>1</v>
      </c>
      <c r="D17" s="29"/>
      <c r="E17" s="29"/>
      <c r="F17" s="29">
        <v>8</v>
      </c>
      <c r="H17" s="22">
        <v>45754</v>
      </c>
      <c r="I17" s="24">
        <v>3</v>
      </c>
      <c r="J17" s="12">
        <v>4</v>
      </c>
      <c r="K17" s="24">
        <v>4</v>
      </c>
      <c r="L17" s="12">
        <v>7</v>
      </c>
      <c r="M17" s="24">
        <f t="shared" si="0"/>
        <v>7</v>
      </c>
      <c r="N17" s="12">
        <f t="shared" si="1"/>
        <v>11</v>
      </c>
      <c r="O17" s="24">
        <f t="shared" si="3"/>
        <v>74</v>
      </c>
      <c r="P17" s="12">
        <f t="shared" si="4"/>
        <v>71</v>
      </c>
      <c r="Q17" s="24">
        <f t="shared" si="5"/>
        <v>70</v>
      </c>
      <c r="R17" s="12">
        <f t="shared" si="6"/>
        <v>55</v>
      </c>
      <c r="V17" s="10"/>
    </row>
    <row r="18" spans="1:22" x14ac:dyDescent="0.25">
      <c r="A18" s="8">
        <v>45775</v>
      </c>
      <c r="B18" s="29">
        <v>2</v>
      </c>
      <c r="C18" s="29"/>
      <c r="D18" s="29"/>
      <c r="E18" s="29"/>
      <c r="F18" s="29">
        <v>2</v>
      </c>
      <c r="H18" s="22">
        <v>45761</v>
      </c>
      <c r="I18" s="24">
        <v>4</v>
      </c>
      <c r="J18" s="12">
        <v>2</v>
      </c>
      <c r="K18" s="24">
        <v>1</v>
      </c>
      <c r="L18" s="12"/>
      <c r="M18" s="24">
        <f t="shared" si="0"/>
        <v>6</v>
      </c>
      <c r="N18" s="12">
        <f t="shared" si="1"/>
        <v>1</v>
      </c>
      <c r="O18" s="24">
        <f t="shared" si="3"/>
        <v>78</v>
      </c>
      <c r="P18" s="12">
        <f t="shared" si="4"/>
        <v>73</v>
      </c>
      <c r="Q18" s="24">
        <f t="shared" si="5"/>
        <v>71</v>
      </c>
      <c r="R18" s="12">
        <f t="shared" si="6"/>
        <v>55</v>
      </c>
      <c r="V18" s="10"/>
    </row>
    <row r="19" spans="1:22" x14ac:dyDescent="0.25">
      <c r="A19" s="8">
        <v>45782</v>
      </c>
      <c r="B19" s="29">
        <v>3</v>
      </c>
      <c r="C19" s="29">
        <v>8</v>
      </c>
      <c r="D19" s="29"/>
      <c r="E19" s="29"/>
      <c r="F19" s="29">
        <v>11</v>
      </c>
      <c r="H19" s="22">
        <v>45768</v>
      </c>
      <c r="I19" s="24">
        <v>5</v>
      </c>
      <c r="J19" s="12">
        <v>4</v>
      </c>
      <c r="K19" s="24">
        <v>7</v>
      </c>
      <c r="L19" s="12">
        <v>1</v>
      </c>
      <c r="M19" s="24">
        <f t="shared" si="0"/>
        <v>9</v>
      </c>
      <c r="N19" s="12">
        <f t="shared" si="1"/>
        <v>8</v>
      </c>
      <c r="O19" s="24">
        <f t="shared" si="3"/>
        <v>83</v>
      </c>
      <c r="P19" s="12">
        <f t="shared" si="4"/>
        <v>77</v>
      </c>
      <c r="Q19" s="24">
        <f t="shared" si="5"/>
        <v>78</v>
      </c>
      <c r="R19" s="12">
        <f t="shared" si="6"/>
        <v>56</v>
      </c>
      <c r="V19" s="10"/>
    </row>
    <row r="20" spans="1:22" x14ac:dyDescent="0.25">
      <c r="A20" s="8">
        <v>45789</v>
      </c>
      <c r="B20" s="29">
        <v>3</v>
      </c>
      <c r="C20" s="29"/>
      <c r="D20" s="29"/>
      <c r="E20" s="29"/>
      <c r="F20" s="29">
        <v>3</v>
      </c>
      <c r="H20" s="22">
        <v>45775</v>
      </c>
      <c r="I20" s="24">
        <v>1</v>
      </c>
      <c r="J20" s="12">
        <v>1</v>
      </c>
      <c r="K20" s="24">
        <v>2</v>
      </c>
      <c r="L20" s="12"/>
      <c r="M20" s="24">
        <f t="shared" si="0"/>
        <v>2</v>
      </c>
      <c r="N20" s="12">
        <f t="shared" si="1"/>
        <v>2</v>
      </c>
      <c r="O20" s="24">
        <f t="shared" si="3"/>
        <v>84</v>
      </c>
      <c r="P20" s="12">
        <f t="shared" si="4"/>
        <v>78</v>
      </c>
      <c r="Q20" s="24">
        <f t="shared" si="5"/>
        <v>80</v>
      </c>
      <c r="R20" s="12">
        <f t="shared" si="6"/>
        <v>56</v>
      </c>
      <c r="V20" s="10"/>
    </row>
    <row r="21" spans="1:22" x14ac:dyDescent="0.25">
      <c r="A21" s="8">
        <v>45796</v>
      </c>
      <c r="B21" s="29">
        <v>6</v>
      </c>
      <c r="C21" s="29">
        <v>4</v>
      </c>
      <c r="D21" s="29"/>
      <c r="E21" s="29"/>
      <c r="F21" s="29">
        <v>10</v>
      </c>
      <c r="H21" s="22">
        <v>45782</v>
      </c>
      <c r="I21" s="24">
        <v>2</v>
      </c>
      <c r="J21" s="12">
        <v>3</v>
      </c>
      <c r="K21" s="24">
        <v>3</v>
      </c>
      <c r="L21" s="12">
        <v>8</v>
      </c>
      <c r="M21" s="24">
        <f t="shared" si="0"/>
        <v>5</v>
      </c>
      <c r="N21" s="12">
        <f t="shared" si="1"/>
        <v>11</v>
      </c>
      <c r="O21" s="24">
        <f t="shared" si="3"/>
        <v>86</v>
      </c>
      <c r="P21" s="12">
        <f t="shared" si="4"/>
        <v>81</v>
      </c>
      <c r="Q21" s="24">
        <f t="shared" si="5"/>
        <v>83</v>
      </c>
      <c r="R21" s="12">
        <f t="shared" si="6"/>
        <v>64</v>
      </c>
      <c r="V21" s="10"/>
    </row>
    <row r="22" spans="1:22" x14ac:dyDescent="0.25">
      <c r="A22" s="8">
        <v>45803</v>
      </c>
      <c r="B22" s="29">
        <v>10</v>
      </c>
      <c r="C22" s="29">
        <v>6</v>
      </c>
      <c r="D22" s="29"/>
      <c r="E22" s="29"/>
      <c r="F22" s="29">
        <v>16</v>
      </c>
      <c r="H22" s="22">
        <v>45789</v>
      </c>
      <c r="I22" s="24">
        <v>3</v>
      </c>
      <c r="J22" s="12">
        <v>1</v>
      </c>
      <c r="K22" s="24">
        <v>3</v>
      </c>
      <c r="L22" s="12"/>
      <c r="M22" s="24">
        <f t="shared" si="0"/>
        <v>4</v>
      </c>
      <c r="N22" s="12">
        <f t="shared" si="1"/>
        <v>3</v>
      </c>
      <c r="O22" s="24">
        <f t="shared" si="3"/>
        <v>89</v>
      </c>
      <c r="P22" s="12">
        <f t="shared" si="4"/>
        <v>82</v>
      </c>
      <c r="Q22" s="24">
        <f t="shared" si="5"/>
        <v>86</v>
      </c>
      <c r="R22" s="12">
        <f t="shared" si="6"/>
        <v>64</v>
      </c>
      <c r="V22" s="10"/>
    </row>
    <row r="23" spans="1:22" x14ac:dyDescent="0.25">
      <c r="A23" s="8">
        <v>45810</v>
      </c>
      <c r="B23" s="29">
        <v>6</v>
      </c>
      <c r="C23" s="29">
        <v>3</v>
      </c>
      <c r="D23" s="29"/>
      <c r="E23" s="29"/>
      <c r="F23" s="29">
        <v>9</v>
      </c>
      <c r="H23" s="22">
        <v>45796</v>
      </c>
      <c r="I23" s="24">
        <v>6</v>
      </c>
      <c r="J23" s="12">
        <v>5</v>
      </c>
      <c r="K23" s="24">
        <v>6</v>
      </c>
      <c r="L23" s="12">
        <v>4</v>
      </c>
      <c r="M23" s="24">
        <f t="shared" si="0"/>
        <v>11</v>
      </c>
      <c r="N23" s="12">
        <f t="shared" si="1"/>
        <v>10</v>
      </c>
      <c r="O23" s="24">
        <f t="shared" si="3"/>
        <v>95</v>
      </c>
      <c r="P23" s="12">
        <f t="shared" si="4"/>
        <v>87</v>
      </c>
      <c r="Q23" s="24">
        <f t="shared" si="5"/>
        <v>92</v>
      </c>
      <c r="R23" s="12">
        <f t="shared" si="6"/>
        <v>68</v>
      </c>
      <c r="V23" s="10"/>
    </row>
    <row r="24" spans="1:22" x14ac:dyDescent="0.25">
      <c r="A24" s="8">
        <v>45817</v>
      </c>
      <c r="B24" s="29">
        <v>6</v>
      </c>
      <c r="C24" s="29">
        <v>1</v>
      </c>
      <c r="D24" s="29"/>
      <c r="E24" s="29"/>
      <c r="F24" s="29">
        <v>7</v>
      </c>
      <c r="H24" s="22">
        <v>45803</v>
      </c>
      <c r="I24" s="24">
        <v>11</v>
      </c>
      <c r="J24" s="12">
        <v>5</v>
      </c>
      <c r="K24" s="24">
        <v>10</v>
      </c>
      <c r="L24" s="12">
        <v>6</v>
      </c>
      <c r="M24" s="24">
        <f t="shared" si="0"/>
        <v>16</v>
      </c>
      <c r="N24" s="12">
        <f t="shared" si="1"/>
        <v>16</v>
      </c>
      <c r="O24" s="24">
        <f t="shared" si="3"/>
        <v>106</v>
      </c>
      <c r="P24" s="12">
        <f t="shared" si="4"/>
        <v>92</v>
      </c>
      <c r="Q24" s="24">
        <f t="shared" si="5"/>
        <v>102</v>
      </c>
      <c r="R24" s="12">
        <f t="shared" si="6"/>
        <v>74</v>
      </c>
      <c r="V24" s="10"/>
    </row>
    <row r="25" spans="1:22" x14ac:dyDescent="0.25">
      <c r="A25" s="8">
        <v>45824</v>
      </c>
      <c r="B25" s="29">
        <v>15</v>
      </c>
      <c r="C25" s="29">
        <v>3</v>
      </c>
      <c r="D25" s="29"/>
      <c r="E25" s="29"/>
      <c r="F25" s="29">
        <v>18</v>
      </c>
      <c r="H25" s="22">
        <v>45810</v>
      </c>
      <c r="I25" s="24">
        <v>9</v>
      </c>
      <c r="J25" s="12">
        <v>5</v>
      </c>
      <c r="K25" s="24">
        <v>6</v>
      </c>
      <c r="L25" s="12">
        <v>3</v>
      </c>
      <c r="M25" s="24">
        <f t="shared" si="0"/>
        <v>14</v>
      </c>
      <c r="N25" s="12">
        <f t="shared" si="1"/>
        <v>9</v>
      </c>
      <c r="O25" s="24">
        <f t="shared" si="3"/>
        <v>115</v>
      </c>
      <c r="P25" s="12">
        <f t="shared" si="4"/>
        <v>97</v>
      </c>
      <c r="Q25" s="24">
        <f t="shared" si="5"/>
        <v>108</v>
      </c>
      <c r="R25" s="12">
        <f t="shared" si="6"/>
        <v>77</v>
      </c>
      <c r="V25" s="10"/>
    </row>
    <row r="26" spans="1:22" x14ac:dyDescent="0.25">
      <c r="A26" s="8">
        <v>45831</v>
      </c>
      <c r="B26" s="29">
        <v>15</v>
      </c>
      <c r="C26" s="29">
        <v>11</v>
      </c>
      <c r="D26" s="29"/>
      <c r="E26" s="29"/>
      <c r="F26" s="29">
        <v>26</v>
      </c>
      <c r="H26" s="22">
        <v>45817</v>
      </c>
      <c r="I26" s="24">
        <v>5</v>
      </c>
      <c r="J26" s="12">
        <v>4</v>
      </c>
      <c r="K26" s="24">
        <v>6</v>
      </c>
      <c r="L26" s="12">
        <v>1</v>
      </c>
      <c r="M26" s="24">
        <f t="shared" si="0"/>
        <v>9</v>
      </c>
      <c r="N26" s="12">
        <f t="shared" si="1"/>
        <v>7</v>
      </c>
      <c r="O26" s="24">
        <f t="shared" si="3"/>
        <v>120</v>
      </c>
      <c r="P26" s="12">
        <f t="shared" si="4"/>
        <v>101</v>
      </c>
      <c r="Q26" s="24">
        <f t="shared" si="5"/>
        <v>114</v>
      </c>
      <c r="R26" s="12">
        <f t="shared" si="6"/>
        <v>78</v>
      </c>
      <c r="V26" s="10"/>
    </row>
    <row r="27" spans="1:22" x14ac:dyDescent="0.25">
      <c r="A27" s="8">
        <v>45838</v>
      </c>
      <c r="B27" s="29">
        <v>5</v>
      </c>
      <c r="C27" s="29">
        <v>8</v>
      </c>
      <c r="D27" s="29"/>
      <c r="E27" s="29"/>
      <c r="F27" s="29">
        <v>13</v>
      </c>
      <c r="H27" s="22">
        <v>45824</v>
      </c>
      <c r="I27" s="24">
        <v>20</v>
      </c>
      <c r="J27" s="12">
        <v>3</v>
      </c>
      <c r="K27" s="24">
        <v>15</v>
      </c>
      <c r="L27" s="12">
        <v>3</v>
      </c>
      <c r="M27" s="24">
        <f t="shared" si="0"/>
        <v>23</v>
      </c>
      <c r="N27" s="12">
        <f t="shared" si="1"/>
        <v>18</v>
      </c>
      <c r="O27" s="24">
        <f t="shared" si="3"/>
        <v>140</v>
      </c>
      <c r="P27" s="12">
        <f t="shared" si="4"/>
        <v>104</v>
      </c>
      <c r="Q27" s="24">
        <f t="shared" si="5"/>
        <v>129</v>
      </c>
      <c r="R27" s="12">
        <f t="shared" si="6"/>
        <v>81</v>
      </c>
      <c r="V27" s="10"/>
    </row>
    <row r="28" spans="1:22" x14ac:dyDescent="0.25">
      <c r="A28" s="8">
        <v>45845</v>
      </c>
      <c r="B28" s="29">
        <v>8</v>
      </c>
      <c r="C28" s="29">
        <v>3</v>
      </c>
      <c r="D28" s="29"/>
      <c r="E28" s="29"/>
      <c r="F28" s="29">
        <v>11</v>
      </c>
      <c r="H28" s="22">
        <v>45831</v>
      </c>
      <c r="I28" s="24">
        <v>8</v>
      </c>
      <c r="J28" s="12">
        <v>4</v>
      </c>
      <c r="K28" s="24">
        <v>15</v>
      </c>
      <c r="L28" s="12">
        <v>11</v>
      </c>
      <c r="M28" s="24">
        <f t="shared" si="0"/>
        <v>12</v>
      </c>
      <c r="N28" s="12">
        <f t="shared" si="1"/>
        <v>26</v>
      </c>
      <c r="O28" s="24">
        <f t="shared" si="3"/>
        <v>148</v>
      </c>
      <c r="P28" s="12">
        <f t="shared" si="4"/>
        <v>108</v>
      </c>
      <c r="Q28" s="24">
        <f t="shared" si="5"/>
        <v>144</v>
      </c>
      <c r="R28" s="12">
        <f t="shared" si="6"/>
        <v>92</v>
      </c>
      <c r="V28" s="10"/>
    </row>
    <row r="29" spans="1:22" x14ac:dyDescent="0.25">
      <c r="A29" s="8">
        <v>45852</v>
      </c>
      <c r="B29" s="29">
        <v>8</v>
      </c>
      <c r="C29" s="29">
        <v>1</v>
      </c>
      <c r="D29" s="29"/>
      <c r="E29" s="29"/>
      <c r="F29" s="29">
        <v>9</v>
      </c>
      <c r="H29" s="22">
        <v>45838</v>
      </c>
      <c r="I29" s="24">
        <v>10</v>
      </c>
      <c r="J29" s="12">
        <v>6</v>
      </c>
      <c r="K29" s="24">
        <v>5</v>
      </c>
      <c r="L29" s="12">
        <v>8</v>
      </c>
      <c r="M29" s="24">
        <f t="shared" si="0"/>
        <v>16</v>
      </c>
      <c r="N29" s="12">
        <f t="shared" si="1"/>
        <v>13</v>
      </c>
      <c r="O29" s="24">
        <f t="shared" si="3"/>
        <v>158</v>
      </c>
      <c r="P29" s="12">
        <f t="shared" si="4"/>
        <v>114</v>
      </c>
      <c r="Q29" s="24">
        <f t="shared" si="5"/>
        <v>149</v>
      </c>
      <c r="R29" s="12">
        <f t="shared" si="6"/>
        <v>100</v>
      </c>
      <c r="V29" s="10"/>
    </row>
    <row r="30" spans="1:22" x14ac:dyDescent="0.25">
      <c r="A30" s="8">
        <v>45859</v>
      </c>
      <c r="B30" s="29">
        <v>13</v>
      </c>
      <c r="C30" s="29">
        <v>6</v>
      </c>
      <c r="D30" s="29"/>
      <c r="E30" s="29"/>
      <c r="F30" s="29">
        <v>19</v>
      </c>
      <c r="H30" s="22">
        <v>45845</v>
      </c>
      <c r="I30" s="24">
        <v>6</v>
      </c>
      <c r="J30" s="12">
        <v>1</v>
      </c>
      <c r="K30" s="24">
        <v>8</v>
      </c>
      <c r="L30" s="12">
        <v>3</v>
      </c>
      <c r="M30" s="24">
        <f t="shared" si="0"/>
        <v>7</v>
      </c>
      <c r="N30" s="12">
        <f t="shared" si="1"/>
        <v>11</v>
      </c>
      <c r="O30" s="24">
        <f t="shared" si="3"/>
        <v>164</v>
      </c>
      <c r="P30" s="12">
        <f t="shared" si="4"/>
        <v>115</v>
      </c>
      <c r="Q30" s="24">
        <f t="shared" si="5"/>
        <v>157</v>
      </c>
      <c r="R30" s="12">
        <f t="shared" si="6"/>
        <v>103</v>
      </c>
      <c r="V30" s="10"/>
    </row>
    <row r="31" spans="1:22" x14ac:dyDescent="0.25">
      <c r="A31" s="8">
        <v>45866</v>
      </c>
      <c r="B31" s="29">
        <v>12</v>
      </c>
      <c r="C31" s="29">
        <v>3</v>
      </c>
      <c r="D31" s="29"/>
      <c r="E31" s="29"/>
      <c r="F31" s="29">
        <v>15</v>
      </c>
      <c r="H31" s="22">
        <v>45852</v>
      </c>
      <c r="I31" s="24">
        <v>13</v>
      </c>
      <c r="J31" s="12">
        <v>3</v>
      </c>
      <c r="K31" s="24">
        <v>8</v>
      </c>
      <c r="L31" s="12">
        <v>1</v>
      </c>
      <c r="M31" s="24">
        <f t="shared" si="0"/>
        <v>16</v>
      </c>
      <c r="N31" s="12">
        <f t="shared" si="1"/>
        <v>9</v>
      </c>
      <c r="O31" s="24">
        <f t="shared" si="3"/>
        <v>177</v>
      </c>
      <c r="P31" s="12">
        <f t="shared" si="4"/>
        <v>118</v>
      </c>
      <c r="Q31" s="24">
        <f t="shared" si="5"/>
        <v>165</v>
      </c>
      <c r="R31" s="12">
        <f t="shared" si="6"/>
        <v>104</v>
      </c>
      <c r="V31" s="10"/>
    </row>
    <row r="32" spans="1:22" x14ac:dyDescent="0.25">
      <c r="A32" s="8">
        <v>45873</v>
      </c>
      <c r="B32" s="29">
        <v>16</v>
      </c>
      <c r="C32" s="29">
        <v>5</v>
      </c>
      <c r="D32" s="29"/>
      <c r="E32" s="29"/>
      <c r="F32" s="29">
        <v>21</v>
      </c>
      <c r="H32" s="22">
        <v>45859</v>
      </c>
      <c r="I32" s="24">
        <v>7</v>
      </c>
      <c r="J32" s="12">
        <v>1</v>
      </c>
      <c r="K32" s="24">
        <v>13</v>
      </c>
      <c r="L32" s="12">
        <v>6</v>
      </c>
      <c r="M32" s="24">
        <f t="shared" si="0"/>
        <v>8</v>
      </c>
      <c r="N32" s="12">
        <f t="shared" si="1"/>
        <v>19</v>
      </c>
      <c r="O32" s="24">
        <f t="shared" si="3"/>
        <v>184</v>
      </c>
      <c r="P32" s="12">
        <f t="shared" si="4"/>
        <v>119</v>
      </c>
      <c r="Q32" s="24">
        <f t="shared" si="5"/>
        <v>178</v>
      </c>
      <c r="R32" s="12">
        <f t="shared" si="6"/>
        <v>110</v>
      </c>
      <c r="V32" s="10"/>
    </row>
    <row r="33" spans="1:22" x14ac:dyDescent="0.25">
      <c r="A33" s="8">
        <v>45880</v>
      </c>
      <c r="B33" s="29">
        <v>6</v>
      </c>
      <c r="C33" s="29"/>
      <c r="D33" s="29"/>
      <c r="E33" s="29"/>
      <c r="F33" s="29">
        <v>6</v>
      </c>
      <c r="H33" s="22">
        <v>45866</v>
      </c>
      <c r="I33" s="24">
        <v>12</v>
      </c>
      <c r="J33" s="12">
        <v>5</v>
      </c>
      <c r="K33" s="24">
        <v>12</v>
      </c>
      <c r="L33" s="12">
        <v>3</v>
      </c>
      <c r="M33" s="24">
        <f t="shared" si="0"/>
        <v>17</v>
      </c>
      <c r="N33" s="12">
        <f t="shared" si="1"/>
        <v>15</v>
      </c>
      <c r="O33" s="24">
        <f t="shared" si="3"/>
        <v>196</v>
      </c>
      <c r="P33" s="12">
        <f t="shared" si="4"/>
        <v>124</v>
      </c>
      <c r="Q33" s="24">
        <f t="shared" si="5"/>
        <v>190</v>
      </c>
      <c r="R33" s="12">
        <f t="shared" si="6"/>
        <v>113</v>
      </c>
      <c r="V33" s="10"/>
    </row>
    <row r="34" spans="1:22" x14ac:dyDescent="0.25">
      <c r="A34" s="8">
        <v>45887</v>
      </c>
      <c r="B34" s="29">
        <v>5</v>
      </c>
      <c r="C34" s="29">
        <v>1</v>
      </c>
      <c r="D34" s="29"/>
      <c r="E34" s="29"/>
      <c r="F34" s="29">
        <v>6</v>
      </c>
      <c r="H34" s="22">
        <v>45873</v>
      </c>
      <c r="I34" s="24">
        <v>15</v>
      </c>
      <c r="J34" s="12">
        <v>5</v>
      </c>
      <c r="K34" s="24">
        <v>16</v>
      </c>
      <c r="L34" s="12">
        <v>5</v>
      </c>
      <c r="M34" s="24">
        <f t="shared" si="0"/>
        <v>20</v>
      </c>
      <c r="N34" s="12">
        <f t="shared" si="1"/>
        <v>21</v>
      </c>
      <c r="O34" s="24">
        <f t="shared" si="3"/>
        <v>211</v>
      </c>
      <c r="P34" s="12">
        <f t="shared" si="4"/>
        <v>129</v>
      </c>
      <c r="Q34" s="24">
        <f t="shared" si="5"/>
        <v>206</v>
      </c>
      <c r="R34" s="12">
        <f t="shared" si="6"/>
        <v>118</v>
      </c>
      <c r="V34" s="10"/>
    </row>
    <row r="35" spans="1:22" x14ac:dyDescent="0.25">
      <c r="A35" s="8">
        <v>45894</v>
      </c>
      <c r="B35" s="29">
        <v>2</v>
      </c>
      <c r="C35" s="29">
        <v>1</v>
      </c>
      <c r="D35" s="29"/>
      <c r="E35" s="29"/>
      <c r="F35" s="29">
        <v>3</v>
      </c>
      <c r="H35" s="22">
        <v>45880</v>
      </c>
      <c r="I35" s="24">
        <v>5</v>
      </c>
      <c r="J35" s="12">
        <v>3</v>
      </c>
      <c r="K35" s="24">
        <v>6</v>
      </c>
      <c r="L35" s="12"/>
      <c r="M35" s="24">
        <f t="shared" si="0"/>
        <v>8</v>
      </c>
      <c r="N35" s="12">
        <f t="shared" si="1"/>
        <v>6</v>
      </c>
      <c r="O35" s="24">
        <f t="shared" si="3"/>
        <v>216</v>
      </c>
      <c r="P35" s="12">
        <f t="shared" si="4"/>
        <v>132</v>
      </c>
      <c r="Q35" s="24">
        <f t="shared" si="5"/>
        <v>212</v>
      </c>
      <c r="R35" s="12">
        <f t="shared" si="6"/>
        <v>118</v>
      </c>
      <c r="V35" s="10"/>
    </row>
    <row r="36" spans="1:22" x14ac:dyDescent="0.25">
      <c r="A36" s="8">
        <v>45901</v>
      </c>
      <c r="B36" s="29">
        <v>13</v>
      </c>
      <c r="C36" s="29">
        <v>3</v>
      </c>
      <c r="D36" s="29"/>
      <c r="E36" s="29"/>
      <c r="F36" s="29">
        <v>16</v>
      </c>
      <c r="H36" s="22">
        <v>45887</v>
      </c>
      <c r="I36" s="24">
        <v>4</v>
      </c>
      <c r="J36" s="12"/>
      <c r="K36" s="24">
        <v>5</v>
      </c>
      <c r="L36" s="12">
        <v>1</v>
      </c>
      <c r="M36" s="24">
        <f t="shared" si="0"/>
        <v>4</v>
      </c>
      <c r="N36" s="12">
        <f t="shared" si="1"/>
        <v>6</v>
      </c>
      <c r="O36" s="24">
        <f t="shared" si="3"/>
        <v>220</v>
      </c>
      <c r="P36" s="12">
        <f t="shared" si="4"/>
        <v>132</v>
      </c>
      <c r="Q36" s="24">
        <f t="shared" si="5"/>
        <v>217</v>
      </c>
      <c r="R36" s="12">
        <f t="shared" si="6"/>
        <v>119</v>
      </c>
      <c r="V36" s="10"/>
    </row>
    <row r="37" spans="1:22" x14ac:dyDescent="0.25">
      <c r="A37" s="8">
        <v>45908</v>
      </c>
      <c r="B37" s="29">
        <v>6</v>
      </c>
      <c r="C37" s="29">
        <v>3</v>
      </c>
      <c r="D37" s="29"/>
      <c r="E37" s="29"/>
      <c r="F37" s="29">
        <v>9</v>
      </c>
      <c r="H37" s="22">
        <v>45894</v>
      </c>
      <c r="I37" s="24">
        <v>9</v>
      </c>
      <c r="J37" s="12"/>
      <c r="K37" s="24">
        <v>2</v>
      </c>
      <c r="L37" s="12">
        <v>1</v>
      </c>
      <c r="M37" s="24">
        <f t="shared" si="0"/>
        <v>9</v>
      </c>
      <c r="N37" s="12">
        <f t="shared" si="1"/>
        <v>3</v>
      </c>
      <c r="O37" s="24">
        <f t="shared" si="3"/>
        <v>229</v>
      </c>
      <c r="P37" s="12">
        <f t="shared" si="4"/>
        <v>132</v>
      </c>
      <c r="Q37" s="24">
        <f t="shared" si="5"/>
        <v>219</v>
      </c>
      <c r="R37" s="12">
        <f t="shared" si="6"/>
        <v>120</v>
      </c>
      <c r="V37" s="10"/>
    </row>
    <row r="38" spans="1:22" x14ac:dyDescent="0.25">
      <c r="A38" s="8">
        <v>45915</v>
      </c>
      <c r="B38" s="29">
        <v>5</v>
      </c>
      <c r="C38" s="29">
        <v>2</v>
      </c>
      <c r="D38" s="29"/>
      <c r="E38" s="29"/>
      <c r="F38" s="29">
        <v>7</v>
      </c>
      <c r="H38" s="22">
        <v>45901</v>
      </c>
      <c r="I38" s="24">
        <v>10</v>
      </c>
      <c r="J38" s="12">
        <v>4</v>
      </c>
      <c r="K38" s="24">
        <v>13</v>
      </c>
      <c r="L38" s="12">
        <v>3</v>
      </c>
      <c r="M38" s="24">
        <f t="shared" si="0"/>
        <v>14</v>
      </c>
      <c r="N38" s="12">
        <f t="shared" si="1"/>
        <v>16</v>
      </c>
      <c r="O38" s="24">
        <f t="shared" si="3"/>
        <v>239</v>
      </c>
      <c r="P38" s="12">
        <f t="shared" si="4"/>
        <v>136</v>
      </c>
      <c r="Q38" s="24">
        <f t="shared" si="5"/>
        <v>232</v>
      </c>
      <c r="R38" s="12">
        <f t="shared" si="6"/>
        <v>123</v>
      </c>
      <c r="V38" s="10"/>
    </row>
    <row r="39" spans="1:22" x14ac:dyDescent="0.25">
      <c r="A39" s="8">
        <v>45922</v>
      </c>
      <c r="B39" s="29">
        <v>9</v>
      </c>
      <c r="C39" s="29">
        <v>4</v>
      </c>
      <c r="D39" s="29"/>
      <c r="E39" s="29"/>
      <c r="F39" s="29">
        <v>13</v>
      </c>
      <c r="H39" s="22">
        <v>45908</v>
      </c>
      <c r="I39" s="24">
        <v>7</v>
      </c>
      <c r="J39" s="12">
        <v>5</v>
      </c>
      <c r="K39" s="24">
        <v>6</v>
      </c>
      <c r="L39" s="12">
        <v>3</v>
      </c>
      <c r="M39" s="24">
        <f t="shared" si="0"/>
        <v>12</v>
      </c>
      <c r="N39" s="12">
        <f t="shared" si="1"/>
        <v>9</v>
      </c>
      <c r="O39" s="24">
        <f t="shared" si="3"/>
        <v>246</v>
      </c>
      <c r="P39" s="12">
        <f t="shared" si="4"/>
        <v>141</v>
      </c>
      <c r="Q39" s="24">
        <f t="shared" si="5"/>
        <v>238</v>
      </c>
      <c r="R39" s="12">
        <f t="shared" si="6"/>
        <v>126</v>
      </c>
      <c r="V39" s="10"/>
    </row>
    <row r="40" spans="1:22" x14ac:dyDescent="0.25">
      <c r="A40" s="8">
        <v>45663</v>
      </c>
      <c r="B40" s="29">
        <v>4</v>
      </c>
      <c r="C40" s="29">
        <v>3</v>
      </c>
      <c r="D40" s="29"/>
      <c r="E40" s="29"/>
      <c r="F40" s="29">
        <v>7</v>
      </c>
      <c r="H40" s="22">
        <v>45915</v>
      </c>
      <c r="I40" s="24">
        <v>8</v>
      </c>
      <c r="J40" s="12"/>
      <c r="K40" s="24">
        <v>5</v>
      </c>
      <c r="L40" s="12">
        <v>2</v>
      </c>
      <c r="M40" s="24">
        <f t="shared" si="0"/>
        <v>8</v>
      </c>
      <c r="N40" s="12">
        <f t="shared" si="1"/>
        <v>7</v>
      </c>
      <c r="O40" s="24">
        <f t="shared" si="3"/>
        <v>254</v>
      </c>
      <c r="P40" s="12">
        <f t="shared" si="4"/>
        <v>141</v>
      </c>
      <c r="Q40" s="24">
        <f t="shared" si="5"/>
        <v>243</v>
      </c>
      <c r="R40" s="12">
        <f t="shared" si="6"/>
        <v>128</v>
      </c>
      <c r="V40" s="10"/>
    </row>
    <row r="41" spans="1:22" x14ac:dyDescent="0.25">
      <c r="A41" s="8">
        <v>45691</v>
      </c>
      <c r="B41" s="29">
        <v>6</v>
      </c>
      <c r="C41" s="29">
        <v>1</v>
      </c>
      <c r="D41" s="29"/>
      <c r="E41" s="29"/>
      <c r="F41" s="29">
        <v>7</v>
      </c>
      <c r="H41" s="22">
        <v>45922</v>
      </c>
      <c r="I41" s="24">
        <v>15</v>
      </c>
      <c r="J41" s="12">
        <v>3</v>
      </c>
      <c r="K41" s="24">
        <v>10</v>
      </c>
      <c r="L41" s="12">
        <v>3</v>
      </c>
      <c r="M41" s="24">
        <f t="shared" si="0"/>
        <v>18</v>
      </c>
      <c r="N41" s="12">
        <f t="shared" si="1"/>
        <v>13</v>
      </c>
      <c r="O41" s="24">
        <f t="shared" si="3"/>
        <v>269</v>
      </c>
      <c r="P41" s="12">
        <f t="shared" si="4"/>
        <v>144</v>
      </c>
      <c r="Q41" s="24">
        <f t="shared" si="5"/>
        <v>253</v>
      </c>
      <c r="R41" s="12">
        <f t="shared" si="6"/>
        <v>131</v>
      </c>
      <c r="V41" s="10"/>
    </row>
    <row r="42" spans="1:22" x14ac:dyDescent="0.25">
      <c r="A42" s="9">
        <v>2958468</v>
      </c>
      <c r="B42" s="29">
        <v>10</v>
      </c>
      <c r="C42" s="29">
        <v>9</v>
      </c>
      <c r="D42" s="29">
        <v>2</v>
      </c>
      <c r="E42" s="29"/>
      <c r="F42" s="29">
        <v>21</v>
      </c>
      <c r="H42" s="22">
        <v>45929</v>
      </c>
      <c r="I42" s="24">
        <v>12</v>
      </c>
      <c r="J42" s="12">
        <v>5</v>
      </c>
      <c r="K42" s="24">
        <v>11</v>
      </c>
      <c r="L42" s="12">
        <v>10</v>
      </c>
      <c r="M42" s="24">
        <f t="shared" si="0"/>
        <v>17</v>
      </c>
      <c r="N42" s="12">
        <f t="shared" si="1"/>
        <v>21</v>
      </c>
      <c r="O42" s="24">
        <f t="shared" si="3"/>
        <v>281</v>
      </c>
      <c r="P42" s="12">
        <f t="shared" si="4"/>
        <v>149</v>
      </c>
      <c r="Q42" s="24">
        <f t="shared" si="5"/>
        <v>264</v>
      </c>
      <c r="R42" s="12">
        <f t="shared" si="6"/>
        <v>141</v>
      </c>
      <c r="V42" s="10"/>
    </row>
    <row r="43" spans="1:22" x14ac:dyDescent="0.25">
      <c r="A43" s="9" t="s">
        <v>942</v>
      </c>
      <c r="B43" s="29"/>
      <c r="C43" s="29"/>
      <c r="D43" s="29"/>
      <c r="E43" s="29"/>
      <c r="F43" s="29"/>
      <c r="H43" s="22">
        <v>45936</v>
      </c>
      <c r="I43" s="24">
        <v>12</v>
      </c>
      <c r="J43" s="12">
        <v>2</v>
      </c>
      <c r="K43" s="24">
        <v>8</v>
      </c>
      <c r="L43" s="12">
        <v>1</v>
      </c>
      <c r="M43" s="24">
        <f t="shared" si="0"/>
        <v>14</v>
      </c>
      <c r="N43" s="12">
        <f t="shared" si="1"/>
        <v>9</v>
      </c>
      <c r="O43" s="24">
        <f t="shared" si="3"/>
        <v>293</v>
      </c>
      <c r="P43" s="12">
        <f t="shared" si="4"/>
        <v>151</v>
      </c>
      <c r="Q43" s="24">
        <f t="shared" si="5"/>
        <v>272</v>
      </c>
      <c r="R43" s="12">
        <f t="shared" si="6"/>
        <v>142</v>
      </c>
      <c r="V43" s="10"/>
    </row>
    <row r="44" spans="1:22" x14ac:dyDescent="0.25">
      <c r="A44" s="8">
        <v>45929</v>
      </c>
      <c r="B44" s="29">
        <v>11</v>
      </c>
      <c r="C44" s="29">
        <v>10</v>
      </c>
      <c r="D44" s="29"/>
      <c r="E44" s="29"/>
      <c r="F44" s="29">
        <v>21</v>
      </c>
      <c r="H44" s="22">
        <v>45943</v>
      </c>
      <c r="I44" s="24">
        <v>11</v>
      </c>
      <c r="J44" s="12">
        <v>7</v>
      </c>
      <c r="K44" s="24">
        <v>15</v>
      </c>
      <c r="L44" s="12">
        <v>2</v>
      </c>
      <c r="M44" s="24">
        <f t="shared" si="0"/>
        <v>18</v>
      </c>
      <c r="N44" s="12">
        <f t="shared" si="1"/>
        <v>17</v>
      </c>
      <c r="O44" s="24">
        <f t="shared" si="3"/>
        <v>304</v>
      </c>
      <c r="P44" s="12">
        <f t="shared" si="4"/>
        <v>158</v>
      </c>
      <c r="Q44" s="24">
        <f t="shared" si="5"/>
        <v>287</v>
      </c>
      <c r="R44" s="12">
        <f t="shared" si="6"/>
        <v>144</v>
      </c>
      <c r="V44" s="10"/>
    </row>
    <row r="45" spans="1:22" x14ac:dyDescent="0.25">
      <c r="A45" s="8">
        <v>45936</v>
      </c>
      <c r="B45" s="29">
        <v>8</v>
      </c>
      <c r="C45" s="29">
        <v>1</v>
      </c>
      <c r="D45" s="29"/>
      <c r="E45" s="29"/>
      <c r="F45" s="29">
        <v>9</v>
      </c>
      <c r="H45" s="22">
        <v>45950</v>
      </c>
      <c r="I45" s="24">
        <v>15</v>
      </c>
      <c r="J45" s="12">
        <v>7</v>
      </c>
      <c r="K45" s="24">
        <v>15</v>
      </c>
      <c r="L45" s="12">
        <v>5</v>
      </c>
      <c r="M45" s="24">
        <f t="shared" si="0"/>
        <v>22</v>
      </c>
      <c r="N45" s="12">
        <f t="shared" si="1"/>
        <v>20</v>
      </c>
      <c r="O45" s="24">
        <f t="shared" si="3"/>
        <v>319</v>
      </c>
      <c r="P45" s="12">
        <f t="shared" si="4"/>
        <v>165</v>
      </c>
      <c r="Q45" s="24">
        <f t="shared" si="5"/>
        <v>302</v>
      </c>
      <c r="R45" s="12">
        <f t="shared" si="6"/>
        <v>149</v>
      </c>
      <c r="V45" s="10"/>
    </row>
    <row r="46" spans="1:22" x14ac:dyDescent="0.25">
      <c r="A46" s="8">
        <v>45943</v>
      </c>
      <c r="B46" s="29">
        <v>15</v>
      </c>
      <c r="C46" s="29">
        <v>2</v>
      </c>
      <c r="D46" s="29"/>
      <c r="E46" s="29"/>
      <c r="F46" s="29">
        <v>17</v>
      </c>
      <c r="H46" s="22">
        <v>45957</v>
      </c>
      <c r="I46" s="24">
        <v>6</v>
      </c>
      <c r="J46" s="12"/>
      <c r="K46" s="24">
        <v>12</v>
      </c>
      <c r="L46" s="12">
        <v>6</v>
      </c>
      <c r="M46" s="24"/>
      <c r="N46" s="12">
        <f t="shared" si="1"/>
        <v>18</v>
      </c>
      <c r="O46" s="24">
        <f t="shared" si="3"/>
        <v>325</v>
      </c>
      <c r="P46" s="12">
        <f t="shared" si="4"/>
        <v>165</v>
      </c>
      <c r="Q46" s="24">
        <f t="shared" si="5"/>
        <v>314</v>
      </c>
      <c r="R46" s="12">
        <f t="shared" si="6"/>
        <v>155</v>
      </c>
      <c r="V46" s="10"/>
    </row>
    <row r="47" spans="1:22" x14ac:dyDescent="0.25">
      <c r="A47" s="8">
        <v>45950</v>
      </c>
      <c r="B47" s="29">
        <v>15</v>
      </c>
      <c r="C47" s="29">
        <v>5</v>
      </c>
      <c r="D47" s="29"/>
      <c r="E47" s="29"/>
      <c r="F47" s="29">
        <v>20</v>
      </c>
      <c r="H47" s="22">
        <v>45964</v>
      </c>
      <c r="I47" s="24"/>
      <c r="J47" s="12"/>
      <c r="K47" s="24"/>
      <c r="L47" s="12"/>
      <c r="M47" s="24"/>
      <c r="N47" s="12"/>
      <c r="O47" s="24"/>
      <c r="P47" s="12"/>
      <c r="Q47" s="24"/>
      <c r="R47" s="12"/>
      <c r="V47" s="10"/>
    </row>
    <row r="48" spans="1:22" x14ac:dyDescent="0.25">
      <c r="A48" s="8">
        <v>45957</v>
      </c>
      <c r="B48" s="29">
        <v>12</v>
      </c>
      <c r="C48" s="29">
        <v>6</v>
      </c>
      <c r="D48" s="29"/>
      <c r="E48" s="29"/>
      <c r="F48" s="29">
        <v>18</v>
      </c>
      <c r="H48" s="22">
        <v>45971</v>
      </c>
      <c r="I48" s="24"/>
      <c r="J48" s="12"/>
      <c r="K48" s="24"/>
      <c r="L48" s="12"/>
      <c r="M48" s="24"/>
      <c r="N48" s="12"/>
      <c r="O48" s="24"/>
      <c r="P48" s="12"/>
      <c r="Q48" s="24"/>
      <c r="R48" s="12"/>
      <c r="V48" s="10"/>
    </row>
    <row r="49" spans="1:22" x14ac:dyDescent="0.25">
      <c r="A49" s="9" t="s">
        <v>37</v>
      </c>
      <c r="B49" s="29">
        <v>323</v>
      </c>
      <c r="C49" s="29">
        <v>165</v>
      </c>
      <c r="D49" s="29">
        <v>2</v>
      </c>
      <c r="E49" s="29"/>
      <c r="F49" s="29">
        <v>490</v>
      </c>
      <c r="H49" s="22">
        <v>45978</v>
      </c>
      <c r="I49" s="24"/>
      <c r="J49" s="12"/>
      <c r="K49" s="24"/>
      <c r="L49" s="12"/>
      <c r="M49" s="24"/>
      <c r="N49" s="12"/>
      <c r="O49" s="24"/>
      <c r="P49" s="12"/>
      <c r="Q49" s="24"/>
      <c r="R49" s="12"/>
      <c r="V49" s="10"/>
    </row>
    <row r="50" spans="1:22" x14ac:dyDescent="0.25">
      <c r="H50" s="22">
        <v>45985</v>
      </c>
      <c r="I50" s="24"/>
      <c r="J50" s="12"/>
      <c r="K50" s="24"/>
      <c r="L50" s="12"/>
      <c r="M50" s="24"/>
      <c r="N50" s="12"/>
      <c r="O50" s="24"/>
      <c r="P50" s="12"/>
      <c r="Q50" s="24"/>
      <c r="R50" s="12"/>
      <c r="V50" s="10"/>
    </row>
    <row r="51" spans="1:22" x14ac:dyDescent="0.25">
      <c r="H51" s="22">
        <v>45992</v>
      </c>
      <c r="I51" s="24"/>
      <c r="J51" s="12"/>
      <c r="K51" s="24"/>
      <c r="L51" s="12"/>
      <c r="M51" s="24"/>
      <c r="N51" s="12"/>
      <c r="O51" s="24"/>
      <c r="P51" s="12"/>
      <c r="Q51" s="24"/>
      <c r="R51" s="12"/>
      <c r="V51" s="10"/>
    </row>
    <row r="52" spans="1:22" x14ac:dyDescent="0.25">
      <c r="H52" s="22">
        <v>45999</v>
      </c>
      <c r="I52" s="24"/>
      <c r="J52" s="12"/>
      <c r="K52" s="24"/>
      <c r="L52" s="12"/>
      <c r="M52" s="24"/>
      <c r="N52" s="12"/>
      <c r="O52" s="24"/>
      <c r="P52" s="12"/>
      <c r="Q52" s="24"/>
      <c r="R52" s="12"/>
      <c r="V52" s="10"/>
    </row>
    <row r="53" spans="1:22" x14ac:dyDescent="0.25">
      <c r="H53" s="22">
        <v>46006</v>
      </c>
      <c r="I53" s="24"/>
      <c r="J53" s="12"/>
      <c r="K53" s="24"/>
      <c r="L53" s="12"/>
      <c r="M53" s="24"/>
      <c r="N53" s="12"/>
      <c r="O53" s="24"/>
      <c r="P53" s="12"/>
      <c r="Q53" s="24"/>
      <c r="R53" s="12"/>
      <c r="V53" s="10"/>
    </row>
    <row r="54" spans="1:22" x14ac:dyDescent="0.25">
      <c r="H54" s="22">
        <v>46013</v>
      </c>
      <c r="I54" s="24"/>
      <c r="J54" s="12"/>
      <c r="K54" s="24"/>
      <c r="L54" s="12"/>
      <c r="M54" s="24"/>
      <c r="N54" s="12"/>
      <c r="O54" s="24"/>
      <c r="P54" s="12"/>
      <c r="Q54" s="24"/>
      <c r="R54" s="12"/>
      <c r="V54" s="10"/>
    </row>
    <row r="55" spans="1:22" ht="15.75" thickBot="1" x14ac:dyDescent="0.3">
      <c r="H55" s="23">
        <v>46020</v>
      </c>
      <c r="I55" s="25"/>
      <c r="J55" s="13"/>
      <c r="K55" s="25"/>
      <c r="L55" s="13"/>
      <c r="M55" s="25"/>
      <c r="N55" s="13"/>
      <c r="O55" s="25"/>
      <c r="P55" s="13"/>
      <c r="Q55" s="25"/>
      <c r="R55" s="13"/>
      <c r="V55" s="10"/>
    </row>
    <row r="56" spans="1:22" x14ac:dyDescent="0.25">
      <c r="V56" s="10"/>
    </row>
    <row r="57" spans="1:22" x14ac:dyDescent="0.25">
      <c r="V57" s="10"/>
    </row>
    <row r="58" spans="1:22" x14ac:dyDescent="0.25">
      <c r="V58" s="10"/>
    </row>
    <row r="59" spans="1:22" x14ac:dyDescent="0.25">
      <c r="V59" s="10"/>
    </row>
    <row r="60" spans="1:22" x14ac:dyDescent="0.25">
      <c r="V60" s="10"/>
    </row>
    <row r="61" spans="1:22" x14ac:dyDescent="0.25">
      <c r="V61" s="10"/>
    </row>
    <row r="62" spans="1:22" x14ac:dyDescent="0.25">
      <c r="V62" s="10"/>
    </row>
    <row r="63" spans="1:22" x14ac:dyDescent="0.25">
      <c r="V63" s="10"/>
    </row>
    <row r="64" spans="1:22" x14ac:dyDescent="0.25">
      <c r="A64" s="7" t="s">
        <v>41</v>
      </c>
      <c r="B64" s="7" t="s">
        <v>38</v>
      </c>
      <c r="V64" s="10"/>
    </row>
    <row r="65" spans="1:22" x14ac:dyDescent="0.25">
      <c r="A65" s="7" t="s">
        <v>36</v>
      </c>
      <c r="B65" t="s">
        <v>39</v>
      </c>
      <c r="C65" t="s">
        <v>40</v>
      </c>
      <c r="D65" t="s">
        <v>1129</v>
      </c>
      <c r="E65" t="s">
        <v>942</v>
      </c>
      <c r="F65" t="s">
        <v>37</v>
      </c>
      <c r="V65" s="10"/>
    </row>
    <row r="66" spans="1:22" x14ac:dyDescent="0.25">
      <c r="A66" s="8">
        <v>45614</v>
      </c>
      <c r="B66" s="29"/>
      <c r="C66" s="29">
        <v>1</v>
      </c>
      <c r="D66" s="29"/>
      <c r="E66" s="29"/>
      <c r="F66" s="29">
        <v>1</v>
      </c>
      <c r="V66" s="10"/>
    </row>
    <row r="67" spans="1:22" x14ac:dyDescent="0.25">
      <c r="A67" s="8">
        <v>45621</v>
      </c>
      <c r="B67" s="29"/>
      <c r="C67" s="29">
        <v>3</v>
      </c>
      <c r="D67" s="29"/>
      <c r="E67" s="29"/>
      <c r="F67" s="29">
        <v>3</v>
      </c>
      <c r="V67" s="10"/>
    </row>
    <row r="68" spans="1:22" x14ac:dyDescent="0.25">
      <c r="A68" s="8">
        <v>45628</v>
      </c>
      <c r="B68" s="29"/>
      <c r="C68" s="29">
        <v>1</v>
      </c>
      <c r="D68" s="29"/>
      <c r="E68" s="29"/>
      <c r="F68" s="29">
        <v>1</v>
      </c>
      <c r="V68" s="10"/>
    </row>
    <row r="69" spans="1:22" x14ac:dyDescent="0.25">
      <c r="A69" s="8">
        <v>45635</v>
      </c>
      <c r="B69" s="29"/>
      <c r="C69" s="29">
        <v>1</v>
      </c>
      <c r="D69" s="29"/>
      <c r="E69" s="29"/>
      <c r="F69" s="29">
        <v>1</v>
      </c>
      <c r="V69" s="10"/>
    </row>
    <row r="70" spans="1:22" x14ac:dyDescent="0.25">
      <c r="A70" s="8">
        <v>45642</v>
      </c>
      <c r="B70" s="29">
        <v>1</v>
      </c>
      <c r="C70" s="29">
        <v>1</v>
      </c>
      <c r="D70" s="29"/>
      <c r="E70" s="29"/>
      <c r="F70" s="29">
        <v>2</v>
      </c>
      <c r="V70" s="10"/>
    </row>
    <row r="71" spans="1:22" x14ac:dyDescent="0.25">
      <c r="A71" s="8">
        <v>45656</v>
      </c>
      <c r="B71" s="29">
        <v>2</v>
      </c>
      <c r="C71" s="29"/>
      <c r="D71" s="29"/>
      <c r="E71" s="29"/>
      <c r="F71" s="29">
        <v>2</v>
      </c>
      <c r="V71" s="10"/>
    </row>
    <row r="72" spans="1:22" x14ac:dyDescent="0.25">
      <c r="A72" s="8">
        <v>45677</v>
      </c>
      <c r="B72" s="29">
        <v>6</v>
      </c>
      <c r="C72" s="29">
        <v>4</v>
      </c>
      <c r="D72" s="29"/>
      <c r="E72" s="29"/>
      <c r="F72" s="29">
        <v>10</v>
      </c>
      <c r="V72" s="10"/>
    </row>
    <row r="73" spans="1:22" x14ac:dyDescent="0.25">
      <c r="A73" s="8">
        <v>45684</v>
      </c>
      <c r="B73" s="29">
        <v>6</v>
      </c>
      <c r="C73" s="29">
        <v>1</v>
      </c>
      <c r="D73" s="29"/>
      <c r="E73" s="29"/>
      <c r="F73" s="29">
        <v>7</v>
      </c>
      <c r="V73" s="10"/>
    </row>
    <row r="74" spans="1:22" x14ac:dyDescent="0.25">
      <c r="A74" s="8">
        <v>45691</v>
      </c>
      <c r="B74" s="29">
        <v>6</v>
      </c>
      <c r="C74" s="29">
        <v>6</v>
      </c>
      <c r="D74" s="29"/>
      <c r="E74" s="29"/>
      <c r="F74" s="29">
        <v>12</v>
      </c>
      <c r="V74" s="10"/>
    </row>
    <row r="75" spans="1:22" x14ac:dyDescent="0.25">
      <c r="A75" s="8">
        <v>45698</v>
      </c>
      <c r="B75" s="29">
        <v>5</v>
      </c>
      <c r="C75" s="29">
        <v>8</v>
      </c>
      <c r="D75" s="29"/>
      <c r="E75" s="29"/>
      <c r="F75" s="29">
        <v>13</v>
      </c>
      <c r="V75" s="10"/>
    </row>
    <row r="76" spans="1:22" x14ac:dyDescent="0.25">
      <c r="A76" s="8">
        <v>45705</v>
      </c>
      <c r="B76" s="29">
        <v>8</v>
      </c>
      <c r="C76" s="29">
        <v>1</v>
      </c>
      <c r="D76" s="29"/>
      <c r="E76" s="29"/>
      <c r="F76" s="29">
        <v>9</v>
      </c>
      <c r="V76" s="10"/>
    </row>
    <row r="77" spans="1:22" x14ac:dyDescent="0.25">
      <c r="A77" s="8">
        <v>45712</v>
      </c>
      <c r="B77" s="29">
        <v>4</v>
      </c>
      <c r="C77" s="29">
        <v>2</v>
      </c>
      <c r="D77" s="29"/>
      <c r="E77" s="29"/>
      <c r="F77" s="29">
        <v>6</v>
      </c>
      <c r="V77" s="10"/>
    </row>
    <row r="78" spans="1:22" x14ac:dyDescent="0.25">
      <c r="A78" s="8">
        <v>45719</v>
      </c>
      <c r="B78" s="29">
        <v>6</v>
      </c>
      <c r="C78" s="29">
        <v>3</v>
      </c>
      <c r="D78" s="29"/>
      <c r="E78" s="29"/>
      <c r="F78" s="29">
        <v>9</v>
      </c>
      <c r="V78" s="10"/>
    </row>
    <row r="79" spans="1:22" x14ac:dyDescent="0.25">
      <c r="A79" s="8">
        <v>45726</v>
      </c>
      <c r="B79" s="29">
        <v>6</v>
      </c>
      <c r="C79" s="29">
        <v>3</v>
      </c>
      <c r="D79" s="29"/>
      <c r="E79" s="29"/>
      <c r="F79" s="29">
        <v>9</v>
      </c>
      <c r="V79" s="10"/>
    </row>
    <row r="80" spans="1:22" x14ac:dyDescent="0.25">
      <c r="A80" s="8">
        <v>45733</v>
      </c>
      <c r="B80" s="29">
        <v>3</v>
      </c>
      <c r="C80" s="29">
        <v>4</v>
      </c>
      <c r="D80" s="29"/>
      <c r="E80" s="29"/>
      <c r="F80" s="29">
        <v>7</v>
      </c>
      <c r="V80" s="10"/>
    </row>
    <row r="81" spans="1:22" x14ac:dyDescent="0.25">
      <c r="A81" s="8">
        <v>45740</v>
      </c>
      <c r="B81" s="29">
        <v>4</v>
      </c>
      <c r="C81" s="29">
        <v>10</v>
      </c>
      <c r="D81" s="29"/>
      <c r="E81" s="29"/>
      <c r="F81" s="29">
        <v>14</v>
      </c>
      <c r="V81" s="10"/>
    </row>
    <row r="82" spans="1:22" x14ac:dyDescent="0.25">
      <c r="A82" s="8">
        <v>45747</v>
      </c>
      <c r="B82" s="29">
        <v>4</v>
      </c>
      <c r="C82" s="29">
        <v>3</v>
      </c>
      <c r="D82" s="29"/>
      <c r="E82" s="29"/>
      <c r="F82" s="29">
        <v>7</v>
      </c>
      <c r="V82" s="10"/>
    </row>
    <row r="83" spans="1:22" x14ac:dyDescent="0.25">
      <c r="A83" s="8">
        <v>45754</v>
      </c>
      <c r="B83" s="29">
        <v>3</v>
      </c>
      <c r="C83" s="29">
        <v>4</v>
      </c>
      <c r="D83" s="29"/>
      <c r="E83" s="29"/>
      <c r="F83" s="29">
        <v>7</v>
      </c>
      <c r="V83" s="10"/>
    </row>
    <row r="84" spans="1:22" x14ac:dyDescent="0.25">
      <c r="A84" s="8">
        <v>45768</v>
      </c>
      <c r="B84" s="29">
        <v>5</v>
      </c>
      <c r="C84" s="29">
        <v>4</v>
      </c>
      <c r="D84" s="29"/>
      <c r="E84" s="29"/>
      <c r="F84" s="29">
        <v>9</v>
      </c>
      <c r="V84" s="10"/>
    </row>
    <row r="85" spans="1:22" x14ac:dyDescent="0.25">
      <c r="A85" s="8">
        <v>45775</v>
      </c>
      <c r="B85" s="29">
        <v>1</v>
      </c>
      <c r="C85" s="29">
        <v>1</v>
      </c>
      <c r="D85" s="29"/>
      <c r="E85" s="29"/>
      <c r="F85" s="29">
        <v>2</v>
      </c>
      <c r="V85" s="10"/>
    </row>
    <row r="86" spans="1:22" x14ac:dyDescent="0.25">
      <c r="A86" s="8">
        <v>45782</v>
      </c>
      <c r="B86" s="29">
        <v>2</v>
      </c>
      <c r="C86" s="29">
        <v>3</v>
      </c>
      <c r="D86" s="29"/>
      <c r="E86" s="29"/>
      <c r="F86" s="29">
        <v>5</v>
      </c>
      <c r="V86" s="10"/>
    </row>
    <row r="87" spans="1:22" x14ac:dyDescent="0.25">
      <c r="A87" s="8">
        <v>45789</v>
      </c>
      <c r="B87" s="29">
        <v>3</v>
      </c>
      <c r="C87" s="29">
        <v>1</v>
      </c>
      <c r="D87" s="29"/>
      <c r="E87" s="29"/>
      <c r="F87" s="29">
        <v>4</v>
      </c>
      <c r="V87" s="10"/>
    </row>
    <row r="88" spans="1:22" x14ac:dyDescent="0.25">
      <c r="A88" s="8">
        <v>45796</v>
      </c>
      <c r="B88" s="29">
        <v>6</v>
      </c>
      <c r="C88" s="29">
        <v>5</v>
      </c>
      <c r="D88" s="29"/>
      <c r="E88" s="29"/>
      <c r="F88" s="29">
        <v>11</v>
      </c>
      <c r="V88" s="10"/>
    </row>
    <row r="89" spans="1:22" x14ac:dyDescent="0.25">
      <c r="A89" s="8">
        <v>45803</v>
      </c>
      <c r="B89" s="29">
        <v>11</v>
      </c>
      <c r="C89" s="29">
        <v>5</v>
      </c>
      <c r="D89" s="29"/>
      <c r="E89" s="29"/>
      <c r="F89" s="29">
        <v>16</v>
      </c>
      <c r="V89" s="10"/>
    </row>
    <row r="90" spans="1:22" x14ac:dyDescent="0.25">
      <c r="A90" s="8">
        <v>45810</v>
      </c>
      <c r="B90" s="29">
        <v>9</v>
      </c>
      <c r="C90" s="29">
        <v>5</v>
      </c>
      <c r="D90" s="29"/>
      <c r="E90" s="29"/>
      <c r="F90" s="29">
        <v>14</v>
      </c>
      <c r="V90" s="10"/>
    </row>
    <row r="91" spans="1:22" x14ac:dyDescent="0.25">
      <c r="A91" s="8">
        <v>45817</v>
      </c>
      <c r="B91" s="29">
        <v>5</v>
      </c>
      <c r="C91" s="29">
        <v>4</v>
      </c>
      <c r="D91" s="29"/>
      <c r="E91" s="29"/>
      <c r="F91" s="29">
        <v>9</v>
      </c>
      <c r="V91" s="10"/>
    </row>
    <row r="92" spans="1:22" x14ac:dyDescent="0.25">
      <c r="A92" s="8">
        <v>45824</v>
      </c>
      <c r="B92" s="29">
        <v>20</v>
      </c>
      <c r="C92" s="29">
        <v>3</v>
      </c>
      <c r="D92" s="29"/>
      <c r="E92" s="29"/>
      <c r="F92" s="29">
        <v>23</v>
      </c>
      <c r="V92" s="10"/>
    </row>
    <row r="93" spans="1:22" x14ac:dyDescent="0.25">
      <c r="A93" s="8">
        <v>45831</v>
      </c>
      <c r="B93" s="29">
        <v>8</v>
      </c>
      <c r="C93" s="29">
        <v>4</v>
      </c>
      <c r="D93" s="29"/>
      <c r="E93" s="29"/>
      <c r="F93" s="29">
        <v>12</v>
      </c>
      <c r="V93" s="10"/>
    </row>
    <row r="94" spans="1:22" x14ac:dyDescent="0.25">
      <c r="A94" s="8">
        <v>45838</v>
      </c>
      <c r="B94" s="29">
        <v>10</v>
      </c>
      <c r="C94" s="29">
        <v>6</v>
      </c>
      <c r="D94" s="29"/>
      <c r="E94" s="29"/>
      <c r="F94" s="29">
        <v>16</v>
      </c>
      <c r="V94" s="10"/>
    </row>
    <row r="95" spans="1:22" x14ac:dyDescent="0.25">
      <c r="A95" s="8">
        <v>45845</v>
      </c>
      <c r="B95" s="29">
        <v>6</v>
      </c>
      <c r="C95" s="29">
        <v>1</v>
      </c>
      <c r="D95" s="29"/>
      <c r="E95" s="29"/>
      <c r="F95" s="29">
        <v>7</v>
      </c>
      <c r="V95" s="10"/>
    </row>
    <row r="96" spans="1:22" x14ac:dyDescent="0.25">
      <c r="A96" s="8">
        <v>45852</v>
      </c>
      <c r="B96" s="29">
        <v>13</v>
      </c>
      <c r="C96" s="29">
        <v>3</v>
      </c>
      <c r="D96" s="29"/>
      <c r="E96" s="29"/>
      <c r="F96" s="29">
        <v>16</v>
      </c>
      <c r="V96" s="10"/>
    </row>
    <row r="97" spans="1:22" x14ac:dyDescent="0.25">
      <c r="A97" s="8">
        <v>45859</v>
      </c>
      <c r="B97" s="29">
        <v>7</v>
      </c>
      <c r="C97" s="29">
        <v>1</v>
      </c>
      <c r="D97" s="29"/>
      <c r="E97" s="29"/>
      <c r="F97" s="29">
        <v>8</v>
      </c>
      <c r="V97" s="10"/>
    </row>
    <row r="98" spans="1:22" x14ac:dyDescent="0.25">
      <c r="A98" s="8">
        <v>45866</v>
      </c>
      <c r="B98" s="29">
        <v>12</v>
      </c>
      <c r="C98" s="29">
        <v>5</v>
      </c>
      <c r="D98" s="29"/>
      <c r="E98" s="29"/>
      <c r="F98" s="29">
        <v>17</v>
      </c>
      <c r="V98" s="10"/>
    </row>
    <row r="99" spans="1:22" x14ac:dyDescent="0.25">
      <c r="A99" s="8">
        <v>45873</v>
      </c>
      <c r="B99" s="29">
        <v>15</v>
      </c>
      <c r="C99" s="29">
        <v>5</v>
      </c>
      <c r="D99" s="29"/>
      <c r="E99" s="29"/>
      <c r="F99" s="29">
        <v>20</v>
      </c>
      <c r="V99" s="10"/>
    </row>
    <row r="100" spans="1:22" x14ac:dyDescent="0.25">
      <c r="A100" s="8">
        <v>45880</v>
      </c>
      <c r="B100" s="29">
        <v>5</v>
      </c>
      <c r="C100" s="29">
        <v>3</v>
      </c>
      <c r="D100" s="29"/>
      <c r="E100" s="29"/>
      <c r="F100" s="29">
        <v>8</v>
      </c>
      <c r="V100" s="10"/>
    </row>
    <row r="101" spans="1:22" x14ac:dyDescent="0.25">
      <c r="A101" s="8">
        <v>45887</v>
      </c>
      <c r="B101" s="29">
        <v>4</v>
      </c>
      <c r="C101" s="29"/>
      <c r="D101" s="29"/>
      <c r="E101" s="29"/>
      <c r="F101" s="29">
        <v>4</v>
      </c>
      <c r="V101" s="10"/>
    </row>
    <row r="102" spans="1:22" x14ac:dyDescent="0.25">
      <c r="A102" s="8">
        <v>45894</v>
      </c>
      <c r="B102" s="29">
        <v>9</v>
      </c>
      <c r="C102" s="29"/>
      <c r="D102" s="29"/>
      <c r="E102" s="29"/>
      <c r="F102" s="29">
        <v>9</v>
      </c>
      <c r="V102" s="10"/>
    </row>
    <row r="103" spans="1:22" x14ac:dyDescent="0.25">
      <c r="A103" s="8">
        <v>45901</v>
      </c>
      <c r="B103" s="29">
        <v>10</v>
      </c>
      <c r="C103" s="29">
        <v>4</v>
      </c>
      <c r="D103" s="29"/>
      <c r="E103" s="29"/>
      <c r="F103" s="29">
        <v>14</v>
      </c>
      <c r="V103" s="10"/>
    </row>
    <row r="104" spans="1:22" x14ac:dyDescent="0.25">
      <c r="A104" s="8">
        <v>45908</v>
      </c>
      <c r="B104" s="29">
        <v>7</v>
      </c>
      <c r="C104" s="29">
        <v>5</v>
      </c>
      <c r="D104" s="29"/>
      <c r="E104" s="29"/>
      <c r="F104" s="29">
        <v>12</v>
      </c>
      <c r="V104" s="10"/>
    </row>
    <row r="105" spans="1:22" x14ac:dyDescent="0.25">
      <c r="A105" s="8">
        <v>45915</v>
      </c>
      <c r="B105" s="29">
        <v>7</v>
      </c>
      <c r="C105" s="29">
        <v>1</v>
      </c>
      <c r="D105" s="29"/>
      <c r="E105" s="29"/>
      <c r="F105" s="29">
        <v>8</v>
      </c>
    </row>
    <row r="106" spans="1:22" x14ac:dyDescent="0.25">
      <c r="A106" s="8">
        <v>45922</v>
      </c>
      <c r="B106" s="29">
        <v>15</v>
      </c>
      <c r="C106" s="29">
        <v>3</v>
      </c>
      <c r="D106" s="29"/>
      <c r="E106" s="29"/>
      <c r="F106" s="29">
        <v>18</v>
      </c>
    </row>
    <row r="107" spans="1:22" x14ac:dyDescent="0.25">
      <c r="A107" s="8">
        <v>45327</v>
      </c>
      <c r="B107" s="29"/>
      <c r="C107" s="29">
        <v>1</v>
      </c>
      <c r="D107" s="29"/>
      <c r="E107" s="29"/>
      <c r="F107" s="29">
        <v>1</v>
      </c>
    </row>
    <row r="108" spans="1:22" x14ac:dyDescent="0.25">
      <c r="A108" s="8">
        <v>45341</v>
      </c>
      <c r="B108" s="29"/>
      <c r="C108" s="29">
        <v>1</v>
      </c>
      <c r="D108" s="29"/>
      <c r="E108" s="29"/>
      <c r="F108" s="29">
        <v>1</v>
      </c>
    </row>
    <row r="109" spans="1:22" x14ac:dyDescent="0.25">
      <c r="A109" s="8">
        <v>45355</v>
      </c>
      <c r="B109" s="29"/>
      <c r="C109" s="29">
        <v>1</v>
      </c>
      <c r="D109" s="29"/>
      <c r="E109" s="29"/>
      <c r="F109" s="29">
        <v>1</v>
      </c>
    </row>
    <row r="110" spans="1:22" x14ac:dyDescent="0.25">
      <c r="A110" s="8">
        <v>45390</v>
      </c>
      <c r="B110" s="29"/>
      <c r="C110" s="29">
        <v>1</v>
      </c>
      <c r="D110" s="29"/>
      <c r="E110" s="29"/>
      <c r="F110" s="29">
        <v>1</v>
      </c>
    </row>
    <row r="111" spans="1:22" x14ac:dyDescent="0.25">
      <c r="A111" s="8">
        <v>45404</v>
      </c>
      <c r="B111" s="29"/>
      <c r="C111" s="29">
        <v>1</v>
      </c>
      <c r="D111" s="29"/>
      <c r="E111" s="29"/>
      <c r="F111" s="29">
        <v>1</v>
      </c>
    </row>
    <row r="112" spans="1:22" x14ac:dyDescent="0.25">
      <c r="A112" s="8">
        <v>45439</v>
      </c>
      <c r="B112" s="29"/>
      <c r="C112" s="29">
        <v>1</v>
      </c>
      <c r="D112" s="29"/>
      <c r="E112" s="29"/>
      <c r="F112" s="29">
        <v>1</v>
      </c>
    </row>
    <row r="113" spans="1:6" x14ac:dyDescent="0.25">
      <c r="A113" s="8">
        <v>45523</v>
      </c>
      <c r="B113" s="29">
        <v>1</v>
      </c>
      <c r="C113" s="29"/>
      <c r="D113" s="29"/>
      <c r="E113" s="29"/>
      <c r="F113" s="29">
        <v>1</v>
      </c>
    </row>
    <row r="114" spans="1:6" x14ac:dyDescent="0.25">
      <c r="A114" s="8">
        <v>45551</v>
      </c>
      <c r="B114" s="29"/>
      <c r="C114" s="29">
        <v>2</v>
      </c>
      <c r="D114" s="29"/>
      <c r="E114" s="29"/>
      <c r="F114" s="29">
        <v>2</v>
      </c>
    </row>
    <row r="115" spans="1:6" x14ac:dyDescent="0.25">
      <c r="A115" s="8">
        <v>45558</v>
      </c>
      <c r="B115" s="29">
        <v>1</v>
      </c>
      <c r="C115" s="29"/>
      <c r="D115" s="29"/>
      <c r="E115" s="29"/>
      <c r="F115" s="29">
        <v>1</v>
      </c>
    </row>
    <row r="116" spans="1:6" x14ac:dyDescent="0.25">
      <c r="A116" s="8">
        <v>45579</v>
      </c>
      <c r="B116" s="29"/>
      <c r="C116" s="29">
        <v>1</v>
      </c>
      <c r="D116" s="29"/>
      <c r="E116" s="29"/>
      <c r="F116" s="29">
        <v>1</v>
      </c>
    </row>
    <row r="117" spans="1:6" x14ac:dyDescent="0.25">
      <c r="A117" s="8">
        <v>45600</v>
      </c>
      <c r="B117" s="29"/>
      <c r="C117" s="29">
        <v>1</v>
      </c>
      <c r="D117" s="29"/>
      <c r="E117" s="29"/>
      <c r="F117" s="29">
        <v>1</v>
      </c>
    </row>
    <row r="118" spans="1:6" x14ac:dyDescent="0.25">
      <c r="A118" s="8">
        <v>45663</v>
      </c>
      <c r="B118" s="29">
        <v>1</v>
      </c>
      <c r="C118" s="29">
        <v>2</v>
      </c>
      <c r="D118" s="29"/>
      <c r="E118" s="29"/>
      <c r="F118" s="29">
        <v>3</v>
      </c>
    </row>
    <row r="119" spans="1:6" x14ac:dyDescent="0.25">
      <c r="A119" s="8">
        <v>45670</v>
      </c>
      <c r="B119" s="29">
        <v>7</v>
      </c>
      <c r="C119" s="29">
        <v>3</v>
      </c>
      <c r="D119" s="29"/>
      <c r="E119" s="29"/>
      <c r="F119" s="29">
        <v>10</v>
      </c>
    </row>
    <row r="120" spans="1:6" x14ac:dyDescent="0.25">
      <c r="A120" s="8">
        <v>45761</v>
      </c>
      <c r="B120" s="29">
        <v>4</v>
      </c>
      <c r="C120" s="29">
        <v>2</v>
      </c>
      <c r="D120" s="29"/>
      <c r="E120" s="29"/>
      <c r="F120" s="29">
        <v>6</v>
      </c>
    </row>
    <row r="121" spans="1:6" x14ac:dyDescent="0.25">
      <c r="A121" s="8" t="s">
        <v>942</v>
      </c>
      <c r="B121" s="29"/>
      <c r="C121" s="29"/>
      <c r="D121" s="29"/>
      <c r="E121" s="29"/>
      <c r="F121" s="29"/>
    </row>
    <row r="122" spans="1:6" x14ac:dyDescent="0.25">
      <c r="A122" s="8">
        <v>45929</v>
      </c>
      <c r="B122" s="29">
        <v>12</v>
      </c>
      <c r="C122" s="29">
        <v>5</v>
      </c>
      <c r="D122" s="29"/>
      <c r="E122" s="29"/>
      <c r="F122" s="29">
        <v>17</v>
      </c>
    </row>
    <row r="123" spans="1:6" x14ac:dyDescent="0.25">
      <c r="A123" s="8">
        <v>45936</v>
      </c>
      <c r="B123" s="29">
        <v>13</v>
      </c>
      <c r="C123" s="29">
        <v>1</v>
      </c>
      <c r="D123" s="29"/>
      <c r="E123" s="29"/>
      <c r="F123" s="29">
        <v>14</v>
      </c>
    </row>
    <row r="124" spans="1:6" x14ac:dyDescent="0.25">
      <c r="A124" s="8">
        <v>45943</v>
      </c>
      <c r="B124" s="29">
        <v>11</v>
      </c>
      <c r="C124" s="29">
        <v>6</v>
      </c>
      <c r="D124" s="29">
        <v>1</v>
      </c>
      <c r="E124" s="29"/>
      <c r="F124" s="29">
        <v>18</v>
      </c>
    </row>
    <row r="125" spans="1:6" x14ac:dyDescent="0.25">
      <c r="A125" s="8">
        <v>45950</v>
      </c>
      <c r="B125" s="29">
        <v>15</v>
      </c>
      <c r="C125" s="29">
        <v>6</v>
      </c>
      <c r="D125" s="29">
        <v>1</v>
      </c>
      <c r="E125" s="29"/>
      <c r="F125" s="29">
        <v>22</v>
      </c>
    </row>
    <row r="126" spans="1:6" x14ac:dyDescent="0.25">
      <c r="A126" s="8">
        <v>45957</v>
      </c>
      <c r="B126" s="29">
        <v>4</v>
      </c>
      <c r="C126" s="29">
        <v>2</v>
      </c>
      <c r="D126" s="29"/>
      <c r="E126" s="29"/>
      <c r="F126" s="29">
        <v>6</v>
      </c>
    </row>
    <row r="127" spans="1:6" x14ac:dyDescent="0.25">
      <c r="A127" s="8" t="s">
        <v>37</v>
      </c>
      <c r="B127" s="29">
        <v>323</v>
      </c>
      <c r="C127" s="29">
        <v>165</v>
      </c>
      <c r="D127" s="29">
        <v>2</v>
      </c>
      <c r="E127" s="29"/>
      <c r="F127" s="29">
        <v>490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B2AB-92F1-4D23-A054-89EE23B1119A}">
  <dimension ref="A1:AG37"/>
  <sheetViews>
    <sheetView topLeftCell="X1" zoomScale="60" zoomScaleNormal="60" workbookViewId="0">
      <selection activeCell="AY13" sqref="AY13"/>
    </sheetView>
  </sheetViews>
  <sheetFormatPr baseColWidth="10" defaultRowHeight="15" x14ac:dyDescent="0.25"/>
  <cols>
    <col min="1" max="1" width="25" bestFit="1" customWidth="1"/>
    <col min="2" max="2" width="31.28515625" bestFit="1" customWidth="1"/>
    <col min="3" max="3" width="19" bestFit="1" customWidth="1"/>
    <col min="4" max="4" width="15.85546875" bestFit="1" customWidth="1"/>
    <col min="5" max="5" width="17.5703125" bestFit="1" customWidth="1"/>
    <col min="6" max="6" width="14.140625" bestFit="1" customWidth="1"/>
    <col min="7" max="7" width="12.42578125" bestFit="1" customWidth="1"/>
    <col min="8" max="8" width="3" bestFit="1" customWidth="1"/>
    <col min="9" max="9" width="90.7109375" bestFit="1" customWidth="1"/>
    <col min="10" max="10" width="17" bestFit="1" customWidth="1"/>
    <col min="11" max="11" width="18" bestFit="1" customWidth="1"/>
    <col min="12" max="21" width="11.42578125" hidden="1" customWidth="1"/>
    <col min="31" max="31" width="15.28515625" customWidth="1"/>
    <col min="32" max="32" width="11.42578125" style="30"/>
  </cols>
  <sheetData>
    <row r="1" spans="1:33" x14ac:dyDescent="0.25">
      <c r="A1" s="7" t="s">
        <v>972</v>
      </c>
      <c r="B1" s="7" t="s">
        <v>38</v>
      </c>
    </row>
    <row r="2" spans="1:33" x14ac:dyDescent="0.25">
      <c r="A2" s="7" t="s">
        <v>36</v>
      </c>
      <c r="B2" t="s">
        <v>19</v>
      </c>
      <c r="C2" t="s">
        <v>12</v>
      </c>
      <c r="D2" t="s">
        <v>20</v>
      </c>
      <c r="E2" t="s">
        <v>943</v>
      </c>
      <c r="F2" t="s">
        <v>21</v>
      </c>
      <c r="G2" t="s">
        <v>53</v>
      </c>
      <c r="I2" t="s">
        <v>1110</v>
      </c>
      <c r="J2" t="s">
        <v>37</v>
      </c>
      <c r="L2" t="s">
        <v>973</v>
      </c>
      <c r="M2" t="s">
        <v>10</v>
      </c>
      <c r="N2" t="s">
        <v>974</v>
      </c>
      <c r="O2" t="s">
        <v>376</v>
      </c>
      <c r="P2" t="s">
        <v>975</v>
      </c>
      <c r="Q2" t="s">
        <v>976</v>
      </c>
      <c r="R2" t="s">
        <v>977</v>
      </c>
      <c r="S2" t="s">
        <v>259</v>
      </c>
      <c r="W2" s="26" t="s">
        <v>973</v>
      </c>
      <c r="X2" s="26" t="s">
        <v>974</v>
      </c>
      <c r="Y2" s="26" t="s">
        <v>376</v>
      </c>
      <c r="Z2" s="26" t="s">
        <v>975</v>
      </c>
      <c r="AA2" s="26" t="s">
        <v>976</v>
      </c>
      <c r="AB2" s="26" t="s">
        <v>977</v>
      </c>
      <c r="AC2" s="26" t="s">
        <v>259</v>
      </c>
      <c r="AE2" s="26" t="s">
        <v>974</v>
      </c>
      <c r="AF2" s="30">
        <f>AG2/SUM(AG2:AG7)</f>
        <v>1.8442622950819672E-2</v>
      </c>
      <c r="AG2" s="26">
        <f>X14</f>
        <v>9</v>
      </c>
    </row>
    <row r="3" spans="1:33" x14ac:dyDescent="0.25">
      <c r="A3" s="9" t="s">
        <v>978</v>
      </c>
      <c r="B3" s="29"/>
      <c r="C3" s="29">
        <v>1</v>
      </c>
      <c r="D3" s="29"/>
      <c r="E3" s="29"/>
      <c r="F3" s="29"/>
      <c r="G3" s="29"/>
      <c r="H3" s="29"/>
      <c r="I3" s="29"/>
      <c r="J3" s="29">
        <v>1</v>
      </c>
      <c r="L3" s="27" t="s">
        <v>982</v>
      </c>
      <c r="M3" s="27" t="s">
        <v>979</v>
      </c>
      <c r="N3" s="28"/>
      <c r="O3" s="28">
        <v>10</v>
      </c>
      <c r="P3" s="28"/>
      <c r="Q3" s="28"/>
      <c r="R3" s="28">
        <v>6</v>
      </c>
      <c r="S3" s="28">
        <v>7</v>
      </c>
      <c r="W3" s="26" t="s">
        <v>982</v>
      </c>
      <c r="X3" s="26"/>
      <c r="Y3" s="26">
        <v>10</v>
      </c>
      <c r="Z3" s="26"/>
      <c r="AA3" s="26"/>
      <c r="AB3" s="26">
        <v>5</v>
      </c>
      <c r="AC3" s="26">
        <v>7</v>
      </c>
      <c r="AE3" s="26" t="s">
        <v>376</v>
      </c>
      <c r="AF3" s="30">
        <f>AG3/(SUM(AG2:AG7))</f>
        <v>0.17827868852459017</v>
      </c>
      <c r="AG3" s="26">
        <f>Y14</f>
        <v>87</v>
      </c>
    </row>
    <row r="4" spans="1:33" x14ac:dyDescent="0.25">
      <c r="A4" s="9" t="s">
        <v>980</v>
      </c>
      <c r="B4" s="29"/>
      <c r="C4" s="29">
        <v>3</v>
      </c>
      <c r="D4" s="29"/>
      <c r="E4" s="29"/>
      <c r="F4" s="29"/>
      <c r="G4" s="29">
        <v>2</v>
      </c>
      <c r="H4" s="29"/>
      <c r="I4" s="29"/>
      <c r="J4" s="29">
        <v>5</v>
      </c>
      <c r="L4" t="s">
        <v>982</v>
      </c>
      <c r="M4" t="s">
        <v>981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W4" s="26" t="s">
        <v>983</v>
      </c>
      <c r="X4" s="26"/>
      <c r="Y4" s="26">
        <v>7</v>
      </c>
      <c r="Z4" s="26"/>
      <c r="AA4" s="26"/>
      <c r="AB4" s="26">
        <v>20</v>
      </c>
      <c r="AC4" s="26">
        <v>3</v>
      </c>
      <c r="AE4" s="26" t="s">
        <v>975</v>
      </c>
      <c r="AF4" s="30">
        <f>AG4/SUM(AG2:AG7)</f>
        <v>6.1475409836065573E-3</v>
      </c>
      <c r="AG4" s="26">
        <f>Z14</f>
        <v>3</v>
      </c>
    </row>
    <row r="5" spans="1:33" x14ac:dyDescent="0.25">
      <c r="A5" s="9" t="s">
        <v>982</v>
      </c>
      <c r="B5" s="29"/>
      <c r="C5" s="29">
        <v>3</v>
      </c>
      <c r="D5" s="29"/>
      <c r="E5" s="29"/>
      <c r="F5" s="29">
        <v>3</v>
      </c>
      <c r="G5" s="29"/>
      <c r="H5" s="29"/>
      <c r="I5" s="29"/>
      <c r="J5" s="29">
        <v>6</v>
      </c>
      <c r="L5" s="27" t="s">
        <v>983</v>
      </c>
      <c r="M5" s="27" t="s">
        <v>979</v>
      </c>
      <c r="N5" s="28">
        <f>B6</f>
        <v>0</v>
      </c>
      <c r="O5" s="28">
        <f t="shared" ref="O5:S5" si="0">C6</f>
        <v>7</v>
      </c>
      <c r="P5" s="28">
        <f t="shared" si="0"/>
        <v>0</v>
      </c>
      <c r="Q5" s="28">
        <f t="shared" si="0"/>
        <v>0</v>
      </c>
      <c r="R5" s="28">
        <f t="shared" si="0"/>
        <v>20</v>
      </c>
      <c r="S5" s="28">
        <f t="shared" si="0"/>
        <v>3</v>
      </c>
      <c r="W5" s="26" t="s">
        <v>984</v>
      </c>
      <c r="X5" s="26"/>
      <c r="Y5" s="26">
        <v>8</v>
      </c>
      <c r="Z5" s="26"/>
      <c r="AA5" s="26"/>
      <c r="AB5" s="26">
        <v>23</v>
      </c>
      <c r="AC5" s="26">
        <v>9</v>
      </c>
      <c r="AE5" s="26" t="s">
        <v>976</v>
      </c>
      <c r="AF5" s="30">
        <f>AG5/SUM(AG2:AG7)</f>
        <v>2.0491803278688526E-3</v>
      </c>
      <c r="AG5" s="26">
        <f>AA14</f>
        <v>1</v>
      </c>
    </row>
    <row r="6" spans="1:33" x14ac:dyDescent="0.25">
      <c r="A6" s="9" t="s">
        <v>983</v>
      </c>
      <c r="B6" s="29"/>
      <c r="C6" s="29">
        <v>7</v>
      </c>
      <c r="D6" s="29"/>
      <c r="E6" s="29"/>
      <c r="F6" s="29">
        <v>20</v>
      </c>
      <c r="G6" s="29">
        <v>3</v>
      </c>
      <c r="H6" s="29"/>
      <c r="I6" s="29"/>
      <c r="J6" s="29">
        <v>30</v>
      </c>
      <c r="L6" t="s">
        <v>983</v>
      </c>
      <c r="M6" t="s">
        <v>981</v>
      </c>
      <c r="N6" s="26">
        <f>B26</f>
        <v>0</v>
      </c>
      <c r="O6" s="26">
        <f t="shared" ref="O6:S6" si="1">C26</f>
        <v>14</v>
      </c>
      <c r="P6" s="26">
        <f t="shared" si="1"/>
        <v>0</v>
      </c>
      <c r="Q6" s="26">
        <f t="shared" si="1"/>
        <v>0</v>
      </c>
      <c r="R6" s="26">
        <f t="shared" si="1"/>
        <v>21</v>
      </c>
      <c r="S6" s="26">
        <f t="shared" si="1"/>
        <v>4</v>
      </c>
      <c r="W6" s="26" t="s">
        <v>985</v>
      </c>
      <c r="X6" s="26">
        <v>1</v>
      </c>
      <c r="Y6" s="26">
        <v>10</v>
      </c>
      <c r="Z6" s="26"/>
      <c r="AA6" s="26"/>
      <c r="AB6" s="26">
        <v>22</v>
      </c>
      <c r="AC6" s="26">
        <v>13</v>
      </c>
      <c r="AE6" s="26" t="s">
        <v>977</v>
      </c>
      <c r="AF6" s="30">
        <f>AG6/SUM(AG2:AG7)</f>
        <v>0.64754098360655743</v>
      </c>
      <c r="AG6" s="26">
        <f>AB14</f>
        <v>316</v>
      </c>
    </row>
    <row r="7" spans="1:33" x14ac:dyDescent="0.25">
      <c r="A7" s="9" t="s">
        <v>984</v>
      </c>
      <c r="B7" s="29"/>
      <c r="C7" s="29">
        <v>8</v>
      </c>
      <c r="D7" s="29"/>
      <c r="E7" s="29"/>
      <c r="F7" s="29">
        <v>23</v>
      </c>
      <c r="G7" s="29">
        <v>9</v>
      </c>
      <c r="H7" s="29"/>
      <c r="I7" s="29"/>
      <c r="J7" s="29">
        <v>40</v>
      </c>
      <c r="L7" s="27" t="s">
        <v>983</v>
      </c>
      <c r="M7" s="27" t="s">
        <v>979</v>
      </c>
      <c r="N7" s="28">
        <f>B7</f>
        <v>0</v>
      </c>
      <c r="O7" s="28">
        <f t="shared" ref="O7:S7" si="2">C7</f>
        <v>8</v>
      </c>
      <c r="P7" s="28">
        <f t="shared" si="2"/>
        <v>0</v>
      </c>
      <c r="Q7" s="28">
        <f t="shared" si="2"/>
        <v>0</v>
      </c>
      <c r="R7" s="28">
        <f t="shared" si="2"/>
        <v>23</v>
      </c>
      <c r="S7" s="28">
        <f t="shared" si="2"/>
        <v>9</v>
      </c>
      <c r="W7" s="26" t="s">
        <v>986</v>
      </c>
      <c r="X7" s="26"/>
      <c r="Y7" s="26">
        <v>8</v>
      </c>
      <c r="Z7" s="26">
        <v>1</v>
      </c>
      <c r="AA7" s="26"/>
      <c r="AB7" s="26">
        <v>13</v>
      </c>
      <c r="AC7" s="26">
        <v>2</v>
      </c>
      <c r="AE7" s="26" t="s">
        <v>259</v>
      </c>
      <c r="AF7" s="30">
        <f>AG7/SUM(AG2:AG7)</f>
        <v>0.14754098360655737</v>
      </c>
      <c r="AG7" s="26">
        <f>AC14</f>
        <v>72</v>
      </c>
    </row>
    <row r="8" spans="1:33" x14ac:dyDescent="0.25">
      <c r="A8" s="9" t="s">
        <v>985</v>
      </c>
      <c r="B8" s="29">
        <v>1</v>
      </c>
      <c r="C8" s="29">
        <v>10</v>
      </c>
      <c r="D8" s="29"/>
      <c r="E8" s="29"/>
      <c r="F8" s="29">
        <v>22</v>
      </c>
      <c r="G8" s="29">
        <v>13</v>
      </c>
      <c r="H8" s="29"/>
      <c r="I8" s="29"/>
      <c r="J8" s="29">
        <v>46</v>
      </c>
      <c r="L8" t="s">
        <v>984</v>
      </c>
      <c r="M8" t="s">
        <v>981</v>
      </c>
      <c r="N8" s="26">
        <f>B27</f>
        <v>0</v>
      </c>
      <c r="O8" s="26">
        <f t="shared" ref="O8:S8" si="3">C27</f>
        <v>2</v>
      </c>
      <c r="P8" s="26">
        <f t="shared" si="3"/>
        <v>0</v>
      </c>
      <c r="Q8" s="26">
        <f t="shared" si="3"/>
        <v>0</v>
      </c>
      <c r="R8" s="26">
        <f t="shared" si="3"/>
        <v>24</v>
      </c>
      <c r="S8" s="26">
        <f t="shared" si="3"/>
        <v>4</v>
      </c>
      <c r="W8" s="26" t="s">
        <v>987</v>
      </c>
      <c r="X8" s="26">
        <v>2</v>
      </c>
      <c r="Y8" s="26">
        <v>9</v>
      </c>
      <c r="Z8" s="26"/>
      <c r="AA8" s="26"/>
      <c r="AB8" s="26">
        <v>20</v>
      </c>
      <c r="AC8" s="26">
        <v>5</v>
      </c>
    </row>
    <row r="9" spans="1:33" x14ac:dyDescent="0.25">
      <c r="A9" s="9" t="s">
        <v>986</v>
      </c>
      <c r="B9" s="29"/>
      <c r="C9" s="29">
        <v>8</v>
      </c>
      <c r="D9" s="29">
        <v>1</v>
      </c>
      <c r="E9" s="29"/>
      <c r="F9" s="29">
        <v>13</v>
      </c>
      <c r="G9" s="29">
        <v>2</v>
      </c>
      <c r="H9" s="29"/>
      <c r="I9" s="29"/>
      <c r="J9" s="29">
        <v>24</v>
      </c>
      <c r="L9" s="27" t="s">
        <v>985</v>
      </c>
      <c r="M9" s="27" t="s">
        <v>979</v>
      </c>
      <c r="N9" s="28">
        <f>B8</f>
        <v>1</v>
      </c>
      <c r="O9" s="28">
        <f t="shared" ref="O9:S9" si="4">C8</f>
        <v>10</v>
      </c>
      <c r="P9" s="28">
        <f t="shared" si="4"/>
        <v>0</v>
      </c>
      <c r="Q9" s="28">
        <f t="shared" si="4"/>
        <v>0</v>
      </c>
      <c r="R9" s="28">
        <f t="shared" si="4"/>
        <v>22</v>
      </c>
      <c r="S9" s="28">
        <f t="shared" si="4"/>
        <v>13</v>
      </c>
      <c r="W9" s="26" t="s">
        <v>988</v>
      </c>
      <c r="X9" s="26">
        <v>2</v>
      </c>
      <c r="Y9" s="26">
        <v>9</v>
      </c>
      <c r="Z9" s="26"/>
      <c r="AA9" s="26"/>
      <c r="AB9" s="26">
        <v>50</v>
      </c>
      <c r="AC9" s="26">
        <v>13</v>
      </c>
    </row>
    <row r="10" spans="1:33" x14ac:dyDescent="0.25">
      <c r="A10" s="9" t="s">
        <v>987</v>
      </c>
      <c r="B10" s="29">
        <v>2</v>
      </c>
      <c r="C10" s="29">
        <v>9</v>
      </c>
      <c r="D10" s="29"/>
      <c r="E10" s="29"/>
      <c r="F10" s="29">
        <v>20</v>
      </c>
      <c r="G10" s="29">
        <v>5</v>
      </c>
      <c r="H10" s="29"/>
      <c r="I10" s="29"/>
      <c r="J10" s="29">
        <v>36</v>
      </c>
      <c r="L10" t="s">
        <v>985</v>
      </c>
      <c r="M10" t="s">
        <v>981</v>
      </c>
      <c r="N10" s="26">
        <f>B28</f>
        <v>0</v>
      </c>
      <c r="O10" s="26">
        <f t="shared" ref="O10:S10" si="5">C28</f>
        <v>9</v>
      </c>
      <c r="P10" s="26">
        <f t="shared" si="5"/>
        <v>0</v>
      </c>
      <c r="Q10" s="26">
        <f t="shared" si="5"/>
        <v>0</v>
      </c>
      <c r="R10" s="26">
        <f t="shared" si="5"/>
        <v>21</v>
      </c>
      <c r="S10" s="26">
        <f t="shared" si="5"/>
        <v>15</v>
      </c>
      <c r="W10" s="26" t="s">
        <v>989</v>
      </c>
      <c r="X10" s="26">
        <v>2</v>
      </c>
      <c r="Y10" s="26">
        <v>6</v>
      </c>
      <c r="Z10" s="26"/>
      <c r="AA10" s="26">
        <v>1</v>
      </c>
      <c r="AB10" s="26">
        <v>36</v>
      </c>
      <c r="AC10" s="26">
        <v>3</v>
      </c>
    </row>
    <row r="11" spans="1:33" x14ac:dyDescent="0.25">
      <c r="A11" s="9" t="s">
        <v>988</v>
      </c>
      <c r="B11" s="29">
        <v>2</v>
      </c>
      <c r="C11" s="29">
        <v>9</v>
      </c>
      <c r="D11" s="29"/>
      <c r="E11" s="29"/>
      <c r="F11" s="29">
        <v>50</v>
      </c>
      <c r="G11" s="29">
        <v>13</v>
      </c>
      <c r="H11" s="29"/>
      <c r="I11" s="29"/>
      <c r="J11" s="29">
        <v>74</v>
      </c>
      <c r="L11" s="27" t="s">
        <v>986</v>
      </c>
      <c r="M11" s="27" t="s">
        <v>979</v>
      </c>
      <c r="N11" s="28">
        <f>B9</f>
        <v>0</v>
      </c>
      <c r="O11" s="28">
        <f t="shared" ref="O11:S11" si="6">C9</f>
        <v>8</v>
      </c>
      <c r="P11" s="28">
        <f t="shared" si="6"/>
        <v>1</v>
      </c>
      <c r="Q11" s="28">
        <f t="shared" si="6"/>
        <v>0</v>
      </c>
      <c r="R11" s="28">
        <f t="shared" si="6"/>
        <v>13</v>
      </c>
      <c r="S11" s="28">
        <f t="shared" si="6"/>
        <v>2</v>
      </c>
      <c r="W11" s="26" t="s">
        <v>990</v>
      </c>
      <c r="X11" s="26">
        <v>2</v>
      </c>
      <c r="Y11" s="26">
        <v>2</v>
      </c>
      <c r="Z11" s="26"/>
      <c r="AA11" s="26"/>
      <c r="AB11" s="26">
        <v>31</v>
      </c>
      <c r="AC11" s="26">
        <v>6</v>
      </c>
    </row>
    <row r="12" spans="1:33" x14ac:dyDescent="0.25">
      <c r="A12" s="9" t="s">
        <v>989</v>
      </c>
      <c r="B12" s="29">
        <v>2</v>
      </c>
      <c r="C12" s="29">
        <v>6</v>
      </c>
      <c r="D12" s="29"/>
      <c r="E12" s="29">
        <v>1</v>
      </c>
      <c r="F12" s="29">
        <v>36</v>
      </c>
      <c r="G12" s="29">
        <v>3</v>
      </c>
      <c r="H12" s="29"/>
      <c r="I12" s="29"/>
      <c r="J12" s="29">
        <v>48</v>
      </c>
      <c r="L12" t="s">
        <v>986</v>
      </c>
      <c r="M12" t="s">
        <v>981</v>
      </c>
      <c r="N12" s="26">
        <f>B29</f>
        <v>0</v>
      </c>
      <c r="O12" s="26">
        <f t="shared" ref="O12:S12" si="7">C29</f>
        <v>5</v>
      </c>
      <c r="P12" s="26">
        <f t="shared" si="7"/>
        <v>0</v>
      </c>
      <c r="Q12" s="26">
        <f t="shared" si="7"/>
        <v>0</v>
      </c>
      <c r="R12" s="26">
        <f t="shared" si="7"/>
        <v>14</v>
      </c>
      <c r="S12" s="26">
        <f t="shared" si="7"/>
        <v>3</v>
      </c>
      <c r="W12" s="26" t="s">
        <v>991</v>
      </c>
      <c r="X12" s="26"/>
      <c r="Y12" s="26">
        <v>10</v>
      </c>
      <c r="Z12" s="26">
        <v>1</v>
      </c>
      <c r="AA12" s="26"/>
      <c r="AB12" s="26">
        <v>51</v>
      </c>
      <c r="AC12" s="26">
        <v>7</v>
      </c>
    </row>
    <row r="13" spans="1:33" x14ac:dyDescent="0.25">
      <c r="A13" s="9" t="s">
        <v>990</v>
      </c>
      <c r="B13" s="29">
        <v>2</v>
      </c>
      <c r="C13" s="29">
        <v>2</v>
      </c>
      <c r="D13" s="29"/>
      <c r="E13" s="29"/>
      <c r="F13" s="29">
        <v>31</v>
      </c>
      <c r="G13" s="29">
        <v>6</v>
      </c>
      <c r="H13" s="29"/>
      <c r="I13" s="29"/>
      <c r="J13" s="29">
        <v>41</v>
      </c>
      <c r="L13" s="27" t="s">
        <v>987</v>
      </c>
      <c r="M13" s="27" t="s">
        <v>979</v>
      </c>
      <c r="N13" s="28">
        <f>B10</f>
        <v>2</v>
      </c>
      <c r="O13" s="28">
        <f t="shared" ref="O13:S13" si="8">C10</f>
        <v>9</v>
      </c>
      <c r="P13" s="28">
        <f t="shared" si="8"/>
        <v>0</v>
      </c>
      <c r="Q13" s="28">
        <f t="shared" si="8"/>
        <v>0</v>
      </c>
      <c r="R13" s="28">
        <f t="shared" si="8"/>
        <v>20</v>
      </c>
      <c r="S13" s="28">
        <f t="shared" si="8"/>
        <v>5</v>
      </c>
      <c r="W13" s="26" t="s">
        <v>1049</v>
      </c>
      <c r="Y13" s="26">
        <v>8</v>
      </c>
      <c r="Z13">
        <v>1</v>
      </c>
      <c r="AB13" s="26">
        <v>45</v>
      </c>
      <c r="AC13" s="26">
        <v>4</v>
      </c>
    </row>
    <row r="14" spans="1:33" x14ac:dyDescent="0.25">
      <c r="A14" s="9" t="s">
        <v>991</v>
      </c>
      <c r="B14" s="29"/>
      <c r="C14" s="29">
        <v>10</v>
      </c>
      <c r="D14" s="29">
        <v>1</v>
      </c>
      <c r="E14" s="29"/>
      <c r="F14" s="29">
        <v>51</v>
      </c>
      <c r="G14" s="29">
        <v>7</v>
      </c>
      <c r="H14" s="29"/>
      <c r="I14" s="29"/>
      <c r="J14" s="29">
        <v>69</v>
      </c>
      <c r="L14" t="s">
        <v>987</v>
      </c>
      <c r="M14" t="s">
        <v>981</v>
      </c>
      <c r="N14" s="26">
        <f>B30</f>
        <v>0</v>
      </c>
      <c r="O14" s="26">
        <f t="shared" ref="O14:S14" si="9">C30</f>
        <v>15</v>
      </c>
      <c r="P14" s="26">
        <f t="shared" si="9"/>
        <v>0</v>
      </c>
      <c r="Q14" s="26">
        <f t="shared" si="9"/>
        <v>0</v>
      </c>
      <c r="R14" s="26">
        <f t="shared" si="9"/>
        <v>22</v>
      </c>
      <c r="S14" s="26">
        <f t="shared" si="9"/>
        <v>3</v>
      </c>
      <c r="X14" s="26">
        <f>SUM(X3:X13)</f>
        <v>9</v>
      </c>
      <c r="Y14" s="26">
        <f>SUM(Y3:Y13)</f>
        <v>87</v>
      </c>
      <c r="Z14" s="26">
        <f>SUM(Z3:Z13)</f>
        <v>3</v>
      </c>
      <c r="AA14" s="26">
        <f>SUM(AA3:AA13)</f>
        <v>1</v>
      </c>
      <c r="AB14" s="26">
        <f>SUM(AB3:AB13)</f>
        <v>316</v>
      </c>
      <c r="AC14" s="26">
        <f>SUM(AC3:AC13)</f>
        <v>72</v>
      </c>
    </row>
    <row r="15" spans="1:33" x14ac:dyDescent="0.25">
      <c r="A15" s="9" t="s">
        <v>993</v>
      </c>
      <c r="B15" s="29"/>
      <c r="C15" s="29"/>
      <c r="D15" s="29"/>
      <c r="E15" s="29"/>
      <c r="F15" s="29"/>
      <c r="G15" s="29">
        <v>2</v>
      </c>
      <c r="H15" s="29"/>
      <c r="I15" s="29"/>
      <c r="J15" s="29">
        <v>2</v>
      </c>
      <c r="L15" s="27" t="s">
        <v>988</v>
      </c>
      <c r="M15" s="27" t="s">
        <v>979</v>
      </c>
      <c r="N15" s="28">
        <f>B11</f>
        <v>2</v>
      </c>
      <c r="O15" s="28">
        <f t="shared" ref="O15:S15" si="10">C11</f>
        <v>9</v>
      </c>
      <c r="P15" s="28">
        <f t="shared" si="10"/>
        <v>0</v>
      </c>
      <c r="Q15" s="28">
        <f t="shared" si="10"/>
        <v>0</v>
      </c>
      <c r="R15" s="28">
        <f t="shared" si="10"/>
        <v>50</v>
      </c>
      <c r="S15" s="28">
        <f t="shared" si="10"/>
        <v>13</v>
      </c>
    </row>
    <row r="16" spans="1:33" x14ac:dyDescent="0.25">
      <c r="A16" s="9" t="s">
        <v>994</v>
      </c>
      <c r="B16" s="29"/>
      <c r="C16" s="29">
        <v>1</v>
      </c>
      <c r="D16" s="29"/>
      <c r="E16" s="29"/>
      <c r="F16" s="29"/>
      <c r="G16" s="29"/>
      <c r="H16" s="29"/>
      <c r="I16" s="29"/>
      <c r="J16" s="29">
        <v>1</v>
      </c>
      <c r="L16" t="s">
        <v>988</v>
      </c>
      <c r="M16" t="s">
        <v>981</v>
      </c>
      <c r="N16" s="26">
        <f>B31</f>
        <v>1</v>
      </c>
      <c r="O16" s="26">
        <f t="shared" ref="O16:S16" si="11">C31</f>
        <v>9</v>
      </c>
      <c r="P16" s="26">
        <f t="shared" si="11"/>
        <v>0</v>
      </c>
      <c r="Q16" s="26">
        <f t="shared" si="11"/>
        <v>0</v>
      </c>
      <c r="R16" s="26">
        <f t="shared" si="11"/>
        <v>46</v>
      </c>
      <c r="S16" s="26">
        <f t="shared" si="11"/>
        <v>17</v>
      </c>
    </row>
    <row r="17" spans="1:19" x14ac:dyDescent="0.25">
      <c r="A17" s="9" t="s">
        <v>995</v>
      </c>
      <c r="B17" s="29"/>
      <c r="C17" s="29"/>
      <c r="D17" s="29"/>
      <c r="E17" s="29"/>
      <c r="F17" s="29"/>
      <c r="G17" s="29">
        <v>2</v>
      </c>
      <c r="H17" s="29"/>
      <c r="I17" s="29"/>
      <c r="J17" s="29">
        <v>2</v>
      </c>
      <c r="L17" s="27" t="s">
        <v>989</v>
      </c>
      <c r="M17" s="27" t="s">
        <v>979</v>
      </c>
      <c r="N17" s="28">
        <f>B12</f>
        <v>2</v>
      </c>
      <c r="O17" s="28">
        <f t="shared" ref="O17:S17" si="12">C12</f>
        <v>6</v>
      </c>
      <c r="P17" s="28">
        <f t="shared" si="12"/>
        <v>0</v>
      </c>
      <c r="Q17" s="28">
        <f t="shared" si="12"/>
        <v>1</v>
      </c>
      <c r="R17" s="28">
        <f t="shared" si="12"/>
        <v>36</v>
      </c>
      <c r="S17" s="28">
        <f t="shared" si="12"/>
        <v>3</v>
      </c>
    </row>
    <row r="18" spans="1:19" x14ac:dyDescent="0.25">
      <c r="A18" s="9" t="s">
        <v>996</v>
      </c>
      <c r="B18" s="29"/>
      <c r="C18" s="29">
        <v>1</v>
      </c>
      <c r="D18" s="29"/>
      <c r="E18" s="29"/>
      <c r="F18" s="29"/>
      <c r="G18" s="29"/>
      <c r="H18" s="29"/>
      <c r="I18" s="29"/>
      <c r="J18" s="29">
        <v>1</v>
      </c>
      <c r="L18" t="s">
        <v>989</v>
      </c>
      <c r="M18" t="s">
        <v>981</v>
      </c>
      <c r="N18" s="26">
        <f>B32</f>
        <v>4</v>
      </c>
      <c r="O18" s="26">
        <f t="shared" ref="O18:S18" si="13">C32</f>
        <v>7</v>
      </c>
      <c r="P18" s="26">
        <f t="shared" si="13"/>
        <v>1</v>
      </c>
      <c r="Q18" s="26">
        <f t="shared" si="13"/>
        <v>1</v>
      </c>
      <c r="R18" s="26">
        <f t="shared" si="13"/>
        <v>37</v>
      </c>
      <c r="S18" s="26">
        <f t="shared" si="13"/>
        <v>4</v>
      </c>
    </row>
    <row r="19" spans="1:19" x14ac:dyDescent="0.25">
      <c r="A19" s="9" t="s">
        <v>997</v>
      </c>
      <c r="B19" s="29"/>
      <c r="C19" s="29"/>
      <c r="D19" s="29"/>
      <c r="E19" s="29"/>
      <c r="F19" s="29">
        <v>1</v>
      </c>
      <c r="G19" s="29"/>
      <c r="H19" s="29"/>
      <c r="I19" s="29"/>
      <c r="J19" s="29">
        <v>1</v>
      </c>
      <c r="L19" s="27" t="s">
        <v>990</v>
      </c>
      <c r="M19" s="27" t="s">
        <v>979</v>
      </c>
      <c r="N19" s="28">
        <f>B13</f>
        <v>2</v>
      </c>
      <c r="O19" s="28">
        <f t="shared" ref="O19:S19" si="14">C13</f>
        <v>2</v>
      </c>
      <c r="P19" s="28">
        <f t="shared" si="14"/>
        <v>0</v>
      </c>
      <c r="Q19" s="28">
        <f t="shared" si="14"/>
        <v>0</v>
      </c>
      <c r="R19" s="28">
        <f t="shared" si="14"/>
        <v>31</v>
      </c>
      <c r="S19" s="28">
        <f t="shared" si="14"/>
        <v>6</v>
      </c>
    </row>
    <row r="20" spans="1:19" x14ac:dyDescent="0.25">
      <c r="A20" s="9" t="s">
        <v>998</v>
      </c>
      <c r="B20" s="29"/>
      <c r="C20" s="29">
        <v>1</v>
      </c>
      <c r="D20" s="29"/>
      <c r="E20" s="29"/>
      <c r="F20" s="29">
        <v>1</v>
      </c>
      <c r="G20" s="29">
        <v>1</v>
      </c>
      <c r="H20" s="29"/>
      <c r="I20" s="29"/>
      <c r="J20" s="29">
        <v>3</v>
      </c>
      <c r="L20" t="s">
        <v>990</v>
      </c>
      <c r="M20" t="s">
        <v>981</v>
      </c>
      <c r="N20" s="26">
        <f>B33</f>
        <v>1</v>
      </c>
      <c r="O20" s="26">
        <f t="shared" ref="O20:S20" si="15">C33</f>
        <v>4</v>
      </c>
      <c r="P20" s="26">
        <f t="shared" si="15"/>
        <v>0</v>
      </c>
      <c r="Q20" s="26">
        <f t="shared" si="15"/>
        <v>0</v>
      </c>
      <c r="R20" s="26">
        <f t="shared" si="15"/>
        <v>28</v>
      </c>
      <c r="S20" s="26">
        <f t="shared" si="15"/>
        <v>3</v>
      </c>
    </row>
    <row r="21" spans="1:19" x14ac:dyDescent="0.25">
      <c r="A21" s="9" t="s">
        <v>1049</v>
      </c>
      <c r="B21" s="29"/>
      <c r="C21" s="29">
        <v>10</v>
      </c>
      <c r="D21" s="29">
        <v>1</v>
      </c>
      <c r="E21" s="29"/>
      <c r="F21" s="29">
        <v>43</v>
      </c>
      <c r="G21" s="29">
        <v>4</v>
      </c>
      <c r="H21" s="29">
        <v>1</v>
      </c>
      <c r="I21" s="29">
        <v>1</v>
      </c>
      <c r="J21" s="29">
        <v>60</v>
      </c>
      <c r="L21" s="27" t="s">
        <v>991</v>
      </c>
      <c r="M21" s="27" t="s">
        <v>979</v>
      </c>
      <c r="N21" s="28">
        <f>B14</f>
        <v>0</v>
      </c>
      <c r="O21" s="28">
        <f t="shared" ref="O21:S21" si="16">C14</f>
        <v>10</v>
      </c>
      <c r="P21" s="28">
        <f t="shared" si="16"/>
        <v>1</v>
      </c>
      <c r="Q21" s="28">
        <f t="shared" si="16"/>
        <v>0</v>
      </c>
      <c r="R21" s="28">
        <f t="shared" si="16"/>
        <v>51</v>
      </c>
      <c r="S21" s="28">
        <f t="shared" si="16"/>
        <v>7</v>
      </c>
    </row>
    <row r="22" spans="1:19" x14ac:dyDescent="0.25">
      <c r="A22" s="9" t="s">
        <v>37</v>
      </c>
      <c r="B22" s="29">
        <v>9</v>
      </c>
      <c r="C22" s="29">
        <v>89</v>
      </c>
      <c r="D22" s="29">
        <v>3</v>
      </c>
      <c r="E22" s="29">
        <v>1</v>
      </c>
      <c r="F22" s="29">
        <v>314</v>
      </c>
      <c r="G22" s="29">
        <v>72</v>
      </c>
      <c r="H22" s="29">
        <v>1</v>
      </c>
      <c r="I22" s="29">
        <v>1</v>
      </c>
      <c r="J22" s="29">
        <v>490</v>
      </c>
      <c r="L22" t="s">
        <v>991</v>
      </c>
      <c r="M22" t="s">
        <v>981</v>
      </c>
      <c r="N22" s="26">
        <f>B34</f>
        <v>3</v>
      </c>
      <c r="O22" s="26">
        <f t="shared" ref="O22:S22" si="17">C34</f>
        <v>11</v>
      </c>
      <c r="P22" s="26">
        <f t="shared" si="17"/>
        <v>1</v>
      </c>
      <c r="Q22" s="26">
        <f t="shared" si="17"/>
        <v>0</v>
      </c>
      <c r="R22" s="26">
        <f t="shared" si="17"/>
        <v>41</v>
      </c>
      <c r="S22" s="26">
        <f t="shared" si="17"/>
        <v>10</v>
      </c>
    </row>
    <row r="24" spans="1:19" x14ac:dyDescent="0.25">
      <c r="A24" s="7" t="s">
        <v>972</v>
      </c>
      <c r="B24" s="7" t="s">
        <v>38</v>
      </c>
    </row>
    <row r="25" spans="1:19" x14ac:dyDescent="0.25">
      <c r="A25" s="7" t="s">
        <v>36</v>
      </c>
      <c r="B25" t="s">
        <v>19</v>
      </c>
      <c r="C25" t="s">
        <v>12</v>
      </c>
      <c r="D25" t="s">
        <v>20</v>
      </c>
      <c r="E25" t="s">
        <v>943</v>
      </c>
      <c r="F25" t="s">
        <v>21</v>
      </c>
      <c r="G25" t="s">
        <v>53</v>
      </c>
      <c r="I25" t="s">
        <v>1110</v>
      </c>
      <c r="J25" t="s">
        <v>37</v>
      </c>
    </row>
    <row r="26" spans="1:19" x14ac:dyDescent="0.25">
      <c r="A26" s="9" t="s">
        <v>983</v>
      </c>
      <c r="B26" s="29"/>
      <c r="C26" s="29">
        <v>14</v>
      </c>
      <c r="D26" s="29"/>
      <c r="E26" s="29"/>
      <c r="F26" s="29">
        <v>21</v>
      </c>
      <c r="G26" s="29">
        <v>4</v>
      </c>
      <c r="H26" s="29"/>
      <c r="I26" s="29"/>
      <c r="J26" s="29">
        <v>39</v>
      </c>
    </row>
    <row r="27" spans="1:19" x14ac:dyDescent="0.25">
      <c r="A27" s="9" t="s">
        <v>984</v>
      </c>
      <c r="B27" s="29"/>
      <c r="C27" s="29">
        <v>2</v>
      </c>
      <c r="D27" s="29"/>
      <c r="E27" s="29"/>
      <c r="F27" s="29">
        <v>24</v>
      </c>
      <c r="G27" s="29">
        <v>4</v>
      </c>
      <c r="H27" s="29"/>
      <c r="I27" s="29"/>
      <c r="J27" s="29">
        <v>30</v>
      </c>
    </row>
    <row r="28" spans="1:19" x14ac:dyDescent="0.25">
      <c r="A28" s="9" t="s">
        <v>985</v>
      </c>
      <c r="B28" s="29"/>
      <c r="C28" s="29">
        <v>9</v>
      </c>
      <c r="D28" s="29"/>
      <c r="E28" s="29"/>
      <c r="F28" s="29">
        <v>21</v>
      </c>
      <c r="G28" s="29">
        <v>15</v>
      </c>
      <c r="H28" s="29"/>
      <c r="I28" s="29"/>
      <c r="J28" s="29">
        <v>45</v>
      </c>
    </row>
    <row r="29" spans="1:19" x14ac:dyDescent="0.25">
      <c r="A29" s="9" t="s">
        <v>986</v>
      </c>
      <c r="B29" s="29"/>
      <c r="C29" s="29">
        <v>5</v>
      </c>
      <c r="D29" s="29"/>
      <c r="E29" s="29"/>
      <c r="F29" s="29">
        <v>14</v>
      </c>
      <c r="G29" s="29">
        <v>3</v>
      </c>
      <c r="H29" s="29"/>
      <c r="I29" s="29"/>
      <c r="J29" s="29">
        <v>22</v>
      </c>
    </row>
    <row r="30" spans="1:19" x14ac:dyDescent="0.25">
      <c r="A30" s="9" t="s">
        <v>987</v>
      </c>
      <c r="B30" s="29"/>
      <c r="C30" s="29">
        <v>15</v>
      </c>
      <c r="D30" s="29"/>
      <c r="E30" s="29"/>
      <c r="F30" s="29">
        <v>22</v>
      </c>
      <c r="G30" s="29">
        <v>3</v>
      </c>
      <c r="H30" s="29"/>
      <c r="I30" s="29"/>
      <c r="J30" s="29">
        <v>40</v>
      </c>
    </row>
    <row r="31" spans="1:19" x14ac:dyDescent="0.25">
      <c r="A31" s="9" t="s">
        <v>988</v>
      </c>
      <c r="B31" s="29">
        <v>1</v>
      </c>
      <c r="C31" s="29">
        <v>9</v>
      </c>
      <c r="D31" s="29"/>
      <c r="E31" s="29"/>
      <c r="F31" s="29">
        <v>46</v>
      </c>
      <c r="G31" s="29">
        <v>17</v>
      </c>
      <c r="H31" s="29"/>
      <c r="I31" s="29"/>
      <c r="J31" s="29">
        <v>73</v>
      </c>
    </row>
    <row r="32" spans="1:19" x14ac:dyDescent="0.25">
      <c r="A32" s="9" t="s">
        <v>989</v>
      </c>
      <c r="B32" s="29">
        <v>4</v>
      </c>
      <c r="C32" s="29">
        <v>7</v>
      </c>
      <c r="D32" s="29">
        <v>1</v>
      </c>
      <c r="E32" s="29">
        <v>1</v>
      </c>
      <c r="F32" s="29">
        <v>37</v>
      </c>
      <c r="G32" s="29">
        <v>4</v>
      </c>
      <c r="H32" s="29"/>
      <c r="I32" s="29"/>
      <c r="J32" s="29">
        <v>54</v>
      </c>
    </row>
    <row r="33" spans="1:10" x14ac:dyDescent="0.25">
      <c r="A33" s="9" t="s">
        <v>990</v>
      </c>
      <c r="B33" s="29">
        <v>1</v>
      </c>
      <c r="C33" s="29">
        <v>4</v>
      </c>
      <c r="D33" s="29"/>
      <c r="E33" s="29"/>
      <c r="F33" s="29">
        <v>28</v>
      </c>
      <c r="G33" s="29">
        <v>3</v>
      </c>
      <c r="H33" s="29"/>
      <c r="I33" s="29"/>
      <c r="J33" s="29">
        <v>36</v>
      </c>
    </row>
    <row r="34" spans="1:10" x14ac:dyDescent="0.25">
      <c r="A34" s="9" t="s">
        <v>991</v>
      </c>
      <c r="B34" s="29">
        <v>3</v>
      </c>
      <c r="C34" s="29">
        <v>11</v>
      </c>
      <c r="D34" s="29">
        <v>1</v>
      </c>
      <c r="E34" s="29"/>
      <c r="F34" s="29">
        <v>41</v>
      </c>
      <c r="G34" s="29">
        <v>10</v>
      </c>
      <c r="H34" s="29"/>
      <c r="I34" s="29"/>
      <c r="J34" s="29">
        <v>66</v>
      </c>
    </row>
    <row r="35" spans="1:10" x14ac:dyDescent="0.25">
      <c r="A35" s="9" t="s">
        <v>992</v>
      </c>
      <c r="B35" s="29"/>
      <c r="C35" s="29">
        <v>3</v>
      </c>
      <c r="D35" s="29">
        <v>1</v>
      </c>
      <c r="E35" s="29"/>
      <c r="F35" s="29">
        <v>10</v>
      </c>
      <c r="G35" s="29">
        <v>5</v>
      </c>
      <c r="H35" s="29">
        <v>1</v>
      </c>
      <c r="I35" s="29">
        <v>1</v>
      </c>
      <c r="J35" s="29">
        <v>21</v>
      </c>
    </row>
    <row r="36" spans="1:10" x14ac:dyDescent="0.25">
      <c r="A36" s="9" t="s">
        <v>1049</v>
      </c>
      <c r="B36" s="29"/>
      <c r="C36" s="29">
        <v>10</v>
      </c>
      <c r="D36" s="29"/>
      <c r="E36" s="29"/>
      <c r="F36" s="29">
        <v>50</v>
      </c>
      <c r="G36" s="29">
        <v>4</v>
      </c>
      <c r="H36" s="29"/>
      <c r="I36" s="29"/>
      <c r="J36" s="29">
        <v>64</v>
      </c>
    </row>
    <row r="37" spans="1:10" x14ac:dyDescent="0.25">
      <c r="A37" s="9" t="s">
        <v>37</v>
      </c>
      <c r="B37" s="29">
        <v>9</v>
      </c>
      <c r="C37" s="29">
        <v>89</v>
      </c>
      <c r="D37" s="29">
        <v>3</v>
      </c>
      <c r="E37" s="29">
        <v>1</v>
      </c>
      <c r="F37" s="29">
        <v>314</v>
      </c>
      <c r="G37" s="29">
        <v>72</v>
      </c>
      <c r="H37" s="29">
        <v>1</v>
      </c>
      <c r="I37" s="29">
        <v>1</v>
      </c>
      <c r="J37" s="29">
        <v>490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5E88-E43F-4997-99F9-BF1C7F83B365}">
  <dimension ref="A3:O13"/>
  <sheetViews>
    <sheetView tabSelected="1" topLeftCell="A13" workbookViewId="0">
      <selection activeCell="P23" sqref="P23"/>
    </sheetView>
  </sheetViews>
  <sheetFormatPr baseColWidth="10" defaultRowHeight="15" x14ac:dyDescent="0.25"/>
  <cols>
    <col min="1" max="1" width="65.28515625" bestFit="1" customWidth="1"/>
    <col min="2" max="2" width="22.42578125" bestFit="1" customWidth="1"/>
    <col min="3" max="3" width="4.5703125" bestFit="1" customWidth="1"/>
    <col min="4" max="4" width="8.42578125" bestFit="1" customWidth="1"/>
    <col min="5" max="5" width="4.28515625" bestFit="1" customWidth="1"/>
    <col min="6" max="6" width="8.5703125" bestFit="1" customWidth="1"/>
    <col min="7" max="7" width="4.7109375" bestFit="1" customWidth="1"/>
    <col min="8" max="8" width="12.5703125" bestFit="1" customWidth="1"/>
    <col min="15" max="15" width="15.28515625" customWidth="1"/>
  </cols>
  <sheetData>
    <row r="3" spans="1:15" x14ac:dyDescent="0.25">
      <c r="A3" s="7" t="s">
        <v>972</v>
      </c>
      <c r="B3" s="7" t="s">
        <v>38</v>
      </c>
    </row>
    <row r="4" spans="1:15" x14ac:dyDescent="0.25">
      <c r="A4" s="7" t="s">
        <v>36</v>
      </c>
      <c r="C4" t="s">
        <v>1165</v>
      </c>
      <c r="D4" t="s">
        <v>1164</v>
      </c>
      <c r="E4" t="s">
        <v>1162</v>
      </c>
      <c r="F4" t="s">
        <v>1166</v>
      </c>
      <c r="G4" t="s">
        <v>1163</v>
      </c>
      <c r="H4" t="s">
        <v>37</v>
      </c>
      <c r="K4" t="s">
        <v>1183</v>
      </c>
      <c r="L4" t="s">
        <v>1184</v>
      </c>
      <c r="M4" t="s">
        <v>1185</v>
      </c>
      <c r="N4" t="s">
        <v>1186</v>
      </c>
      <c r="O4" t="s">
        <v>1187</v>
      </c>
    </row>
    <row r="5" spans="1:15" x14ac:dyDescent="0.25">
      <c r="A5" s="9" t="s">
        <v>12</v>
      </c>
      <c r="B5" s="29">
        <v>24</v>
      </c>
      <c r="C5" s="29">
        <v>1</v>
      </c>
      <c r="D5" s="29">
        <v>1</v>
      </c>
      <c r="E5" s="29">
        <v>5</v>
      </c>
      <c r="F5" s="29">
        <v>1</v>
      </c>
      <c r="G5" s="29">
        <v>59</v>
      </c>
      <c r="H5" s="29">
        <v>91</v>
      </c>
      <c r="K5" t="str">
        <f>A5</f>
        <v>DESARROLLO</v>
      </c>
      <c r="L5">
        <f>SUM(B5:F5)</f>
        <v>32</v>
      </c>
      <c r="M5">
        <f>G5</f>
        <v>59</v>
      </c>
      <c r="N5">
        <f>SUM(L5:M5)</f>
        <v>91</v>
      </c>
      <c r="O5" t="str">
        <f>N5 &amp; " (" &amp; L5 &amp; " pre / " &amp; M5 &amp; " pro)"</f>
        <v>91 (32 pre / 59 pro)</v>
      </c>
    </row>
    <row r="6" spans="1:15" x14ac:dyDescent="0.25">
      <c r="A6" s="9" t="s">
        <v>20</v>
      </c>
      <c r="B6" s="29">
        <v>1</v>
      </c>
      <c r="C6" s="29"/>
      <c r="D6" s="29"/>
      <c r="E6" s="29"/>
      <c r="F6" s="29"/>
      <c r="G6" s="29">
        <v>2</v>
      </c>
      <c r="H6" s="29">
        <v>3</v>
      </c>
      <c r="K6" t="str">
        <f t="shared" ref="K6:K9" si="0">A6</f>
        <v>FUNCIONAL</v>
      </c>
      <c r="L6">
        <f t="shared" ref="L6:L11" si="1">SUM(B6:F6)</f>
        <v>1</v>
      </c>
      <c r="M6">
        <f t="shared" ref="M6:M11" si="2">G6</f>
        <v>2</v>
      </c>
      <c r="N6">
        <f>SUM(L6:M6)</f>
        <v>3</v>
      </c>
      <c r="O6" t="str">
        <f t="shared" ref="O6:O11" si="3">N6 &amp; " (" &amp; L6 &amp; " pre / " &amp; M6 &amp; " pro)"</f>
        <v>3 (1 pre / 2 pro)</v>
      </c>
    </row>
    <row r="7" spans="1:15" x14ac:dyDescent="0.25">
      <c r="A7" s="9" t="s">
        <v>53</v>
      </c>
      <c r="B7" s="29">
        <v>36</v>
      </c>
      <c r="C7" s="29"/>
      <c r="D7" s="29"/>
      <c r="E7" s="29">
        <v>4</v>
      </c>
      <c r="F7" s="29"/>
      <c r="G7" s="29">
        <v>32</v>
      </c>
      <c r="H7" s="29">
        <v>72</v>
      </c>
      <c r="K7" t="str">
        <f t="shared" si="0"/>
        <v>TÉCNICO</v>
      </c>
      <c r="L7">
        <f t="shared" si="1"/>
        <v>40</v>
      </c>
      <c r="M7">
        <f t="shared" si="2"/>
        <v>32</v>
      </c>
      <c r="N7">
        <f t="shared" ref="N6:N11" si="4">SUM(L7:M7)</f>
        <v>72</v>
      </c>
      <c r="O7" t="str">
        <f t="shared" si="3"/>
        <v>72 (40 pre / 32 pro)</v>
      </c>
    </row>
    <row r="8" spans="1:15" x14ac:dyDescent="0.25">
      <c r="A8" s="9" t="s">
        <v>21</v>
      </c>
      <c r="B8" s="29">
        <v>21</v>
      </c>
      <c r="C8" s="29"/>
      <c r="D8" s="29"/>
      <c r="E8" s="29">
        <v>8</v>
      </c>
      <c r="F8" s="29"/>
      <c r="G8" s="29">
        <v>289</v>
      </c>
      <c r="H8" s="29">
        <v>318</v>
      </c>
      <c r="K8" t="str">
        <f t="shared" si="0"/>
        <v>SOPORTE</v>
      </c>
      <c r="L8">
        <f t="shared" si="1"/>
        <v>29</v>
      </c>
      <c r="M8">
        <f t="shared" si="2"/>
        <v>289</v>
      </c>
      <c r="N8">
        <f t="shared" si="4"/>
        <v>318</v>
      </c>
      <c r="O8" t="str">
        <f t="shared" si="3"/>
        <v>318 (29 pre / 289 pro)</v>
      </c>
    </row>
    <row r="9" spans="1:15" x14ac:dyDescent="0.25">
      <c r="A9" s="9" t="s">
        <v>19</v>
      </c>
      <c r="B9" s="29">
        <v>9</v>
      </c>
      <c r="C9" s="29"/>
      <c r="D9" s="29"/>
      <c r="E9" s="29"/>
      <c r="F9" s="29"/>
      <c r="G9" s="29"/>
      <c r="H9" s="29">
        <v>9</v>
      </c>
      <c r="K9" t="str">
        <f t="shared" si="0"/>
        <v>DEFINICIÓN</v>
      </c>
      <c r="L9">
        <f t="shared" si="1"/>
        <v>9</v>
      </c>
      <c r="M9">
        <f t="shared" si="2"/>
        <v>0</v>
      </c>
      <c r="N9">
        <f t="shared" si="4"/>
        <v>9</v>
      </c>
      <c r="O9" t="str">
        <f t="shared" si="3"/>
        <v>9 (9 pre / 0 pro)</v>
      </c>
    </row>
    <row r="10" spans="1:15" x14ac:dyDescent="0.25">
      <c r="A10" s="9" t="s">
        <v>943</v>
      </c>
      <c r="B10" s="29"/>
      <c r="C10" s="29"/>
      <c r="D10" s="29"/>
      <c r="E10" s="29"/>
      <c r="F10" s="29"/>
      <c r="G10" s="29">
        <v>1</v>
      </c>
      <c r="H10" s="29">
        <v>1</v>
      </c>
      <c r="K10" t="str">
        <f>A10</f>
        <v>REPROCESO</v>
      </c>
      <c r="L10">
        <f t="shared" si="1"/>
        <v>0</v>
      </c>
      <c r="M10">
        <f t="shared" si="2"/>
        <v>1</v>
      </c>
      <c r="N10">
        <f t="shared" si="4"/>
        <v>1</v>
      </c>
      <c r="O10" t="str">
        <f t="shared" si="3"/>
        <v>1 (0 pre / 1 pro)</v>
      </c>
    </row>
    <row r="11" spans="1:15" x14ac:dyDescent="0.25">
      <c r="A11" s="9"/>
      <c r="B11" s="29">
        <v>1</v>
      </c>
      <c r="C11" s="29"/>
      <c r="D11" s="29"/>
      <c r="E11" s="29"/>
      <c r="F11" s="29"/>
      <c r="G11" s="29"/>
      <c r="H11" s="29">
        <v>1</v>
      </c>
      <c r="K11" t="s">
        <v>1188</v>
      </c>
      <c r="L11">
        <f t="shared" si="1"/>
        <v>1</v>
      </c>
      <c r="M11">
        <f t="shared" si="2"/>
        <v>0</v>
      </c>
      <c r="N11">
        <f t="shared" si="4"/>
        <v>1</v>
      </c>
      <c r="O11" t="str">
        <f t="shared" si="3"/>
        <v>1 (1 pre / 0 pro)</v>
      </c>
    </row>
    <row r="12" spans="1:15" x14ac:dyDescent="0.25">
      <c r="A12" s="9" t="s">
        <v>1110</v>
      </c>
      <c r="B12" s="29"/>
      <c r="C12" s="29"/>
      <c r="D12" s="29"/>
      <c r="E12" s="29"/>
      <c r="F12" s="29"/>
      <c r="G12" s="29">
        <v>1</v>
      </c>
      <c r="H12" s="29">
        <v>1</v>
      </c>
    </row>
    <row r="13" spans="1:15" x14ac:dyDescent="0.25">
      <c r="A13" s="9" t="s">
        <v>37</v>
      </c>
      <c r="B13" s="29">
        <v>92</v>
      </c>
      <c r="C13" s="29">
        <v>1</v>
      </c>
      <c r="D13" s="29">
        <v>1</v>
      </c>
      <c r="E13" s="29">
        <v>17</v>
      </c>
      <c r="F13" s="29">
        <v>1</v>
      </c>
      <c r="G13" s="29">
        <v>384</v>
      </c>
      <c r="H13" s="29">
        <v>496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Resumen</vt:lpstr>
      <vt:lpstr>Resumen_Tipologia</vt:lpstr>
      <vt:lpstr>Grafica_Estado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Moreno Gomez Roso Maria Teresa Angel</cp:lastModifiedBy>
  <cp:revision/>
  <dcterms:created xsi:type="dcterms:W3CDTF">2019-07-26T12:47:49Z</dcterms:created>
  <dcterms:modified xsi:type="dcterms:W3CDTF">2025-11-03T12:51:28Z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2025-09-24T16:57:11Z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f8bc8ced-8d93-4af0-90a9-bb28a973fcf3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