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C360\Evolución de Bug\"/>
    </mc:Choice>
  </mc:AlternateContent>
  <xr:revisionPtr revIDLastSave="0" documentId="13_ncr:1_{2FBBBBC5-6B59-49E1-88D7-DE9600FA6AB7}" xr6:coauthVersionLast="47" xr6:coauthVersionMax="47" xr10:uidLastSave="{00000000-0000-0000-0000-000000000000}"/>
  <bookViews>
    <workbookView xWindow="-108" yWindow="-108" windowWidth="23040" windowHeight="11172" firstSheet="1" activeTab="4" xr2:uid="{00000000-000D-0000-FFFF-FFFF00000000}"/>
  </bookViews>
  <sheets>
    <sheet name="About" sheetId="2" r:id="rId1"/>
    <sheet name="Datos" sheetId="1" r:id="rId2"/>
    <sheet name="Resumen" sheetId="3" r:id="rId3"/>
    <sheet name="Resumen_Tipologia" sheetId="4" r:id="rId4"/>
    <sheet name="Grafica_Estado" sheetId="5" r:id="rId5"/>
  </sheets>
  <definedNames>
    <definedName name="_xlnm._FilterDatabase" localSheetId="1" hidden="1">Datos!$A$1:$Z$186</definedName>
  </definedNames>
  <calcPr calcId="191029"/>
  <pivotCaches>
    <pivotCache cacheId="835" r:id="rId6"/>
    <pivotCache cacheId="828" r:id="rId7"/>
    <pivotCache cacheId="834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5" l="1"/>
  <c r="J5" i="5"/>
  <c r="J6" i="5"/>
  <c r="J7" i="5"/>
  <c r="J8" i="5"/>
  <c r="J9" i="5"/>
  <c r="I4" i="5"/>
  <c r="I5" i="5"/>
  <c r="I6" i="5"/>
  <c r="I7" i="5"/>
  <c r="I9" i="5"/>
  <c r="I3" i="5"/>
  <c r="K4" i="5"/>
  <c r="K5" i="5"/>
  <c r="K6" i="5"/>
  <c r="K7" i="5"/>
  <c r="K8" i="5"/>
  <c r="K9" i="5"/>
  <c r="K3" i="5"/>
  <c r="L4" i="5"/>
  <c r="M4" i="5" s="1"/>
  <c r="L5" i="5"/>
  <c r="M5" i="5" s="1"/>
  <c r="L6" i="5"/>
  <c r="M6" i="5" s="1"/>
  <c r="L7" i="5"/>
  <c r="M7" i="5" s="1"/>
  <c r="L8" i="5"/>
  <c r="M8" i="5" s="1"/>
  <c r="L9" i="5"/>
  <c r="M9" i="5" s="1"/>
  <c r="J3" i="5"/>
  <c r="L3" i="5" s="1"/>
  <c r="M3" i="5" s="1"/>
  <c r="N186" i="1"/>
  <c r="Q186" i="1" s="1"/>
  <c r="O186" i="1"/>
  <c r="R186" i="1" s="1"/>
  <c r="P186" i="1"/>
  <c r="V186" i="1" s="1"/>
  <c r="X186" i="1" l="1"/>
  <c r="U186" i="1" s="1"/>
  <c r="Z186" i="1" s="1"/>
  <c r="T186" i="1"/>
  <c r="W186" i="1"/>
  <c r="S186" i="1" s="1"/>
  <c r="Y186" i="1" s="1"/>
  <c r="R46" i="3" l="1"/>
  <c r="Q46" i="3"/>
  <c r="P46" i="3"/>
  <c r="O46" i="3"/>
  <c r="M46" i="3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Q181" i="1" s="1"/>
  <c r="N182" i="1"/>
  <c r="Q182" i="1" s="1"/>
  <c r="N183" i="1"/>
  <c r="Q183" i="1" s="1"/>
  <c r="N184" i="1"/>
  <c r="Q184" i="1" s="1"/>
  <c r="N185" i="1"/>
  <c r="Q185" i="1" s="1"/>
  <c r="O180" i="1"/>
  <c r="R180" i="1" s="1"/>
  <c r="P180" i="1"/>
  <c r="T180" i="1" s="1"/>
  <c r="Q180" i="1"/>
  <c r="O181" i="1"/>
  <c r="W181" i="1" s="1"/>
  <c r="P181" i="1"/>
  <c r="X181" i="1" s="1"/>
  <c r="O182" i="1"/>
  <c r="R182" i="1" s="1"/>
  <c r="P182" i="1"/>
  <c r="O183" i="1"/>
  <c r="R183" i="1" s="1"/>
  <c r="P183" i="1"/>
  <c r="O184" i="1"/>
  <c r="W184" i="1" s="1"/>
  <c r="P184" i="1"/>
  <c r="X184" i="1" s="1"/>
  <c r="O185" i="1"/>
  <c r="R185" i="1" s="1"/>
  <c r="P185" i="1"/>
  <c r="X13" i="4"/>
  <c r="AH3" i="4" s="1"/>
  <c r="Y13" i="4"/>
  <c r="AH4" i="4" s="1"/>
  <c r="Z13" i="4"/>
  <c r="AH5" i="4" s="1"/>
  <c r="AA13" i="4"/>
  <c r="AH6" i="4" s="1"/>
  <c r="AB13" i="4"/>
  <c r="AH7" i="4" s="1"/>
  <c r="AC13" i="4"/>
  <c r="AH8" i="4" s="1"/>
  <c r="W13" i="4"/>
  <c r="AH2" i="4" s="1"/>
  <c r="X180" i="1" l="1"/>
  <c r="V180" i="1"/>
  <c r="V182" i="1"/>
  <c r="V183" i="1"/>
  <c r="T184" i="1"/>
  <c r="U184" i="1" s="1"/>
  <c r="Z184" i="1" s="1"/>
  <c r="V184" i="1"/>
  <c r="T181" i="1"/>
  <c r="U181" i="1" s="1"/>
  <c r="Z181" i="1" s="1"/>
  <c r="U180" i="1"/>
  <c r="Z180" i="1" s="1"/>
  <c r="W182" i="1"/>
  <c r="S182" i="1" s="1"/>
  <c r="Y182" i="1" s="1"/>
  <c r="W180" i="1"/>
  <c r="R184" i="1"/>
  <c r="S184" i="1" s="1"/>
  <c r="Y184" i="1" s="1"/>
  <c r="AI8" i="4"/>
  <c r="S180" i="1"/>
  <c r="Y180" i="1" s="1"/>
  <c r="V185" i="1"/>
  <c r="X182" i="1"/>
  <c r="T182" i="1"/>
  <c r="W185" i="1"/>
  <c r="S185" i="1" s="1"/>
  <c r="Y185" i="1" s="1"/>
  <c r="W183" i="1"/>
  <c r="S183" i="1" s="1"/>
  <c r="Y183" i="1" s="1"/>
  <c r="R181" i="1"/>
  <c r="S181" i="1" s="1"/>
  <c r="Y181" i="1" s="1"/>
  <c r="X185" i="1"/>
  <c r="T185" i="1"/>
  <c r="X183" i="1"/>
  <c r="T183" i="1"/>
  <c r="V181" i="1"/>
  <c r="AI7" i="4"/>
  <c r="AI6" i="4"/>
  <c r="AI4" i="4"/>
  <c r="AI3" i="4"/>
  <c r="AI2" i="4"/>
  <c r="AI5" i="4"/>
  <c r="U182" i="1" l="1"/>
  <c r="Z182" i="1" s="1"/>
  <c r="U183" i="1"/>
  <c r="Z183" i="1" s="1"/>
  <c r="U185" i="1"/>
  <c r="Z185" i="1" s="1"/>
  <c r="Q179" i="1" l="1"/>
  <c r="Q177" i="1"/>
  <c r="Q176" i="1"/>
  <c r="Q173" i="1"/>
  <c r="Q172" i="1"/>
  <c r="Q160" i="1"/>
  <c r="Q157" i="1"/>
  <c r="Q154" i="1"/>
  <c r="Q129" i="1"/>
  <c r="N45" i="3" l="1"/>
  <c r="M45" i="3"/>
  <c r="O176" i="1"/>
  <c r="W176" i="1" s="1"/>
  <c r="P176" i="1"/>
  <c r="T176" i="1" s="1"/>
  <c r="O177" i="1"/>
  <c r="R177" i="1" s="1"/>
  <c r="P177" i="1"/>
  <c r="Q178" i="1"/>
  <c r="O178" i="1"/>
  <c r="R178" i="1" s="1"/>
  <c r="P178" i="1"/>
  <c r="O179" i="1"/>
  <c r="R179" i="1" s="1"/>
  <c r="P179" i="1"/>
  <c r="X179" i="1" s="1"/>
  <c r="V178" i="1" l="1"/>
  <c r="V176" i="1"/>
  <c r="V177" i="1"/>
  <c r="R176" i="1"/>
  <c r="S176" i="1" s="1"/>
  <c r="Y176" i="1" s="1"/>
  <c r="T179" i="1"/>
  <c r="U179" i="1" s="1"/>
  <c r="Z179" i="1" s="1"/>
  <c r="T178" i="1"/>
  <c r="W177" i="1"/>
  <c r="S177" i="1" s="1"/>
  <c r="Y177" i="1" s="1"/>
  <c r="X177" i="1"/>
  <c r="X176" i="1"/>
  <c r="U176" i="1" s="1"/>
  <c r="Z176" i="1" s="1"/>
  <c r="V179" i="1"/>
  <c r="W178" i="1"/>
  <c r="S178" i="1" s="1"/>
  <c r="Y178" i="1" s="1"/>
  <c r="W179" i="1"/>
  <c r="S179" i="1" s="1"/>
  <c r="Y179" i="1" s="1"/>
  <c r="X178" i="1"/>
  <c r="T177" i="1"/>
  <c r="U177" i="1" l="1"/>
  <c r="Z177" i="1" s="1"/>
  <c r="U178" i="1"/>
  <c r="Z178" i="1" s="1"/>
  <c r="N44" i="3" l="1"/>
  <c r="M44" i="3"/>
  <c r="Q174" i="1"/>
  <c r="O174" i="1"/>
  <c r="P174" i="1"/>
  <c r="T174" i="1" s="1"/>
  <c r="Q175" i="1"/>
  <c r="O175" i="1"/>
  <c r="R175" i="1" s="1"/>
  <c r="P175" i="1"/>
  <c r="W175" i="1" l="1"/>
  <c r="X174" i="1"/>
  <c r="U174" i="1" s="1"/>
  <c r="Z174" i="1" s="1"/>
  <c r="V175" i="1"/>
  <c r="V174" i="1"/>
  <c r="W174" i="1"/>
  <c r="R174" i="1"/>
  <c r="T175" i="1"/>
  <c r="X175" i="1"/>
  <c r="S175" i="1"/>
  <c r="Y175" i="1" s="1"/>
  <c r="N43" i="3"/>
  <c r="M43" i="3"/>
  <c r="Q165" i="1"/>
  <c r="O165" i="1"/>
  <c r="R165" i="1" s="1"/>
  <c r="P165" i="1"/>
  <c r="T165" i="1" s="1"/>
  <c r="Q166" i="1"/>
  <c r="O166" i="1"/>
  <c r="R166" i="1" s="1"/>
  <c r="P166" i="1"/>
  <c r="T166" i="1" s="1"/>
  <c r="Q167" i="1"/>
  <c r="O167" i="1"/>
  <c r="R167" i="1" s="1"/>
  <c r="P167" i="1"/>
  <c r="T167" i="1" s="1"/>
  <c r="Q168" i="1"/>
  <c r="O168" i="1"/>
  <c r="R168" i="1" s="1"/>
  <c r="P168" i="1"/>
  <c r="T168" i="1" s="1"/>
  <c r="Q169" i="1"/>
  <c r="O169" i="1"/>
  <c r="R169" i="1" s="1"/>
  <c r="P169" i="1"/>
  <c r="T169" i="1" s="1"/>
  <c r="Q170" i="1"/>
  <c r="O170" i="1"/>
  <c r="R170" i="1" s="1"/>
  <c r="P170" i="1"/>
  <c r="T170" i="1" s="1"/>
  <c r="Q171" i="1"/>
  <c r="O171" i="1"/>
  <c r="R171" i="1" s="1"/>
  <c r="P171" i="1"/>
  <c r="T171" i="1" s="1"/>
  <c r="O172" i="1"/>
  <c r="R172" i="1" s="1"/>
  <c r="P172" i="1"/>
  <c r="T172" i="1" s="1"/>
  <c r="O173" i="1"/>
  <c r="R173" i="1" s="1"/>
  <c r="P173" i="1"/>
  <c r="T173" i="1" s="1"/>
  <c r="W168" i="1" l="1"/>
  <c r="S168" i="1" s="1"/>
  <c r="Y168" i="1" s="1"/>
  <c r="W167" i="1"/>
  <c r="U175" i="1"/>
  <c r="Z175" i="1" s="1"/>
  <c r="S174" i="1"/>
  <c r="Y174" i="1" s="1"/>
  <c r="W172" i="1"/>
  <c r="S172" i="1" s="1"/>
  <c r="Y172" i="1" s="1"/>
  <c r="V168" i="1"/>
  <c r="X166" i="1"/>
  <c r="U166" i="1" s="1"/>
  <c r="Z166" i="1" s="1"/>
  <c r="X171" i="1"/>
  <c r="U171" i="1" s="1"/>
  <c r="Z171" i="1" s="1"/>
  <c r="X165" i="1"/>
  <c r="U165" i="1" s="1"/>
  <c r="Z165" i="1" s="1"/>
  <c r="X173" i="1"/>
  <c r="U173" i="1" s="1"/>
  <c r="Z173" i="1" s="1"/>
  <c r="X170" i="1"/>
  <c r="U170" i="1" s="1"/>
  <c r="Z170" i="1" s="1"/>
  <c r="V172" i="1"/>
  <c r="X169" i="1"/>
  <c r="U169" i="1" s="1"/>
  <c r="Z169" i="1" s="1"/>
  <c r="X167" i="1"/>
  <c r="U167" i="1" s="1"/>
  <c r="Z167" i="1" s="1"/>
  <c r="W171" i="1"/>
  <c r="S171" i="1" s="1"/>
  <c r="Y171" i="1" s="1"/>
  <c r="W170" i="1"/>
  <c r="S170" i="1" s="1"/>
  <c r="Y170" i="1" s="1"/>
  <c r="W166" i="1"/>
  <c r="S166" i="1" s="1"/>
  <c r="Y166" i="1" s="1"/>
  <c r="W173" i="1"/>
  <c r="S173" i="1" s="1"/>
  <c r="Y173" i="1" s="1"/>
  <c r="V173" i="1"/>
  <c r="X172" i="1"/>
  <c r="U172" i="1" s="1"/>
  <c r="Z172" i="1" s="1"/>
  <c r="V170" i="1"/>
  <c r="W169" i="1"/>
  <c r="S169" i="1" s="1"/>
  <c r="Y169" i="1" s="1"/>
  <c r="V169" i="1"/>
  <c r="X168" i="1"/>
  <c r="U168" i="1" s="1"/>
  <c r="Z168" i="1" s="1"/>
  <c r="V166" i="1"/>
  <c r="W165" i="1"/>
  <c r="S165" i="1" s="1"/>
  <c r="Y165" i="1" s="1"/>
  <c r="V165" i="1"/>
  <c r="S167" i="1"/>
  <c r="Y167" i="1" s="1"/>
  <c r="V171" i="1"/>
  <c r="V167" i="1"/>
  <c r="Q164" i="1" l="1"/>
  <c r="O164" i="1"/>
  <c r="W164" i="1" s="1"/>
  <c r="P164" i="1"/>
  <c r="R164" i="1" l="1"/>
  <c r="S164" i="1" s="1"/>
  <c r="Y164" i="1" s="1"/>
  <c r="V164" i="1"/>
  <c r="X164" i="1"/>
  <c r="T164" i="1"/>
  <c r="U164" i="1" l="1"/>
  <c r="Z164" i="1" s="1"/>
  <c r="O26" i="4"/>
  <c r="P26" i="4"/>
  <c r="Q26" i="4"/>
  <c r="R26" i="4"/>
  <c r="S26" i="4"/>
  <c r="N26" i="4"/>
  <c r="O25" i="4"/>
  <c r="P25" i="4"/>
  <c r="Q25" i="4"/>
  <c r="R25" i="4"/>
  <c r="S25" i="4"/>
  <c r="N25" i="4"/>
  <c r="O24" i="4"/>
  <c r="P24" i="4"/>
  <c r="Q24" i="4"/>
  <c r="R24" i="4"/>
  <c r="S24" i="4"/>
  <c r="N24" i="4"/>
  <c r="O23" i="4"/>
  <c r="P23" i="4"/>
  <c r="Q23" i="4"/>
  <c r="R23" i="4"/>
  <c r="S23" i="4"/>
  <c r="N23" i="4"/>
  <c r="O22" i="4"/>
  <c r="P22" i="4"/>
  <c r="Q22" i="4"/>
  <c r="R22" i="4"/>
  <c r="S22" i="4"/>
  <c r="N22" i="4"/>
  <c r="O21" i="4"/>
  <c r="P21" i="4"/>
  <c r="Q21" i="4"/>
  <c r="R21" i="4"/>
  <c r="S21" i="4"/>
  <c r="N21" i="4"/>
  <c r="O20" i="4"/>
  <c r="P20" i="4"/>
  <c r="Q20" i="4"/>
  <c r="R20" i="4"/>
  <c r="S20" i="4"/>
  <c r="N20" i="4"/>
  <c r="O19" i="4"/>
  <c r="P19" i="4"/>
  <c r="Q19" i="4"/>
  <c r="R19" i="4"/>
  <c r="S19" i="4"/>
  <c r="N19" i="4"/>
  <c r="O18" i="4"/>
  <c r="P18" i="4"/>
  <c r="Q18" i="4"/>
  <c r="R18" i="4"/>
  <c r="S18" i="4"/>
  <c r="N18" i="4"/>
  <c r="O17" i="4"/>
  <c r="P17" i="4"/>
  <c r="Q17" i="4"/>
  <c r="R17" i="4"/>
  <c r="S17" i="4"/>
  <c r="N17" i="4"/>
  <c r="O16" i="4"/>
  <c r="P16" i="4"/>
  <c r="Q16" i="4"/>
  <c r="R16" i="4"/>
  <c r="S16" i="4"/>
  <c r="N16" i="4"/>
  <c r="O15" i="4"/>
  <c r="P15" i="4"/>
  <c r="Q15" i="4"/>
  <c r="R15" i="4"/>
  <c r="S15" i="4"/>
  <c r="N15" i="4"/>
  <c r="O14" i="4"/>
  <c r="P14" i="4"/>
  <c r="Q14" i="4"/>
  <c r="R14" i="4"/>
  <c r="S14" i="4"/>
  <c r="N14" i="4"/>
  <c r="O13" i="4"/>
  <c r="P13" i="4"/>
  <c r="Q13" i="4"/>
  <c r="R13" i="4"/>
  <c r="S13" i="4"/>
  <c r="N13" i="4"/>
  <c r="O12" i="4"/>
  <c r="P12" i="4"/>
  <c r="Q12" i="4"/>
  <c r="R12" i="4"/>
  <c r="S12" i="4"/>
  <c r="N12" i="4"/>
  <c r="O11" i="4"/>
  <c r="P11" i="4"/>
  <c r="Q11" i="4"/>
  <c r="R11" i="4"/>
  <c r="S11" i="4"/>
  <c r="N11" i="4"/>
  <c r="O10" i="4"/>
  <c r="P10" i="4"/>
  <c r="Q10" i="4"/>
  <c r="R10" i="4"/>
  <c r="S10" i="4"/>
  <c r="N10" i="4"/>
  <c r="O9" i="4"/>
  <c r="P9" i="4"/>
  <c r="Q9" i="4"/>
  <c r="R9" i="4"/>
  <c r="S9" i="4"/>
  <c r="N9" i="4"/>
  <c r="P7" i="4"/>
  <c r="Q7" i="4"/>
  <c r="R7" i="4"/>
  <c r="S7" i="4"/>
  <c r="O7" i="4"/>
  <c r="N7" i="4"/>
  <c r="S5" i="4"/>
  <c r="R5" i="4"/>
  <c r="Q5" i="4"/>
  <c r="P5" i="4"/>
  <c r="O5" i="4"/>
  <c r="N5" i="4"/>
  <c r="S3" i="4"/>
  <c r="R3" i="4"/>
  <c r="Q3" i="4"/>
  <c r="P3" i="4"/>
  <c r="O3" i="4"/>
  <c r="N3" i="4"/>
  <c r="Q9" i="3"/>
  <c r="Q10" i="3"/>
  <c r="Q11" i="3" s="1"/>
  <c r="Q12" i="3" s="1"/>
  <c r="Q13" i="3" s="1"/>
  <c r="Q14" i="3" s="1"/>
  <c r="Q15" i="3" s="1"/>
  <c r="Q16" i="3" s="1"/>
  <c r="Q17" i="3" s="1"/>
  <c r="Q18" i="3" s="1"/>
  <c r="Q19" i="3" s="1"/>
  <c r="Q20" i="3" s="1"/>
  <c r="Q21" i="3" s="1"/>
  <c r="Q22" i="3" s="1"/>
  <c r="Q23" i="3" s="1"/>
  <c r="Q24" i="3" s="1"/>
  <c r="Q25" i="3" s="1"/>
  <c r="Q26" i="3" s="1"/>
  <c r="Q27" i="3" s="1"/>
  <c r="Q28" i="3" s="1"/>
  <c r="Q29" i="3" s="1"/>
  <c r="Q30" i="3" s="1"/>
  <c r="Q31" i="3" s="1"/>
  <c r="Q32" i="3" s="1"/>
  <c r="Q33" i="3" s="1"/>
  <c r="Q34" i="3" s="1"/>
  <c r="Q35" i="3" s="1"/>
  <c r="Q36" i="3" s="1"/>
  <c r="Q37" i="3" s="1"/>
  <c r="Q38" i="3" s="1"/>
  <c r="Q39" i="3" s="1"/>
  <c r="Q40" i="3" s="1"/>
  <c r="Q41" i="3" s="1"/>
  <c r="Q42" i="3" s="1"/>
  <c r="Q43" i="3" s="1"/>
  <c r="Q44" i="3" s="1"/>
  <c r="Q45" i="3" s="1"/>
  <c r="Q8" i="3"/>
  <c r="Q7" i="3"/>
  <c r="Q6" i="3"/>
  <c r="Q5" i="3"/>
  <c r="R8" i="3"/>
  <c r="R9" i="3" s="1"/>
  <c r="R10" i="3" s="1"/>
  <c r="R11" i="3" s="1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R38" i="3" s="1"/>
  <c r="R39" i="3" s="1"/>
  <c r="R40" i="3" s="1"/>
  <c r="R41" i="3" s="1"/>
  <c r="R42" i="3" s="1"/>
  <c r="R43" i="3" s="1"/>
  <c r="R44" i="3" s="1"/>
  <c r="R45" i="3" s="1"/>
  <c r="R7" i="3"/>
  <c r="R6" i="3"/>
  <c r="R5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Q161" i="1"/>
  <c r="O161" i="1"/>
  <c r="R161" i="1" s="1"/>
  <c r="P161" i="1"/>
  <c r="T161" i="1" s="1"/>
  <c r="Q162" i="1"/>
  <c r="O162" i="1"/>
  <c r="R162" i="1" s="1"/>
  <c r="P162" i="1"/>
  <c r="Q163" i="1"/>
  <c r="O163" i="1"/>
  <c r="R163" i="1" s="1"/>
  <c r="P163" i="1"/>
  <c r="T163" i="1" s="1"/>
  <c r="R4" i="3"/>
  <c r="Q4" i="3"/>
  <c r="P4" i="3"/>
  <c r="P5" i="3" s="1"/>
  <c r="P6" i="3" s="1"/>
  <c r="P7" i="3" s="1"/>
  <c r="P8" i="3" s="1"/>
  <c r="P9" i="3" s="1"/>
  <c r="P10" i="3" s="1"/>
  <c r="P11" i="3" s="1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P27" i="3" s="1"/>
  <c r="P28" i="3" s="1"/>
  <c r="P29" i="3" s="1"/>
  <c r="P30" i="3" s="1"/>
  <c r="P31" i="3" s="1"/>
  <c r="P32" i="3" s="1"/>
  <c r="P33" i="3" s="1"/>
  <c r="P34" i="3" s="1"/>
  <c r="P35" i="3" s="1"/>
  <c r="P36" i="3" s="1"/>
  <c r="P37" i="3" s="1"/>
  <c r="P38" i="3" s="1"/>
  <c r="P39" i="3" s="1"/>
  <c r="P40" i="3" s="1"/>
  <c r="P41" i="3" s="1"/>
  <c r="P42" i="3" s="1"/>
  <c r="P43" i="3" s="1"/>
  <c r="P44" i="3" s="1"/>
  <c r="P45" i="3" s="1"/>
  <c r="O4" i="3"/>
  <c r="O5" i="3" s="1"/>
  <c r="O6" i="3" s="1"/>
  <c r="O7" i="3" s="1"/>
  <c r="O8" i="3" s="1"/>
  <c r="O9" i="3" s="1"/>
  <c r="O10" i="3" s="1"/>
  <c r="O11" i="3" s="1"/>
  <c r="O12" i="3" s="1"/>
  <c r="O13" i="3" s="1"/>
  <c r="O14" i="3" s="1"/>
  <c r="O15" i="3" s="1"/>
  <c r="O16" i="3" s="1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O36" i="3" s="1"/>
  <c r="O37" i="3" s="1"/>
  <c r="O38" i="3" s="1"/>
  <c r="O39" i="3" s="1"/>
  <c r="O40" i="3" s="1"/>
  <c r="O41" i="3" s="1"/>
  <c r="O42" i="3" s="1"/>
  <c r="O43" i="3" s="1"/>
  <c r="O44" i="3" s="1"/>
  <c r="O45" i="3" s="1"/>
  <c r="V162" i="1" l="1"/>
  <c r="W162" i="1"/>
  <c r="S162" i="1" s="1"/>
  <c r="Y162" i="1" s="1"/>
  <c r="W161" i="1"/>
  <c r="S161" i="1" s="1"/>
  <c r="Y161" i="1" s="1"/>
  <c r="X161" i="1"/>
  <c r="U161" i="1" s="1"/>
  <c r="Z161" i="1" s="1"/>
  <c r="W163" i="1"/>
  <c r="S163" i="1" s="1"/>
  <c r="Y163" i="1" s="1"/>
  <c r="V161" i="1"/>
  <c r="V163" i="1"/>
  <c r="X163" i="1"/>
  <c r="U163" i="1" s="1"/>
  <c r="Z163" i="1" s="1"/>
  <c r="T162" i="1"/>
  <c r="X162" i="1"/>
  <c r="N4" i="3"/>
  <c r="M6" i="3"/>
  <c r="M9" i="3"/>
  <c r="M4" i="3"/>
  <c r="U162" i="1" l="1"/>
  <c r="Z162" i="1" s="1"/>
  <c r="P3" i="1"/>
  <c r="T3" i="1" s="1"/>
  <c r="P4" i="1"/>
  <c r="P5" i="1"/>
  <c r="X5" i="1" s="1"/>
  <c r="P6" i="1"/>
  <c r="P7" i="1"/>
  <c r="P8" i="1"/>
  <c r="P9" i="1"/>
  <c r="P10" i="1"/>
  <c r="P11" i="1"/>
  <c r="X11" i="1" s="1"/>
  <c r="P12" i="1"/>
  <c r="P13" i="1"/>
  <c r="P14" i="1"/>
  <c r="P15" i="1"/>
  <c r="T15" i="1" s="1"/>
  <c r="P16" i="1"/>
  <c r="P17" i="1"/>
  <c r="P18" i="1"/>
  <c r="P19" i="1"/>
  <c r="T19" i="1" s="1"/>
  <c r="P20" i="1"/>
  <c r="P21" i="1"/>
  <c r="P22" i="1"/>
  <c r="P23" i="1"/>
  <c r="P24" i="1"/>
  <c r="P25" i="1"/>
  <c r="X25" i="1" s="1"/>
  <c r="P26" i="1"/>
  <c r="P27" i="1"/>
  <c r="T27" i="1" s="1"/>
  <c r="P28" i="1"/>
  <c r="P29" i="1"/>
  <c r="P30" i="1"/>
  <c r="P31" i="1"/>
  <c r="T31" i="1" s="1"/>
  <c r="P32" i="1"/>
  <c r="T32" i="1" s="1"/>
  <c r="P33" i="1"/>
  <c r="P34" i="1"/>
  <c r="P35" i="1"/>
  <c r="T35" i="1" s="1"/>
  <c r="P36" i="1"/>
  <c r="P37" i="1"/>
  <c r="P38" i="1"/>
  <c r="P39" i="1"/>
  <c r="P40" i="1"/>
  <c r="P41" i="1"/>
  <c r="P42" i="1"/>
  <c r="P43" i="1"/>
  <c r="T43" i="1" s="1"/>
  <c r="P44" i="1"/>
  <c r="P45" i="1"/>
  <c r="P46" i="1"/>
  <c r="P47" i="1"/>
  <c r="T47" i="1" s="1"/>
  <c r="P48" i="1"/>
  <c r="P49" i="1"/>
  <c r="P50" i="1"/>
  <c r="P51" i="1"/>
  <c r="T51" i="1" s="1"/>
  <c r="P52" i="1"/>
  <c r="P53" i="1"/>
  <c r="X53" i="1" s="1"/>
  <c r="P54" i="1"/>
  <c r="T54" i="1" s="1"/>
  <c r="P55" i="1"/>
  <c r="P56" i="1"/>
  <c r="P57" i="1"/>
  <c r="X57" i="1" s="1"/>
  <c r="P58" i="1"/>
  <c r="X58" i="1" s="1"/>
  <c r="P59" i="1"/>
  <c r="T59" i="1" s="1"/>
  <c r="P60" i="1"/>
  <c r="P61" i="1"/>
  <c r="P62" i="1"/>
  <c r="P63" i="1"/>
  <c r="T63" i="1" s="1"/>
  <c r="P64" i="1"/>
  <c r="P65" i="1"/>
  <c r="T65" i="1" s="1"/>
  <c r="P66" i="1"/>
  <c r="P67" i="1"/>
  <c r="T67" i="1" s="1"/>
  <c r="P68" i="1"/>
  <c r="P69" i="1"/>
  <c r="P70" i="1"/>
  <c r="P71" i="1"/>
  <c r="P72" i="1"/>
  <c r="P73" i="1"/>
  <c r="P74" i="1"/>
  <c r="T74" i="1" s="1"/>
  <c r="P75" i="1"/>
  <c r="T75" i="1" s="1"/>
  <c r="P76" i="1"/>
  <c r="P77" i="1"/>
  <c r="P78" i="1"/>
  <c r="X78" i="1" s="1"/>
  <c r="P79" i="1"/>
  <c r="T79" i="1" s="1"/>
  <c r="P80" i="1"/>
  <c r="P81" i="1"/>
  <c r="P82" i="1"/>
  <c r="P83" i="1"/>
  <c r="T83" i="1" s="1"/>
  <c r="P84" i="1"/>
  <c r="P85" i="1"/>
  <c r="P86" i="1"/>
  <c r="P87" i="1"/>
  <c r="P88" i="1"/>
  <c r="P89" i="1"/>
  <c r="X89" i="1" s="1"/>
  <c r="P90" i="1"/>
  <c r="P91" i="1"/>
  <c r="T91" i="1" s="1"/>
  <c r="P92" i="1"/>
  <c r="P93" i="1"/>
  <c r="P94" i="1"/>
  <c r="P95" i="1"/>
  <c r="T95" i="1" s="1"/>
  <c r="P96" i="1"/>
  <c r="X96" i="1" s="1"/>
  <c r="P97" i="1"/>
  <c r="P98" i="1"/>
  <c r="P99" i="1"/>
  <c r="T99" i="1" s="1"/>
  <c r="P100" i="1"/>
  <c r="P101" i="1"/>
  <c r="X101" i="1" s="1"/>
  <c r="P102" i="1"/>
  <c r="X102" i="1" s="1"/>
  <c r="P103" i="1"/>
  <c r="P104" i="1"/>
  <c r="P105" i="1"/>
  <c r="P106" i="1"/>
  <c r="P107" i="1"/>
  <c r="T107" i="1" s="1"/>
  <c r="P108" i="1"/>
  <c r="P109" i="1"/>
  <c r="P110" i="1"/>
  <c r="P111" i="1"/>
  <c r="T111" i="1" s="1"/>
  <c r="P112" i="1"/>
  <c r="P113" i="1"/>
  <c r="P114" i="1"/>
  <c r="P115" i="1"/>
  <c r="T115" i="1" s="1"/>
  <c r="P116" i="1"/>
  <c r="P117" i="1"/>
  <c r="T117" i="1" s="1"/>
  <c r="P118" i="1"/>
  <c r="T118" i="1" s="1"/>
  <c r="P119" i="1"/>
  <c r="P120" i="1"/>
  <c r="P121" i="1"/>
  <c r="X121" i="1" s="1"/>
  <c r="P122" i="1"/>
  <c r="T122" i="1" s="1"/>
  <c r="P123" i="1"/>
  <c r="T123" i="1" s="1"/>
  <c r="P124" i="1"/>
  <c r="P125" i="1"/>
  <c r="P126" i="1"/>
  <c r="P127" i="1"/>
  <c r="T127" i="1" s="1"/>
  <c r="P128" i="1"/>
  <c r="P129" i="1"/>
  <c r="X129" i="1" s="1"/>
  <c r="P130" i="1"/>
  <c r="P131" i="1"/>
  <c r="T131" i="1" s="1"/>
  <c r="P132" i="1"/>
  <c r="X132" i="1" s="1"/>
  <c r="P133" i="1"/>
  <c r="P134" i="1"/>
  <c r="P135" i="1"/>
  <c r="P136" i="1"/>
  <c r="P137" i="1"/>
  <c r="P138" i="1"/>
  <c r="X138" i="1" s="1"/>
  <c r="P139" i="1"/>
  <c r="T139" i="1" s="1"/>
  <c r="P140" i="1"/>
  <c r="P141" i="1"/>
  <c r="P142" i="1"/>
  <c r="X142" i="1" s="1"/>
  <c r="P143" i="1"/>
  <c r="T143" i="1" s="1"/>
  <c r="P144" i="1"/>
  <c r="P145" i="1"/>
  <c r="P146" i="1"/>
  <c r="P147" i="1"/>
  <c r="T147" i="1" s="1"/>
  <c r="P148" i="1"/>
  <c r="P149" i="1"/>
  <c r="P150" i="1"/>
  <c r="P151" i="1"/>
  <c r="P152" i="1"/>
  <c r="P153" i="1"/>
  <c r="X153" i="1" s="1"/>
  <c r="P154" i="1"/>
  <c r="P155" i="1"/>
  <c r="T155" i="1" s="1"/>
  <c r="P156" i="1"/>
  <c r="P157" i="1"/>
  <c r="P158" i="1"/>
  <c r="P159" i="1"/>
  <c r="T159" i="1" s="1"/>
  <c r="P160" i="1"/>
  <c r="T160" i="1" s="1"/>
  <c r="P2" i="1"/>
  <c r="O3" i="1"/>
  <c r="W3" i="1" s="1"/>
  <c r="O4" i="1"/>
  <c r="W4" i="1" s="1"/>
  <c r="O5" i="1"/>
  <c r="W5" i="1" s="1"/>
  <c r="O6" i="1"/>
  <c r="R6" i="1" s="1"/>
  <c r="O7" i="1"/>
  <c r="R7" i="1" s="1"/>
  <c r="O8" i="1"/>
  <c r="W8" i="1" s="1"/>
  <c r="O9" i="1"/>
  <c r="W9" i="1" s="1"/>
  <c r="O10" i="1"/>
  <c r="O11" i="1"/>
  <c r="R11" i="1" s="1"/>
  <c r="O12" i="1"/>
  <c r="W12" i="1" s="1"/>
  <c r="O13" i="1"/>
  <c r="W13" i="1" s="1"/>
  <c r="O14" i="1"/>
  <c r="R14" i="1" s="1"/>
  <c r="O15" i="1"/>
  <c r="W15" i="1" s="1"/>
  <c r="O16" i="1"/>
  <c r="W16" i="1" s="1"/>
  <c r="O17" i="1"/>
  <c r="W17" i="1" s="1"/>
  <c r="O18" i="1"/>
  <c r="R18" i="1" s="1"/>
  <c r="O19" i="1"/>
  <c r="W19" i="1" s="1"/>
  <c r="O20" i="1"/>
  <c r="W20" i="1" s="1"/>
  <c r="O21" i="1"/>
  <c r="W21" i="1" s="1"/>
  <c r="O22" i="1"/>
  <c r="R22" i="1" s="1"/>
  <c r="O23" i="1"/>
  <c r="W23" i="1" s="1"/>
  <c r="O24" i="1"/>
  <c r="W24" i="1" s="1"/>
  <c r="O25" i="1"/>
  <c r="W25" i="1" s="1"/>
  <c r="O26" i="1"/>
  <c r="O27" i="1"/>
  <c r="R27" i="1" s="1"/>
  <c r="O28" i="1"/>
  <c r="W28" i="1" s="1"/>
  <c r="O29" i="1"/>
  <c r="W29" i="1" s="1"/>
  <c r="O30" i="1"/>
  <c r="R30" i="1" s="1"/>
  <c r="O31" i="1"/>
  <c r="W31" i="1" s="1"/>
  <c r="O32" i="1"/>
  <c r="W32" i="1" s="1"/>
  <c r="O33" i="1"/>
  <c r="W33" i="1" s="1"/>
  <c r="O34" i="1"/>
  <c r="R34" i="1" s="1"/>
  <c r="O35" i="1"/>
  <c r="W35" i="1" s="1"/>
  <c r="O36" i="1"/>
  <c r="W36" i="1" s="1"/>
  <c r="O37" i="1"/>
  <c r="W37" i="1" s="1"/>
  <c r="O38" i="1"/>
  <c r="R38" i="1" s="1"/>
  <c r="O39" i="1"/>
  <c r="R39" i="1" s="1"/>
  <c r="O40" i="1"/>
  <c r="R40" i="1" s="1"/>
  <c r="O41" i="1"/>
  <c r="W41" i="1" s="1"/>
  <c r="O42" i="1"/>
  <c r="O43" i="1"/>
  <c r="R43" i="1" s="1"/>
  <c r="O44" i="1"/>
  <c r="R44" i="1" s="1"/>
  <c r="O45" i="1"/>
  <c r="W45" i="1" s="1"/>
  <c r="O46" i="1"/>
  <c r="R46" i="1" s="1"/>
  <c r="O47" i="1"/>
  <c r="W47" i="1" s="1"/>
  <c r="O48" i="1"/>
  <c r="W48" i="1" s="1"/>
  <c r="O49" i="1"/>
  <c r="W49" i="1" s="1"/>
  <c r="O50" i="1"/>
  <c r="R50" i="1" s="1"/>
  <c r="O51" i="1"/>
  <c r="R51" i="1" s="1"/>
  <c r="O52" i="1"/>
  <c r="R52" i="1" s="1"/>
  <c r="O53" i="1"/>
  <c r="W53" i="1" s="1"/>
  <c r="O54" i="1"/>
  <c r="R54" i="1" s="1"/>
  <c r="O55" i="1"/>
  <c r="W55" i="1" s="1"/>
  <c r="O56" i="1"/>
  <c r="W56" i="1" s="1"/>
  <c r="O57" i="1"/>
  <c r="W57" i="1" s="1"/>
  <c r="O58" i="1"/>
  <c r="O59" i="1"/>
  <c r="R59" i="1" s="1"/>
  <c r="O60" i="1"/>
  <c r="W60" i="1" s="1"/>
  <c r="O61" i="1"/>
  <c r="W61" i="1" s="1"/>
  <c r="O62" i="1"/>
  <c r="R62" i="1" s="1"/>
  <c r="O63" i="1"/>
  <c r="W63" i="1" s="1"/>
  <c r="O64" i="1"/>
  <c r="R64" i="1" s="1"/>
  <c r="O65" i="1"/>
  <c r="W65" i="1" s="1"/>
  <c r="O66" i="1"/>
  <c r="R66" i="1" s="1"/>
  <c r="O67" i="1"/>
  <c r="W67" i="1" s="1"/>
  <c r="O68" i="1"/>
  <c r="W68" i="1" s="1"/>
  <c r="O69" i="1"/>
  <c r="W69" i="1" s="1"/>
  <c r="O70" i="1"/>
  <c r="R70" i="1" s="1"/>
  <c r="O71" i="1"/>
  <c r="R71" i="1" s="1"/>
  <c r="O72" i="1"/>
  <c r="W72" i="1" s="1"/>
  <c r="O73" i="1"/>
  <c r="W73" i="1" s="1"/>
  <c r="O74" i="1"/>
  <c r="O75" i="1"/>
  <c r="R75" i="1" s="1"/>
  <c r="O76" i="1"/>
  <c r="W76" i="1" s="1"/>
  <c r="O77" i="1"/>
  <c r="W77" i="1" s="1"/>
  <c r="O78" i="1"/>
  <c r="R78" i="1" s="1"/>
  <c r="O79" i="1"/>
  <c r="W79" i="1" s="1"/>
  <c r="O80" i="1"/>
  <c r="W80" i="1" s="1"/>
  <c r="O81" i="1"/>
  <c r="W81" i="1" s="1"/>
  <c r="O82" i="1"/>
  <c r="R82" i="1" s="1"/>
  <c r="O83" i="1"/>
  <c r="W83" i="1" s="1"/>
  <c r="O84" i="1"/>
  <c r="W84" i="1" s="1"/>
  <c r="O85" i="1"/>
  <c r="W85" i="1" s="1"/>
  <c r="O86" i="1"/>
  <c r="R86" i="1" s="1"/>
  <c r="O87" i="1"/>
  <c r="W87" i="1" s="1"/>
  <c r="O88" i="1"/>
  <c r="R88" i="1" s="1"/>
  <c r="O89" i="1"/>
  <c r="W89" i="1" s="1"/>
  <c r="O90" i="1"/>
  <c r="O91" i="1"/>
  <c r="R91" i="1" s="1"/>
  <c r="O92" i="1"/>
  <c r="W92" i="1" s="1"/>
  <c r="O93" i="1"/>
  <c r="W93" i="1" s="1"/>
  <c r="O94" i="1"/>
  <c r="R94" i="1" s="1"/>
  <c r="O95" i="1"/>
  <c r="W95" i="1" s="1"/>
  <c r="O96" i="1"/>
  <c r="W96" i="1" s="1"/>
  <c r="O97" i="1"/>
  <c r="W97" i="1" s="1"/>
  <c r="O98" i="1"/>
  <c r="R98" i="1" s="1"/>
  <c r="O99" i="1"/>
  <c r="W99" i="1" s="1"/>
  <c r="O100" i="1"/>
  <c r="W100" i="1" s="1"/>
  <c r="O101" i="1"/>
  <c r="W101" i="1" s="1"/>
  <c r="O102" i="1"/>
  <c r="R102" i="1" s="1"/>
  <c r="O103" i="1"/>
  <c r="R103" i="1" s="1"/>
  <c r="O104" i="1"/>
  <c r="R104" i="1" s="1"/>
  <c r="O105" i="1"/>
  <c r="W105" i="1" s="1"/>
  <c r="O106" i="1"/>
  <c r="O107" i="1"/>
  <c r="R107" i="1" s="1"/>
  <c r="O108" i="1"/>
  <c r="R108" i="1" s="1"/>
  <c r="O109" i="1"/>
  <c r="W109" i="1" s="1"/>
  <c r="O110" i="1"/>
  <c r="R110" i="1" s="1"/>
  <c r="O111" i="1"/>
  <c r="W111" i="1" s="1"/>
  <c r="O112" i="1"/>
  <c r="W112" i="1" s="1"/>
  <c r="O113" i="1"/>
  <c r="W113" i="1" s="1"/>
  <c r="O114" i="1"/>
  <c r="R114" i="1" s="1"/>
  <c r="O115" i="1"/>
  <c r="R115" i="1" s="1"/>
  <c r="O116" i="1"/>
  <c r="W116" i="1" s="1"/>
  <c r="O117" i="1"/>
  <c r="W117" i="1" s="1"/>
  <c r="O118" i="1"/>
  <c r="R118" i="1" s="1"/>
  <c r="O119" i="1"/>
  <c r="R119" i="1" s="1"/>
  <c r="O120" i="1"/>
  <c r="W120" i="1" s="1"/>
  <c r="O121" i="1"/>
  <c r="W121" i="1" s="1"/>
  <c r="O122" i="1"/>
  <c r="R122" i="1" s="1"/>
  <c r="O123" i="1"/>
  <c r="R123" i="1" s="1"/>
  <c r="O124" i="1"/>
  <c r="R124" i="1" s="1"/>
  <c r="O125" i="1"/>
  <c r="W125" i="1" s="1"/>
  <c r="O126" i="1"/>
  <c r="R126" i="1" s="1"/>
  <c r="O127" i="1"/>
  <c r="W127" i="1" s="1"/>
  <c r="O128" i="1"/>
  <c r="W128" i="1" s="1"/>
  <c r="O129" i="1"/>
  <c r="W129" i="1" s="1"/>
  <c r="O130" i="1"/>
  <c r="R130" i="1" s="1"/>
  <c r="O131" i="1"/>
  <c r="W131" i="1" s="1"/>
  <c r="O132" i="1"/>
  <c r="W132" i="1" s="1"/>
  <c r="O133" i="1"/>
  <c r="W133" i="1" s="1"/>
  <c r="O134" i="1"/>
  <c r="R134" i="1" s="1"/>
  <c r="O135" i="1"/>
  <c r="R135" i="1" s="1"/>
  <c r="O136" i="1"/>
  <c r="R136" i="1" s="1"/>
  <c r="O137" i="1"/>
  <c r="W137" i="1" s="1"/>
  <c r="O138" i="1"/>
  <c r="R138" i="1" s="1"/>
  <c r="O139" i="1"/>
  <c r="R139" i="1" s="1"/>
  <c r="O140" i="1"/>
  <c r="R140" i="1" s="1"/>
  <c r="O141" i="1"/>
  <c r="W141" i="1" s="1"/>
  <c r="O142" i="1"/>
  <c r="R142" i="1" s="1"/>
  <c r="O143" i="1"/>
  <c r="W143" i="1" s="1"/>
  <c r="O144" i="1"/>
  <c r="W144" i="1" s="1"/>
  <c r="O145" i="1"/>
  <c r="W145" i="1" s="1"/>
  <c r="O146" i="1"/>
  <c r="R146" i="1" s="1"/>
  <c r="O147" i="1"/>
  <c r="R147" i="1" s="1"/>
  <c r="O148" i="1"/>
  <c r="W148" i="1" s="1"/>
  <c r="O149" i="1"/>
  <c r="W149" i="1" s="1"/>
  <c r="O150" i="1"/>
  <c r="R150" i="1" s="1"/>
  <c r="O151" i="1"/>
  <c r="R151" i="1" s="1"/>
  <c r="O152" i="1"/>
  <c r="R152" i="1" s="1"/>
  <c r="O153" i="1"/>
  <c r="W153" i="1" s="1"/>
  <c r="O154" i="1"/>
  <c r="R154" i="1" s="1"/>
  <c r="O155" i="1"/>
  <c r="R155" i="1" s="1"/>
  <c r="O156" i="1"/>
  <c r="W156" i="1" s="1"/>
  <c r="O157" i="1"/>
  <c r="W157" i="1" s="1"/>
  <c r="O158" i="1"/>
  <c r="R158" i="1" s="1"/>
  <c r="O159" i="1"/>
  <c r="W159" i="1" s="1"/>
  <c r="O160" i="1"/>
  <c r="W160" i="1" s="1"/>
  <c r="O2" i="1"/>
  <c r="W2" i="1" s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5" i="1"/>
  <c r="Q156" i="1"/>
  <c r="Q158" i="1"/>
  <c r="Q159" i="1"/>
  <c r="N2" i="1"/>
  <c r="Q2" i="1" s="1"/>
  <c r="R35" i="1" l="1"/>
  <c r="W34" i="1"/>
  <c r="S34" i="1" s="1"/>
  <c r="Y34" i="1" s="1"/>
  <c r="R15" i="1"/>
  <c r="S15" i="1" s="1"/>
  <c r="Y15" i="1" s="1"/>
  <c r="W14" i="1"/>
  <c r="S14" i="1" s="1"/>
  <c r="Y14" i="1" s="1"/>
  <c r="V114" i="1"/>
  <c r="R111" i="1"/>
  <c r="S111" i="1" s="1"/>
  <c r="Y111" i="1" s="1"/>
  <c r="W146" i="1"/>
  <c r="S146" i="1" s="1"/>
  <c r="Y146" i="1" s="1"/>
  <c r="W7" i="1"/>
  <c r="S7" i="1" s="1"/>
  <c r="Y7" i="1" s="1"/>
  <c r="R67" i="1"/>
  <c r="W78" i="1"/>
  <c r="S78" i="1" s="1"/>
  <c r="Y78" i="1" s="1"/>
  <c r="T129" i="1"/>
  <c r="U129" i="1" s="1"/>
  <c r="Z129" i="1" s="1"/>
  <c r="R60" i="1"/>
  <c r="S60" i="1" s="1"/>
  <c r="Y60" i="1" s="1"/>
  <c r="W52" i="1"/>
  <c r="V86" i="1"/>
  <c r="R156" i="1"/>
  <c r="S156" i="1" s="1"/>
  <c r="Y156" i="1" s="1"/>
  <c r="R131" i="1"/>
  <c r="S131" i="1" s="1"/>
  <c r="Y131" i="1" s="1"/>
  <c r="R100" i="1"/>
  <c r="S100" i="1" s="1"/>
  <c r="Y100" i="1" s="1"/>
  <c r="R79" i="1"/>
  <c r="S79" i="1" s="1"/>
  <c r="Y79" i="1" s="1"/>
  <c r="R48" i="1"/>
  <c r="S48" i="1" s="1"/>
  <c r="Y48" i="1" s="1"/>
  <c r="R28" i="1"/>
  <c r="S28" i="1" s="1"/>
  <c r="Y28" i="1" s="1"/>
  <c r="R3" i="1"/>
  <c r="W140" i="1"/>
  <c r="S140" i="1" s="1"/>
  <c r="Y140" i="1" s="1"/>
  <c r="W115" i="1"/>
  <c r="S115" i="1" s="1"/>
  <c r="Y115" i="1" s="1"/>
  <c r="W98" i="1"/>
  <c r="S98" i="1" s="1"/>
  <c r="Y98" i="1" s="1"/>
  <c r="W71" i="1"/>
  <c r="S71" i="1" s="1"/>
  <c r="Y71" i="1" s="1"/>
  <c r="W51" i="1"/>
  <c r="S51" i="1" s="1"/>
  <c r="Y51" i="1" s="1"/>
  <c r="W27" i="1"/>
  <c r="S27" i="1" s="1"/>
  <c r="Y27" i="1" s="1"/>
  <c r="W6" i="1"/>
  <c r="S6" i="1" s="1"/>
  <c r="Y6" i="1" s="1"/>
  <c r="X3" i="1"/>
  <c r="R132" i="1"/>
  <c r="S132" i="1" s="1"/>
  <c r="Y132" i="1" s="1"/>
  <c r="R80" i="1"/>
  <c r="S80" i="1" s="1"/>
  <c r="Y80" i="1" s="1"/>
  <c r="R4" i="1"/>
  <c r="S4" i="1" s="1"/>
  <c r="Y4" i="1" s="1"/>
  <c r="W124" i="1"/>
  <c r="S124" i="1" s="1"/>
  <c r="Y124" i="1" s="1"/>
  <c r="R144" i="1"/>
  <c r="S144" i="1" s="1"/>
  <c r="Y144" i="1" s="1"/>
  <c r="R99" i="1"/>
  <c r="S99" i="1" s="1"/>
  <c r="Y99" i="1" s="1"/>
  <c r="R68" i="1"/>
  <c r="S68" i="1" s="1"/>
  <c r="Y68" i="1" s="1"/>
  <c r="R47" i="1"/>
  <c r="S47" i="1" s="1"/>
  <c r="Y47" i="1" s="1"/>
  <c r="R16" i="1"/>
  <c r="S16" i="1" s="1"/>
  <c r="Y16" i="1" s="1"/>
  <c r="W114" i="1"/>
  <c r="S114" i="1" s="1"/>
  <c r="Y114" i="1" s="1"/>
  <c r="W91" i="1"/>
  <c r="S91" i="1" s="1"/>
  <c r="Y91" i="1" s="1"/>
  <c r="W70" i="1"/>
  <c r="S70" i="1" s="1"/>
  <c r="Y70" i="1" s="1"/>
  <c r="W44" i="1"/>
  <c r="S44" i="1" s="1"/>
  <c r="Y44" i="1" s="1"/>
  <c r="X117" i="1"/>
  <c r="U117" i="1" s="1"/>
  <c r="Z117" i="1" s="1"/>
  <c r="R143" i="1"/>
  <c r="S143" i="1" s="1"/>
  <c r="Y143" i="1" s="1"/>
  <c r="R112" i="1"/>
  <c r="S112" i="1" s="1"/>
  <c r="Y112" i="1" s="1"/>
  <c r="R92" i="1"/>
  <c r="S92" i="1" s="1"/>
  <c r="Y92" i="1" s="1"/>
  <c r="R36" i="1"/>
  <c r="S36" i="1" s="1"/>
  <c r="Y36" i="1" s="1"/>
  <c r="W147" i="1"/>
  <c r="S147" i="1" s="1"/>
  <c r="Y147" i="1" s="1"/>
  <c r="W130" i="1"/>
  <c r="S130" i="1" s="1"/>
  <c r="Y130" i="1" s="1"/>
  <c r="W108" i="1"/>
  <c r="S108" i="1" s="1"/>
  <c r="Y108" i="1" s="1"/>
  <c r="W64" i="1"/>
  <c r="S64" i="1" s="1"/>
  <c r="Y64" i="1" s="1"/>
  <c r="R120" i="1"/>
  <c r="S120" i="1" s="1"/>
  <c r="Y120" i="1" s="1"/>
  <c r="R56" i="1"/>
  <c r="S56" i="1" s="1"/>
  <c r="Y56" i="1" s="1"/>
  <c r="R24" i="1"/>
  <c r="S24" i="1" s="1"/>
  <c r="Y24" i="1" s="1"/>
  <c r="W152" i="1"/>
  <c r="S152" i="1" s="1"/>
  <c r="Y152" i="1" s="1"/>
  <c r="W88" i="1"/>
  <c r="S88" i="1" s="1"/>
  <c r="Y88" i="1" s="1"/>
  <c r="W40" i="1"/>
  <c r="S40" i="1" s="1"/>
  <c r="Y40" i="1" s="1"/>
  <c r="T11" i="1"/>
  <c r="U11" i="1" s="1"/>
  <c r="Z11" i="1" s="1"/>
  <c r="S67" i="1"/>
  <c r="Y67" i="1" s="1"/>
  <c r="S35" i="1"/>
  <c r="Y35" i="1" s="1"/>
  <c r="S3" i="1"/>
  <c r="Y3" i="1" s="1"/>
  <c r="R160" i="1"/>
  <c r="S160" i="1" s="1"/>
  <c r="Y160" i="1" s="1"/>
  <c r="R148" i="1"/>
  <c r="S148" i="1" s="1"/>
  <c r="Y148" i="1" s="1"/>
  <c r="R128" i="1"/>
  <c r="S128" i="1" s="1"/>
  <c r="Y128" i="1" s="1"/>
  <c r="R116" i="1"/>
  <c r="S116" i="1" s="1"/>
  <c r="Y116" i="1" s="1"/>
  <c r="R96" i="1"/>
  <c r="S96" i="1" s="1"/>
  <c r="Y96" i="1" s="1"/>
  <c r="R84" i="1"/>
  <c r="S84" i="1" s="1"/>
  <c r="Y84" i="1" s="1"/>
  <c r="R76" i="1"/>
  <c r="S76" i="1" s="1"/>
  <c r="Y76" i="1" s="1"/>
  <c r="R32" i="1"/>
  <c r="S32" i="1" s="1"/>
  <c r="Y32" i="1" s="1"/>
  <c r="R20" i="1"/>
  <c r="S20" i="1" s="1"/>
  <c r="Y20" i="1" s="1"/>
  <c r="R12" i="1"/>
  <c r="S12" i="1" s="1"/>
  <c r="Y12" i="1" s="1"/>
  <c r="W151" i="1"/>
  <c r="S151" i="1" s="1"/>
  <c r="Y151" i="1" s="1"/>
  <c r="W135" i="1"/>
  <c r="S135" i="1" s="1"/>
  <c r="Y135" i="1" s="1"/>
  <c r="W119" i="1"/>
  <c r="S119" i="1" s="1"/>
  <c r="Y119" i="1" s="1"/>
  <c r="W103" i="1"/>
  <c r="S103" i="1" s="1"/>
  <c r="Y103" i="1" s="1"/>
  <c r="W59" i="1"/>
  <c r="W39" i="1"/>
  <c r="S39" i="1" s="1"/>
  <c r="Y39" i="1" s="1"/>
  <c r="X19" i="1"/>
  <c r="U19" i="1" s="1"/>
  <c r="Z19" i="1" s="1"/>
  <c r="U3" i="1"/>
  <c r="Z3" i="1" s="1"/>
  <c r="W136" i="1"/>
  <c r="S136" i="1" s="1"/>
  <c r="Y136" i="1" s="1"/>
  <c r="W104" i="1"/>
  <c r="S104" i="1" s="1"/>
  <c r="Y104" i="1" s="1"/>
  <c r="V45" i="1"/>
  <c r="V17" i="1"/>
  <c r="R159" i="1"/>
  <c r="S159" i="1" s="1"/>
  <c r="Y159" i="1" s="1"/>
  <c r="R127" i="1"/>
  <c r="S127" i="1" s="1"/>
  <c r="Y127" i="1" s="1"/>
  <c r="R95" i="1"/>
  <c r="S95" i="1" s="1"/>
  <c r="Y95" i="1" s="1"/>
  <c r="R83" i="1"/>
  <c r="S83" i="1" s="1"/>
  <c r="Y83" i="1" s="1"/>
  <c r="R72" i="1"/>
  <c r="S72" i="1" s="1"/>
  <c r="Y72" i="1" s="1"/>
  <c r="R63" i="1"/>
  <c r="S63" i="1" s="1"/>
  <c r="Y63" i="1" s="1"/>
  <c r="R31" i="1"/>
  <c r="S31" i="1" s="1"/>
  <c r="Y31" i="1" s="1"/>
  <c r="R19" i="1"/>
  <c r="S19" i="1" s="1"/>
  <c r="Y19" i="1" s="1"/>
  <c r="R8" i="1"/>
  <c r="S8" i="1" s="1"/>
  <c r="Y8" i="1" s="1"/>
  <c r="W158" i="1"/>
  <c r="S158" i="1" s="1"/>
  <c r="Y158" i="1" s="1"/>
  <c r="W142" i="1"/>
  <c r="S142" i="1" s="1"/>
  <c r="Y142" i="1" s="1"/>
  <c r="W126" i="1"/>
  <c r="S126" i="1" s="1"/>
  <c r="Y126" i="1" s="1"/>
  <c r="W110" i="1"/>
  <c r="S110" i="1" s="1"/>
  <c r="Y110" i="1" s="1"/>
  <c r="W102" i="1"/>
  <c r="S102" i="1" s="1"/>
  <c r="Y102" i="1" s="1"/>
  <c r="W66" i="1"/>
  <c r="S66" i="1" s="1"/>
  <c r="Y66" i="1" s="1"/>
  <c r="W46" i="1"/>
  <c r="S46" i="1" s="1"/>
  <c r="Y46" i="1" s="1"/>
  <c r="W38" i="1"/>
  <c r="S38" i="1" s="1"/>
  <c r="Y38" i="1" s="1"/>
  <c r="T58" i="1"/>
  <c r="U58" i="1" s="1"/>
  <c r="Z58" i="1" s="1"/>
  <c r="X74" i="1"/>
  <c r="U74" i="1" s="1"/>
  <c r="Z74" i="1" s="1"/>
  <c r="V58" i="1"/>
  <c r="T120" i="1"/>
  <c r="V120" i="1"/>
  <c r="X120" i="1"/>
  <c r="T112" i="1"/>
  <c r="V112" i="1"/>
  <c r="X112" i="1"/>
  <c r="T108" i="1"/>
  <c r="X108" i="1"/>
  <c r="V108" i="1"/>
  <c r="V100" i="1"/>
  <c r="T100" i="1"/>
  <c r="T92" i="1"/>
  <c r="X92" i="1"/>
  <c r="V92" i="1"/>
  <c r="T88" i="1"/>
  <c r="X88" i="1"/>
  <c r="V84" i="1"/>
  <c r="T84" i="1"/>
  <c r="X84" i="1"/>
  <c r="T76" i="1"/>
  <c r="V76" i="1"/>
  <c r="X76" i="1"/>
  <c r="T72" i="1"/>
  <c r="X72" i="1"/>
  <c r="V68" i="1"/>
  <c r="T68" i="1"/>
  <c r="T64" i="1"/>
  <c r="V64" i="1"/>
  <c r="T60" i="1"/>
  <c r="X60" i="1"/>
  <c r="T56" i="1"/>
  <c r="V56" i="1"/>
  <c r="X56" i="1"/>
  <c r="V52" i="1"/>
  <c r="T52" i="1"/>
  <c r="X52" i="1"/>
  <c r="T48" i="1"/>
  <c r="V48" i="1"/>
  <c r="X48" i="1"/>
  <c r="T44" i="1"/>
  <c r="X44" i="1"/>
  <c r="T40" i="1"/>
  <c r="V40" i="1"/>
  <c r="X40" i="1"/>
  <c r="V36" i="1"/>
  <c r="T36" i="1"/>
  <c r="T28" i="1"/>
  <c r="X28" i="1"/>
  <c r="V28" i="1"/>
  <c r="T16" i="1"/>
  <c r="X16" i="1"/>
  <c r="T8" i="1"/>
  <c r="X8" i="1"/>
  <c r="V8" i="1"/>
  <c r="R153" i="1"/>
  <c r="S153" i="1" s="1"/>
  <c r="Y153" i="1" s="1"/>
  <c r="R121" i="1"/>
  <c r="S121" i="1" s="1"/>
  <c r="Y121" i="1" s="1"/>
  <c r="R105" i="1"/>
  <c r="S105" i="1" s="1"/>
  <c r="Y105" i="1" s="1"/>
  <c r="V60" i="1"/>
  <c r="R77" i="1"/>
  <c r="S77" i="1" s="1"/>
  <c r="Y77" i="1" s="1"/>
  <c r="R29" i="1"/>
  <c r="S29" i="1" s="1"/>
  <c r="Y29" i="1" s="1"/>
  <c r="X32" i="1"/>
  <c r="U32" i="1" s="1"/>
  <c r="Z32" i="1" s="1"/>
  <c r="V158" i="1"/>
  <c r="T158" i="1"/>
  <c r="X158" i="1"/>
  <c r="V154" i="1"/>
  <c r="X154" i="1"/>
  <c r="T154" i="1"/>
  <c r="X150" i="1"/>
  <c r="V150" i="1"/>
  <c r="T150" i="1"/>
  <c r="V146" i="1"/>
  <c r="T146" i="1"/>
  <c r="X146" i="1"/>
  <c r="V142" i="1"/>
  <c r="T142" i="1"/>
  <c r="U142" i="1" s="1"/>
  <c r="Z142" i="1" s="1"/>
  <c r="V138" i="1"/>
  <c r="X134" i="1"/>
  <c r="V134" i="1"/>
  <c r="T134" i="1"/>
  <c r="T130" i="1"/>
  <c r="X130" i="1"/>
  <c r="V126" i="1"/>
  <c r="T126" i="1"/>
  <c r="X126" i="1"/>
  <c r="V122" i="1"/>
  <c r="X122" i="1"/>
  <c r="U122" i="1" s="1"/>
  <c r="Z122" i="1" s="1"/>
  <c r="V118" i="1"/>
  <c r="X118" i="1"/>
  <c r="U118" i="1" s="1"/>
  <c r="Z118" i="1" s="1"/>
  <c r="T114" i="1"/>
  <c r="X114" i="1"/>
  <c r="V110" i="1"/>
  <c r="T110" i="1"/>
  <c r="V106" i="1"/>
  <c r="T106" i="1"/>
  <c r="T98" i="1"/>
  <c r="V98" i="1"/>
  <c r="X98" i="1"/>
  <c r="V94" i="1"/>
  <c r="T94" i="1"/>
  <c r="X94" i="1"/>
  <c r="V90" i="1"/>
  <c r="X90" i="1"/>
  <c r="T90" i="1"/>
  <c r="X86" i="1"/>
  <c r="T86" i="1"/>
  <c r="V82" i="1"/>
  <c r="T82" i="1"/>
  <c r="X82" i="1"/>
  <c r="V78" i="1"/>
  <c r="T78" i="1"/>
  <c r="U78" i="1" s="1"/>
  <c r="Z78" i="1" s="1"/>
  <c r="X70" i="1"/>
  <c r="V70" i="1"/>
  <c r="T70" i="1"/>
  <c r="T66" i="1"/>
  <c r="X66" i="1"/>
  <c r="V66" i="1"/>
  <c r="V62" i="1"/>
  <c r="T62" i="1"/>
  <c r="X62" i="1"/>
  <c r="V54" i="1"/>
  <c r="X54" i="1"/>
  <c r="U54" i="1" s="1"/>
  <c r="Z54" i="1" s="1"/>
  <c r="T50" i="1"/>
  <c r="X50" i="1"/>
  <c r="V50" i="1"/>
  <c r="V46" i="1"/>
  <c r="T46" i="1"/>
  <c r="V42" i="1"/>
  <c r="T42" i="1"/>
  <c r="X38" i="1"/>
  <c r="V38" i="1"/>
  <c r="T34" i="1"/>
  <c r="V34" i="1"/>
  <c r="X34" i="1"/>
  <c r="V30" i="1"/>
  <c r="T30" i="1"/>
  <c r="X30" i="1"/>
  <c r="V26" i="1"/>
  <c r="X26" i="1"/>
  <c r="T26" i="1"/>
  <c r="X22" i="1"/>
  <c r="V22" i="1"/>
  <c r="T22" i="1"/>
  <c r="X18" i="1"/>
  <c r="V18" i="1"/>
  <c r="T18" i="1"/>
  <c r="X14" i="1"/>
  <c r="V14" i="1"/>
  <c r="T14" i="1"/>
  <c r="X10" i="1"/>
  <c r="V10" i="1"/>
  <c r="X6" i="1"/>
  <c r="V6" i="1"/>
  <c r="T6" i="1"/>
  <c r="R2" i="1"/>
  <c r="S2" i="1" s="1"/>
  <c r="Y2" i="1" s="1"/>
  <c r="R145" i="1"/>
  <c r="S145" i="1" s="1"/>
  <c r="Y145" i="1" s="1"/>
  <c r="R129" i="1"/>
  <c r="S129" i="1" s="1"/>
  <c r="Y129" i="1" s="1"/>
  <c r="R113" i="1"/>
  <c r="S113" i="1" s="1"/>
  <c r="Y113" i="1" s="1"/>
  <c r="R97" i="1"/>
  <c r="S97" i="1" s="1"/>
  <c r="Y97" i="1" s="1"/>
  <c r="R87" i="1"/>
  <c r="S87" i="1" s="1"/>
  <c r="Y87" i="1" s="1"/>
  <c r="R81" i="1"/>
  <c r="S81" i="1" s="1"/>
  <c r="Y81" i="1" s="1"/>
  <c r="R65" i="1"/>
  <c r="S65" i="1" s="1"/>
  <c r="Y65" i="1" s="1"/>
  <c r="R55" i="1"/>
  <c r="S55" i="1" s="1"/>
  <c r="Y55" i="1" s="1"/>
  <c r="R49" i="1"/>
  <c r="S49" i="1" s="1"/>
  <c r="Y49" i="1" s="1"/>
  <c r="R33" i="1"/>
  <c r="S33" i="1" s="1"/>
  <c r="Y33" i="1" s="1"/>
  <c r="R23" i="1"/>
  <c r="S23" i="1" s="1"/>
  <c r="Y23" i="1" s="1"/>
  <c r="R17" i="1"/>
  <c r="S17" i="1" s="1"/>
  <c r="Y17" i="1" s="1"/>
  <c r="W155" i="1"/>
  <c r="S155" i="1" s="1"/>
  <c r="Y155" i="1" s="1"/>
  <c r="W150" i="1"/>
  <c r="S150" i="1" s="1"/>
  <c r="Y150" i="1" s="1"/>
  <c r="W139" i="1"/>
  <c r="S139" i="1" s="1"/>
  <c r="Y139" i="1" s="1"/>
  <c r="W134" i="1"/>
  <c r="S134" i="1" s="1"/>
  <c r="Y134" i="1" s="1"/>
  <c r="W123" i="1"/>
  <c r="S123" i="1" s="1"/>
  <c r="Y123" i="1" s="1"/>
  <c r="W118" i="1"/>
  <c r="S118" i="1" s="1"/>
  <c r="Y118" i="1" s="1"/>
  <c r="W107" i="1"/>
  <c r="S107" i="1" s="1"/>
  <c r="Y107" i="1" s="1"/>
  <c r="W94" i="1"/>
  <c r="S94" i="1" s="1"/>
  <c r="Y94" i="1" s="1"/>
  <c r="W82" i="1"/>
  <c r="S82" i="1" s="1"/>
  <c r="Y82" i="1" s="1"/>
  <c r="W75" i="1"/>
  <c r="S75" i="1" s="1"/>
  <c r="Y75" i="1" s="1"/>
  <c r="W62" i="1"/>
  <c r="S62" i="1" s="1"/>
  <c r="Y62" i="1" s="1"/>
  <c r="W50" i="1"/>
  <c r="S50" i="1" s="1"/>
  <c r="Y50" i="1" s="1"/>
  <c r="W43" i="1"/>
  <c r="S43" i="1" s="1"/>
  <c r="Y43" i="1" s="1"/>
  <c r="W30" i="1"/>
  <c r="S30" i="1" s="1"/>
  <c r="Y30" i="1" s="1"/>
  <c r="W18" i="1"/>
  <c r="S18" i="1" s="1"/>
  <c r="Y18" i="1" s="1"/>
  <c r="W11" i="1"/>
  <c r="S11" i="1" s="1"/>
  <c r="Y11" i="1" s="1"/>
  <c r="T102" i="1"/>
  <c r="U102" i="1" s="1"/>
  <c r="Z102" i="1" s="1"/>
  <c r="T38" i="1"/>
  <c r="X110" i="1"/>
  <c r="X68" i="1"/>
  <c r="X46" i="1"/>
  <c r="V160" i="1"/>
  <c r="V130" i="1"/>
  <c r="V102" i="1"/>
  <c r="V74" i="1"/>
  <c r="T156" i="1"/>
  <c r="X156" i="1"/>
  <c r="V156" i="1"/>
  <c r="T152" i="1"/>
  <c r="X152" i="1"/>
  <c r="V152" i="1"/>
  <c r="V148" i="1"/>
  <c r="T148" i="1"/>
  <c r="X148" i="1"/>
  <c r="T144" i="1"/>
  <c r="X144" i="1"/>
  <c r="T140" i="1"/>
  <c r="V140" i="1"/>
  <c r="X140" i="1"/>
  <c r="T136" i="1"/>
  <c r="X136" i="1"/>
  <c r="V136" i="1"/>
  <c r="V132" i="1"/>
  <c r="T132" i="1"/>
  <c r="U132" i="1" s="1"/>
  <c r="Z132" i="1" s="1"/>
  <c r="T128" i="1"/>
  <c r="V128" i="1"/>
  <c r="T124" i="1"/>
  <c r="X124" i="1"/>
  <c r="V124" i="1"/>
  <c r="V116" i="1"/>
  <c r="T116" i="1"/>
  <c r="X116" i="1"/>
  <c r="T104" i="1"/>
  <c r="V104" i="1"/>
  <c r="X104" i="1"/>
  <c r="T96" i="1"/>
  <c r="U96" i="1" s="1"/>
  <c r="Z96" i="1" s="1"/>
  <c r="V96" i="1"/>
  <c r="T80" i="1"/>
  <c r="V80" i="1"/>
  <c r="X80" i="1"/>
  <c r="T24" i="1"/>
  <c r="X24" i="1"/>
  <c r="V24" i="1"/>
  <c r="V20" i="1"/>
  <c r="T20" i="1"/>
  <c r="X12" i="1"/>
  <c r="T12" i="1"/>
  <c r="V12" i="1"/>
  <c r="V4" i="1"/>
  <c r="T4" i="1"/>
  <c r="X4" i="1"/>
  <c r="R137" i="1"/>
  <c r="S137" i="1" s="1"/>
  <c r="Y137" i="1" s="1"/>
  <c r="R89" i="1"/>
  <c r="S89" i="1" s="1"/>
  <c r="Y89" i="1" s="1"/>
  <c r="R73" i="1"/>
  <c r="S73" i="1" s="1"/>
  <c r="Y73" i="1" s="1"/>
  <c r="R57" i="1"/>
  <c r="S57" i="1" s="1"/>
  <c r="Y57" i="1" s="1"/>
  <c r="R41" i="1"/>
  <c r="S41" i="1" s="1"/>
  <c r="Y41" i="1" s="1"/>
  <c r="R25" i="1"/>
  <c r="S25" i="1" s="1"/>
  <c r="Y25" i="1" s="1"/>
  <c r="R9" i="1"/>
  <c r="S9" i="1" s="1"/>
  <c r="Y9" i="1" s="1"/>
  <c r="S59" i="1"/>
  <c r="Y59" i="1" s="1"/>
  <c r="X100" i="1"/>
  <c r="X36" i="1"/>
  <c r="V145" i="1"/>
  <c r="V117" i="1"/>
  <c r="V88" i="1"/>
  <c r="V32" i="1"/>
  <c r="R157" i="1"/>
  <c r="S157" i="1" s="1"/>
  <c r="Y157" i="1" s="1"/>
  <c r="R141" i="1"/>
  <c r="S141" i="1" s="1"/>
  <c r="Y141" i="1" s="1"/>
  <c r="R125" i="1"/>
  <c r="S125" i="1" s="1"/>
  <c r="Y125" i="1" s="1"/>
  <c r="R109" i="1"/>
  <c r="S109" i="1" s="1"/>
  <c r="Y109" i="1" s="1"/>
  <c r="R93" i="1"/>
  <c r="S93" i="1" s="1"/>
  <c r="Y93" i="1" s="1"/>
  <c r="R61" i="1"/>
  <c r="S61" i="1" s="1"/>
  <c r="Y61" i="1" s="1"/>
  <c r="R45" i="1"/>
  <c r="S45" i="1" s="1"/>
  <c r="Y45" i="1" s="1"/>
  <c r="R13" i="1"/>
  <c r="S13" i="1" s="1"/>
  <c r="Y13" i="1" s="1"/>
  <c r="X160" i="1"/>
  <c r="U160" i="1" s="1"/>
  <c r="Z160" i="1" s="1"/>
  <c r="V144" i="1"/>
  <c r="V29" i="1"/>
  <c r="R106" i="1"/>
  <c r="W106" i="1"/>
  <c r="R90" i="1"/>
  <c r="W90" i="1"/>
  <c r="R74" i="1"/>
  <c r="W74" i="1"/>
  <c r="R58" i="1"/>
  <c r="W58" i="1"/>
  <c r="R42" i="1"/>
  <c r="W42" i="1"/>
  <c r="R26" i="1"/>
  <c r="W26" i="1"/>
  <c r="R10" i="1"/>
  <c r="W10" i="1"/>
  <c r="V2" i="1"/>
  <c r="X2" i="1"/>
  <c r="T2" i="1"/>
  <c r="T157" i="1"/>
  <c r="X157" i="1"/>
  <c r="V153" i="1"/>
  <c r="T153" i="1"/>
  <c r="U153" i="1" s="1"/>
  <c r="Z153" i="1" s="1"/>
  <c r="V149" i="1"/>
  <c r="X145" i="1"/>
  <c r="T145" i="1"/>
  <c r="T141" i="1"/>
  <c r="V141" i="1"/>
  <c r="X141" i="1"/>
  <c r="V137" i="1"/>
  <c r="T137" i="1"/>
  <c r="X137" i="1"/>
  <c r="V133" i="1"/>
  <c r="X133" i="1"/>
  <c r="T133" i="1"/>
  <c r="V125" i="1"/>
  <c r="T125" i="1"/>
  <c r="X125" i="1"/>
  <c r="V121" i="1"/>
  <c r="T121" i="1"/>
  <c r="U121" i="1" s="1"/>
  <c r="Z121" i="1" s="1"/>
  <c r="X113" i="1"/>
  <c r="V113" i="1"/>
  <c r="T109" i="1"/>
  <c r="X109" i="1"/>
  <c r="V109" i="1"/>
  <c r="V105" i="1"/>
  <c r="T105" i="1"/>
  <c r="X105" i="1"/>
  <c r="V97" i="1"/>
  <c r="X97" i="1"/>
  <c r="T97" i="1"/>
  <c r="T93" i="1"/>
  <c r="X93" i="1"/>
  <c r="V93" i="1"/>
  <c r="V89" i="1"/>
  <c r="T89" i="1"/>
  <c r="U89" i="1" s="1"/>
  <c r="Z89" i="1" s="1"/>
  <c r="V85" i="1"/>
  <c r="X81" i="1"/>
  <c r="V81" i="1"/>
  <c r="T81" i="1"/>
  <c r="T77" i="1"/>
  <c r="V77" i="1"/>
  <c r="X77" i="1"/>
  <c r="V73" i="1"/>
  <c r="T73" i="1"/>
  <c r="X73" i="1"/>
  <c r="V69" i="1"/>
  <c r="X69" i="1"/>
  <c r="T69" i="1"/>
  <c r="X65" i="1"/>
  <c r="U65" i="1" s="1"/>
  <c r="Z65" i="1" s="1"/>
  <c r="V65" i="1"/>
  <c r="V61" i="1"/>
  <c r="T61" i="1"/>
  <c r="X61" i="1"/>
  <c r="V57" i="1"/>
  <c r="T57" i="1"/>
  <c r="U57" i="1" s="1"/>
  <c r="Z57" i="1" s="1"/>
  <c r="V53" i="1"/>
  <c r="T53" i="1"/>
  <c r="U53" i="1" s="1"/>
  <c r="Z53" i="1" s="1"/>
  <c r="X49" i="1"/>
  <c r="V49" i="1"/>
  <c r="T45" i="1"/>
  <c r="X45" i="1"/>
  <c r="V41" i="1"/>
  <c r="T41" i="1"/>
  <c r="X41" i="1"/>
  <c r="V37" i="1"/>
  <c r="X37" i="1"/>
  <c r="V33" i="1"/>
  <c r="X33" i="1"/>
  <c r="T33" i="1"/>
  <c r="T29" i="1"/>
  <c r="X29" i="1"/>
  <c r="V25" i="1"/>
  <c r="T25" i="1"/>
  <c r="U25" i="1" s="1"/>
  <c r="Z25" i="1" s="1"/>
  <c r="X21" i="1"/>
  <c r="V21" i="1"/>
  <c r="X17" i="1"/>
  <c r="T17" i="1"/>
  <c r="T13" i="1"/>
  <c r="V13" i="1"/>
  <c r="X13" i="1"/>
  <c r="V9" i="1"/>
  <c r="X9" i="1"/>
  <c r="T9" i="1"/>
  <c r="V5" i="1"/>
  <c r="T5" i="1"/>
  <c r="U5" i="1" s="1"/>
  <c r="Z5" i="1" s="1"/>
  <c r="R149" i="1"/>
  <c r="S149" i="1" s="1"/>
  <c r="Y149" i="1" s="1"/>
  <c r="R133" i="1"/>
  <c r="S133" i="1" s="1"/>
  <c r="Y133" i="1" s="1"/>
  <c r="R117" i="1"/>
  <c r="S117" i="1" s="1"/>
  <c r="Y117" i="1" s="1"/>
  <c r="R101" i="1"/>
  <c r="S101" i="1" s="1"/>
  <c r="Y101" i="1" s="1"/>
  <c r="R85" i="1"/>
  <c r="S85" i="1" s="1"/>
  <c r="Y85" i="1" s="1"/>
  <c r="R69" i="1"/>
  <c r="S69" i="1" s="1"/>
  <c r="Y69" i="1" s="1"/>
  <c r="R53" i="1"/>
  <c r="S53" i="1" s="1"/>
  <c r="Y53" i="1" s="1"/>
  <c r="R37" i="1"/>
  <c r="S37" i="1" s="1"/>
  <c r="Y37" i="1" s="1"/>
  <c r="R21" i="1"/>
  <c r="S21" i="1" s="1"/>
  <c r="Y21" i="1" s="1"/>
  <c r="R5" i="1"/>
  <c r="S5" i="1" s="1"/>
  <c r="Y5" i="1" s="1"/>
  <c r="W154" i="1"/>
  <c r="S154" i="1" s="1"/>
  <c r="Y154" i="1" s="1"/>
  <c r="W138" i="1"/>
  <c r="S138" i="1" s="1"/>
  <c r="Y138" i="1" s="1"/>
  <c r="W122" i="1"/>
  <c r="S122" i="1" s="1"/>
  <c r="Y122" i="1" s="1"/>
  <c r="W86" i="1"/>
  <c r="S86" i="1" s="1"/>
  <c r="Y86" i="1" s="1"/>
  <c r="W54" i="1"/>
  <c r="S54" i="1" s="1"/>
  <c r="Y54" i="1" s="1"/>
  <c r="W22" i="1"/>
  <c r="S22" i="1" s="1"/>
  <c r="Y22" i="1" s="1"/>
  <c r="T149" i="1"/>
  <c r="T138" i="1"/>
  <c r="U138" i="1" s="1"/>
  <c r="Z138" i="1" s="1"/>
  <c r="T113" i="1"/>
  <c r="T101" i="1"/>
  <c r="U101" i="1" s="1"/>
  <c r="Z101" i="1" s="1"/>
  <c r="T85" i="1"/>
  <c r="T49" i="1"/>
  <c r="T37" i="1"/>
  <c r="T21" i="1"/>
  <c r="T10" i="1"/>
  <c r="X149" i="1"/>
  <c r="X128" i="1"/>
  <c r="X106" i="1"/>
  <c r="X85" i="1"/>
  <c r="U85" i="1" s="1"/>
  <c r="Z85" i="1" s="1"/>
  <c r="X64" i="1"/>
  <c r="X42" i="1"/>
  <c r="X20" i="1"/>
  <c r="V157" i="1"/>
  <c r="V129" i="1"/>
  <c r="V101" i="1"/>
  <c r="V72" i="1"/>
  <c r="V44" i="1"/>
  <c r="V16" i="1"/>
  <c r="S52" i="1"/>
  <c r="Y52" i="1" s="1"/>
  <c r="V159" i="1"/>
  <c r="X159" i="1"/>
  <c r="U159" i="1" s="1"/>
  <c r="Z159" i="1" s="1"/>
  <c r="V155" i="1"/>
  <c r="X155" i="1"/>
  <c r="U155" i="1" s="1"/>
  <c r="Z155" i="1" s="1"/>
  <c r="V151" i="1"/>
  <c r="X151" i="1"/>
  <c r="V147" i="1"/>
  <c r="X147" i="1"/>
  <c r="U147" i="1" s="1"/>
  <c r="Z147" i="1" s="1"/>
  <c r="V143" i="1"/>
  <c r="X143" i="1"/>
  <c r="U143" i="1" s="1"/>
  <c r="Z143" i="1" s="1"/>
  <c r="V139" i="1"/>
  <c r="X139" i="1"/>
  <c r="U139" i="1" s="1"/>
  <c r="Z139" i="1" s="1"/>
  <c r="V135" i="1"/>
  <c r="X135" i="1"/>
  <c r="V131" i="1"/>
  <c r="X131" i="1"/>
  <c r="U131" i="1" s="1"/>
  <c r="Z131" i="1" s="1"/>
  <c r="V127" i="1"/>
  <c r="X127" i="1"/>
  <c r="U127" i="1" s="1"/>
  <c r="Z127" i="1" s="1"/>
  <c r="V123" i="1"/>
  <c r="X123" i="1"/>
  <c r="U123" i="1" s="1"/>
  <c r="Z123" i="1" s="1"/>
  <c r="V119" i="1"/>
  <c r="X119" i="1"/>
  <c r="V115" i="1"/>
  <c r="X115" i="1"/>
  <c r="U115" i="1" s="1"/>
  <c r="Z115" i="1" s="1"/>
  <c r="V111" i="1"/>
  <c r="X111" i="1"/>
  <c r="U111" i="1" s="1"/>
  <c r="Z111" i="1" s="1"/>
  <c r="V107" i="1"/>
  <c r="X107" i="1"/>
  <c r="U107" i="1" s="1"/>
  <c r="Z107" i="1" s="1"/>
  <c r="V103" i="1"/>
  <c r="X103" i="1"/>
  <c r="V99" i="1"/>
  <c r="X99" i="1"/>
  <c r="U99" i="1" s="1"/>
  <c r="Z99" i="1" s="1"/>
  <c r="V95" i="1"/>
  <c r="X95" i="1"/>
  <c r="U95" i="1" s="1"/>
  <c r="Z95" i="1" s="1"/>
  <c r="V91" i="1"/>
  <c r="X91" i="1"/>
  <c r="U91" i="1" s="1"/>
  <c r="Z91" i="1" s="1"/>
  <c r="V87" i="1"/>
  <c r="X87" i="1"/>
  <c r="V83" i="1"/>
  <c r="X83" i="1"/>
  <c r="U83" i="1" s="1"/>
  <c r="Z83" i="1" s="1"/>
  <c r="V79" i="1"/>
  <c r="X79" i="1"/>
  <c r="U79" i="1" s="1"/>
  <c r="Z79" i="1" s="1"/>
  <c r="V75" i="1"/>
  <c r="X75" i="1"/>
  <c r="U75" i="1" s="1"/>
  <c r="Z75" i="1" s="1"/>
  <c r="V71" i="1"/>
  <c r="X71" i="1"/>
  <c r="V67" i="1"/>
  <c r="X67" i="1"/>
  <c r="U67" i="1" s="1"/>
  <c r="Z67" i="1" s="1"/>
  <c r="V63" i="1"/>
  <c r="X63" i="1"/>
  <c r="U63" i="1" s="1"/>
  <c r="Z63" i="1" s="1"/>
  <c r="V59" i="1"/>
  <c r="X59" i="1"/>
  <c r="U59" i="1" s="1"/>
  <c r="Z59" i="1" s="1"/>
  <c r="V55" i="1"/>
  <c r="X55" i="1"/>
  <c r="V51" i="1"/>
  <c r="X51" i="1"/>
  <c r="U51" i="1" s="1"/>
  <c r="Z51" i="1" s="1"/>
  <c r="V47" i="1"/>
  <c r="X47" i="1"/>
  <c r="U47" i="1" s="1"/>
  <c r="Z47" i="1" s="1"/>
  <c r="V43" i="1"/>
  <c r="X43" i="1"/>
  <c r="U43" i="1" s="1"/>
  <c r="Z43" i="1" s="1"/>
  <c r="V39" i="1"/>
  <c r="X39" i="1"/>
  <c r="V35" i="1"/>
  <c r="X35" i="1"/>
  <c r="U35" i="1" s="1"/>
  <c r="Z35" i="1" s="1"/>
  <c r="V31" i="1"/>
  <c r="X31" i="1"/>
  <c r="U31" i="1" s="1"/>
  <c r="Z31" i="1" s="1"/>
  <c r="V27" i="1"/>
  <c r="X27" i="1"/>
  <c r="U27" i="1" s="1"/>
  <c r="Z27" i="1" s="1"/>
  <c r="V23" i="1"/>
  <c r="X23" i="1"/>
  <c r="V19" i="1"/>
  <c r="V15" i="1"/>
  <c r="V11" i="1"/>
  <c r="V7" i="1"/>
  <c r="X7" i="1"/>
  <c r="V3" i="1"/>
  <c r="T151" i="1"/>
  <c r="T135" i="1"/>
  <c r="T119" i="1"/>
  <c r="T103" i="1"/>
  <c r="T87" i="1"/>
  <c r="T71" i="1"/>
  <c r="T55" i="1"/>
  <c r="T39" i="1"/>
  <c r="T23" i="1"/>
  <c r="T7" i="1"/>
  <c r="X15" i="1"/>
  <c r="U15" i="1" s="1"/>
  <c r="Z15" i="1" s="1"/>
  <c r="U8" i="1" l="1"/>
  <c r="Z8" i="1" s="1"/>
  <c r="U44" i="1"/>
  <c r="Z44" i="1" s="1"/>
  <c r="U130" i="1"/>
  <c r="Z130" i="1" s="1"/>
  <c r="U146" i="1"/>
  <c r="Z146" i="1" s="1"/>
  <c r="U20" i="1"/>
  <c r="Z20" i="1" s="1"/>
  <c r="M15" i="3"/>
  <c r="M12" i="3"/>
  <c r="M10" i="3"/>
  <c r="M7" i="3"/>
  <c r="M16" i="3"/>
  <c r="M8" i="3"/>
  <c r="M13" i="3"/>
  <c r="M14" i="3"/>
  <c r="M11" i="3"/>
  <c r="M17" i="3"/>
  <c r="U49" i="1"/>
  <c r="Z49" i="1" s="1"/>
  <c r="U77" i="1"/>
  <c r="Z77" i="1" s="1"/>
  <c r="U137" i="1"/>
  <c r="Z137" i="1" s="1"/>
  <c r="S10" i="1"/>
  <c r="Y10" i="1" s="1"/>
  <c r="S42" i="1"/>
  <c r="Y42" i="1" s="1"/>
  <c r="S74" i="1"/>
  <c r="Y74" i="1" s="1"/>
  <c r="S106" i="1"/>
  <c r="Y106" i="1" s="1"/>
  <c r="U92" i="1"/>
  <c r="Z92" i="1" s="1"/>
  <c r="U45" i="1"/>
  <c r="Z45" i="1" s="1"/>
  <c r="U61" i="1"/>
  <c r="Z61" i="1" s="1"/>
  <c r="U73" i="1"/>
  <c r="Z73" i="1" s="1"/>
  <c r="U136" i="1"/>
  <c r="Z136" i="1" s="1"/>
  <c r="U37" i="1"/>
  <c r="Z37" i="1" s="1"/>
  <c r="U106" i="1"/>
  <c r="Z106" i="1" s="1"/>
  <c r="U105" i="1"/>
  <c r="Z105" i="1" s="1"/>
  <c r="U109" i="1"/>
  <c r="Z109" i="1" s="1"/>
  <c r="U141" i="1"/>
  <c r="Z141" i="1" s="1"/>
  <c r="U157" i="1"/>
  <c r="Z157" i="1" s="1"/>
  <c r="U4" i="1"/>
  <c r="Z4" i="1" s="1"/>
  <c r="U46" i="1"/>
  <c r="Z46" i="1" s="1"/>
  <c r="U6" i="1"/>
  <c r="Z6" i="1" s="1"/>
  <c r="U18" i="1"/>
  <c r="Z18" i="1" s="1"/>
  <c r="U50" i="1"/>
  <c r="Z50" i="1" s="1"/>
  <c r="U62" i="1"/>
  <c r="Z62" i="1" s="1"/>
  <c r="U66" i="1"/>
  <c r="Z66" i="1" s="1"/>
  <c r="U70" i="1"/>
  <c r="Z70" i="1" s="1"/>
  <c r="U60" i="1"/>
  <c r="Z60" i="1" s="1"/>
  <c r="U76" i="1"/>
  <c r="Z76" i="1" s="1"/>
  <c r="U112" i="1"/>
  <c r="Z112" i="1" s="1"/>
  <c r="U128" i="1"/>
  <c r="Z128" i="1" s="1"/>
  <c r="U36" i="1"/>
  <c r="Z36" i="1" s="1"/>
  <c r="U104" i="1"/>
  <c r="Z104" i="1" s="1"/>
  <c r="U140" i="1"/>
  <c r="Z140" i="1" s="1"/>
  <c r="U134" i="1"/>
  <c r="Z134" i="1" s="1"/>
  <c r="U23" i="1"/>
  <c r="Z23" i="1" s="1"/>
  <c r="U39" i="1"/>
  <c r="Z39" i="1" s="1"/>
  <c r="U55" i="1"/>
  <c r="Z55" i="1" s="1"/>
  <c r="U87" i="1"/>
  <c r="Z87" i="1" s="1"/>
  <c r="U103" i="1"/>
  <c r="Z103" i="1" s="1"/>
  <c r="U119" i="1"/>
  <c r="Z119" i="1" s="1"/>
  <c r="U151" i="1"/>
  <c r="Z151" i="1" s="1"/>
  <c r="U29" i="1"/>
  <c r="Z29" i="1" s="1"/>
  <c r="U69" i="1"/>
  <c r="Z69" i="1" s="1"/>
  <c r="U113" i="1"/>
  <c r="Z113" i="1" s="1"/>
  <c r="U133" i="1"/>
  <c r="Z133" i="1" s="1"/>
  <c r="U2" i="1"/>
  <c r="Z2" i="1" s="1"/>
  <c r="S26" i="1"/>
  <c r="Y26" i="1" s="1"/>
  <c r="S58" i="1"/>
  <c r="Y58" i="1" s="1"/>
  <c r="S90" i="1"/>
  <c r="Y90" i="1" s="1"/>
  <c r="U24" i="1"/>
  <c r="Z24" i="1" s="1"/>
  <c r="U148" i="1"/>
  <c r="Z148" i="1" s="1"/>
  <c r="U152" i="1"/>
  <c r="Z152" i="1" s="1"/>
  <c r="U22" i="1"/>
  <c r="Z22" i="1" s="1"/>
  <c r="U30" i="1"/>
  <c r="Z30" i="1" s="1"/>
  <c r="U82" i="1"/>
  <c r="Z82" i="1" s="1"/>
  <c r="U86" i="1"/>
  <c r="Z86" i="1" s="1"/>
  <c r="U94" i="1"/>
  <c r="Z94" i="1" s="1"/>
  <c r="U126" i="1"/>
  <c r="Z126" i="1" s="1"/>
  <c r="U150" i="1"/>
  <c r="Z150" i="1" s="1"/>
  <c r="U158" i="1"/>
  <c r="Z158" i="1" s="1"/>
  <c r="U16" i="1"/>
  <c r="Z16" i="1" s="1"/>
  <c r="U48" i="1"/>
  <c r="Z48" i="1" s="1"/>
  <c r="U120" i="1"/>
  <c r="Z120" i="1" s="1"/>
  <c r="U156" i="1"/>
  <c r="Z156" i="1" s="1"/>
  <c r="U84" i="1"/>
  <c r="Z84" i="1" s="1"/>
  <c r="U9" i="1"/>
  <c r="Z9" i="1" s="1"/>
  <c r="U21" i="1"/>
  <c r="Z21" i="1" s="1"/>
  <c r="U145" i="1"/>
  <c r="Z145" i="1" s="1"/>
  <c r="U12" i="1"/>
  <c r="Z12" i="1" s="1"/>
  <c r="U42" i="1"/>
  <c r="Z42" i="1" s="1"/>
  <c r="U81" i="1"/>
  <c r="Z81" i="1" s="1"/>
  <c r="U97" i="1"/>
  <c r="Z97" i="1" s="1"/>
  <c r="U100" i="1"/>
  <c r="Z100" i="1" s="1"/>
  <c r="U68" i="1"/>
  <c r="Z68" i="1" s="1"/>
  <c r="U14" i="1"/>
  <c r="Z14" i="1" s="1"/>
  <c r="U26" i="1"/>
  <c r="Z26" i="1" s="1"/>
  <c r="U90" i="1"/>
  <c r="Z90" i="1" s="1"/>
  <c r="U56" i="1"/>
  <c r="Z56" i="1" s="1"/>
  <c r="U71" i="1"/>
  <c r="Z71" i="1" s="1"/>
  <c r="U135" i="1"/>
  <c r="Z135" i="1" s="1"/>
  <c r="U7" i="1"/>
  <c r="Z7" i="1" s="1"/>
  <c r="U64" i="1"/>
  <c r="Z64" i="1" s="1"/>
  <c r="U149" i="1"/>
  <c r="Z149" i="1" s="1"/>
  <c r="U13" i="1"/>
  <c r="Z13" i="1" s="1"/>
  <c r="U17" i="1"/>
  <c r="Z17" i="1" s="1"/>
  <c r="U33" i="1"/>
  <c r="Z33" i="1" s="1"/>
  <c r="U41" i="1"/>
  <c r="Z41" i="1" s="1"/>
  <c r="U93" i="1"/>
  <c r="Z93" i="1" s="1"/>
  <c r="U125" i="1"/>
  <c r="Z125" i="1" s="1"/>
  <c r="U80" i="1"/>
  <c r="Z80" i="1" s="1"/>
  <c r="U116" i="1"/>
  <c r="Z116" i="1" s="1"/>
  <c r="U124" i="1"/>
  <c r="Z124" i="1" s="1"/>
  <c r="U144" i="1"/>
  <c r="Z144" i="1" s="1"/>
  <c r="U110" i="1"/>
  <c r="Z110" i="1" s="1"/>
  <c r="U10" i="1"/>
  <c r="Z10" i="1" s="1"/>
  <c r="U34" i="1"/>
  <c r="Z34" i="1" s="1"/>
  <c r="U38" i="1"/>
  <c r="Z38" i="1" s="1"/>
  <c r="U98" i="1"/>
  <c r="Z98" i="1" s="1"/>
  <c r="U114" i="1"/>
  <c r="Z114" i="1" s="1"/>
  <c r="U154" i="1"/>
  <c r="Z154" i="1" s="1"/>
  <c r="U28" i="1"/>
  <c r="Z28" i="1" s="1"/>
  <c r="U40" i="1"/>
  <c r="Z40" i="1" s="1"/>
  <c r="U52" i="1"/>
  <c r="Z52" i="1" s="1"/>
  <c r="U72" i="1"/>
  <c r="Z72" i="1" s="1"/>
  <c r="U88" i="1"/>
  <c r="Z88" i="1" s="1"/>
  <c r="U108" i="1"/>
  <c r="Z108" i="1" s="1"/>
</calcChain>
</file>

<file path=xl/sharedStrings.xml><?xml version="1.0" encoding="utf-8"?>
<sst xmlns="http://schemas.openxmlformats.org/spreadsheetml/2006/main" count="2247" uniqueCount="540">
  <si>
    <t>Created on:</t>
  </si>
  <si>
    <t>24 Sep 25 16:49 UTC</t>
  </si>
  <si>
    <t>Jira Site:</t>
  </si>
  <si>
    <t>https://sanes.atlassian.net</t>
  </si>
  <si>
    <t>Jira Query:</t>
  </si>
  <si>
    <t>project = "ESPC360" AND issuetype = Bug AND (resolutiondate &gt; "2025/01/01" OR resolutiondate IS EMPTY) AND "ES-Optional 1[Short text]" ~ ANALÍTICO ORDER BY created ASC</t>
  </si>
  <si>
    <t>Clave</t>
  </si>
  <si>
    <t>Resumen</t>
  </si>
  <si>
    <t>Componentes</t>
  </si>
  <si>
    <t>Creada</t>
  </si>
  <si>
    <t>Resuelta</t>
  </si>
  <si>
    <t>Opción 1</t>
  </si>
  <si>
    <t>Opción 2</t>
  </si>
  <si>
    <t>Opción 3</t>
  </si>
  <si>
    <t>Equipo</t>
  </si>
  <si>
    <t>Prioridad</t>
  </si>
  <si>
    <t>Estado</t>
  </si>
  <si>
    <t>Sprint</t>
  </si>
  <si>
    <t>ESPC360-12632</t>
  </si>
  <si>
    <t>[C360 - mkt_contacts_det] Posibles Duplicados</t>
  </si>
  <si>
    <t>mkt_contacts_det</t>
  </si>
  <si>
    <t>ANALÍTICO</t>
  </si>
  <si>
    <t>DESARROLLO</t>
  </si>
  <si>
    <t/>
  </si>
  <si>
    <t>Highest</t>
  </si>
  <si>
    <t>CERRADO</t>
  </si>
  <si>
    <t>C360_Analitico_Sprint 40</t>
  </si>
  <si>
    <t>ESPC360-13131</t>
  </si>
  <si>
    <t>[C360 - pos_datagen_pond_tit_d] BUG campo imp_xxx_1d</t>
  </si>
  <si>
    <t>pos_datagen_pond_tit_d</t>
  </si>
  <si>
    <t>C360_Analitico_Team_1</t>
  </si>
  <si>
    <t>Medium</t>
  </si>
  <si>
    <t>C360_Analitico_Sprint 42</t>
  </si>
  <si>
    <t>ESPC360-13309</t>
  </si>
  <si>
    <t>[C360 - mov_bills_det] Concepto vacio</t>
  </si>
  <si>
    <t>mov_bills_det</t>
  </si>
  <si>
    <t>ORIGEN</t>
  </si>
  <si>
    <t>CANCELADO</t>
  </si>
  <si>
    <t>ESPC360-13363</t>
  </si>
  <si>
    <t>[C360 - intprofile_cli] cnae_calculated mal informado</t>
  </si>
  <si>
    <t>intprofile_cli</t>
  </si>
  <si>
    <t>C360_Analitico_Sprint 46</t>
  </si>
  <si>
    <t>ESPC360-13375</t>
  </si>
  <si>
    <t>[C360 - Oracle] Tablas Santander GO</t>
  </si>
  <si>
    <t>Santanger GO</t>
  </si>
  <si>
    <t>ESPC360-13377</t>
  </si>
  <si>
    <t>[C360 - mkt_contacts_det] Faltan canales</t>
  </si>
  <si>
    <t>ESPC360-13482</t>
  </si>
  <si>
    <t>[C360 - dlge_ssii_ccee_comlay_h.transactional_customerrelationship_det] Mismo full_name</t>
  </si>
  <si>
    <t>transactional_customerrelationship_det</t>
  </si>
  <si>
    <t>C360_Analitico_Team_2</t>
  </si>
  <si>
    <t>C360_Analitico_Sprint 42;C360_Analitico_Sprint 43;C360_Analitico_Sprint 44</t>
  </si>
  <si>
    <t>ESPC360-13540</t>
  </si>
  <si>
    <t xml:space="preserve">[ BUG ] - Error de calculo en digitalchannelactivity_datagen_d  indicadores </t>
  </si>
  <si>
    <t>digitalchannelactivity_datagen</t>
  </si>
  <si>
    <t>digitalchannelactivity_datagen_d</t>
  </si>
  <si>
    <t>ESPC360-13557</t>
  </si>
  <si>
    <t>[C360 - customer_360] fec_captacion entero a nulos.</t>
  </si>
  <si>
    <t>customer_360</t>
  </si>
  <si>
    <t>C360_Analitico_Sprint 45</t>
  </si>
  <si>
    <t>ESPC360-13803</t>
  </si>
  <si>
    <t>[BUG] - Réplicas Datagen en Databricks</t>
  </si>
  <si>
    <t>datagen_xxx</t>
  </si>
  <si>
    <t>ESPC360-13804</t>
  </si>
  <si>
    <t>[BUG] - Error generación Datagen mes de noviembre</t>
  </si>
  <si>
    <t>ESPC360-13805</t>
  </si>
  <si>
    <t>[BUG] - Faltan particiones en Datagen</t>
  </si>
  <si>
    <t>customerrelationship_enterprise_datagen;datagen_xxx</t>
  </si>
  <si>
    <t>C360_Team_Integration</t>
  </si>
  <si>
    <t>ESPC360-13825</t>
  </si>
  <si>
    <t>[C360 - mov_transfers_det] Concepto vacío</t>
  </si>
  <si>
    <t>mov_transfers_det</t>
  </si>
  <si>
    <t>ESPC360-13831</t>
  </si>
  <si>
    <t>[C360 - mov_bills_det] Variable iban_1 vacío al igual que iban_2</t>
  </si>
  <si>
    <t>ESPC360-13965</t>
  </si>
  <si>
    <t>errores en fichero de feature_changes generado en el proceso_12_Ejecución_Controles</t>
  </si>
  <si>
    <t>CDO</t>
  </si>
  <si>
    <t>ESPC360-14082</t>
  </si>
  <si>
    <t>[BUG Eventos] Volumetrías dispares PRE vs PRO</t>
  </si>
  <si>
    <t>Hechos relevantes</t>
  </si>
  <si>
    <t>ESPC360-14089</t>
  </si>
  <si>
    <t>[C360 - mov_accounts_det] Variable concept vacía</t>
  </si>
  <si>
    <t>mov_accounts_det</t>
  </si>
  <si>
    <t>ESPC360-14097</t>
  </si>
  <si>
    <t>Santander GO Funcionalidad Bizum errónea</t>
  </si>
  <si>
    <t>C360_Team_Mtto</t>
  </si>
  <si>
    <t>ESPC360-14103</t>
  </si>
  <si>
    <t>[C360 - mov_creditcards_det] Registros con customer_id a NULL</t>
  </si>
  <si>
    <t>mov_creditcards_det</t>
  </si>
  <si>
    <t>ESPC360-14106</t>
  </si>
  <si>
    <t>Santander GO. Funcionalidad Pago móvil y Pago ecommerce errónea</t>
  </si>
  <si>
    <t>ESPC360-14124</t>
  </si>
  <si>
    <t>[C360 mov_debitcards_det] Faltan movimientos pagos móvil</t>
  </si>
  <si>
    <t>mov_debitcards_det</t>
  </si>
  <si>
    <t>ESPC360-14158</t>
  </si>
  <si>
    <t>[C360 - mkt_success_det] No se registran éxitos de producciones de créditos</t>
  </si>
  <si>
    <t>mkt_success_det</t>
  </si>
  <si>
    <t>DEFINICIÓN</t>
  </si>
  <si>
    <t>C360_Analitico_Sprint 45;C360_Analitico_Sprint 46</t>
  </si>
  <si>
    <t>ESPC360-14160</t>
  </si>
  <si>
    <t>[C360 - mkt_success_det] No se registran éxitos de Financiación Total</t>
  </si>
  <si>
    <t>FUNCIONAL</t>
  </si>
  <si>
    <t>ESPC360-14172</t>
  </si>
  <si>
    <t>[C360 - mkt_success_det] Volumetría irregular éxito aportación planes</t>
  </si>
  <si>
    <t>ESPC360-14862</t>
  </si>
  <si>
    <t>[INC050600310] - Agenda Financiera, aparece "null" en el encabezado del movimiento</t>
  </si>
  <si>
    <t>agenda financiera</t>
  </si>
  <si>
    <t>SOPORTE</t>
  </si>
  <si>
    <t>ESPC360-14863</t>
  </si>
  <si>
    <t>[PRO] INC050611283 - Tabla 'customerrelationship_enterprise_datagen' en databricks no se puede acceder</t>
  </si>
  <si>
    <t>customerrelationship_enterprise_datagen</t>
  </si>
  <si>
    <t>ESPC360-14883</t>
  </si>
  <si>
    <t>[PRO] INC050636354 - La tabla channelactivity_digitalnavigaion_det no se actualiza desde noviembre en databricks</t>
  </si>
  <si>
    <t>channelactivity_digitalnavigation_det</t>
  </si>
  <si>
    <t>ESPC360-14884</t>
  </si>
  <si>
    <t>[PRO] INC050636479 - Retraso en las tablas</t>
  </si>
  <si>
    <t>ESPC360-15046</t>
  </si>
  <si>
    <t>[BUG Eventos] No se registran eventos de tarjetas</t>
  </si>
  <si>
    <t>ESPC360-15069</t>
  </si>
  <si>
    <t>[CDL_MODELOS Features Models RGI] - Ajustes finales</t>
  </si>
  <si>
    <t>oraculo_features_rgi</t>
  </si>
  <si>
    <t>ESPC360-15408</t>
  </si>
  <si>
    <t>[BUG Eventos] Ejecución - Pymes Primer pago confirming en competencia 6 meses</t>
  </si>
  <si>
    <t>ESPC360-15447</t>
  </si>
  <si>
    <t>[C360 - eventos] Fallo en el proceso de silverización de la tabla events</t>
  </si>
  <si>
    <t>High</t>
  </si>
  <si>
    <t>ESPC360-15628</t>
  </si>
  <si>
    <t>[C360 - customer_360] Número empleado del gestor a NULL</t>
  </si>
  <si>
    <t>intprofile_cli; customer_360</t>
  </si>
  <si>
    <t>ESPC360-15697</t>
  </si>
  <si>
    <t>[C360 - mkt_contacts_det] Misma Operativa en distinta operativa</t>
  </si>
  <si>
    <t>ESPC360-15716</t>
  </si>
  <si>
    <t xml:space="preserve">[CDL_MODELOS Features Models RGI] - Ajustes de campos y validaciones </t>
  </si>
  <si>
    <t>ESPC360-15961</t>
  </si>
  <si>
    <t>[C360 - datagen_sociodemo] INC051498015 Tabla datagen_sociodemo viene a nulo en el 2024</t>
  </si>
  <si>
    <t>datagen_sociodemo</t>
  </si>
  <si>
    <t>ESPC360-16140</t>
  </si>
  <si>
    <t>[CDL_MODELOS Features Models RGI] - Ajustes arquetipos</t>
  </si>
  <si>
    <t>ESPC360-16141</t>
  </si>
  <si>
    <t>[CDL_MODELOS Features Models RGI] - Ajustes saldos</t>
  </si>
  <si>
    <t>ESPC360-16142</t>
  </si>
  <si>
    <t>[CDL_MODELOS Features Models RGI] - Ajustes red_leg_interv</t>
  </si>
  <si>
    <t>ESPC360-16143</t>
  </si>
  <si>
    <t>[CDL_MODELOS Features Models RGI] - Ajustes incumplimientos</t>
  </si>
  <si>
    <t>ESPC360-16144</t>
  </si>
  <si>
    <t>[CDL_MODELOS Features Models RGI] - Ajustes medias</t>
  </si>
  <si>
    <t>ESPC360-16145</t>
  </si>
  <si>
    <t>[CDL_MODELOS Features Models RGI] - Ajustes en garantias</t>
  </si>
  <si>
    <t>ESPC360-16211</t>
  </si>
  <si>
    <t>[C360 - documents_det] INC051752360 Duplicados en la tabla documents_det</t>
  </si>
  <si>
    <t>documents_det</t>
  </si>
  <si>
    <t>C360_Analitico_Sprint 48</t>
  </si>
  <si>
    <t>ESPC360-16216</t>
  </si>
  <si>
    <t>[Agenda Financiera] INC051802058 Vencimiento de la carencia de su contrato</t>
  </si>
  <si>
    <t>ESPC360-16227</t>
  </si>
  <si>
    <t>[C360 - eeff_enterprise_datagen] INC051817151 El datagen de EEFF de empresas está a nulo en noviembre 2024</t>
  </si>
  <si>
    <t>eeff_enterprise_datagen</t>
  </si>
  <si>
    <t>eff_enterprise_datagen</t>
  </si>
  <si>
    <t>ESPC360-16493</t>
  </si>
  <si>
    <t>[BUG] Error a la hora de informar el full_name_2 en la mov_bills_det</t>
  </si>
  <si>
    <t>ESPC360-16515</t>
  </si>
  <si>
    <t>[CDL_MODELOS Features Models RGI] - Ajustes de cálculo de medias</t>
  </si>
  <si>
    <t>C360_Analitico_Sprint 47</t>
  </si>
  <si>
    <t>ESPC360-16536</t>
  </si>
  <si>
    <t>[C360 - events] INC052087115 Errores en eventos</t>
  </si>
  <si>
    <t>ESPC360-16537</t>
  </si>
  <si>
    <t>[C360 - mkt_success_det] INC052089953 Falta de particiones en la tabla SUCCESS_DET</t>
  </si>
  <si>
    <t>REPROCESO</t>
  </si>
  <si>
    <t>ESPC360-16551</t>
  </si>
  <si>
    <t>[CDL_MODELOS Features Models RGI] - Ajustes de cálculo de medias días</t>
  </si>
  <si>
    <t>ESPC360-16682</t>
  </si>
  <si>
    <t>[C360 - datagen] INC052131640 Falta de particiones en tablas DATAGEN</t>
  </si>
  <si>
    <t>datagen_sociodemo;pos_datagen_pond_tit_q</t>
  </si>
  <si>
    <t>ESPC360-16702</t>
  </si>
  <si>
    <t>[CDL_MODELOS Features Models RGI] - Duplicados en PK</t>
  </si>
  <si>
    <t>ESPC360-16711</t>
  </si>
  <si>
    <t>[CDL_MODELOS Features Models RGI] - Ajustes de campo min_dias_apert_tarj_actual</t>
  </si>
  <si>
    <t>ESPC360-16758</t>
  </si>
  <si>
    <t>[C360 - events] INC052355912 Evento Internacional Primer pago plataforma divisa 6m</t>
  </si>
  <si>
    <t>ESPC360-16766</t>
  </si>
  <si>
    <t>[Agenda financiera] Modificar replaceWhere y eliminar data_date_part</t>
  </si>
  <si>
    <t>ESPC360-16875</t>
  </si>
  <si>
    <t>[C360 - mov_accounts_det] INC052433269 Variable concept vacia data_date_part = 2022-05-24</t>
  </si>
  <si>
    <t>C360_Team_Integration;C360_Team_Mtto</t>
  </si>
  <si>
    <t>ESPC360-16919</t>
  </si>
  <si>
    <t>[CDL_MODELOS Features Models RGI] - Ajustes de campo incum_sumimp_12m</t>
  </si>
  <si>
    <t>ESPC360-16920</t>
  </si>
  <si>
    <t>[CDL_MODELOS Features Models RGI] - Ajustes de campo red_grupo_num_cli_irr</t>
  </si>
  <si>
    <t>ESPC360-16935</t>
  </si>
  <si>
    <t>[C360 - mov_bills_det] INC052433422 Variable iban_1 e iban_2 con nulos</t>
  </si>
  <si>
    <t>ESPC360-16969</t>
  </si>
  <si>
    <t>[C360 - eeff_enterprise_datagen] campo = '0'</t>
  </si>
  <si>
    <t>ESPC360-17089</t>
  </si>
  <si>
    <t>[CDL_MODELOS Features Models RGI] - Ajustes de campo garan_mingarantia y garan_minltv</t>
  </si>
  <si>
    <t>ESPC360-17101</t>
  </si>
  <si>
    <t>[CDL_MODELOS Features Models RGI] - Ajustes de campos de periodos</t>
  </si>
  <si>
    <t>ESPC360-17102</t>
  </si>
  <si>
    <t>[CDL_MODELOS Features Models RGI] - Ajustes de campos de incumplimientos</t>
  </si>
  <si>
    <t>ESPC360-17171</t>
  </si>
  <si>
    <t>[C360 - channelactivity_digitalnavigation_det] INC052787967 no hay ningún registro en la tabla para personas físicas</t>
  </si>
  <si>
    <t>ESPC360-17172</t>
  </si>
  <si>
    <t>[C360 - mov_datagen_q] INC052866097 partición del 2024-04-30 variables no informadas</t>
  </si>
  <si>
    <t>mov_datagen_q</t>
  </si>
  <si>
    <t>ESPC360-17303</t>
  </si>
  <si>
    <t>[C360 - mkt_contacts_det] INC052945417 Faltan particiones en mkt_contacts_det</t>
  </si>
  <si>
    <t>ESPC360-17351</t>
  </si>
  <si>
    <t>[C360 - transactional_customerrelationship_det] INC053062392 cif con múltiples nombres/nombres con multiples cif</t>
  </si>
  <si>
    <t>ESPC360-17352</t>
  </si>
  <si>
    <t>[C360 - santander-go] INC053065576 datos de accesos a canales no están actualizados</t>
  </si>
  <si>
    <t>santander-go</t>
  </si>
  <si>
    <t>ESPC360-17355</t>
  </si>
  <si>
    <t>[ORACULO_FEATURES_RGI] Nulos en campos de oraculo RGI</t>
  </si>
  <si>
    <t>C360_Analitico_Sprint 49</t>
  </si>
  <si>
    <t>ESPC360-17366</t>
  </si>
  <si>
    <t>[C360-mov_*]-INC053112110-Error_tras_ejecucion_alter</t>
  </si>
  <si>
    <t>mov_accounts_det;mov_bills_det;mov_creditcards_det;mov_debitcards_det;mov_transfers_det</t>
  </si>
  <si>
    <t>ESPC360-17383</t>
  </si>
  <si>
    <t>[C360-productions_det ]-INC053158038-Volumetrías irregulares especialmente entre 09/2024 y 12/2024</t>
  </si>
  <si>
    <t>productions_det</t>
  </si>
  <si>
    <t>ESPC360-17544</t>
  </si>
  <si>
    <t>[C360-digitalchannelactivity_datagen_*]-INC053326921-Variables que calculan si la conexión es entresemana o los findes están a null en todas las particiones:</t>
  </si>
  <si>
    <t>digitalchannelactivity_datagen_q</t>
  </si>
  <si>
    <t>ESPC360-17563</t>
  </si>
  <si>
    <t>[C360-channelactivity_digitalnavigation_det]-RITM015890724-datos desplazados del día 03/04/2025 04/04/2025, genera duplicados</t>
  </si>
  <si>
    <t>ESPC360-17564</t>
  </si>
  <si>
    <t>[C360-customer_360]-INC053337517-Estamos leyendo datos de la customer_360 y las variables relativas al pago de nóminas aparecen siempre con valor cero.</t>
  </si>
  <si>
    <t>ESPC360-17657</t>
  </si>
  <si>
    <t>[C360-mov_datagen_d]-variables sin informar relacionadas con transferencias y recibos.</t>
  </si>
  <si>
    <t>mov_datagen_d</t>
  </si>
  <si>
    <t>ESPC360-17710</t>
  </si>
  <si>
    <t>[C360-comlay-descriptivos-dg-clientes]-INC053725603-PCENTROINF21D a Odate: 2025/04/16 y 2025/04/21</t>
  </si>
  <si>
    <t>Primer Modelo CDL</t>
  </si>
  <si>
    <t>ESPC360-17777</t>
  </si>
  <si>
    <t>[C360-risk_datagen_q]-INC053796279-duplicados por pk en la partición de 2025-03-31</t>
  </si>
  <si>
    <t>risk_datagen_q</t>
  </si>
  <si>
    <t>ESPC360-17793</t>
  </si>
  <si>
    <t>[ORACULO_FEATURES_RGI] Problemas en los saldos</t>
  </si>
  <si>
    <t>C360_Analitico_Sprint 50</t>
  </si>
  <si>
    <t>ESPC360-17798</t>
  </si>
  <si>
    <t>[Oficina principal] Modificación ETL</t>
  </si>
  <si>
    <t>C360_Analitico_Sprint 51</t>
  </si>
  <si>
    <t>ESPC360-17811</t>
  </si>
  <si>
    <t>[mov_bills_det] Variables full_name_2 y document_number_2</t>
  </si>
  <si>
    <t>ESPC360-17812</t>
  </si>
  <si>
    <t>[C360-mov_creditcards_det ]-INC053845500-contiene duplicados en los que unicamente varia la variable data_timestamp</t>
  </si>
  <si>
    <t>ESPC360-17819</t>
  </si>
  <si>
    <t>[C360-customerrelationship_det]-INC053855763-contiene información de relaciones para personas físicas para los origenes de cargos y accionistas</t>
  </si>
  <si>
    <t>customerrelationship_det</t>
  </si>
  <si>
    <t>ESPC360-18007</t>
  </si>
  <si>
    <t>[transactional_customrelationship_det] Mismo full_name para diferentes identificadores</t>
  </si>
  <si>
    <t>ESPC360-18024</t>
  </si>
  <si>
    <t>[mov_accounts_det] - INC054060820 - Variable concept a NULO más del 50%</t>
  </si>
  <si>
    <t>ESPC360-18047</t>
  </si>
  <si>
    <t>[Agenda Financiera] - INC054090482</t>
  </si>
  <si>
    <t>ESPC360-18145</t>
  </si>
  <si>
    <t>[mov_datagen_q] - INC054237427 - tiene duplicados</t>
  </si>
  <si>
    <t>ESPC360-18156</t>
  </si>
  <si>
    <t>[transactional_customerrelationship_det] Acumular información mes en curso</t>
  </si>
  <si>
    <t>ESPC360-18174</t>
  </si>
  <si>
    <t>INC054289815 - éxitos renting auto</t>
  </si>
  <si>
    <t>ESPC360-18188</t>
  </si>
  <si>
    <t>[mov_XXXX_det] Campo operation_amount de la mov_transfers_det a nulo</t>
  </si>
  <si>
    <t>ESPC360-18189</t>
  </si>
  <si>
    <t>[mov_accounts_det] - Duplicados en la tabla mov_accounts_det, mismo movimiento insertado en diferentes particiones</t>
  </si>
  <si>
    <t>ESPC360-18332</t>
  </si>
  <si>
    <t>[mov_debitcards_det] - Faltan registros</t>
  </si>
  <si>
    <t>ESPC360-18400</t>
  </si>
  <si>
    <t>[mov_datagen_q] - INC054524102 - Formato deltas ITSM alter RITM016283742 y luego reprocesar</t>
  </si>
  <si>
    <t>ESPC360-18649</t>
  </si>
  <si>
    <t>[C360-pos_prices_det]-INC054840447-tipo de interés y tipo de interés de la última cuota pagada</t>
  </si>
  <si>
    <t>pos_prices_det</t>
  </si>
  <si>
    <t>ESPC360-18758</t>
  </si>
  <si>
    <t>[C360-oraculo_daten_rgi]-INC054880018-BUG variables oraculo_daten_rgi</t>
  </si>
  <si>
    <t>C360_Analitico_Team_2;C360_Team_Integration;C360_Team_Mtto</t>
  </si>
  <si>
    <t>C360_Analitico_Sprint 54</t>
  </si>
  <si>
    <t>ESPC360-18788</t>
  </si>
  <si>
    <t>[C360-Agenda_financiera]-INC054947447-NO LE APARECE INFORMACIÓN</t>
  </si>
  <si>
    <t>ESPC360-18789</t>
  </si>
  <si>
    <t>[C360-]-INC054974602-Relanzado proceso</t>
  </si>
  <si>
    <t>ESPC360-18794</t>
  </si>
  <si>
    <t>[C360-pos_prices_det]-identificador fijo y variable e intereses de capital</t>
  </si>
  <si>
    <t>ESPC360-18798</t>
  </si>
  <si>
    <t>[C360-PCDP360112D]-INC055019982-Relanzar proceso</t>
  </si>
  <si>
    <t>ESPC360-18811</t>
  </si>
  <si>
    <t>[santander_go] - Bug sobre los indicadores de biometría y geolocalización</t>
  </si>
  <si>
    <t>ESPC360-18815</t>
  </si>
  <si>
    <t>[santander_go] - Campos relacionados con empresas</t>
  </si>
  <si>
    <t>ESPC360-18816</t>
  </si>
  <si>
    <t>[C360-PCDPADB049D]-INC055057741- Relanzado de proceso</t>
  </si>
  <si>
    <t>ESPC360-18818</t>
  </si>
  <si>
    <t>[C360-Customer360]-Gestores sin numero empleado</t>
  </si>
  <si>
    <t>customer360</t>
  </si>
  <si>
    <t>ESPC360-18942</t>
  </si>
  <si>
    <t>[santander_go] - Campo firma electrónica</t>
  </si>
  <si>
    <t>ESPC360-18948</t>
  </si>
  <si>
    <t>[C360-oraculo_daten_rgi]-INC055103162-BUG variables oraculo_daten_rgi</t>
  </si>
  <si>
    <t>C360_Analitico_Team_2;C360_Team_Integration</t>
  </si>
  <si>
    <t>ESPC360-18951</t>
  </si>
  <si>
    <t>[C360-channelactivity_digitalnavigation_det]-INC055104589-discrepancia de datos entre cloudera y ADB.</t>
  </si>
  <si>
    <t>ESPC360-18962</t>
  </si>
  <si>
    <t>[santander_go] - Último acceso app</t>
  </si>
  <si>
    <t>ESPC360-19124</t>
  </si>
  <si>
    <t>[C360-pos_prices_det] Silverizacion pos_prices_det</t>
  </si>
  <si>
    <t>ESPC360-19132</t>
  </si>
  <si>
    <t>[santander_go] - Campo BIZUM/geolocalización</t>
  </si>
  <si>
    <t>ESPC360-19136</t>
  </si>
  <si>
    <t>[C360-mkt_contact]- Duplicados detectados en los botes de SMS,PUSH,EMAIL</t>
  </si>
  <si>
    <t>ESPC360-19137</t>
  </si>
  <si>
    <t>[PSASCI041D] - Relanzado de proceso</t>
  </si>
  <si>
    <t>ESPC360-19143</t>
  </si>
  <si>
    <t>[C360-mkt_success_det] mismo código de éxito para varias descripciones</t>
  </si>
  <si>
    <t>ESPC360-19155</t>
  </si>
  <si>
    <t>[C360-oraculo_daten_rgi]-INC054880018-BUG variables  RADAR Carterizados</t>
  </si>
  <si>
    <t>ESPC360-19305</t>
  </si>
  <si>
    <t>[C360-fioc_evidencias_cliente]-Discrepancia en volumetría de datos</t>
  </si>
  <si>
    <t>ESPC360-19358</t>
  </si>
  <si>
    <t>[C360-channeldigitalnavigation_det]-INC055813856-  problemas con los datos de la tabla</t>
  </si>
  <si>
    <t>ESPC360-19367</t>
  </si>
  <si>
    <t>[C360-smartdata_new_funds]-INC055844398- "EUR" of the type "string" cannot be cast to "BIGINT".</t>
  </si>
  <si>
    <t>smartdata_new_funds</t>
  </si>
  <si>
    <t>ESPC360-19368</t>
  </si>
  <si>
    <t>[C360-datagen]-INC055845490-Particiones y errores en las métricas</t>
  </si>
  <si>
    <t>ESPC360-19375</t>
  </si>
  <si>
    <t>[C360-agenda financiera] - INC055910146 - aviso en agenda financiera de transferencias que anteriormente no ha recibido.</t>
  </si>
  <si>
    <t>ESPC360-19376</t>
  </si>
  <si>
    <t>[C360-oraculo_rgi] - INC055913800 - Incidencia en datagenes para RGI</t>
  </si>
  <si>
    <t>ESPC360-19394</t>
  </si>
  <si>
    <t>[C360-customerrelationship_enterprise_datagen]-INC056002843-Incidencias en campos de redes</t>
  </si>
  <si>
    <t>ESPC360-19500</t>
  </si>
  <si>
    <t>[C360-mov_transfer_det]-INC056151665-Misma query en origen y destino proporcionan volúmenes diferentes:</t>
  </si>
  <si>
    <t>ESPC360-19525</t>
  </si>
  <si>
    <t>[C360-datagenes]-INC056151367-Duplicados en Datagenes</t>
  </si>
  <si>
    <t>contacts_datagen_d</t>
  </si>
  <si>
    <t>ESPC360-19534</t>
  </si>
  <si>
    <t>[C360-contracts_det]-El campo initial_amount vacío</t>
  </si>
  <si>
    <t>ESPC360-19557</t>
  </si>
  <si>
    <t>risk_datagen_q sin version silver</t>
  </si>
  <si>
    <t>ESPC360-19558</t>
  </si>
  <si>
    <t>RE: Tablón de información de Grupos de Empresas - orígenes del Lago</t>
  </si>
  <si>
    <t>ESPC360-19765</t>
  </si>
  <si>
    <t>[C360-datagen_sociodemo]-INC056479525-Tenemos nulo en la variable del employment type del datagen_sociodemo</t>
  </si>
  <si>
    <t>ESPC360-19825</t>
  </si>
  <si>
    <t>[C360-mov_bills_det]-INC056660081-No se esta pegando la variable CNAE de categorizacion en la tabla mov_bills_det.</t>
  </si>
  <si>
    <t>ESPC360-19892</t>
  </si>
  <si>
    <t>[C360-agenda financiera]-INC056691147-APP Y NHB AGENDA FINANCIERA / NO MUESTRA ADUEDOS SANTANDER</t>
  </si>
  <si>
    <t>Agenda Financiera</t>
  </si>
  <si>
    <t>ESPC360-19924</t>
  </si>
  <si>
    <t>[C360-pos_prices_det]-alerta crítica-Duplicados por PK</t>
  </si>
  <si>
    <t>Tested CERT / TEST</t>
  </si>
  <si>
    <t>ESPC360-19925</t>
  </si>
  <si>
    <t>[C360-productions_det]-alerta crítica-Duplicados por PK</t>
  </si>
  <si>
    <t>ESPC360-19926</t>
  </si>
  <si>
    <t>[C360-mkt_contacts_det]-alerta crítica-Duplicados por PK</t>
  </si>
  <si>
    <t>ESPC360-20026</t>
  </si>
  <si>
    <t>[C360-mov_transfer_det]-pegan ibanes en diferentes formatos</t>
  </si>
  <si>
    <t>ESPC360-20082</t>
  </si>
  <si>
    <t>[C360-santander_go]- cliente no digital, pese a que tiene todas las capacidades para serlo</t>
  </si>
  <si>
    <t>ESPC360-20164</t>
  </si>
  <si>
    <t>[Caliope BUG] Error visualización por falta de partición</t>
  </si>
  <si>
    <t>ESPC360-20165</t>
  </si>
  <si>
    <t>[Caliope] Problema de visualización de controles ejecutados por falta de partición del día</t>
  </si>
  <si>
    <t>C360_Analitico_Sprint 60</t>
  </si>
  <si>
    <t>ESPC360-20167</t>
  </si>
  <si>
    <t>[C360-identdata_cli]-INC057157385-campo legal_person_document_number</t>
  </si>
  <si>
    <t>identdata_cli</t>
  </si>
  <si>
    <t>ESPC360-20168</t>
  </si>
  <si>
    <t>[C360-channelactivity_digitalnav_det]-INC057159880-Campo full_visitor_id con alto volumen de  nulos</t>
  </si>
  <si>
    <t>ESPC360-20185</t>
  </si>
  <si>
    <t>[C360-tarjetas]-revisar nulls customer id en debit y credit</t>
  </si>
  <si>
    <t>ESPC360-20190</t>
  </si>
  <si>
    <t>[C360-mkt_contacts_det]-alerta critica-duplicados PK</t>
  </si>
  <si>
    <t>ESPC360-20328</t>
  </si>
  <si>
    <t>[mov_bills_det]-INC057479223-Se está informando mal el full_name_2</t>
  </si>
  <si>
    <t>ESPC360-20329</t>
  </si>
  <si>
    <t>[mov_datagen_q]-INC057471958-Campos number_of_xxx a NULL</t>
  </si>
  <si>
    <t>ESPC360-20474</t>
  </si>
  <si>
    <t>[C360-mov_transfers_det]-INC057775447-Nulos en las variables</t>
  </si>
  <si>
    <t>Blocked</t>
  </si>
  <si>
    <t>ESPC360-20476</t>
  </si>
  <si>
    <t>[C360-mov_bills_det]-INC057800640- Para la tabla mov_bills_det aparecen vacias las variables relacionadas con el contrato de la cuenta de la parte 1</t>
  </si>
  <si>
    <t>ESPC360-20526</t>
  </si>
  <si>
    <t>[C360-risk_performance_det]-no genera partición</t>
  </si>
  <si>
    <t>ESPC360-20616</t>
  </si>
  <si>
    <t>[C360-geo_cp]-particiones que tienen fecha el dia 30 y no el 31</t>
  </si>
  <si>
    <t>ESPC360-20639</t>
  </si>
  <si>
    <t>[C360-agenda_financiera]-Revisión de los conceptos señalados</t>
  </si>
  <si>
    <t>ESPC360-20640</t>
  </si>
  <si>
    <t xml:space="preserve">[C360-santanderGo]-Revisión del indicador de bizum </t>
  </si>
  <si>
    <t>ESPC360-20642</t>
  </si>
  <si>
    <t>[C360-Datagenes]-Revisión de la generación de particiones de datagenes mensuales</t>
  </si>
  <si>
    <t>ESPC360-20754</t>
  </si>
  <si>
    <t>[C360-Customer360]-INC058205411-campo fecha de captación</t>
  </si>
  <si>
    <t>ESPC360-20809</t>
  </si>
  <si>
    <t>[C360-segmentaciones]-INC058360318-fallo en la ejecución</t>
  </si>
  <si>
    <t>ESPC360-20867</t>
  </si>
  <si>
    <t>[C360-caliope]-Publicacion_de_tablones_consolidados</t>
  </si>
  <si>
    <t>ESPC360-20873</t>
  </si>
  <si>
    <t>[C360-channelactivity_digital]-portal deudores</t>
  </si>
  <si>
    <t>ESPC360-20875</t>
  </si>
  <si>
    <t>C360_Analitico_Sprint 61</t>
  </si>
  <si>
    <t>ESPC360-20876</t>
  </si>
  <si>
    <t>[C360-oraculo_daten_rgi]-BUG variables  RADAR Carterizados</t>
  </si>
  <si>
    <t>ESPC360-20914</t>
  </si>
  <si>
    <t xml:space="preserve">[C360-sociodemo]-Distinto valor de edad </t>
  </si>
  <si>
    <t>ESPC360-20930</t>
  </si>
  <si>
    <t>[C360-mov_transfer_det]-INC058614510-Variables mal informadas para la parte 2 del movimiento (nulos o vacios)</t>
  </si>
  <si>
    <t>ESPC360-20931</t>
  </si>
  <si>
    <t>ESPC360-21027</t>
  </si>
  <si>
    <t>[Risk permance det] - Revisión de valores</t>
  </si>
  <si>
    <t>C360_Analitico_Team_1;C360_Team_Mtto</t>
  </si>
  <si>
    <t>ESPC360-21051</t>
  </si>
  <si>
    <t>[Calíope] no se están visualizando las ejecuciones del mdc morosidad posteriores a abril</t>
  </si>
  <si>
    <t>ESPC360-21068</t>
  </si>
  <si>
    <t>[C360-mov_accounts_det]-INC058829631-Faltan movimientos en la tabla</t>
  </si>
  <si>
    <t>Tipologia</t>
  </si>
  <si>
    <t>Fecha_apertura</t>
  </si>
  <si>
    <t>Fecha_cierre</t>
  </si>
  <si>
    <t>Categoria</t>
  </si>
  <si>
    <t>Semana del año apertura</t>
  </si>
  <si>
    <t>Primer dia de la semana apertura</t>
  </si>
  <si>
    <t>Semana de cierre</t>
  </si>
  <si>
    <t>Primer dia de la semana de cierre</t>
  </si>
  <si>
    <t>Año APERTIRA</t>
  </si>
  <si>
    <t>Año cierre</t>
  </si>
  <si>
    <t>diferencia</t>
  </si>
  <si>
    <t>Etiquetas de fila</t>
  </si>
  <si>
    <t>Total general</t>
  </si>
  <si>
    <t>Etiquetas de columna</t>
  </si>
  <si>
    <t>Externo</t>
  </si>
  <si>
    <t>Interno</t>
  </si>
  <si>
    <t>Cuenta de Tipologia</t>
  </si>
  <si>
    <t>Semana</t>
  </si>
  <si>
    <t>Abiertos Internos</t>
  </si>
  <si>
    <t>Abiertos Externos</t>
  </si>
  <si>
    <t>Cerrados Internos</t>
  </si>
  <si>
    <t>Total abiertos</t>
  </si>
  <si>
    <t>Total Cerrados</t>
  </si>
  <si>
    <t>Acum. Cerrados Internos</t>
  </si>
  <si>
    <t>Acum. Cerrados Externos</t>
  </si>
  <si>
    <t xml:space="preserve">	[Mediacion - xxx] Eliminación duplicados correspondientes a la migración</t>
  </si>
  <si>
    <t>ESPC360-21153</t>
  </si>
  <si>
    <t>[C360-risk_performance_det]-volumtería particiones de 2025-04-01 y 2025-05-01/2022-08-01</t>
  </si>
  <si>
    <t>ESPC360-21166</t>
  </si>
  <si>
    <t>[C360-customrel_det]-fallo en la ejecuciones desde 2025-09-09</t>
  </si>
  <si>
    <t>ESPC360-21168</t>
  </si>
  <si>
    <t>[C360-mov_accounts_det]-INC058995569-faltan movimientos comparando con SantanderGo</t>
  </si>
  <si>
    <t>(en blanco)</t>
  </si>
  <si>
    <t>Cerrados externos</t>
  </si>
  <si>
    <t>Acum Abiertos Extermos</t>
  </si>
  <si>
    <t>Acum. Abiertos Internos</t>
  </si>
  <si>
    <t>Mes_Apertura</t>
  </si>
  <si>
    <t>Mes Cierre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</si>
  <si>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</si>
  <si>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</si>
  <si>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</si>
  <si>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</si>
  <si>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</si>
  <si>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</si>
  <si>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</si>
  <si>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</si>
  <si>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</si>
  <si>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</si>
  <si>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</si>
  <si>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</si>
  <si>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Cuenta de Clave</t>
  </si>
  <si>
    <t>#¡VALOR!</t>
  </si>
  <si>
    <t>Fecha</t>
  </si>
  <si>
    <t>Abierta</t>
  </si>
  <si>
    <t>Cerrada</t>
  </si>
  <si>
    <t>Definición</t>
  </si>
  <si>
    <t>Desarrollo</t>
  </si>
  <si>
    <t>Funcional</t>
  </si>
  <si>
    <t>Origen</t>
  </si>
  <si>
    <t>Reproceso</t>
  </si>
  <si>
    <t>Soporte</t>
  </si>
  <si>
    <t>ESPC360-21173</t>
  </si>
  <si>
    <t>[C360 - pro_common_soporte.c360_data.competence_accounts_det] Bug - Volumetrias Cuentas</t>
  </si>
  <si>
    <t>ESPC360-21174</t>
  </si>
  <si>
    <t>ESPC360-21177</t>
  </si>
  <si>
    <t>[C360-Santander_go]-revisión de cliente</t>
  </si>
  <si>
    <t>ESPC360-20886</t>
  </si>
  <si>
    <t>[Caliope] PBI "Cobertura Modelo de control" en blanco y sin fecha de datos en el informe</t>
  </si>
  <si>
    <t>C360_Analitico_Sprint 64</t>
  </si>
  <si>
    <t>ESPC360-21279</t>
  </si>
  <si>
    <t>Cambiar el criterio de asignación de grupo principal de riesgos en intprofile_cli</t>
  </si>
  <si>
    <t>ESPC360-21282</t>
  </si>
  <si>
    <t xml:space="preserve">[C360-customer360]-facturacion_tpv_mes_customer </t>
  </si>
  <si>
    <t>Selecciona (ORIGEN/PLANIFICACIÓN/RELANZADO PROCESO/DEFINICIÓN/FUNCIONAL/TÉCNICO/DESARROLLO/PENDIENTE REPROCESO)</t>
  </si>
  <si>
    <t>ESPC360-21283</t>
  </si>
  <si>
    <t>Cambiar el criterio de asignación de grupo principal de riesgos en customerrelationship_det</t>
  </si>
  <si>
    <t>ESPC360-21301</t>
  </si>
  <si>
    <t>Cambiar el criterio de asignación de grupo principal de riesgos en oraculo_features_rgi</t>
  </si>
  <si>
    <t>C360_Analitico_Sprint 63</t>
  </si>
  <si>
    <t>ESPC360-21325</t>
  </si>
  <si>
    <t>[C360-customrelationship]-INC059287839- solamente se están considerando relaciones de los 10 tipos</t>
  </si>
  <si>
    <t>ESPC360-21327</t>
  </si>
  <si>
    <t xml:space="preserve">[C360-SantanderGo]-Accesos cliente F006487979 </t>
  </si>
  <si>
    <t>Pendiente clasificar</t>
  </si>
  <si>
    <t>2025-10</t>
  </si>
  <si>
    <t>Pendiente definir</t>
  </si>
  <si>
    <t>ESPC360-21039</t>
  </si>
  <si>
    <t>Conteos PBI de incidencias, justificaciones y observaciones</t>
  </si>
  <si>
    <t>ESPC360-21396</t>
  </si>
  <si>
    <t>[C360-channelactivity_digital]-Consulta de perdida path CMC</t>
  </si>
  <si>
    <t>C360_Analitico_Team_1;C360_Team_Integration</t>
  </si>
  <si>
    <t>ESPC360-21423</t>
  </si>
  <si>
    <t>[C360-mov_bills_det]-INC059514927-faltan movimientos</t>
  </si>
  <si>
    <t>ESPC360-21436</t>
  </si>
  <si>
    <t>[C360-customer360]-ind_contable a 1, cuando idcent = 1810</t>
  </si>
  <si>
    <t>ESPC360-21526</t>
  </si>
  <si>
    <t>[C360-revisiónes de tabla]- Alertas critica</t>
  </si>
  <si>
    <t>identdata_cli;intprofile_cli</t>
  </si>
  <si>
    <t>ESPC360-21527</t>
  </si>
  <si>
    <t>Revisión campos Recibos, overdrafts y balances Oráculo-RGI</t>
  </si>
  <si>
    <t>ESPC360-21538</t>
  </si>
  <si>
    <t xml:space="preserve">[C360-Dinero Nuevo]-cliente F15121555 </t>
  </si>
  <si>
    <t xml:space="preserve"> </t>
  </si>
  <si>
    <t>ESPC360-21670</t>
  </si>
  <si>
    <t>[C360-mov_creditcards]-INC059809815-Ejecución con ODATE 20251023</t>
  </si>
  <si>
    <t>ESPC360-21671</t>
  </si>
  <si>
    <t>[C360-mov_transfers_det]-INC059814465-iban_2 vacio</t>
  </si>
  <si>
    <t>ESPC360-21672</t>
  </si>
  <si>
    <t>[C360]-Ejecuciones pendientes semana 20251022</t>
  </si>
  <si>
    <t>ESPC360-21673</t>
  </si>
  <si>
    <t>[C360-santanderGo]-INC059813109-no sale correcto el nombre de esta empresa</t>
  </si>
  <si>
    <t>ESPC360-21690</t>
  </si>
  <si>
    <t xml:space="preserve">[C360-mov_transfer_det]-variable periodicity_days </t>
  </si>
  <si>
    <t>Upstream Generic State 07</t>
  </si>
  <si>
    <t>PRO</t>
  </si>
  <si>
    <t>mov_bills_det;mov_creditcards_det;mov_debitcards_det;mov_transfers_det</t>
  </si>
  <si>
    <t>ESPC360-21725</t>
  </si>
  <si>
    <t>[Dinero nuevo] - Registro no identificado</t>
  </si>
  <si>
    <t>C360_Analitico_Sprint 65</t>
  </si>
  <si>
    <t>Tipología</t>
  </si>
  <si>
    <t>Pre</t>
  </si>
  <si>
    <t>Pro</t>
  </si>
  <si>
    <t>Total</t>
  </si>
  <si>
    <t>Etiqueta Personalizada</t>
  </si>
  <si>
    <t>Entorno</t>
  </si>
  <si>
    <t>Pte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</si>
</sst>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@"/>
  </numFmts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9"/>
      <color rgb="FF1265BE"/>
      <name val="Calibri"/>
      <family val="2"/>
    </font>
    <font>
      <b/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22" fontId="1" fillId="0" borderId="0" xfId="0" applyNumberFormat="1" applyFont="1"/>
    <xf numFmtId="17" fontId="1" fillId="0" borderId="0" xfId="0" applyNumberFormat="1" applyFont="1"/>
    <xf numFmtId="0" fontId="3" fillId="2" borderId="0" xfId="0" applyFont="1" applyFill="1"/>
    <xf numFmtId="14" fontId="1" fillId="0" borderId="0" xfId="0" applyNumberFormat="1" applyFon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3" xfId="0" applyBorder="1"/>
    <xf numFmtId="0" fontId="0" fillId="0" borderId="4" xfId="0" applyBorder="1"/>
    <xf numFmtId="0" fontId="4" fillId="3" borderId="1" xfId="0" applyFont="1" applyFill="1" applyBorder="1"/>
    <xf numFmtId="0" fontId="4" fillId="3" borderId="2" xfId="0" applyFont="1" applyFill="1" applyBorder="1"/>
    <xf numFmtId="0" fontId="4" fillId="4" borderId="1" xfId="0" applyFont="1" applyFill="1" applyBorder="1"/>
    <xf numFmtId="0" fontId="4" fillId="4" borderId="2" xfId="0" applyFont="1" applyFill="1" applyBorder="1"/>
    <xf numFmtId="0" fontId="4" fillId="2" borderId="1" xfId="0" applyFont="1" applyFill="1" applyBorder="1"/>
    <xf numFmtId="0" fontId="4" fillId="2" borderId="2" xfId="0" applyFont="1" applyFill="1" applyBorder="1"/>
    <xf numFmtId="164" fontId="0" fillId="0" borderId="0" xfId="0" applyNumberFormat="1"/>
    <xf numFmtId="164" fontId="0" fillId="0" borderId="3" xfId="0" applyNumberFormat="1" applyBorder="1"/>
    <xf numFmtId="164" fontId="0" fillId="0" borderId="4" xfId="0" applyNumberFormat="1" applyBorder="1"/>
    <xf numFmtId="14" fontId="0" fillId="0" borderId="0" xfId="0" applyNumberFormat="1"/>
    <xf numFmtId="0" fontId="0" fillId="0" borderId="0" xfId="0" applyNumberFormat="1"/>
    <xf numFmtId="0" fontId="4" fillId="5" borderId="0" xfId="0" applyFont="1" applyFill="1"/>
    <xf numFmtId="0" fontId="2" fillId="0" borderId="0" xfId="0" applyFont="1" applyFill="1"/>
    <xf numFmtId="0" fontId="1" fillId="0" borderId="0" xfId="0" applyFont="1" applyFill="1"/>
    <xf numFmtId="22" fontId="1" fillId="0" borderId="0" xfId="0" applyNumberFormat="1" applyFont="1" applyFill="1"/>
    <xf numFmtId="14" fontId="1" fillId="0" borderId="0" xfId="0" applyNumberFormat="1" applyFont="1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600" b="1" i="0" baseline="0"/>
              <a:t>Progresión de Bug Internos&amp;Externos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Resumen!$P$3</c:f>
              <c:strCache>
                <c:ptCount val="1"/>
                <c:pt idx="0">
                  <c:v>Acum. Abiertos Internos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layout>
                <c:manualLayout>
                  <c:x val="-1.6293855788067798E-2"/>
                  <c:y val="-1.01177472654937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96B-44ED-A03E-944046336631}"/>
                </c:ext>
              </c:extLst>
            </c:dLbl>
            <c:dLbl>
              <c:idx val="6"/>
              <c:layout>
                <c:manualLayout>
                  <c:x val="-1.7644921773811342E-2"/>
                  <c:y val="-1.01177472654937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96B-44ED-A03E-9440463366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Resumen!$H$4:$H$46</c15:sqref>
                  </c15:fullRef>
                </c:ext>
              </c:extLst>
              <c:f>Resumen!$H$4:$H$46</c:f>
              <c:numCache>
                <c:formatCode>m/d/yyyy</c:formatCode>
                <c:ptCount val="40"/>
                <c:pt idx="0">
                  <c:v>45663</c:v>
                </c:pt>
                <c:pt idx="1">
                  <c:v>45670</c:v>
                </c:pt>
                <c:pt idx="2">
                  <c:v>45677</c:v>
                </c:pt>
                <c:pt idx="3">
                  <c:v>45684</c:v>
                </c:pt>
                <c:pt idx="4">
                  <c:v>45691</c:v>
                </c:pt>
                <c:pt idx="5">
                  <c:v>45698</c:v>
                </c:pt>
                <c:pt idx="6">
                  <c:v>45705</c:v>
                </c:pt>
                <c:pt idx="7">
                  <c:v>45712</c:v>
                </c:pt>
                <c:pt idx="8">
                  <c:v>45719</c:v>
                </c:pt>
                <c:pt idx="9">
                  <c:v>45726</c:v>
                </c:pt>
                <c:pt idx="10">
                  <c:v>45733</c:v>
                </c:pt>
                <c:pt idx="11">
                  <c:v>45740</c:v>
                </c:pt>
                <c:pt idx="12">
                  <c:v>45747</c:v>
                </c:pt>
                <c:pt idx="13">
                  <c:v>45754</c:v>
                </c:pt>
                <c:pt idx="14">
                  <c:v>45761</c:v>
                </c:pt>
                <c:pt idx="15">
                  <c:v>45768</c:v>
                </c:pt>
                <c:pt idx="16">
                  <c:v>45775</c:v>
                </c:pt>
                <c:pt idx="17">
                  <c:v>45782</c:v>
                </c:pt>
                <c:pt idx="18">
                  <c:v>45789</c:v>
                </c:pt>
                <c:pt idx="19">
                  <c:v>45796</c:v>
                </c:pt>
                <c:pt idx="20">
                  <c:v>45803</c:v>
                </c:pt>
                <c:pt idx="21">
                  <c:v>45810</c:v>
                </c:pt>
                <c:pt idx="22">
                  <c:v>45817</c:v>
                </c:pt>
                <c:pt idx="23">
                  <c:v>45824</c:v>
                </c:pt>
                <c:pt idx="24">
                  <c:v>45831</c:v>
                </c:pt>
                <c:pt idx="25">
                  <c:v>45838</c:v>
                </c:pt>
                <c:pt idx="26">
                  <c:v>45845</c:v>
                </c:pt>
                <c:pt idx="27">
                  <c:v>45852</c:v>
                </c:pt>
                <c:pt idx="28">
                  <c:v>45859</c:v>
                </c:pt>
                <c:pt idx="29">
                  <c:v>45866</c:v>
                </c:pt>
                <c:pt idx="30">
                  <c:v>45873</c:v>
                </c:pt>
                <c:pt idx="31">
                  <c:v>45880</c:v>
                </c:pt>
                <c:pt idx="32">
                  <c:v>45887</c:v>
                </c:pt>
                <c:pt idx="33">
                  <c:v>45894</c:v>
                </c:pt>
                <c:pt idx="34">
                  <c:v>45901</c:v>
                </c:pt>
                <c:pt idx="35">
                  <c:v>45908</c:v>
                </c:pt>
                <c:pt idx="36">
                  <c:v>45915</c:v>
                </c:pt>
                <c:pt idx="37">
                  <c:v>45922</c:v>
                </c:pt>
                <c:pt idx="38">
                  <c:v>45929</c:v>
                </c:pt>
                <c:pt idx="39">
                  <c:v>45936</c:v>
                </c:pt>
                <c:pt idx="40">
                  <c:v>45943</c:v>
                </c:pt>
                <c:pt idx="41">
                  <c:v>45950</c:v>
                </c:pt>
                <c:pt idx="42">
                  <c:v>45957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Resumen!$P$4:$P$46</c15:sqref>
                  </c15:fullRef>
                </c:ext>
              </c:extLst>
              <c:f>Resumen!$P$4:$P$46</c:f>
              <c:numCache>
                <c:formatCode>0;\-0;;@</c:formatCode>
                <c:ptCount val="40"/>
                <c:pt idx="0">
                  <c:v>17</c:v>
                </c:pt>
                <c:pt idx="1">
                  <c:v>17</c:v>
                </c:pt>
                <c:pt idx="2">
                  <c:v>17</c:v>
                </c:pt>
                <c:pt idx="3">
                  <c:v>20</c:v>
                </c:pt>
                <c:pt idx="4">
                  <c:v>20</c:v>
                </c:pt>
                <c:pt idx="5">
                  <c:v>23</c:v>
                </c:pt>
                <c:pt idx="6">
                  <c:v>30</c:v>
                </c:pt>
                <c:pt idx="7">
                  <c:v>32</c:v>
                </c:pt>
                <c:pt idx="8">
                  <c:v>37</c:v>
                </c:pt>
                <c:pt idx="9">
                  <c:v>40</c:v>
                </c:pt>
                <c:pt idx="10">
                  <c:v>44</c:v>
                </c:pt>
                <c:pt idx="11">
                  <c:v>47</c:v>
                </c:pt>
                <c:pt idx="12">
                  <c:v>49</c:v>
                </c:pt>
                <c:pt idx="13">
                  <c:v>52</c:v>
                </c:pt>
                <c:pt idx="14">
                  <c:v>52</c:v>
                </c:pt>
                <c:pt idx="15">
                  <c:v>56</c:v>
                </c:pt>
                <c:pt idx="16">
                  <c:v>58</c:v>
                </c:pt>
                <c:pt idx="17">
                  <c:v>62</c:v>
                </c:pt>
                <c:pt idx="18">
                  <c:v>62</c:v>
                </c:pt>
                <c:pt idx="19">
                  <c:v>62</c:v>
                </c:pt>
                <c:pt idx="20">
                  <c:v>68</c:v>
                </c:pt>
                <c:pt idx="21">
                  <c:v>68</c:v>
                </c:pt>
                <c:pt idx="22">
                  <c:v>73</c:v>
                </c:pt>
                <c:pt idx="23">
                  <c:v>75</c:v>
                </c:pt>
                <c:pt idx="24">
                  <c:v>75</c:v>
                </c:pt>
                <c:pt idx="25">
                  <c:v>75</c:v>
                </c:pt>
                <c:pt idx="26">
                  <c:v>75</c:v>
                </c:pt>
                <c:pt idx="27">
                  <c:v>76</c:v>
                </c:pt>
                <c:pt idx="28">
                  <c:v>78</c:v>
                </c:pt>
                <c:pt idx="29">
                  <c:v>81</c:v>
                </c:pt>
                <c:pt idx="30">
                  <c:v>83</c:v>
                </c:pt>
                <c:pt idx="31">
                  <c:v>85</c:v>
                </c:pt>
                <c:pt idx="32">
                  <c:v>85</c:v>
                </c:pt>
                <c:pt idx="33">
                  <c:v>87</c:v>
                </c:pt>
                <c:pt idx="34">
                  <c:v>87</c:v>
                </c:pt>
                <c:pt idx="35">
                  <c:v>89</c:v>
                </c:pt>
                <c:pt idx="36">
                  <c:v>92</c:v>
                </c:pt>
                <c:pt idx="37">
                  <c:v>95</c:v>
                </c:pt>
                <c:pt idx="38">
                  <c:v>100</c:v>
                </c:pt>
                <c:pt idx="39">
                  <c:v>101</c:v>
                </c:pt>
                <c:pt idx="40">
                  <c:v>101</c:v>
                </c:pt>
                <c:pt idx="41">
                  <c:v>101</c:v>
                </c:pt>
                <c:pt idx="42">
                  <c:v>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96B-44ED-A03E-944046336631}"/>
            </c:ext>
          </c:extLst>
        </c:ser>
        <c:ser>
          <c:idx val="3"/>
          <c:order val="1"/>
          <c:tx>
            <c:strRef>
              <c:f>Resumen!$R$3</c:f>
              <c:strCache>
                <c:ptCount val="1"/>
                <c:pt idx="0">
                  <c:v>Acum. Cerrados Internos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-2"/>
              <c:layout>
                <c:manualLayout>
                  <c:x val="-5.1070294261107863E-3"/>
                  <c:y val="5.64693704048991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96B-44ED-A03E-944046336631}"/>
                </c:ext>
              </c:extLst>
            </c:dLbl>
            <c:dLbl>
              <c:idx val="-1"/>
              <c:layout>
                <c:manualLayout>
                  <c:x val="-1.3261568903009974E-2"/>
                  <c:y val="-1.54869744135583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96B-44ED-A03E-944046336631}"/>
                </c:ext>
              </c:extLst>
            </c:dLbl>
            <c:dLbl>
              <c:idx val="0"/>
              <c:layout>
                <c:manualLayout>
                  <c:x val="-1.7943264567705706E-2"/>
                  <c:y val="-2.47517998958103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96B-44ED-A03E-944046336631}"/>
                </c:ext>
              </c:extLst>
            </c:dLbl>
            <c:dLbl>
              <c:idx val="1"/>
              <c:layout>
                <c:manualLayout>
                  <c:x val="-1.6366123049836413E-2"/>
                  <c:y val="1.86031084509839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96B-44ED-A03E-944046336631}"/>
                </c:ext>
              </c:extLst>
            </c:dLbl>
            <c:dLbl>
              <c:idx val="3"/>
              <c:layout>
                <c:manualLayout>
                  <c:x val="-2.404892613522629E-3"/>
                  <c:y val="3.18421338650256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96B-44ED-A03E-9440463366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Resumen!$H$4:$H$46</c15:sqref>
                  </c15:fullRef>
                </c:ext>
              </c:extLst>
              <c:f>Resumen!$H$4:$H$46</c:f>
              <c:numCache>
                <c:formatCode>m/d/yyyy</c:formatCode>
                <c:ptCount val="40"/>
                <c:pt idx="0">
                  <c:v>45663</c:v>
                </c:pt>
                <c:pt idx="1">
                  <c:v>45670</c:v>
                </c:pt>
                <c:pt idx="2">
                  <c:v>45677</c:v>
                </c:pt>
                <c:pt idx="3">
                  <c:v>45684</c:v>
                </c:pt>
                <c:pt idx="4">
                  <c:v>45691</c:v>
                </c:pt>
                <c:pt idx="5">
                  <c:v>45698</c:v>
                </c:pt>
                <c:pt idx="6">
                  <c:v>45705</c:v>
                </c:pt>
                <c:pt idx="7">
                  <c:v>45712</c:v>
                </c:pt>
                <c:pt idx="8">
                  <c:v>45719</c:v>
                </c:pt>
                <c:pt idx="9">
                  <c:v>45726</c:v>
                </c:pt>
                <c:pt idx="10">
                  <c:v>45733</c:v>
                </c:pt>
                <c:pt idx="11">
                  <c:v>45740</c:v>
                </c:pt>
                <c:pt idx="12">
                  <c:v>45747</c:v>
                </c:pt>
                <c:pt idx="13">
                  <c:v>45754</c:v>
                </c:pt>
                <c:pt idx="14">
                  <c:v>45761</c:v>
                </c:pt>
                <c:pt idx="15">
                  <c:v>45768</c:v>
                </c:pt>
                <c:pt idx="16">
                  <c:v>45775</c:v>
                </c:pt>
                <c:pt idx="17">
                  <c:v>45782</c:v>
                </c:pt>
                <c:pt idx="18">
                  <c:v>45789</c:v>
                </c:pt>
                <c:pt idx="19">
                  <c:v>45796</c:v>
                </c:pt>
                <c:pt idx="20">
                  <c:v>45803</c:v>
                </c:pt>
                <c:pt idx="21">
                  <c:v>45810</c:v>
                </c:pt>
                <c:pt idx="22">
                  <c:v>45817</c:v>
                </c:pt>
                <c:pt idx="23">
                  <c:v>45824</c:v>
                </c:pt>
                <c:pt idx="24">
                  <c:v>45831</c:v>
                </c:pt>
                <c:pt idx="25">
                  <c:v>45838</c:v>
                </c:pt>
                <c:pt idx="26">
                  <c:v>45845</c:v>
                </c:pt>
                <c:pt idx="27">
                  <c:v>45852</c:v>
                </c:pt>
                <c:pt idx="28">
                  <c:v>45859</c:v>
                </c:pt>
                <c:pt idx="29">
                  <c:v>45866</c:v>
                </c:pt>
                <c:pt idx="30">
                  <c:v>45873</c:v>
                </c:pt>
                <c:pt idx="31">
                  <c:v>45880</c:v>
                </c:pt>
                <c:pt idx="32">
                  <c:v>45887</c:v>
                </c:pt>
                <c:pt idx="33">
                  <c:v>45894</c:v>
                </c:pt>
                <c:pt idx="34">
                  <c:v>45901</c:v>
                </c:pt>
                <c:pt idx="35">
                  <c:v>45908</c:v>
                </c:pt>
                <c:pt idx="36">
                  <c:v>45915</c:v>
                </c:pt>
                <c:pt idx="37">
                  <c:v>45922</c:v>
                </c:pt>
                <c:pt idx="38">
                  <c:v>45929</c:v>
                </c:pt>
                <c:pt idx="39">
                  <c:v>45936</c:v>
                </c:pt>
                <c:pt idx="40">
                  <c:v>45943</c:v>
                </c:pt>
                <c:pt idx="41">
                  <c:v>45950</c:v>
                </c:pt>
                <c:pt idx="42">
                  <c:v>45957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Resumen!$R$4:$R$46</c15:sqref>
                  </c15:fullRef>
                </c:ext>
              </c:extLst>
              <c:f>Resumen!$R$4:$R$46</c:f>
              <c:numCache>
                <c:formatCode>0;\-0;;@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6</c:v>
                </c:pt>
                <c:pt idx="6">
                  <c:v>9</c:v>
                </c:pt>
                <c:pt idx="7">
                  <c:v>14</c:v>
                </c:pt>
                <c:pt idx="8">
                  <c:v>27</c:v>
                </c:pt>
                <c:pt idx="9">
                  <c:v>28</c:v>
                </c:pt>
                <c:pt idx="10">
                  <c:v>32</c:v>
                </c:pt>
                <c:pt idx="11">
                  <c:v>33</c:v>
                </c:pt>
                <c:pt idx="12">
                  <c:v>39</c:v>
                </c:pt>
                <c:pt idx="13">
                  <c:v>47</c:v>
                </c:pt>
                <c:pt idx="14">
                  <c:v>51</c:v>
                </c:pt>
                <c:pt idx="15">
                  <c:v>54</c:v>
                </c:pt>
                <c:pt idx="16">
                  <c:v>55</c:v>
                </c:pt>
                <c:pt idx="17">
                  <c:v>59</c:v>
                </c:pt>
                <c:pt idx="18">
                  <c:v>60</c:v>
                </c:pt>
                <c:pt idx="19">
                  <c:v>61</c:v>
                </c:pt>
                <c:pt idx="20">
                  <c:v>66</c:v>
                </c:pt>
                <c:pt idx="21">
                  <c:v>67</c:v>
                </c:pt>
                <c:pt idx="22">
                  <c:v>69</c:v>
                </c:pt>
                <c:pt idx="23">
                  <c:v>71</c:v>
                </c:pt>
                <c:pt idx="24">
                  <c:v>73</c:v>
                </c:pt>
                <c:pt idx="25">
                  <c:v>74</c:v>
                </c:pt>
                <c:pt idx="26">
                  <c:v>74</c:v>
                </c:pt>
                <c:pt idx="27">
                  <c:v>74</c:v>
                </c:pt>
                <c:pt idx="28">
                  <c:v>76</c:v>
                </c:pt>
                <c:pt idx="29">
                  <c:v>78</c:v>
                </c:pt>
                <c:pt idx="30">
                  <c:v>78</c:v>
                </c:pt>
                <c:pt idx="31">
                  <c:v>79</c:v>
                </c:pt>
                <c:pt idx="32">
                  <c:v>80</c:v>
                </c:pt>
                <c:pt idx="33">
                  <c:v>81</c:v>
                </c:pt>
                <c:pt idx="34">
                  <c:v>83</c:v>
                </c:pt>
                <c:pt idx="35">
                  <c:v>87</c:v>
                </c:pt>
                <c:pt idx="36">
                  <c:v>88</c:v>
                </c:pt>
                <c:pt idx="37">
                  <c:v>91</c:v>
                </c:pt>
                <c:pt idx="38">
                  <c:v>95</c:v>
                </c:pt>
                <c:pt idx="39">
                  <c:v>97</c:v>
                </c:pt>
                <c:pt idx="40">
                  <c:v>97</c:v>
                </c:pt>
                <c:pt idx="41">
                  <c:v>99</c:v>
                </c:pt>
                <c:pt idx="42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96B-44ED-A03E-944046336631}"/>
            </c:ext>
          </c:extLst>
        </c:ser>
        <c:ser>
          <c:idx val="0"/>
          <c:order val="2"/>
          <c:tx>
            <c:strRef>
              <c:f>Resumen!$O$3</c:f>
              <c:strCache>
                <c:ptCount val="1"/>
                <c:pt idx="0">
                  <c:v>Acum Abiertos Extermos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Resumen!$H$4:$H$46</c15:sqref>
                  </c15:fullRef>
                </c:ext>
              </c:extLst>
              <c:f>Resumen!$H$4:$H$46</c:f>
              <c:numCache>
                <c:formatCode>m/d/yyyy</c:formatCode>
                <c:ptCount val="40"/>
                <c:pt idx="0">
                  <c:v>45663</c:v>
                </c:pt>
                <c:pt idx="1">
                  <c:v>45670</c:v>
                </c:pt>
                <c:pt idx="2">
                  <c:v>45677</c:v>
                </c:pt>
                <c:pt idx="3">
                  <c:v>45684</c:v>
                </c:pt>
                <c:pt idx="4">
                  <c:v>45691</c:v>
                </c:pt>
                <c:pt idx="5">
                  <c:v>45698</c:v>
                </c:pt>
                <c:pt idx="6">
                  <c:v>45705</c:v>
                </c:pt>
                <c:pt idx="7">
                  <c:v>45712</c:v>
                </c:pt>
                <c:pt idx="8">
                  <c:v>45719</c:v>
                </c:pt>
                <c:pt idx="9">
                  <c:v>45726</c:v>
                </c:pt>
                <c:pt idx="10">
                  <c:v>45733</c:v>
                </c:pt>
                <c:pt idx="11">
                  <c:v>45740</c:v>
                </c:pt>
                <c:pt idx="12">
                  <c:v>45747</c:v>
                </c:pt>
                <c:pt idx="13">
                  <c:v>45754</c:v>
                </c:pt>
                <c:pt idx="14">
                  <c:v>45761</c:v>
                </c:pt>
                <c:pt idx="15">
                  <c:v>45768</c:v>
                </c:pt>
                <c:pt idx="16">
                  <c:v>45775</c:v>
                </c:pt>
                <c:pt idx="17">
                  <c:v>45782</c:v>
                </c:pt>
                <c:pt idx="18">
                  <c:v>45789</c:v>
                </c:pt>
                <c:pt idx="19">
                  <c:v>45796</c:v>
                </c:pt>
                <c:pt idx="20">
                  <c:v>45803</c:v>
                </c:pt>
                <c:pt idx="21">
                  <c:v>45810</c:v>
                </c:pt>
                <c:pt idx="22">
                  <c:v>45817</c:v>
                </c:pt>
                <c:pt idx="23">
                  <c:v>45824</c:v>
                </c:pt>
                <c:pt idx="24">
                  <c:v>45831</c:v>
                </c:pt>
                <c:pt idx="25">
                  <c:v>45838</c:v>
                </c:pt>
                <c:pt idx="26">
                  <c:v>45845</c:v>
                </c:pt>
                <c:pt idx="27">
                  <c:v>45852</c:v>
                </c:pt>
                <c:pt idx="28">
                  <c:v>45859</c:v>
                </c:pt>
                <c:pt idx="29">
                  <c:v>45866</c:v>
                </c:pt>
                <c:pt idx="30">
                  <c:v>45873</c:v>
                </c:pt>
                <c:pt idx="31">
                  <c:v>45880</c:v>
                </c:pt>
                <c:pt idx="32">
                  <c:v>45887</c:v>
                </c:pt>
                <c:pt idx="33">
                  <c:v>45894</c:v>
                </c:pt>
                <c:pt idx="34">
                  <c:v>45901</c:v>
                </c:pt>
                <c:pt idx="35">
                  <c:v>45908</c:v>
                </c:pt>
                <c:pt idx="36">
                  <c:v>45915</c:v>
                </c:pt>
                <c:pt idx="37">
                  <c:v>45922</c:v>
                </c:pt>
                <c:pt idx="38">
                  <c:v>45929</c:v>
                </c:pt>
                <c:pt idx="39">
                  <c:v>45936</c:v>
                </c:pt>
                <c:pt idx="40">
                  <c:v>45943</c:v>
                </c:pt>
                <c:pt idx="41">
                  <c:v>45950</c:v>
                </c:pt>
                <c:pt idx="42">
                  <c:v>45957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Resumen!$O$4:$O$46</c15:sqref>
                  </c15:fullRef>
                </c:ext>
              </c:extLst>
              <c:f>Resumen!$O$4:$O$46</c:f>
              <c:numCache>
                <c:formatCode>0;\-0;;@</c:formatCode>
                <c:ptCount val="40"/>
                <c:pt idx="0">
                  <c:v>7</c:v>
                </c:pt>
                <c:pt idx="1">
                  <c:v>7</c:v>
                </c:pt>
                <c:pt idx="2">
                  <c:v>11</c:v>
                </c:pt>
                <c:pt idx="3">
                  <c:v>11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17</c:v>
                </c:pt>
                <c:pt idx="11">
                  <c:v>18</c:v>
                </c:pt>
                <c:pt idx="12">
                  <c:v>22</c:v>
                </c:pt>
                <c:pt idx="13">
                  <c:v>23</c:v>
                </c:pt>
                <c:pt idx="14">
                  <c:v>23</c:v>
                </c:pt>
                <c:pt idx="15">
                  <c:v>26</c:v>
                </c:pt>
                <c:pt idx="16">
                  <c:v>27</c:v>
                </c:pt>
                <c:pt idx="17">
                  <c:v>29</c:v>
                </c:pt>
                <c:pt idx="18">
                  <c:v>30</c:v>
                </c:pt>
                <c:pt idx="19">
                  <c:v>32</c:v>
                </c:pt>
                <c:pt idx="20">
                  <c:v>36</c:v>
                </c:pt>
                <c:pt idx="21">
                  <c:v>38</c:v>
                </c:pt>
                <c:pt idx="22">
                  <c:v>39</c:v>
                </c:pt>
                <c:pt idx="23">
                  <c:v>41</c:v>
                </c:pt>
                <c:pt idx="24">
                  <c:v>44</c:v>
                </c:pt>
                <c:pt idx="25">
                  <c:v>49</c:v>
                </c:pt>
                <c:pt idx="26">
                  <c:v>50</c:v>
                </c:pt>
                <c:pt idx="27">
                  <c:v>51</c:v>
                </c:pt>
                <c:pt idx="28">
                  <c:v>53</c:v>
                </c:pt>
                <c:pt idx="29">
                  <c:v>55</c:v>
                </c:pt>
                <c:pt idx="30">
                  <c:v>55</c:v>
                </c:pt>
                <c:pt idx="31">
                  <c:v>55</c:v>
                </c:pt>
                <c:pt idx="32">
                  <c:v>57</c:v>
                </c:pt>
                <c:pt idx="33">
                  <c:v>57</c:v>
                </c:pt>
                <c:pt idx="34">
                  <c:v>61</c:v>
                </c:pt>
                <c:pt idx="35">
                  <c:v>64</c:v>
                </c:pt>
                <c:pt idx="36">
                  <c:v>66</c:v>
                </c:pt>
                <c:pt idx="37">
                  <c:v>67</c:v>
                </c:pt>
                <c:pt idx="38">
                  <c:v>70</c:v>
                </c:pt>
                <c:pt idx="39">
                  <c:v>72</c:v>
                </c:pt>
                <c:pt idx="40">
                  <c:v>75</c:v>
                </c:pt>
                <c:pt idx="41">
                  <c:v>78</c:v>
                </c:pt>
                <c:pt idx="42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96B-44ED-A03E-944046336631}"/>
            </c:ext>
          </c:extLst>
        </c:ser>
        <c:ser>
          <c:idx val="2"/>
          <c:order val="3"/>
          <c:tx>
            <c:strRef>
              <c:f>Resumen!$Q$3</c:f>
              <c:strCache>
                <c:ptCount val="1"/>
                <c:pt idx="0">
                  <c:v>Acum. Cerrados Externos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2135799047066863E-2"/>
                  <c:y val="3.5520067760782576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96B-44ED-A03E-944046336631}"/>
                </c:ext>
              </c:extLst>
            </c:dLbl>
            <c:dLbl>
              <c:idx val="3"/>
              <c:layout>
                <c:manualLayout>
                  <c:x val="-1.3213425340572352E-2"/>
                  <c:y val="2.17056530503450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96B-44ED-A03E-9440463366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Resumen!$H$4:$H$46</c15:sqref>
                  </c15:fullRef>
                </c:ext>
              </c:extLst>
              <c:f>Resumen!$H$4:$H$46</c:f>
              <c:numCache>
                <c:formatCode>m/d/yyyy</c:formatCode>
                <c:ptCount val="40"/>
                <c:pt idx="0">
                  <c:v>45663</c:v>
                </c:pt>
                <c:pt idx="1">
                  <c:v>45670</c:v>
                </c:pt>
                <c:pt idx="2">
                  <c:v>45677</c:v>
                </c:pt>
                <c:pt idx="3">
                  <c:v>45684</c:v>
                </c:pt>
                <c:pt idx="4">
                  <c:v>45691</c:v>
                </c:pt>
                <c:pt idx="5">
                  <c:v>45698</c:v>
                </c:pt>
                <c:pt idx="6">
                  <c:v>45705</c:v>
                </c:pt>
                <c:pt idx="7">
                  <c:v>45712</c:v>
                </c:pt>
                <c:pt idx="8">
                  <c:v>45719</c:v>
                </c:pt>
                <c:pt idx="9">
                  <c:v>45726</c:v>
                </c:pt>
                <c:pt idx="10">
                  <c:v>45733</c:v>
                </c:pt>
                <c:pt idx="11">
                  <c:v>45740</c:v>
                </c:pt>
                <c:pt idx="12">
                  <c:v>45747</c:v>
                </c:pt>
                <c:pt idx="13">
                  <c:v>45754</c:v>
                </c:pt>
                <c:pt idx="14">
                  <c:v>45761</c:v>
                </c:pt>
                <c:pt idx="15">
                  <c:v>45768</c:v>
                </c:pt>
                <c:pt idx="16">
                  <c:v>45775</c:v>
                </c:pt>
                <c:pt idx="17">
                  <c:v>45782</c:v>
                </c:pt>
                <c:pt idx="18">
                  <c:v>45789</c:v>
                </c:pt>
                <c:pt idx="19">
                  <c:v>45796</c:v>
                </c:pt>
                <c:pt idx="20">
                  <c:v>45803</c:v>
                </c:pt>
                <c:pt idx="21">
                  <c:v>45810</c:v>
                </c:pt>
                <c:pt idx="22">
                  <c:v>45817</c:v>
                </c:pt>
                <c:pt idx="23">
                  <c:v>45824</c:v>
                </c:pt>
                <c:pt idx="24">
                  <c:v>45831</c:v>
                </c:pt>
                <c:pt idx="25">
                  <c:v>45838</c:v>
                </c:pt>
                <c:pt idx="26">
                  <c:v>45845</c:v>
                </c:pt>
                <c:pt idx="27">
                  <c:v>45852</c:v>
                </c:pt>
                <c:pt idx="28">
                  <c:v>45859</c:v>
                </c:pt>
                <c:pt idx="29">
                  <c:v>45866</c:v>
                </c:pt>
                <c:pt idx="30">
                  <c:v>45873</c:v>
                </c:pt>
                <c:pt idx="31">
                  <c:v>45880</c:v>
                </c:pt>
                <c:pt idx="32">
                  <c:v>45887</c:v>
                </c:pt>
                <c:pt idx="33">
                  <c:v>45894</c:v>
                </c:pt>
                <c:pt idx="34">
                  <c:v>45901</c:v>
                </c:pt>
                <c:pt idx="35">
                  <c:v>45908</c:v>
                </c:pt>
                <c:pt idx="36">
                  <c:v>45915</c:v>
                </c:pt>
                <c:pt idx="37">
                  <c:v>45922</c:v>
                </c:pt>
                <c:pt idx="38">
                  <c:v>45929</c:v>
                </c:pt>
                <c:pt idx="39">
                  <c:v>45936</c:v>
                </c:pt>
                <c:pt idx="40">
                  <c:v>45943</c:v>
                </c:pt>
                <c:pt idx="41">
                  <c:v>45950</c:v>
                </c:pt>
                <c:pt idx="42">
                  <c:v>45957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Resumen!$Q$4:$Q$46</c15:sqref>
                  </c15:fullRef>
                </c:ext>
              </c:extLst>
              <c:f>Resumen!$Q$4:$Q$46</c:f>
              <c:numCache>
                <c:formatCode>0;\-0;;@</c:formatCode>
                <c:ptCount val="4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8</c:v>
                </c:pt>
                <c:pt idx="4">
                  <c:v>8</c:v>
                </c:pt>
                <c:pt idx="5">
                  <c:v>9</c:v>
                </c:pt>
                <c:pt idx="6">
                  <c:v>9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14</c:v>
                </c:pt>
                <c:pt idx="11">
                  <c:v>15</c:v>
                </c:pt>
                <c:pt idx="12">
                  <c:v>17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22</c:v>
                </c:pt>
                <c:pt idx="17">
                  <c:v>23</c:v>
                </c:pt>
                <c:pt idx="18">
                  <c:v>25</c:v>
                </c:pt>
                <c:pt idx="19">
                  <c:v>27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43</c:v>
                </c:pt>
                <c:pt idx="27">
                  <c:v>46</c:v>
                </c:pt>
                <c:pt idx="28">
                  <c:v>46</c:v>
                </c:pt>
                <c:pt idx="29">
                  <c:v>48</c:v>
                </c:pt>
                <c:pt idx="30">
                  <c:v>51</c:v>
                </c:pt>
                <c:pt idx="31">
                  <c:v>51</c:v>
                </c:pt>
                <c:pt idx="32">
                  <c:v>53</c:v>
                </c:pt>
                <c:pt idx="33">
                  <c:v>54</c:v>
                </c:pt>
                <c:pt idx="34">
                  <c:v>58</c:v>
                </c:pt>
                <c:pt idx="35">
                  <c:v>59</c:v>
                </c:pt>
                <c:pt idx="36">
                  <c:v>62</c:v>
                </c:pt>
                <c:pt idx="37">
                  <c:v>63</c:v>
                </c:pt>
                <c:pt idx="38">
                  <c:v>65</c:v>
                </c:pt>
                <c:pt idx="39">
                  <c:v>67</c:v>
                </c:pt>
                <c:pt idx="40">
                  <c:v>70</c:v>
                </c:pt>
                <c:pt idx="41">
                  <c:v>75</c:v>
                </c:pt>
                <c:pt idx="42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96B-44ED-A03E-944046336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7266991"/>
        <c:axId val="387262191"/>
      </c:lineChart>
      <c:dateAx>
        <c:axId val="387266991"/>
        <c:scaling>
          <c:orientation val="minMax"/>
          <c:max val="45957"/>
          <c:min val="45810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87262191"/>
        <c:crossesAt val="-15"/>
        <c:auto val="1"/>
        <c:lblOffset val="100"/>
        <c:baseTimeUnit val="days"/>
        <c:majorUnit val="7"/>
        <c:majorTimeUnit val="days"/>
        <c:minorUnit val="7"/>
        <c:minorTimeUnit val="days"/>
      </c:dateAx>
      <c:valAx>
        <c:axId val="387262191"/>
        <c:scaling>
          <c:orientation val="minMax"/>
          <c:max val="110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;\-0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87266991"/>
        <c:crosses val="autoZero"/>
        <c:crossBetween val="between"/>
        <c:majorUnit val="10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Bug Abierto&amp;Cerrados por Tipología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Resumen_Tipologia!$N$2</c:f>
              <c:strCache>
                <c:ptCount val="1"/>
                <c:pt idx="0">
                  <c:v>Definición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Resumen_Tipologia!$N$3:$N$26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Resumen_Tipologia!$L$3:$M$26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FBD3-481D-B88A-51832AE45036}"/>
            </c:ext>
          </c:extLst>
        </c:ser>
        <c:ser>
          <c:idx val="1"/>
          <c:order val="1"/>
          <c:tx>
            <c:strRef>
              <c:f>Resumen_Tipologia!$O$2</c:f>
              <c:strCache>
                <c:ptCount val="1"/>
                <c:pt idx="0">
                  <c:v>Desarrollo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Resumen_Tipologia!$O$3:$O$26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Resumen_Tipologia!$L$3:$M$26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FBD3-481D-B88A-51832AE45036}"/>
            </c:ext>
          </c:extLst>
        </c:ser>
        <c:ser>
          <c:idx val="2"/>
          <c:order val="2"/>
          <c:tx>
            <c:strRef>
              <c:f>Resumen_Tipologia!$P$2</c:f>
              <c:strCache>
                <c:ptCount val="1"/>
                <c:pt idx="0">
                  <c:v>Funcional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Resumen_Tipologia!$P$3:$P$26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Resumen_Tipologia!$L$3:$M$26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FBD3-481D-B88A-51832AE45036}"/>
            </c:ext>
          </c:extLst>
        </c:ser>
        <c:ser>
          <c:idx val="3"/>
          <c:order val="3"/>
          <c:tx>
            <c:strRef>
              <c:f>Resumen_Tipologia!$Q$2</c:f>
              <c:strCache>
                <c:ptCount val="1"/>
                <c:pt idx="0">
                  <c:v>Origen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Resumen_Tipologia!$Q$3:$Q$26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Resumen_Tipologia!$L$3:$M$26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FBD3-481D-B88A-51832AE45036}"/>
            </c:ext>
          </c:extLst>
        </c:ser>
        <c:ser>
          <c:idx val="4"/>
          <c:order val="4"/>
          <c:tx>
            <c:strRef>
              <c:f>Resumen_Tipologia!$R$2</c:f>
              <c:strCache>
                <c:ptCount val="1"/>
                <c:pt idx="0">
                  <c:v>Reproceso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Resumen_Tipologia!$R$3:$R$26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Resumen_Tipologia!$L$3:$M$26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FBD3-481D-B88A-51832AE45036}"/>
            </c:ext>
          </c:extLst>
        </c:ser>
        <c:ser>
          <c:idx val="5"/>
          <c:order val="5"/>
          <c:tx>
            <c:strRef>
              <c:f>Resumen_Tipologia!$S$2</c:f>
              <c:strCache>
                <c:ptCount val="1"/>
                <c:pt idx="0">
                  <c:v>Soporte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Resumen_Tipologia!$S$3:$S$26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Resumen_Tipologia!$L$3:$M$26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FBD3-481D-B88A-51832AE450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-27"/>
        <c:axId val="370664687"/>
        <c:axId val="370659887"/>
      </c:barChart>
      <c:catAx>
        <c:axId val="370664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70659887"/>
        <c:crosses val="autoZero"/>
        <c:auto val="1"/>
        <c:lblAlgn val="ctr"/>
        <c:lblOffset val="100"/>
        <c:noMultiLvlLbl val="0"/>
      </c:catAx>
      <c:valAx>
        <c:axId val="37065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;\-0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70664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baseline="0"/>
              <a:t>Bug Abiertos por Tipologia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Resumen_Tipologia!$W$2</c:f>
              <c:strCache>
                <c:ptCount val="1"/>
                <c:pt idx="0">
                  <c:v>Definición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Resumen_Tipologia!$V$3:$V$12</c:f>
              <c:strCache>
                <c:ptCount val="10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</c:strCache>
            </c:strRef>
          </c:cat>
          <c:val>
            <c:numRef>
              <c:f>Resumen_Tipologia!$W$3:$W$12</c:f>
              <c:numCache>
                <c:formatCode>0;\-0;;@</c:formatCode>
                <c:ptCount val="10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6</c:v>
                </c:pt>
                <c:pt idx="5">
                  <c:v>7</c:v>
                </c:pt>
                <c:pt idx="6">
                  <c:v>2</c:v>
                </c:pt>
                <c:pt idx="8">
                  <c:v>3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1B-414C-8111-F2A0EC879985}"/>
            </c:ext>
          </c:extLst>
        </c:ser>
        <c:ser>
          <c:idx val="1"/>
          <c:order val="1"/>
          <c:tx>
            <c:strRef>
              <c:f>Resumen_Tipologia!$X$2</c:f>
              <c:strCache>
                <c:ptCount val="1"/>
                <c:pt idx="0">
                  <c:v>Desarrollo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Resumen_Tipologia!$V$3:$V$12</c:f>
              <c:strCache>
                <c:ptCount val="10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</c:strCache>
            </c:strRef>
          </c:cat>
          <c:val>
            <c:numRef>
              <c:f>Resumen_Tipologia!$X$3:$X$12</c:f>
              <c:numCache>
                <c:formatCode>0;\-0;;@</c:formatCode>
                <c:ptCount val="10"/>
                <c:pt idx="0">
                  <c:v>10</c:v>
                </c:pt>
                <c:pt idx="1">
                  <c:v>9</c:v>
                </c:pt>
                <c:pt idx="2">
                  <c:v>10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4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1B-414C-8111-F2A0EC879985}"/>
            </c:ext>
          </c:extLst>
        </c:ser>
        <c:ser>
          <c:idx val="2"/>
          <c:order val="2"/>
          <c:tx>
            <c:strRef>
              <c:f>Resumen_Tipologia!$Y$2</c:f>
              <c:strCache>
                <c:ptCount val="1"/>
                <c:pt idx="0">
                  <c:v>Funcional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Resumen_Tipologia!$V$3:$V$12</c:f>
              <c:strCache>
                <c:ptCount val="10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</c:strCache>
            </c:strRef>
          </c:cat>
          <c:val>
            <c:numRef>
              <c:f>Resumen_Tipologia!$Y$3:$Y$12</c:f>
              <c:numCache>
                <c:formatCode>0;\-0;;@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1B-414C-8111-F2A0EC879985}"/>
            </c:ext>
          </c:extLst>
        </c:ser>
        <c:ser>
          <c:idx val="3"/>
          <c:order val="3"/>
          <c:tx>
            <c:strRef>
              <c:f>Resumen_Tipologia!$Z$2</c:f>
              <c:strCache>
                <c:ptCount val="1"/>
                <c:pt idx="0">
                  <c:v>Origen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Resumen_Tipologia!$V$3:$V$12</c:f>
              <c:strCache>
                <c:ptCount val="10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</c:strCache>
            </c:strRef>
          </c:cat>
          <c:val>
            <c:numRef>
              <c:f>Resumen_Tipologia!$Z$3:$Z$12</c:f>
              <c:numCache>
                <c:formatCode>0;\-0;;@</c:formatCode>
                <c:ptCount val="10"/>
                <c:pt idx="0">
                  <c:v>6</c:v>
                </c:pt>
                <c:pt idx="2">
                  <c:v>7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1</c:v>
                </c:pt>
                <c:pt idx="8">
                  <c:v>3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1B-414C-8111-F2A0EC879985}"/>
            </c:ext>
          </c:extLst>
        </c:ser>
        <c:ser>
          <c:idx val="4"/>
          <c:order val="4"/>
          <c:tx>
            <c:strRef>
              <c:f>Resumen_Tipologia!$AA$2</c:f>
              <c:strCache>
                <c:ptCount val="1"/>
                <c:pt idx="0">
                  <c:v>Reproceso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Resumen_Tipologia!$V$3:$V$12</c:f>
              <c:strCache>
                <c:ptCount val="10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</c:strCache>
            </c:strRef>
          </c:cat>
          <c:val>
            <c:numRef>
              <c:f>Resumen_Tipologia!$AA$3:$AA$12</c:f>
              <c:numCache>
                <c:formatCode>0;\-0;;@</c:formatCode>
                <c:ptCount val="10"/>
                <c:pt idx="0">
                  <c:v>9</c:v>
                </c:pt>
                <c:pt idx="1">
                  <c:v>1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2</c:v>
                </c:pt>
                <c:pt idx="7">
                  <c:v>4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1B-414C-8111-F2A0EC879985}"/>
            </c:ext>
          </c:extLst>
        </c:ser>
        <c:ser>
          <c:idx val="5"/>
          <c:order val="5"/>
          <c:tx>
            <c:strRef>
              <c:f>Resumen_Tipologia!$AB$2</c:f>
              <c:strCache>
                <c:ptCount val="1"/>
                <c:pt idx="0">
                  <c:v>Soporte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Resumen_Tipologia!$V$3:$V$12</c:f>
              <c:strCache>
                <c:ptCount val="10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</c:strCache>
            </c:strRef>
          </c:cat>
          <c:val>
            <c:numRef>
              <c:f>Resumen_Tipologia!$AB$3:$AB$12</c:f>
              <c:numCache>
                <c:formatCode>0;\-0;;@</c:formatCode>
                <c:ptCount val="10"/>
                <c:pt idx="0">
                  <c:v>4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10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1B-414C-8111-F2A0EC8799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7"/>
        <c:axId val="370687727"/>
        <c:axId val="370693487"/>
      </c:barChart>
      <c:catAx>
        <c:axId val="370687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70693487"/>
        <c:crosses val="autoZero"/>
        <c:auto val="1"/>
        <c:lblAlgn val="ctr"/>
        <c:lblOffset val="100"/>
        <c:noMultiLvlLbl val="0"/>
      </c:catAx>
      <c:valAx>
        <c:axId val="370693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;\-0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70687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Bug Analítico por categorías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1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0D3C-4CDB-8733-6AC8300F6C2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A-0D3C-4CDB-8733-6AC8300F6C2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0D3C-4CDB-8733-6AC8300F6C2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C-0D3C-4CDB-8733-6AC8300F6C2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0D3C-4CDB-8733-6AC8300F6C2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E-0D3C-4CDB-8733-6AC8300F6C2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0D3C-4CDB-8733-6AC8300F6C2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0D3C-4CDB-8733-6AC8300F6C2B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A-0D3C-4CDB-8733-6AC8300F6C2B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0D3C-4CDB-8733-6AC8300F6C2B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C-0D3C-4CDB-8733-6AC8300F6C2B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0D3C-4CDB-8733-6AC8300F6C2B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E-0D3C-4CDB-8733-6AC8300F6C2B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0D3C-4CDB-8733-6AC8300F6C2B}"/>
                </c:ext>
              </c:extLst>
            </c:dLbl>
            <c:dLblPos val="outEnd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Resumen_Tipologia!$AG$2:$AG$8</c:f>
              <c:strCache>
                <c:ptCount val="7"/>
                <c:pt idx="0">
                  <c:v>Definición</c:v>
                </c:pt>
                <c:pt idx="1">
                  <c:v>Desarrollo</c:v>
                </c:pt>
                <c:pt idx="2">
                  <c:v>Funcional</c:v>
                </c:pt>
                <c:pt idx="3">
                  <c:v>Origen</c:v>
                </c:pt>
                <c:pt idx="4">
                  <c:v>Reproceso</c:v>
                </c:pt>
                <c:pt idx="5">
                  <c:v>Soporte</c:v>
                </c:pt>
                <c:pt idx="6">
                  <c:v>Pendiente definir</c:v>
                </c:pt>
              </c:strCache>
            </c:strRef>
          </c:cat>
          <c:val>
            <c:numRef>
              <c:f>Resumen_Tipologia!$AH$2:$AH$8</c:f>
              <c:numCache>
                <c:formatCode>0;\-0;;@</c:formatCode>
                <c:ptCount val="7"/>
                <c:pt idx="0">
                  <c:v>25</c:v>
                </c:pt>
                <c:pt idx="1">
                  <c:v>46</c:v>
                </c:pt>
                <c:pt idx="2">
                  <c:v>17</c:v>
                </c:pt>
                <c:pt idx="3">
                  <c:v>31</c:v>
                </c:pt>
                <c:pt idx="4">
                  <c:v>33</c:v>
                </c:pt>
                <c:pt idx="5">
                  <c:v>29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D3C-4CDB-8733-6AC8300F6C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BUG ANALÍTICO POR CATEGORIAS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Grafica_Estado!$L$2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4A89-4BF6-BC9F-F388CEE91997}"/>
              </c:ext>
            </c:extLst>
          </c:dPt>
          <c:dPt>
            <c:idx val="1"/>
            <c:bubble3D val="0"/>
            <c:explosion val="8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4A89-4BF6-BC9F-F388CEE91997}"/>
              </c:ext>
            </c:extLst>
          </c:dPt>
          <c:dPt>
            <c:idx val="2"/>
            <c:bubble3D val="0"/>
            <c:explosion val="8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4A89-4BF6-BC9F-F388CEE919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4A89-4BF6-BC9F-F388CEE91997}"/>
              </c:ext>
            </c:extLst>
          </c:dPt>
          <c:dPt>
            <c:idx val="4"/>
            <c:bubble3D val="0"/>
            <c:explosion val="5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4A89-4BF6-BC9F-F388CEE91997}"/>
              </c:ext>
            </c:extLst>
          </c:dPt>
          <c:dPt>
            <c:idx val="5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4A89-4BF6-BC9F-F388CEE91997}"/>
              </c:ext>
            </c:extLst>
          </c:dPt>
          <c:dPt>
            <c:idx val="6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4A89-4BF6-BC9F-F388CEE9199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8-4A89-4BF6-BC9F-F388CEE9199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4A89-4BF6-BC9F-F388CEE91997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5091524-E490-45EA-B7F2-E91F2A846061}" type="CATEGORYNAME">
                      <a:rPr lang="en-US" sz="800" b="1" i="0" u="none" strike="noStrike" kern="1200" spc="0" baseline="0">
                        <a:solidFill>
                          <a:srgbClr val="4472C4"/>
                        </a:solidFill>
                      </a:rPr>
                      <a:pPr>
                        <a:defRPr/>
                      </a:pPr>
                      <a:t>[NOMBRE DE CATEGORÍA]</a:t>
                    </a:fld>
                    <a:endParaRPr lang="en-US"/>
                  </a:p>
                  <a:p>
                    <a:pPr>
                      <a:defRPr/>
                    </a:pPr>
                    <a:fld id="{4AB23844-E841-40FA-B7BF-0D8917BE8B7E}" type="CELLRANGE">
                      <a:rPr lang="en-US"/>
                      <a:pPr>
                        <a:defRPr/>
                      </a:pPr>
                      <a:t>[CELLRANGE]</a:t>
                    </a:fld>
                    <a:r>
                      <a:rPr lang="en-US" baseline="0"/>
                      <a:t>
</a:t>
                    </a:r>
                    <a:fld id="{57EA7922-4253-4C15-B64F-4E82E73E72D5}" type="PERCENTAGE">
                      <a:rPr lang="en-US" baseline="0"/>
                      <a:pPr>
                        <a:defRPr/>
                      </a:pPr>
                      <a:t>[PORCENTAJE]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4A89-4BF6-BC9F-F388CEE91997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3B86895-7BAB-4138-9FA5-A7A5D60D1174}" type="CATEGORYNAME">
                      <a:rPr lang="en-US" sz="800" b="1" i="0" u="none" strike="noStrike" kern="1200" spc="0" baseline="0">
                        <a:solidFill>
                          <a:srgbClr val="ED7D31"/>
                        </a:solidFill>
                      </a:rPr>
                      <a:pPr>
                        <a:defRPr/>
                      </a:pPr>
                      <a:t>[NOMBRE DE CATEGORÍA]</a:t>
                    </a:fld>
                    <a:endParaRPr lang="en-US"/>
                  </a:p>
                  <a:p>
                    <a:pPr>
                      <a:defRPr/>
                    </a:pPr>
                    <a:fld id="{3544936C-7F76-4D2D-9E36-602F852BADDB}" type="CELLRANGE">
                      <a:rPr lang="en-US"/>
                      <a:pPr>
                        <a:defRPr/>
                      </a:pPr>
                      <a:t>[CELLRANGE]</a:t>
                    </a:fld>
                    <a:r>
                      <a:rPr lang="en-US" baseline="0"/>
                      <a:t>
</a:t>
                    </a:r>
                    <a:fld id="{4C3C1146-B4B0-45F9-AD52-540631E3A514}" type="PERCENTAGE">
                      <a:rPr lang="en-US" baseline="0"/>
                      <a:pPr>
                        <a:defRPr/>
                      </a:pPr>
                      <a:t>[PORCENTAJE]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4A89-4BF6-BC9F-F388CEE91997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D60A3D3-11C3-47BD-BC9D-95A17D4302DA}" type="CATEGORYNAME">
                      <a:rPr lang="en-US" sz="800" b="1" i="0" u="none" strike="noStrike" kern="1200" spc="0" baseline="0">
                        <a:solidFill>
                          <a:srgbClr val="A5A5A5"/>
                        </a:solidFill>
                      </a:rPr>
                      <a:pPr>
                        <a:defRPr/>
                      </a:pPr>
                      <a:t>[NOMBRE DE CATEGORÍA]</a:t>
                    </a:fld>
                    <a:endParaRPr lang="en-US"/>
                  </a:p>
                  <a:p>
                    <a:pPr>
                      <a:defRPr/>
                    </a:pPr>
                    <a:fld id="{0CE21DEC-30D2-45CF-8274-B733F2BEF1DC}" type="CELLRANGE">
                      <a:rPr lang="en-US"/>
                      <a:pPr>
                        <a:defRPr/>
                      </a:pPr>
                      <a:t>[CELLRANGE]</a:t>
                    </a:fld>
                    <a:r>
                      <a:rPr lang="en-US" baseline="0"/>
                      <a:t>
</a:t>
                    </a:r>
                    <a:fld id="{C0FF2F6C-FCB8-4187-85F1-739C34E50CDD}" type="PERCENTAGE">
                      <a:rPr lang="en-US" baseline="0"/>
                      <a:pPr>
                        <a:defRPr/>
                      </a:pPr>
                      <a:t>[PORCENTAJE]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4A89-4BF6-BC9F-F388CEE91997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B9776E5-EBBA-48EB-A537-8D679B2D910E}" type="CATEGORYNAME">
                      <a:rPr lang="en-US" sz="800" b="1" i="0" u="none" strike="noStrike" kern="1200" spc="0" baseline="0">
                        <a:solidFill>
                          <a:srgbClr val="FFC000"/>
                        </a:solidFill>
                      </a:rPr>
                      <a:pPr>
                        <a:defRPr/>
                      </a:pPr>
                      <a:t>[NOMBRE DE CATEGORÍA]</a:t>
                    </a:fld>
                    <a:endParaRPr lang="en-US"/>
                  </a:p>
                  <a:p>
                    <a:pPr>
                      <a:defRPr/>
                    </a:pPr>
                    <a:fld id="{A0E59357-73D8-4C60-A2B6-C5A12E61C6B7}" type="CELLRANGE">
                      <a:rPr lang="en-US"/>
                      <a:pPr>
                        <a:defRPr/>
                      </a:pPr>
                      <a:t>[CELLRANGE]</a:t>
                    </a:fld>
                    <a:r>
                      <a:rPr lang="en-US" baseline="0"/>
                      <a:t>
</a:t>
                    </a:r>
                    <a:fld id="{5FC4E85E-096A-4CCF-AE95-F9D2928D2D90}" type="PERCENTAGE">
                      <a:rPr lang="en-US" baseline="0"/>
                      <a:pPr>
                        <a:defRPr/>
                      </a:pPr>
                      <a:t>[PORCENTAJE]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4A89-4BF6-BC9F-F388CEE91997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2CE8340-26F3-41ED-B46F-4FD5A2B3D94E}" type="CATEGORYNAME">
                      <a:rPr lang="en-US" sz="800" b="1" i="0" u="none" strike="noStrike" kern="1200" spc="0" baseline="0">
                        <a:solidFill>
                          <a:srgbClr val="5B9BD5"/>
                        </a:solidFill>
                      </a:rPr>
                      <a:pPr>
                        <a:defRPr/>
                      </a:pPr>
                      <a:t>[NOMBRE DE CATEGORÍA]</a:t>
                    </a:fld>
                    <a:endParaRPr lang="en-US"/>
                  </a:p>
                  <a:p>
                    <a:pPr>
                      <a:defRPr/>
                    </a:pPr>
                    <a:fld id="{CE9FF9B6-3456-4E4D-8142-6F30D3E27F0A}" type="CELLRANGE">
                      <a:rPr lang="en-US"/>
                      <a:pPr>
                        <a:defRPr/>
                      </a:pPr>
                      <a:t>[CELLRANGE]</a:t>
                    </a:fld>
                    <a:r>
                      <a:rPr lang="en-US" baseline="0"/>
                      <a:t>
</a:t>
                    </a:r>
                    <a:fld id="{01882C6E-908A-4130-91AD-6DD0E6B51831}" type="PERCENTAGE">
                      <a:rPr lang="en-US" baseline="0"/>
                      <a:pPr>
                        <a:defRPr/>
                      </a:pPr>
                      <a:t>[PORCENTAJE]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4A89-4BF6-BC9F-F388CEE91997}"/>
                </c:ext>
              </c:extLst>
            </c:dLbl>
            <c:dLbl>
              <c:idx val="5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96E38B4-7CF8-408F-82DA-411B7E3BF9BB}" type="CATEGORYNAME">
                      <a:rPr lang="en-US" sz="800" b="1" i="0" u="none" strike="noStrike" kern="1200" spc="0" baseline="0">
                        <a:solidFill>
                          <a:srgbClr val="4472C4">
                            <a:lumMod val="75000"/>
                          </a:srgbClr>
                        </a:solidFill>
                      </a:rPr>
                      <a:pPr>
                        <a:defRPr baseline="0">
                          <a:solidFill>
                            <a:schemeClr val="accent1">
                              <a:lumMod val="75000"/>
                            </a:schemeClr>
                          </a:solidFill>
                        </a:defRPr>
                      </a:pPr>
                      <a:t>[NOMBRE DE CATEGORÍA]</a:t>
                    </a:fld>
                    <a:endParaRPr lang="en-US"/>
                  </a:p>
                  <a:p>
                    <a:pPr>
                      <a:defRPr baseline="0">
                        <a:solidFill>
                          <a:schemeClr val="accent1">
                            <a:lumMod val="75000"/>
                          </a:schemeClr>
                        </a:solidFill>
                      </a:defRPr>
                    </a:pPr>
                    <a:fld id="{1CAA11FB-95B0-458B-AB7C-320EA3524355}" type="CELLRANGE">
                      <a:rPr lang="en-US"/>
                      <a:pPr>
                        <a:defRPr baseline="0">
                          <a:solidFill>
                            <a:schemeClr val="accent1">
                              <a:lumMod val="75000"/>
                            </a:schemeClr>
                          </a:solidFill>
                        </a:defRPr>
                      </a:pPr>
                      <a:t>[CELLRANGE]</a:t>
                    </a:fld>
                    <a:r>
                      <a:rPr lang="en-US" baseline="0"/>
                      <a:t>
</a:t>
                    </a:r>
                    <a:fld id="{25333535-A91C-4B34-BEC3-204008191040}" type="PERCENTAGE">
                      <a:rPr lang="en-US" baseline="0"/>
                      <a:pPr>
                        <a:defRPr baseline="0">
                          <a:solidFill>
                            <a:schemeClr val="accent1">
                              <a:lumMod val="75000"/>
                            </a:schemeClr>
                          </a:solidFill>
                        </a:defRPr>
                      </a:pPr>
                      <a:t>[PORCENTAJE]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4A89-4BF6-BC9F-F388CEE91997}"/>
                </c:ext>
              </c:extLst>
            </c:dLbl>
            <c:dLbl>
              <c:idx val="6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6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24208A5-6487-4051-A0A6-69F8B7C85187}" type="CATEGORYNAME">
                      <a:rPr lang="en-US" sz="800" b="1" i="0" u="none" strike="noStrike" kern="1200" spc="0" baseline="0">
                        <a:solidFill>
                          <a:srgbClr val="70AD47"/>
                        </a:solidFill>
                      </a:rPr>
                      <a:pPr>
                        <a:defRPr baseline="0">
                          <a:solidFill>
                            <a:schemeClr val="accent6"/>
                          </a:solidFill>
                        </a:defRPr>
                      </a:pPr>
                      <a:t>[NOMBRE DE CATEGORÍA]</a:t>
                    </a:fld>
                    <a:endParaRPr lang="en-US"/>
                  </a:p>
                  <a:p>
                    <a:pPr>
                      <a:defRPr baseline="0">
                        <a:solidFill>
                          <a:schemeClr val="accent6"/>
                        </a:solidFill>
                      </a:defRPr>
                    </a:pPr>
                    <a:fld id="{7295BD66-ABD2-4411-9753-75E8B5551EBA}" type="CELLRANGE">
                      <a:rPr lang="en-US"/>
                      <a:pPr>
                        <a:defRPr baseline="0">
                          <a:solidFill>
                            <a:schemeClr val="accent6"/>
                          </a:solidFill>
                        </a:defRPr>
                      </a:pPr>
                      <a:t>[CELLRANGE]</a:t>
                    </a:fld>
                    <a:r>
                      <a:rPr lang="en-US" baseline="0"/>
                      <a:t>
</a:t>
                    </a:r>
                    <a:fld id="{B744A59E-E087-43BC-986A-889C788C7CDE}" type="PERCENTAGE">
                      <a:rPr lang="en-US" baseline="0"/>
                      <a:pPr>
                        <a:defRPr baseline="0">
                          <a:solidFill>
                            <a:schemeClr val="accent6"/>
                          </a:solidFill>
                        </a:defRPr>
                      </a:pPr>
                      <a:t>[PORCENTAJE]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4A89-4BF6-BC9F-F388CEE91997}"/>
                </c:ext>
              </c:extLst>
            </c:dLbl>
            <c:dLbl>
              <c:idx val="7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4A89-4BF6-BC9F-F388CEE91997}"/>
                </c:ext>
              </c:extLst>
            </c:dLbl>
            <c:dLbl>
              <c:idx val="8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4A89-4BF6-BC9F-F388CEE91997}"/>
                </c:ext>
              </c:extLst>
            </c:dLbl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Grafica_Estado!$I$3:$I$11</c:f>
              <c:strCache>
                <c:ptCount val="7"/>
                <c:pt idx="0">
                  <c:v>DEFINICIÓN</c:v>
                </c:pt>
                <c:pt idx="1">
                  <c:v>DESARROLLO</c:v>
                </c:pt>
                <c:pt idx="2">
                  <c:v>FUNCIONAL</c:v>
                </c:pt>
                <c:pt idx="3">
                  <c:v>ORIGEN</c:v>
                </c:pt>
                <c:pt idx="4">
                  <c:v>REPROCESO</c:v>
                </c:pt>
                <c:pt idx="5">
                  <c:v>Pte Clasificar</c:v>
                </c:pt>
                <c:pt idx="6">
                  <c:v>SOPORTE</c:v>
                </c:pt>
              </c:strCache>
            </c:strRef>
          </c:cat>
          <c:val>
            <c:numRef>
              <c:f>Grafica_Estado!$L$3:$L$11</c:f>
              <c:numCache>
                <c:formatCode>General</c:formatCode>
                <c:ptCount val="9"/>
                <c:pt idx="0">
                  <c:v>26</c:v>
                </c:pt>
                <c:pt idx="1">
                  <c:v>46</c:v>
                </c:pt>
                <c:pt idx="2">
                  <c:v>17</c:v>
                </c:pt>
                <c:pt idx="3">
                  <c:v>31</c:v>
                </c:pt>
                <c:pt idx="4">
                  <c:v>33</c:v>
                </c:pt>
                <c:pt idx="5">
                  <c:v>2</c:v>
                </c:pt>
                <c:pt idx="6">
                  <c:v>29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Grafica_Estado!$M$3:$M$11</c15:f>
                <c15:dlblRangeCache>
                  <c:ptCount val="9"/>
                  <c:pt idx="0">
                    <c:v>26 (11 pre / 15 pro)</c:v>
                  </c:pt>
                  <c:pt idx="1">
                    <c:v>46 (28 pre / 18 pro)</c:v>
                  </c:pt>
                  <c:pt idx="2">
                    <c:v>17 (6 pre / 11 pro)</c:v>
                  </c:pt>
                  <c:pt idx="3">
                    <c:v>31 (9 pre / 22 pro)</c:v>
                  </c:pt>
                  <c:pt idx="4">
                    <c:v>33 (13 pre / 20 pro)</c:v>
                  </c:pt>
                  <c:pt idx="5">
                    <c:v>2 (2 pre / 0 pro)</c:v>
                  </c:pt>
                  <c:pt idx="6">
                    <c:v>29 (5 pre / 24 pro)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4A89-4BF6-BC9F-F388CEE919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571500</xdr:colOff>
      <xdr:row>15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55F6E22-257A-4AAB-8175-252641D7E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67500" cy="2952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104775</xdr:rowOff>
    </xdr:from>
    <xdr:to>
      <xdr:col>6</xdr:col>
      <xdr:colOff>533400</xdr:colOff>
      <xdr:row>21</xdr:row>
      <xdr:rowOff>161925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32B0105-6BA6-466E-9BDE-2263FBE1F476}"/>
            </a:ext>
            <a:ext uri="{147F2762-F138-4A5C-976F-8EAC2B608ADB}">
              <a16:predDERef xmlns:a16="http://schemas.microsoft.com/office/drawing/2014/main" pred="{D55F6E22-257A-4AAB-8175-252641D7E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62275"/>
          <a:ext cx="4191000" cy="1200150"/>
        </a:xfrm>
        <a:prstGeom prst="rect">
          <a:avLst/>
        </a:prstGeom>
      </xdr:spPr>
    </xdr:pic>
    <xdr:clientData/>
  </xdr:twoCellAnchor>
  <xdr:twoCellAnchor editAs="oneCell">
    <xdr:from>
      <xdr:col>6</xdr:col>
      <xdr:colOff>542925</xdr:colOff>
      <xdr:row>15</xdr:row>
      <xdr:rowOff>85725</xdr:rowOff>
    </xdr:from>
    <xdr:to>
      <xdr:col>10</xdr:col>
      <xdr:colOff>581025</xdr:colOff>
      <xdr:row>18</xdr:row>
      <xdr:rowOff>114300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397AFEA-974C-4827-883F-4B93CD5B4CF5}"/>
            </a:ext>
            <a:ext uri="{147F2762-F138-4A5C-976F-8EAC2B608ADB}">
              <a16:predDERef xmlns:a16="http://schemas.microsoft.com/office/drawing/2014/main" pred="{932B0105-6BA6-466E-9BDE-2263FBE1F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00525" y="2943225"/>
          <a:ext cx="2476500" cy="600075"/>
        </a:xfrm>
        <a:prstGeom prst="rect">
          <a:avLst/>
        </a:prstGeom>
      </xdr:spPr>
    </xdr:pic>
    <xdr:clientData/>
  </xdr:twoCellAnchor>
  <xdr:twoCellAnchor editAs="oneCell">
    <xdr:from>
      <xdr:col>6</xdr:col>
      <xdr:colOff>542925</xdr:colOff>
      <xdr:row>18</xdr:row>
      <xdr:rowOff>114300</xdr:rowOff>
    </xdr:from>
    <xdr:to>
      <xdr:col>10</xdr:col>
      <xdr:colOff>581025</xdr:colOff>
      <xdr:row>21</xdr:row>
      <xdr:rowOff>142875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FC4CF2B-F61F-4212-A5E3-E3DF0C4FA1F7}"/>
            </a:ext>
            <a:ext uri="{147F2762-F138-4A5C-976F-8EAC2B608ADB}">
              <a16:predDERef xmlns:a16="http://schemas.microsoft.com/office/drawing/2014/main" pred="{1397AFEA-974C-4827-883F-4B93CD5B4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00525" y="3543300"/>
          <a:ext cx="2476500" cy="60007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21</xdr:row>
      <xdr:rowOff>180975</xdr:rowOff>
    </xdr:from>
    <xdr:to>
      <xdr:col>10</xdr:col>
      <xdr:colOff>581025</xdr:colOff>
      <xdr:row>37</xdr:row>
      <xdr:rowOff>161925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24CA12A-2B1A-445C-8FC3-BB9410BDE8C8}"/>
            </a:ext>
            <a:ext uri="{147F2762-F138-4A5C-976F-8EAC2B608ADB}">
              <a16:predDERef xmlns:a16="http://schemas.microsoft.com/office/drawing/2014/main" pred="{FFC4CF2B-F61F-4212-A5E3-E3DF0C4FA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25" y="4181475"/>
          <a:ext cx="6667500" cy="3028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728426</xdr:colOff>
      <xdr:row>57</xdr:row>
      <xdr:rowOff>117839</xdr:rowOff>
    </xdr:from>
    <xdr:to>
      <xdr:col>19</xdr:col>
      <xdr:colOff>78348</xdr:colOff>
      <xdr:row>96</xdr:row>
      <xdr:rowOff>154739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9259BB3A-F89F-F805-1A42-15700A6317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38101</xdr:colOff>
      <xdr:row>37</xdr:row>
      <xdr:rowOff>64769</xdr:rowOff>
    </xdr:from>
    <xdr:to>
      <xdr:col>21</xdr:col>
      <xdr:colOff>415290</xdr:colOff>
      <xdr:row>65</xdr:row>
      <xdr:rowOff>163829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9D6FBD9-6C39-862B-0822-795BC93323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6802</xdr:colOff>
      <xdr:row>14</xdr:row>
      <xdr:rowOff>104773</xdr:rowOff>
    </xdr:from>
    <xdr:to>
      <xdr:col>40</xdr:col>
      <xdr:colOff>26002</xdr:colOff>
      <xdr:row>47</xdr:row>
      <xdr:rowOff>96673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8946B06-7BB9-92F4-1475-F3AEC60E13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38100</xdr:colOff>
      <xdr:row>1</xdr:row>
      <xdr:rowOff>179705</xdr:rowOff>
    </xdr:from>
    <xdr:to>
      <xdr:col>56</xdr:col>
      <xdr:colOff>429895</xdr:colOff>
      <xdr:row>38</xdr:row>
      <xdr:rowOff>180341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2FA51D0-E2E6-6281-0400-48FAE79FCE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4981574</xdr:colOff>
      <xdr:row>12</xdr:row>
      <xdr:rowOff>57150</xdr:rowOff>
    </xdr:from>
    <xdr:to>
      <xdr:col>5</xdr:col>
      <xdr:colOff>1104900</xdr:colOff>
      <xdr:row>35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885F964-3465-1F31-A236-82AAEB3AE3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reno Gomez Roso Maria Teresa Angel" refreshedDate="45964.598813078701" createdVersion="8" refreshedVersion="8" minRefreshableVersion="3" recordCount="185" xr:uid="{A2F2CC4B-CFCF-4886-A26F-082E14717517}">
  <cacheSource type="worksheet">
    <worksheetSource ref="A1:Z186" sheet="Datos"/>
  </cacheSource>
  <cacheFields count="26">
    <cacheField name="Clave" numFmtId="0">
      <sharedItems/>
    </cacheField>
    <cacheField name="Resumen" numFmtId="0">
      <sharedItems/>
    </cacheField>
    <cacheField name="Componentes" numFmtId="0">
      <sharedItems/>
    </cacheField>
    <cacheField name="Creada" numFmtId="0">
      <sharedItems containsSemiMixedTypes="0" containsNonDate="0" containsDate="1" containsString="0" minDate="2024-10-22T12:46:10" maxDate="2025-10-30T15:04:03"/>
    </cacheField>
    <cacheField name="Resuelta" numFmtId="0">
      <sharedItems containsSemiMixedTypes="0" containsNonDate="0" containsDate="1" containsString="0" minDate="2025-01-16T13:05:19" maxDate="9999-12-31T10:56:12"/>
    </cacheField>
    <cacheField name="Opción 1" numFmtId="0">
      <sharedItems/>
    </cacheField>
    <cacheField name="Opción 2" numFmtId="0">
      <sharedItems/>
    </cacheField>
    <cacheField name="Opción 3" numFmtId="0">
      <sharedItems/>
    </cacheField>
    <cacheField name="Equipo" numFmtId="0">
      <sharedItems/>
    </cacheField>
    <cacheField name="Prioridad" numFmtId="0">
      <sharedItems/>
    </cacheField>
    <cacheField name="Estado" numFmtId="0">
      <sharedItems/>
    </cacheField>
    <cacheField name="Sprint" numFmtId="0">
      <sharedItems/>
    </cacheField>
    <cacheField name="Entorno" numFmtId="0">
      <sharedItems count="2">
        <s v="PRO"/>
        <s v=""/>
      </sharedItems>
    </cacheField>
    <cacheField name="Tipologia" numFmtId="0">
      <sharedItems containsBlank="1" count="10">
        <s v="DESARROLLO"/>
        <s v="ORIGEN"/>
        <s v="REPROCESO"/>
        <s v="DEFINICIÓN"/>
        <s v="FUNCIONAL"/>
        <s v="SOPORTE"/>
        <s v="Selecciona (ORIGEN/PLANIFICACIÓN/RELANZADO PROCESO/DEFINICIÓN/FUNCIONAL/TÉCNICO/DESARROLLO/PENDIENTE REPROCESO)"/>
        <s v=""/>
        <s v="FUNCIONAL " u="1"/>
        <m u="1"/>
      </sharedItems>
    </cacheField>
    <cacheField name="Fecha_apertura" numFmtId="22">
      <sharedItems containsSemiMixedTypes="0" containsNonDate="0" containsDate="1" containsString="0" minDate="2024-10-22T12:46:10" maxDate="2025-10-30T15:04:03"/>
    </cacheField>
    <cacheField name="Fecha_cierre" numFmtId="22">
      <sharedItems containsSemiMixedTypes="0" containsNonDate="0" containsDate="1" containsString="0" minDate="2025-01-16T13:05:19" maxDate="9999-12-31T10:56:12"/>
    </cacheField>
    <cacheField name="Categoria" numFmtId="0">
      <sharedItems/>
    </cacheField>
    <cacheField name="Semana del año apertura" numFmtId="0">
      <sharedItems containsSemiMixedTypes="0" containsString="0" containsNumber="1" containsInteger="1" minValue="4" maxValue="53"/>
    </cacheField>
    <cacheField name="Primer dia de la semana apertura" numFmtId="14">
      <sharedItems containsSemiMixedTypes="0" containsNonDate="0" containsDate="1" containsString="0" minDate="2024-10-21T00:00:00" maxDate="2025-10-28T00:00:00"/>
    </cacheField>
    <cacheField name="Semana de cierre" numFmtId="0">
      <sharedItems containsSemiMixedTypes="0" containsString="0" containsNumber="1" containsInteger="1" minValue="3" maxValue="53"/>
    </cacheField>
    <cacheField name="Primer dia de la semana de cierre" numFmtId="14">
      <sharedItems containsSemiMixedTypes="0" containsDate="1" containsString="0" containsMixedTypes="1" minDate="2025-01-13T00:00:00" maxDate="1900-01-06T03:11:05"/>
    </cacheField>
    <cacheField name="diferencia" numFmtId="0">
      <sharedItems containsSemiMixedTypes="0" containsString="0" containsNumber="1" minValue="6.5137731144204736E-4" maxValue="2912660"/>
    </cacheField>
    <cacheField name="Año APERTIRA" numFmtId="0">
      <sharedItems containsSemiMixedTypes="0" containsString="0" containsNumber="1" containsInteger="1" minValue="2024" maxValue="2025"/>
    </cacheField>
    <cacheField name="Año cierre" numFmtId="0">
      <sharedItems containsSemiMixedTypes="0" containsString="0" containsNumber="1" containsInteger="1" minValue="2025" maxValue="9999"/>
    </cacheField>
    <cacheField name="Mes_Apertura" numFmtId="0">
      <sharedItems/>
    </cacheField>
    <cacheField name="Mes Cierr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reno Gomez Roso Maria Teresa Angel" refreshedDate="45964.598813773147" createdVersion="8" refreshedVersion="8" minRefreshableVersion="3" recordCount="184" xr:uid="{86E69F14-16F9-4E3A-809B-1CF0357FF0DB}">
  <cacheSource type="worksheet">
    <worksheetSource ref="A1:Z185" sheet="Datos"/>
  </cacheSource>
  <cacheFields count="26">
    <cacheField name="Clave" numFmtId="0">
      <sharedItems/>
    </cacheField>
    <cacheField name="Resumen" numFmtId="0">
      <sharedItems/>
    </cacheField>
    <cacheField name="Componentes" numFmtId="0">
      <sharedItems/>
    </cacheField>
    <cacheField name="Creada" numFmtId="0">
      <sharedItems containsSemiMixedTypes="0" containsNonDate="0" containsDate="1" containsString="0" minDate="2024-10-22T12:46:10" maxDate="2025-10-28T13:25:53"/>
    </cacheField>
    <cacheField name="Resuelta" numFmtId="0">
      <sharedItems containsSemiMixedTypes="0" containsNonDate="0" containsDate="1" containsString="0" minDate="2025-01-16T13:05:19" maxDate="9999-12-31T10:56:12"/>
    </cacheField>
    <cacheField name="Opción 1" numFmtId="0">
      <sharedItems/>
    </cacheField>
    <cacheField name="Opción 2" numFmtId="0">
      <sharedItems/>
    </cacheField>
    <cacheField name="Opción 3" numFmtId="0">
      <sharedItems/>
    </cacheField>
    <cacheField name="Equipo" numFmtId="0">
      <sharedItems/>
    </cacheField>
    <cacheField name="Prioridad" numFmtId="0">
      <sharedItems/>
    </cacheField>
    <cacheField name="Estado" numFmtId="0">
      <sharedItems/>
    </cacheField>
    <cacheField name="Sprint" numFmtId="0">
      <sharedItems/>
    </cacheField>
    <cacheField name="Entorno" numFmtId="0">
      <sharedItems/>
    </cacheField>
    <cacheField name="Tipologia" numFmtId="0">
      <sharedItems count="9">
        <s v="DESARROLLO"/>
        <s v="ORIGEN"/>
        <s v="REPROCESO"/>
        <s v="DEFINICIÓN"/>
        <s v="FUNCIONAL"/>
        <s v="SOPORTE"/>
        <s v="Selecciona (ORIGEN/PLANIFICACIÓN/RELANZADO PROCESO/DEFINICIÓN/FUNCIONAL/TÉCNICO/DESARROLLO/PENDIENTE REPROCESO)"/>
        <s v=""/>
        <s v="FUNCIONAL " u="1"/>
      </sharedItems>
    </cacheField>
    <cacheField name="Fecha_apertura" numFmtId="22">
      <sharedItems containsSemiMixedTypes="0" containsNonDate="0" containsDate="1" containsString="0" minDate="2024-10-22T12:46:10" maxDate="2025-10-28T13:25:53"/>
    </cacheField>
    <cacheField name="Fecha_cierre" numFmtId="22">
      <sharedItems containsSemiMixedTypes="0" containsNonDate="0" containsDate="1" containsString="0" minDate="2025-01-16T13:05:19" maxDate="9999-12-31T10:56:12"/>
    </cacheField>
    <cacheField name="Categoria" numFmtId="0">
      <sharedItems/>
    </cacheField>
    <cacheField name="Semana del año apertura" numFmtId="0">
      <sharedItems containsSemiMixedTypes="0" containsString="0" containsNumber="1" containsInteger="1" minValue="4" maxValue="53"/>
    </cacheField>
    <cacheField name="Primer dia de la semana apertura" numFmtId="14">
      <sharedItems containsSemiMixedTypes="0" containsNonDate="0" containsDate="1" containsString="0" minDate="2024-10-21T00:00:00" maxDate="2025-10-28T00:00:00"/>
    </cacheField>
    <cacheField name="Semana de cierre" numFmtId="0">
      <sharedItems containsSemiMixedTypes="0" containsString="0" containsNumber="1" containsInteger="1" minValue="3" maxValue="53"/>
    </cacheField>
    <cacheField name="Primer dia de la semana de cierre" numFmtId="14">
      <sharedItems containsSemiMixedTypes="0" containsDate="1" containsString="0" containsMixedTypes="1" minDate="2025-01-13T00:00:00" maxDate="1900-01-06T03:11:05"/>
    </cacheField>
    <cacheField name="diferencia" numFmtId="0">
      <sharedItems containsSemiMixedTypes="0" containsString="0" containsNumber="1" minValue="6.5137731144204736E-4" maxValue="2912660"/>
    </cacheField>
    <cacheField name="Año APERTIRA" numFmtId="0">
      <sharedItems containsSemiMixedTypes="0" containsString="0" containsNumber="1" containsInteger="1" minValue="2024" maxValue="2025"/>
    </cacheField>
    <cacheField name="Año cierre" numFmtId="0">
      <sharedItems containsSemiMixedTypes="0" containsString="0" containsNumber="1" containsInteger="1" minValue="2025" maxValue="9999"/>
    </cacheField>
    <cacheField name="Mes_Apertura" numFmtId="0">
      <sharedItems count="13">
        <s v="2024-10"/>
        <s v="2024-11"/>
        <s v="2024-12"/>
        <s v="2025-01"/>
        <s v="2025-02"/>
        <s v="2025-03"/>
        <s v="2025-04"/>
        <s v="2025-05"/>
        <s v="2025-06"/>
        <s v="2025-07"/>
        <s v="2025-08"/>
        <s v="2025-09"/>
        <s v="2025-10"/>
      </sharedItems>
    </cacheField>
    <cacheField name="Mes Cierre" numFmtId="0">
      <sharedItems count="11">
        <s v="2025-01"/>
        <s v="2025-03"/>
        <s v="2025-02"/>
        <s v="2025-04"/>
        <s v="2025-05"/>
        <s v="2025-06"/>
        <s v="2025-07"/>
        <e v="#VALUE!"/>
        <s v="2025-08"/>
        <s v="2025-09"/>
        <s v="2025-1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reno Gomez Roso Maria Teresa Angel" refreshedDate="45964.598814583333" createdVersion="8" refreshedVersion="8" minRefreshableVersion="3" recordCount="186" xr:uid="{E1747285-14F2-4567-930C-20E6339E4128}">
  <cacheSource type="worksheet">
    <worksheetSource ref="N1:X400" sheet="Datos"/>
  </cacheSource>
  <cacheFields count="11">
    <cacheField name="Tipologia" numFmtId="0">
      <sharedItems containsBlank="1"/>
    </cacheField>
    <cacheField name="Fecha_apertura" numFmtId="0">
      <sharedItems containsNonDate="0" containsDate="1" containsString="0" containsBlank="1" minDate="2024-10-22T12:46:10" maxDate="2025-10-30T15:04:03"/>
    </cacheField>
    <cacheField name="Fecha_cierre" numFmtId="0">
      <sharedItems containsNonDate="0" containsDate="1" containsString="0" containsBlank="1" minDate="2025-01-16T13:05:19" maxDate="9999-12-31T10:56:12"/>
    </cacheField>
    <cacheField name="Categoria" numFmtId="0">
      <sharedItems containsBlank="1" count="5">
        <s v="Interno"/>
        <s v="Externo"/>
        <s v="Pendiente clasificar"/>
        <m/>
        <s v="" u="1"/>
      </sharedItems>
    </cacheField>
    <cacheField name="Semana del año apertura" numFmtId="0">
      <sharedItems containsString="0" containsBlank="1" containsNumber="1" containsInteger="1" minValue="4" maxValue="53"/>
    </cacheField>
    <cacheField name="Primer dia de la semana apertura" numFmtId="14">
      <sharedItems containsNonDate="0" containsDate="1" containsString="0" containsBlank="1" minDate="2024-10-21T00:00:00" maxDate="2025-10-28T00:00:00" count="50">
        <d v="2024-10-21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21T00:00:00"/>
        <d v="2025-04-28T00:00:00"/>
        <d v="2025-05-05T00:00:00"/>
        <d v="2025-05-12T00:00:00"/>
        <d v="2025-05-19T00:00:00"/>
        <d v="2025-05-26T00:00:00"/>
        <d v="2025-06-02T00:00:00"/>
        <d v="2025-06-09T00:00:00"/>
        <d v="2025-06-16T00:00:00"/>
        <d v="2025-06-23T00:00:00"/>
        <d v="2025-06-30T00:00:00"/>
        <d v="2025-07-07T00:00:00"/>
        <d v="2025-07-14T00:00:00"/>
        <d v="2025-07-21T00:00:00"/>
        <d v="2025-07-28T00:00:00"/>
        <d v="2025-08-04T00:00:00"/>
        <d v="2025-08-11T00:00:00"/>
        <d v="2025-08-18T00:00:00"/>
        <d v="2025-08-25T00:00:00"/>
        <d v="2025-09-01T00:00:00"/>
        <d v="2025-09-08T00:00:00"/>
        <d v="2025-09-15T00:00:00"/>
        <d v="2025-09-22T00:00:00"/>
        <d v="2025-09-29T00:00:00"/>
        <d v="2025-10-06T00:00:00"/>
        <d v="2025-10-13T00:00:00"/>
        <d v="2025-10-20T00:00:00"/>
        <d v="2025-10-27T00:00:00"/>
        <m/>
      </sharedItems>
    </cacheField>
    <cacheField name="Semana de cierre" numFmtId="0">
      <sharedItems containsString="0" containsBlank="1" containsNumber="1" containsInteger="1" minValue="3" maxValue="53"/>
    </cacheField>
    <cacheField name="Primer dia de la semana de cierre" numFmtId="14">
      <sharedItems containsDate="1" containsString="0" containsBlank="1" containsMixedTypes="1" minDate="2000-01-03T00:00:00" maxDate="2000-01-04T00:00:00" count="44">
        <d v="2025-01-20T00:00:00"/>
        <d v="2025-01-27T00:00:00"/>
        <d v="2025-03-17T00:00:00"/>
        <d v="2025-02-17T00:00:00"/>
        <d v="2025-03-03T00:00:00"/>
        <d v="2025-02-24T00:00:00"/>
        <d v="2025-04-07T00:00:00"/>
        <d v="2025-04-14T00:00:00"/>
        <d v="2025-01-13T00:00:00"/>
        <d v="2025-02-10T00:00:00"/>
        <d v="2025-03-31T00:00:00"/>
        <d v="2025-03-10T00:00:00"/>
        <d v="2025-03-24T00:00:00"/>
        <d v="2025-05-05T00:00:00"/>
        <d v="2025-05-12T00:00:00"/>
        <d v="2025-04-21T00:00:00"/>
        <d v="2025-04-28T00:00:00"/>
        <d v="2025-05-19T00:00:00"/>
        <d v="2025-05-26T00:00:00"/>
        <d v="2025-06-16T00:00:00"/>
        <d v="2025-07-28T00:00:00"/>
        <n v="2958468"/>
        <d v="2025-06-30T00:00:00"/>
        <d v="2025-07-07T00:00:00"/>
        <d v="2025-06-02T00:00:00"/>
        <d v="2025-06-09T00:00:00"/>
        <d v="2025-06-23T00:00:00"/>
        <d v="2025-07-14T00:00:00"/>
        <d v="2025-08-18T00:00:00"/>
        <d v="2025-07-21T00:00:00"/>
        <d v="2025-08-04T00:00:00"/>
        <d v="2025-09-15T00:00:00"/>
        <d v="2025-09-08T00:00:00"/>
        <d v="2025-09-01T00:00:00"/>
        <d v="2025-08-11T00:00:00"/>
        <d v="2025-10-13T00:00:00"/>
        <d v="2025-08-25T00:00:00"/>
        <d v="2025-09-22T00:00:00"/>
        <d v="2025-10-20T00:00:00"/>
        <d v="2025-10-06T00:00:00"/>
        <d v="2025-09-29T00:00:00"/>
        <d v="2025-10-27T00:00:00"/>
        <m/>
        <d v="2000-01-03T00:00:00" u="1"/>
      </sharedItems>
    </cacheField>
    <cacheField name="diferencia" numFmtId="0">
      <sharedItems containsString="0" containsBlank="1" containsNumber="1" minValue="6.5137731144204736E-4" maxValue="2912660"/>
    </cacheField>
    <cacheField name="Año APERTIRA" numFmtId="0">
      <sharedItems containsString="0" containsBlank="1" containsNumber="1" containsInteger="1" minValue="2024" maxValue="2025"/>
    </cacheField>
    <cacheField name="Año cierre" numFmtId="0">
      <sharedItems containsString="0" containsBlank="1" containsNumber="1" containsInteger="1" minValue="2025" maxValue="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5">
  <r>
    <s v="ESPC360-12632"/>
    <s v="[C360 - mkt_contacts_det] Posibles Duplicados"/>
    <s v="mkt_contacts_det"/>
    <d v="2024-10-22T12:46:10"/>
    <d v="2025-01-22T17:02:30"/>
    <s v="ANALÍTICO"/>
    <s v="DESARROLLO"/>
    <s v=""/>
    <s v=""/>
    <s v="Highest"/>
    <s v="CERRADO"/>
    <s v="C360_Analitico_Sprint 40"/>
    <x v="0"/>
    <x v="0"/>
    <d v="2024-10-22T12:46:10"/>
    <d v="2025-01-22T17:02:30"/>
    <s v="Interno"/>
    <n v="43"/>
    <d v="2024-10-21T00:00:00"/>
    <n v="4"/>
    <d v="2025-01-20T00:00:00"/>
    <n v="92.17800627314864"/>
    <n v="2024"/>
    <n v="2025"/>
    <s v="2024-10"/>
    <s v="2025-01"/>
  </r>
  <r>
    <s v="ESPC360-13131"/>
    <s v="[C360 - pos_datagen_pond_tit_d] BUG campo imp_xxx_1d"/>
    <s v="pos_datagen_pond_tit_d"/>
    <d v="2024-11-13T13:11:22"/>
    <d v="2025-01-23T09:48:44"/>
    <s v="ANALÍTICO"/>
    <s v="DESARROLLO"/>
    <s v="pos_datagen_pond_tit_d"/>
    <s v="C360_Analitico_Team_1"/>
    <s v="Medium"/>
    <s v="CERRADO"/>
    <s v="C360_Analitico_Sprint 42"/>
    <x v="1"/>
    <x v="0"/>
    <d v="2024-11-13T13:11:22"/>
    <d v="2025-01-23T09:48:44"/>
    <s v="Interno"/>
    <n v="46"/>
    <d v="2024-11-11T00:00:00"/>
    <n v="4"/>
    <d v="2025-01-20T00:00:00"/>
    <n v="70.859286157407041"/>
    <n v="2024"/>
    <n v="2025"/>
    <s v="2024-11"/>
    <s v="2025-01"/>
  </r>
  <r>
    <s v="ESPC360-13309"/>
    <s v="[C360 - mov_bills_det] Concepto vacio"/>
    <s v="mov_bills_det"/>
    <d v="2024-11-18T11:30:08"/>
    <d v="2025-01-28T09:36:10"/>
    <s v="ANALÍTICO"/>
    <s v="ORIGEN"/>
    <s v=""/>
    <s v=""/>
    <s v="Medium"/>
    <s v="CANCELADO"/>
    <s v=""/>
    <x v="1"/>
    <x v="1"/>
    <d v="2024-11-18T11:30:08"/>
    <d v="2025-01-28T09:36:10"/>
    <s v="Externo"/>
    <n v="47"/>
    <d v="2024-11-18T00:00:00"/>
    <n v="5"/>
    <d v="2025-01-27T00:00:00"/>
    <n v="70.920863865736465"/>
    <n v="2024"/>
    <n v="2025"/>
    <s v="2024-11"/>
    <s v="2025-01"/>
  </r>
  <r>
    <s v="ESPC360-13363"/>
    <s v="[C360 - intprofile_cli] cnae_calculated mal informado"/>
    <s v="intprofile_cli"/>
    <d v="2024-11-19T10:11:04"/>
    <d v="2025-03-17T10:48:01"/>
    <s v="ANALÍTICO"/>
    <s v="ORIGEN"/>
    <s v="intprofile_cli"/>
    <s v="C360_Analitico_Team_1"/>
    <s v="Medium"/>
    <s v="CERRADO"/>
    <s v="C360_Analitico_Sprint 46"/>
    <x v="0"/>
    <x v="1"/>
    <d v="2024-11-19T10:11:04"/>
    <d v="2025-03-17T10:48:01"/>
    <s v="Externo"/>
    <n v="47"/>
    <d v="2024-11-18T00:00:00"/>
    <n v="12"/>
    <d v="2025-03-17T00:00:00"/>
    <n v="118.02566730323451"/>
    <n v="2024"/>
    <n v="2025"/>
    <s v="2024-11"/>
    <s v="2025-03"/>
  </r>
  <r>
    <s v="ESPC360-13375"/>
    <s v="[C360 - Oracle] Tablas Santander GO"/>
    <s v="Santanger GO"/>
    <d v="2024-11-19T15:15:52"/>
    <d v="2025-02-17T16:23:06"/>
    <s v="ANALÍTICO"/>
    <s v="REPROCESO"/>
    <s v=""/>
    <s v=""/>
    <s v="Medium"/>
    <s v="CERRADO"/>
    <s v=""/>
    <x v="0"/>
    <x v="2"/>
    <d v="2024-11-19T15:15:52"/>
    <d v="2025-02-17T16:23:06"/>
    <s v="Interno"/>
    <n v="47"/>
    <d v="2024-11-18T00:00:00"/>
    <n v="8"/>
    <d v="2025-02-17T00:00:00"/>
    <n v="90.04668371527805"/>
    <n v="2024"/>
    <n v="2025"/>
    <s v="2024-11"/>
    <s v="2025-02"/>
  </r>
  <r>
    <s v="ESPC360-13377"/>
    <s v="[C360 - mkt_contacts_det] Faltan canales"/>
    <s v="mkt_contacts_det"/>
    <d v="2024-11-19T15:41:49"/>
    <d v="2025-01-22T17:02:46"/>
    <s v="ANALÍTICO"/>
    <s v="REPROCESO"/>
    <s v=""/>
    <s v=""/>
    <s v="Medium"/>
    <s v="CERRADO"/>
    <s v="C360_Analitico_Sprint 40"/>
    <x v="0"/>
    <x v="2"/>
    <d v="2024-11-19T15:41:49"/>
    <d v="2025-01-22T17:02:46"/>
    <s v="Interno"/>
    <n v="47"/>
    <d v="2024-11-18T00:00:00"/>
    <n v="4"/>
    <d v="2025-01-20T00:00:00"/>
    <n v="64.056217361110612"/>
    <n v="2024"/>
    <n v="2025"/>
    <s v="2024-11"/>
    <s v="2025-01"/>
  </r>
  <r>
    <s v="ESPC360-13482"/>
    <s v="[C360 - dlge_ssii_ccee_comlay_h.transactional_customerrelationship_det] Mismo full_name"/>
    <s v="transactional_customerrelationship_det"/>
    <d v="2024-11-21T15:52:50"/>
    <d v="2025-03-04T10:51:38"/>
    <s v="ANALÍTICO"/>
    <s v="DESARROLLO"/>
    <s v="transactional_customerrelationship_det"/>
    <s v="C360_Analitico_Team_2"/>
    <s v="Medium"/>
    <s v="CERRADO"/>
    <s v="C360_Analitico_Sprint 42;C360_Analitico_Sprint 43;C360_Analitico_Sprint 44"/>
    <x v="1"/>
    <x v="0"/>
    <d v="2024-11-21T15:52:50"/>
    <d v="2025-03-04T10:51:38"/>
    <s v="Interno"/>
    <n v="47"/>
    <d v="2024-11-18T00:00:00"/>
    <n v="10"/>
    <d v="2025-03-03T00:00:00"/>
    <n v="102.79084037036955"/>
    <n v="2024"/>
    <n v="2025"/>
    <s v="2024-11"/>
    <s v="2025-03"/>
  </r>
  <r>
    <s v="ESPC360-13540"/>
    <s v="[ BUG ] - Error de calculo en digitalchannelactivity_datagen_d  indicadores "/>
    <s v="digitalchannelactivity_datagen"/>
    <d v="2024-11-26T15:28:36"/>
    <d v="2025-01-23T09:48:44"/>
    <s v="ANALÍTICO"/>
    <s v="DESARROLLO"/>
    <s v="digitalchannelactivity_datagen_d"/>
    <s v="C360_Analitico_Team_1"/>
    <s v="Medium"/>
    <s v="CERRADO"/>
    <s v="C360_Analitico_Sprint 42"/>
    <x v="1"/>
    <x v="0"/>
    <d v="2024-11-26T15:28:36"/>
    <d v="2025-01-23T09:48:44"/>
    <s v="Interno"/>
    <n v="48"/>
    <d v="2024-11-25T00:00:00"/>
    <n v="4"/>
    <d v="2025-01-20T00:00:00"/>
    <n v="57.763978402777866"/>
    <n v="2024"/>
    <n v="2025"/>
    <s v="2024-11"/>
    <s v="2025-01"/>
  </r>
  <r>
    <s v="ESPC360-13557"/>
    <s v="[C360 - customer_360] fec_captacion entero a nulos."/>
    <s v="customer_360"/>
    <d v="2024-11-28T09:23:28"/>
    <d v="2025-02-26T09:45:58"/>
    <s v="ANALÍTICO"/>
    <s v="DESARROLLO"/>
    <s v=""/>
    <s v="C360_Analitico_Team_1"/>
    <s v="Medium"/>
    <s v="CERRADO"/>
    <s v="C360_Analitico_Sprint 45"/>
    <x v="0"/>
    <x v="0"/>
    <d v="2024-11-28T09:23:28"/>
    <d v="2025-02-26T09:45:58"/>
    <s v="Interno"/>
    <n v="48"/>
    <d v="2024-11-25T00:00:00"/>
    <n v="9"/>
    <d v="2025-02-24T00:00:00"/>
    <n v="90.015617129633029"/>
    <n v="2024"/>
    <n v="2025"/>
    <s v="2024-11"/>
    <s v="2025-02"/>
  </r>
  <r>
    <s v="ESPC360-13803"/>
    <s v="[BUG] - Réplicas Datagen en Databricks"/>
    <s v="datagen_xxx"/>
    <d v="2024-12-02T14:59:23"/>
    <d v="2025-04-07T15:06:03"/>
    <s v="ANALÍTICO"/>
    <s v="REPROCESO"/>
    <s v=""/>
    <s v=""/>
    <s v="Medium"/>
    <s v="CANCELADO"/>
    <s v=""/>
    <x v="1"/>
    <x v="2"/>
    <d v="2024-12-02T14:59:23"/>
    <d v="2025-04-07T15:06:03"/>
    <s v="Interno"/>
    <n v="49"/>
    <d v="2024-12-02T00:00:00"/>
    <n v="15"/>
    <d v="2025-04-07T00:00:00"/>
    <n v="126.00463061342452"/>
    <n v="2024"/>
    <n v="2025"/>
    <s v="2024-12"/>
    <s v="2025-04"/>
  </r>
  <r>
    <s v="ESPC360-13804"/>
    <s v="[BUG] - Error generación Datagen mes de noviembre"/>
    <s v="datagen_xxx"/>
    <d v="2024-12-02T15:06:15"/>
    <d v="2025-04-07T15:07:26"/>
    <s v="ANALÍTICO"/>
    <s v="REPROCESO"/>
    <s v=""/>
    <s v=""/>
    <s v="Medium"/>
    <s v="CERRADO"/>
    <s v=""/>
    <x v="1"/>
    <x v="2"/>
    <d v="2024-12-02T15:06:15"/>
    <d v="2025-04-07T15:07:26"/>
    <s v="Interno"/>
    <n v="49"/>
    <d v="2024-12-02T00:00:00"/>
    <n v="15"/>
    <d v="2025-04-07T00:00:00"/>
    <n v="126.00081844907254"/>
    <n v="2024"/>
    <n v="2025"/>
    <s v="2024-12"/>
    <s v="2025-04"/>
  </r>
  <r>
    <s v="ESPC360-13805"/>
    <s v="[BUG] - Faltan particiones en Datagen"/>
    <s v="customerrelationship_enterprise_datagen;datagen_xxx"/>
    <d v="2024-12-02T15:13:52"/>
    <d v="2025-04-15T09:38:16"/>
    <s v="ANALÍTICO"/>
    <s v="REPROCESO"/>
    <s v=""/>
    <s v="C360_Team_Integration"/>
    <s v="Medium"/>
    <s v="CERRADO"/>
    <s v=""/>
    <x v="1"/>
    <x v="2"/>
    <d v="2024-12-02T15:13:52"/>
    <d v="2025-04-15T09:38:16"/>
    <s v="Interno"/>
    <n v="49"/>
    <d v="2024-12-02T00:00:00"/>
    <n v="16"/>
    <d v="2025-04-14T00:00:00"/>
    <n v="133.76694100694294"/>
    <n v="2024"/>
    <n v="2025"/>
    <s v="2024-12"/>
    <s v="2025-04"/>
  </r>
  <r>
    <s v="ESPC360-13825"/>
    <s v="[C360 - mov_transfers_det] Concepto vacío"/>
    <s v="mov_transfers_det"/>
    <d v="2024-12-04T13:06:28"/>
    <d v="2025-01-28T09:38:51"/>
    <s v="ANALÍTICO"/>
    <s v="ORIGEN"/>
    <s v=""/>
    <s v=""/>
    <s v="Medium"/>
    <s v="CANCELADO"/>
    <s v=""/>
    <x v="1"/>
    <x v="1"/>
    <d v="2024-12-04T13:06:28"/>
    <d v="2025-01-28T09:38:51"/>
    <s v="Externo"/>
    <n v="49"/>
    <d v="2024-12-02T00:00:00"/>
    <n v="5"/>
    <d v="2025-01-27T00:00:00"/>
    <n v="54.855813969901646"/>
    <n v="2024"/>
    <n v="2025"/>
    <s v="2024-12"/>
    <s v="2025-01"/>
  </r>
  <r>
    <s v="ESPC360-13831"/>
    <s v="[C360 - mov_bills_det] Variable iban_1 vacío al igual que iban_2"/>
    <s v="mov_bills_det"/>
    <d v="2024-12-04T14:48:18"/>
    <d v="2025-01-28T09:36:58"/>
    <s v="ANALÍTICO"/>
    <s v="ORIGEN"/>
    <s v=""/>
    <s v=""/>
    <s v="Medium"/>
    <s v="CANCELADO"/>
    <s v=""/>
    <x v="1"/>
    <x v="1"/>
    <d v="2024-12-04T14:48:18"/>
    <d v="2025-01-28T09:36:58"/>
    <s v="Externo"/>
    <n v="49"/>
    <d v="2024-12-02T00:00:00"/>
    <n v="5"/>
    <d v="2025-01-27T00:00:00"/>
    <n v="54.783793923612393"/>
    <n v="2024"/>
    <n v="2025"/>
    <s v="2024-12"/>
    <s v="2025-01"/>
  </r>
  <r>
    <s v="ESPC360-13965"/>
    <s v="errores en fichero de feature_changes generado en el proceso_12_Ejecución_Controles"/>
    <s v="CDO"/>
    <d v="2024-12-11T16:54:53"/>
    <d v="2025-01-16T13:05:19"/>
    <s v="ANALÍTICO"/>
    <s v="ORIGEN"/>
    <s v=""/>
    <s v="C360_Analitico_Team_1"/>
    <s v="Medium"/>
    <s v="CERRADO"/>
    <s v="C360_Analitico_Sprint 42"/>
    <x v="1"/>
    <x v="1"/>
    <d v="2024-12-11T16:54:53"/>
    <d v="2025-01-16T13:05:19"/>
    <s v="Externo"/>
    <n v="50"/>
    <d v="2024-12-09T00:00:00"/>
    <n v="3"/>
    <d v="2025-01-13T00:00:00"/>
    <n v="35.840579548610549"/>
    <n v="2024"/>
    <n v="2025"/>
    <s v="2024-12"/>
    <s v="2025-01"/>
  </r>
  <r>
    <s v="ESPC360-14082"/>
    <s v="[BUG Eventos] Volumetrías dispares PRE vs PRO"/>
    <s v="Hechos relevantes"/>
    <d v="2024-12-12T16:53:10"/>
    <d v="2025-03-18T13:44:00"/>
    <s v="ANALÍTICO"/>
    <s v="ORIGEN"/>
    <s v=""/>
    <s v="C360_Team_Integration"/>
    <s v="Medium"/>
    <s v="CERRADO"/>
    <s v=""/>
    <x v="0"/>
    <x v="1"/>
    <d v="2024-12-12T16:53:10"/>
    <d v="2025-03-18T13:44:00"/>
    <s v="Externo"/>
    <n v="50"/>
    <d v="2024-12-09T00:00:00"/>
    <n v="12"/>
    <d v="2025-03-17T00:00:00"/>
    <n v="95.868640682871046"/>
    <n v="2024"/>
    <n v="2025"/>
    <s v="2024-12"/>
    <s v="2025-03"/>
  </r>
  <r>
    <s v="ESPC360-14089"/>
    <s v="[C360 - mov_accounts_det] Variable concept vacía"/>
    <s v="mov_accounts_det"/>
    <d v="2024-12-16T15:07:58"/>
    <d v="2025-04-07T15:10:34"/>
    <s v="ANALÍTICO"/>
    <s v="REPROCESO"/>
    <s v=""/>
    <s v=""/>
    <s v="Highest"/>
    <s v="CANCELADO"/>
    <s v=""/>
    <x v="1"/>
    <x v="2"/>
    <d v="2024-12-16T15:07:58"/>
    <d v="2025-04-07T15:10:34"/>
    <s v="Interno"/>
    <n v="51"/>
    <d v="2024-12-16T00:00:00"/>
    <n v="15"/>
    <d v="2025-04-07T00:00:00"/>
    <n v="112.00180217592424"/>
    <n v="2024"/>
    <n v="2025"/>
    <s v="2024-12"/>
    <s v="2025-04"/>
  </r>
  <r>
    <s v="ESPC360-14097"/>
    <s v="Santander GO Funcionalidad Bizum errónea"/>
    <s v="Santanger GO"/>
    <d v="2024-12-18T09:36:26"/>
    <d v="2025-01-24T10:20:56"/>
    <s v="ANALÍTICO"/>
    <s v="DESARROLLO"/>
    <s v=""/>
    <s v="C360_Team_Mtto"/>
    <s v="Medium"/>
    <s v="CERRADO"/>
    <s v=""/>
    <x v="1"/>
    <x v="0"/>
    <d v="2024-12-18T09:36:26"/>
    <d v="2025-01-24T10:20:56"/>
    <s v="Interno"/>
    <n v="51"/>
    <d v="2024-12-16T00:00:00"/>
    <n v="4"/>
    <d v="2025-01-20T00:00:00"/>
    <n v="37.030900347221177"/>
    <n v="2024"/>
    <n v="2025"/>
    <s v="2024-12"/>
    <s v="2025-01"/>
  </r>
  <r>
    <s v="ESPC360-14103"/>
    <s v="[C360 - mov_creditcards_det] Registros con customer_id a NULL"/>
    <s v="mov_creditcards_det"/>
    <d v="2024-12-18T15:28:36"/>
    <d v="2025-04-07T15:12:43"/>
    <s v="ANALÍTICO"/>
    <s v="REPROCESO"/>
    <s v=""/>
    <s v=""/>
    <s v="Medium"/>
    <s v="CERRADO"/>
    <s v=""/>
    <x v="1"/>
    <x v="2"/>
    <d v="2024-12-18T15:28:36"/>
    <d v="2025-04-07T15:12:43"/>
    <s v="Interno"/>
    <n v="51"/>
    <d v="2024-12-16T00:00:00"/>
    <n v="15"/>
    <d v="2025-04-07T00:00:00"/>
    <n v="109.98897643518285"/>
    <n v="2024"/>
    <n v="2025"/>
    <s v="2024-12"/>
    <s v="2025-04"/>
  </r>
  <r>
    <s v="ESPC360-14106"/>
    <s v="Santander GO. Funcionalidad Pago móvil y Pago ecommerce errónea"/>
    <s v=""/>
    <d v="2024-12-19T09:48:23"/>
    <d v="2025-02-10T16:27:29"/>
    <s v="ANALÍTICO"/>
    <s v="REPROCESO"/>
    <s v=""/>
    <s v=""/>
    <s v="Medium"/>
    <s v="CERRADO"/>
    <s v=""/>
    <x v="1"/>
    <x v="2"/>
    <d v="2024-12-19T09:48:23"/>
    <d v="2025-02-10T16:27:29"/>
    <s v="Interno"/>
    <n v="51"/>
    <d v="2024-12-16T00:00:00"/>
    <n v="7"/>
    <d v="2025-02-10T00:00:00"/>
    <n v="53.277153738425113"/>
    <n v="2024"/>
    <n v="2025"/>
    <s v="2024-12"/>
    <s v="2025-02"/>
  </r>
  <r>
    <s v="ESPC360-14124"/>
    <s v="[C360 mov_debitcards_det] Faltan movimientos pagos móvil"/>
    <s v="mov_debitcards_det"/>
    <d v="2024-12-20T09:14:20"/>
    <d v="2025-04-07T15:13:06"/>
    <s v="ANALÍTICO"/>
    <s v="REPROCESO"/>
    <s v=""/>
    <s v=""/>
    <s v="Medium"/>
    <s v="CERRADO"/>
    <s v=""/>
    <x v="1"/>
    <x v="2"/>
    <d v="2024-12-20T09:14:20"/>
    <d v="2025-04-07T15:13:06"/>
    <s v="Interno"/>
    <n v="51"/>
    <d v="2024-12-16T00:00:00"/>
    <n v="15"/>
    <d v="2025-04-07T00:00:00"/>
    <n v="108.24914371527848"/>
    <n v="2024"/>
    <n v="2025"/>
    <s v="2024-12"/>
    <s v="2025-04"/>
  </r>
  <r>
    <s v="ESPC360-14158"/>
    <s v="[C360 - mkt_success_det] No se registran éxitos de producciones de créditos"/>
    <s v="mkt_success_det"/>
    <d v="2024-12-24T11:05:19"/>
    <d v="2025-04-10T09:53:58"/>
    <s v="ANALÍTICO"/>
    <s v="DEFINICIÓN"/>
    <s v=""/>
    <s v="C360_Analitico_Team_2"/>
    <s v="Medium"/>
    <s v="CERRADO"/>
    <s v="C360_Analitico_Sprint 45;C360_Analitico_Sprint 46"/>
    <x v="0"/>
    <x v="3"/>
    <d v="2024-12-24T11:05:19"/>
    <d v="2025-04-10T09:53:58"/>
    <s v="Externo"/>
    <n v="52"/>
    <d v="2024-12-23T00:00:00"/>
    <n v="15"/>
    <d v="2025-04-07T00:00:00"/>
    <n v="106.95045609954104"/>
    <n v="2024"/>
    <n v="2025"/>
    <s v="2024-12"/>
    <s v="2025-04"/>
  </r>
  <r>
    <s v="ESPC360-14160"/>
    <s v="[C360 - mkt_success_det] No se registran éxitos de Financiación Total"/>
    <s v="mkt_success_det"/>
    <d v="2024-12-24T11:51:53"/>
    <d v="2025-03-17T09:52:10"/>
    <s v="ANALÍTICO"/>
    <s v="FUNCIONAL"/>
    <s v=""/>
    <s v="C360_Analitico_Team_2"/>
    <s v="Medium"/>
    <s v="CANCELADO"/>
    <s v=""/>
    <x v="0"/>
    <x v="4"/>
    <d v="2024-12-24T11:51:53"/>
    <d v="2025-03-17T09:52:10"/>
    <s v="Interno"/>
    <n v="52"/>
    <d v="2024-12-23T00:00:00"/>
    <n v="12"/>
    <d v="2025-03-17T00:00:00"/>
    <n v="82.916858958335069"/>
    <n v="2024"/>
    <n v="2025"/>
    <s v="2024-12"/>
    <s v="2025-03"/>
  </r>
  <r>
    <s v="ESPC360-14172"/>
    <s v="[C360 - mkt_success_det] Volumetría irregular éxito aportación planes"/>
    <s v="mkt_success_det"/>
    <d v="2024-12-31T12:46:17"/>
    <d v="2025-03-03T16:21:16"/>
    <s v="ANALÍTICO"/>
    <s v="DESARROLLO"/>
    <s v="mkt_success_det"/>
    <s v="C360_Analitico_Team_2"/>
    <s v="Medium"/>
    <s v="CERRADO"/>
    <s v="C360_Analitico_Sprint 45"/>
    <x v="0"/>
    <x v="0"/>
    <d v="2024-12-31T12:46:17"/>
    <d v="2025-03-03T16:21:16"/>
    <s v="Interno"/>
    <n v="53"/>
    <d v="2024-12-30T00:00:00"/>
    <n v="10"/>
    <d v="2025-03-03T00:00:00"/>
    <n v="62.149291585643368"/>
    <n v="2024"/>
    <n v="2025"/>
    <s v="2024-12"/>
    <s v="2025-03"/>
  </r>
  <r>
    <s v="ESPC360-14862"/>
    <s v="[INC050600310] - Agenda Financiera, aparece &quot;null&quot; en el encabezado del movimiento"/>
    <s v="agenda financiera"/>
    <d v="2025-01-22T13:03:15"/>
    <d v="2025-01-27T18:05:00"/>
    <s v="ANALÍTICO"/>
    <s v="SOPORTE"/>
    <s v=""/>
    <s v=""/>
    <s v="Medium"/>
    <s v="CERRADO"/>
    <s v=""/>
    <x v="0"/>
    <x v="5"/>
    <d v="2025-01-22T13:03:15"/>
    <d v="2025-01-27T18:05:00"/>
    <s v="Externo"/>
    <n v="4"/>
    <d v="2025-01-20T00:00:00"/>
    <n v="5"/>
    <d v="2025-01-27T00:00:00"/>
    <n v="5.2095556134299841"/>
    <n v="2025"/>
    <n v="2025"/>
    <s v="2025-01"/>
    <s v="2025-01"/>
  </r>
  <r>
    <s v="ESPC360-14863"/>
    <s v="[PRO] INC050611283 - Tabla 'customerrelationship_enterprise_datagen' en databricks no se puede acceder"/>
    <s v="customerrelationship_enterprise_datagen"/>
    <d v="2025-01-22T17:14:31"/>
    <d v="2025-01-28T12:18:01"/>
    <s v="ANALÍTICO"/>
    <s v="SOPORTE"/>
    <s v=""/>
    <s v=""/>
    <s v="Medium"/>
    <s v="CERRADO"/>
    <s v=""/>
    <x v="0"/>
    <x v="5"/>
    <d v="2025-01-22T17:14:31"/>
    <d v="2025-01-28T12:18:01"/>
    <s v="Externo"/>
    <n v="4"/>
    <d v="2025-01-20T00:00:00"/>
    <n v="5"/>
    <d v="2025-01-27T00:00:00"/>
    <n v="5.7940910416655242"/>
    <n v="2025"/>
    <n v="2025"/>
    <s v="2025-01"/>
    <s v="2025-01"/>
  </r>
  <r>
    <s v="ESPC360-14883"/>
    <s v="[PRO] INC050636354 - La tabla channelactivity_digitalnavigaion_det no se actualiza desde noviembre en databricks"/>
    <s v="channelactivity_digitalnavigation_det"/>
    <d v="2025-01-23T11:02:45"/>
    <d v="2025-01-30T11:56:11"/>
    <s v="ANALÍTICO"/>
    <s v="SOPORTE"/>
    <s v=""/>
    <s v=""/>
    <s v="Medium"/>
    <s v="CERRADO"/>
    <s v=""/>
    <x v="0"/>
    <x v="5"/>
    <d v="2025-01-23T11:02:45"/>
    <d v="2025-01-30T11:56:11"/>
    <s v="Externo"/>
    <n v="4"/>
    <d v="2025-01-20T00:00:00"/>
    <n v="5"/>
    <d v="2025-01-27T00:00:00"/>
    <n v="7.03711251157074"/>
    <n v="2025"/>
    <n v="2025"/>
    <s v="2025-01"/>
    <s v="2025-01"/>
  </r>
  <r>
    <s v="ESPC360-14884"/>
    <s v="[PRO] INC050636479 - Retraso en las tablas"/>
    <s v=""/>
    <d v="2025-01-23T11:27:15"/>
    <d v="2025-01-30T11:57:22"/>
    <s v="ANALÍTICO"/>
    <s v="SOPORTE"/>
    <s v=""/>
    <s v=""/>
    <s v="Medium"/>
    <s v="CERRADO"/>
    <s v=""/>
    <x v="0"/>
    <x v="5"/>
    <d v="2025-01-23T11:27:15"/>
    <d v="2025-01-30T11:57:22"/>
    <s v="Externo"/>
    <n v="4"/>
    <d v="2025-01-20T00:00:00"/>
    <n v="5"/>
    <d v="2025-01-27T00:00:00"/>
    <n v="7.0209241898119217"/>
    <n v="2025"/>
    <n v="2025"/>
    <s v="2025-01"/>
    <s v="2025-01"/>
  </r>
  <r>
    <s v="ESPC360-15046"/>
    <s v="[BUG Eventos] No se registran eventos de tarjetas"/>
    <s v="Hechos relevantes"/>
    <d v="2025-01-28T10:19:38"/>
    <d v="2025-02-26T16:42:05"/>
    <s v="ANALÍTICO"/>
    <s v="DESARROLLO"/>
    <s v=""/>
    <s v="C360_Analitico_Team_2"/>
    <s v="Medium"/>
    <s v="CERRADO"/>
    <s v="C360_Analitico_Sprint 46"/>
    <x v="0"/>
    <x v="0"/>
    <d v="2025-01-28T10:19:38"/>
    <d v="2025-02-26T16:42:05"/>
    <s v="Interno"/>
    <n v="5"/>
    <d v="2025-01-27T00:00:00"/>
    <n v="9"/>
    <d v="2025-02-24T00:00:00"/>
    <n v="29.265591770832543"/>
    <n v="2025"/>
    <n v="2025"/>
    <s v="2025-01"/>
    <s v="2025-02"/>
  </r>
  <r>
    <s v="ESPC360-15069"/>
    <s v="[CDL_MODELOS Features Models RGI] - Ajustes finales"/>
    <s v="oraculo_features_rgi"/>
    <d v="2025-01-29T10:14:13"/>
    <d v="2025-02-18T16:10:25"/>
    <s v="ANALÍTICO"/>
    <s v="DESARROLLO"/>
    <s v=""/>
    <s v="C360_Analitico_Team_2"/>
    <s v="Highest"/>
    <s v="CERRADO"/>
    <s v="C360_Analitico_Sprint 45"/>
    <x v="1"/>
    <x v="0"/>
    <d v="2025-01-29T10:14:13"/>
    <d v="2025-02-18T16:10:25"/>
    <s v="Interno"/>
    <n v="5"/>
    <d v="2025-01-27T00:00:00"/>
    <n v="8"/>
    <d v="2025-02-17T00:00:00"/>
    <n v="20.247367164352909"/>
    <n v="2025"/>
    <n v="2025"/>
    <s v="2025-01"/>
    <s v="2025-02"/>
  </r>
  <r>
    <s v="ESPC360-15408"/>
    <s v="[BUG Eventos] Ejecución - Pymes Primer pago confirming en competencia 6 meses"/>
    <s v="Hechos relevantes"/>
    <d v="2025-01-31T11:16:58"/>
    <d v="2025-02-25T08:08:06"/>
    <s v="ANALÍTICO"/>
    <s v="DESARROLLO"/>
    <s v=""/>
    <s v=""/>
    <s v="Medium"/>
    <s v="CERRADO"/>
    <s v=""/>
    <x v="1"/>
    <x v="0"/>
    <d v="2025-01-31T11:16:58"/>
    <d v="2025-02-25T08:08:06"/>
    <s v="Interno"/>
    <n v="5"/>
    <d v="2025-01-27T00:00:00"/>
    <n v="9"/>
    <d v="2025-02-24T00:00:00"/>
    <n v="24.868849907405092"/>
    <n v="2025"/>
    <n v="2025"/>
    <s v="2025-01"/>
    <s v="2025-02"/>
  </r>
  <r>
    <s v="ESPC360-15447"/>
    <s v="[C360 - eventos] Fallo en el proceso de silverización de la tabla events"/>
    <s v="Hechos relevantes"/>
    <d v="2025-02-04T16:08:05"/>
    <d v="2025-02-11T17:31:41"/>
    <s v="ANALÍTICO"/>
    <s v="SOPORTE"/>
    <s v=""/>
    <s v=""/>
    <s v="High"/>
    <s v="CERRADO"/>
    <s v=""/>
    <x v="1"/>
    <x v="5"/>
    <d v="2025-02-04T16:08:05"/>
    <d v="2025-02-11T17:31:41"/>
    <s v="Externo"/>
    <n v="6"/>
    <d v="2025-02-03T00:00:00"/>
    <n v="7"/>
    <d v="2025-02-10T00:00:00"/>
    <n v="7.0580510300933383"/>
    <n v="2025"/>
    <n v="2025"/>
    <s v="2025-02"/>
    <s v="2025-02"/>
  </r>
  <r>
    <s v="ESPC360-15628"/>
    <s v="[C360 - customer_360] Número empleado del gestor a NULL"/>
    <s v="intprofile_cli"/>
    <d v="2025-02-10T09:24:51"/>
    <d v="2025-02-27T09:43:49"/>
    <s v="ANALÍTICO"/>
    <s v="FUNCIONAL"/>
    <s v="intprofile_cli; customer_360"/>
    <s v=""/>
    <s v="Medium"/>
    <s v="CERRADO"/>
    <s v=""/>
    <x v="1"/>
    <x v="4"/>
    <d v="2025-02-10T09:24:51"/>
    <d v="2025-02-27T09:43:49"/>
    <s v="Interno"/>
    <n v="7"/>
    <d v="2025-02-10T00:00:00"/>
    <n v="9"/>
    <d v="2025-02-24T00:00:00"/>
    <n v="17.013170763886592"/>
    <n v="2025"/>
    <n v="2025"/>
    <s v="2025-02"/>
    <s v="2025-02"/>
  </r>
  <r>
    <s v="ESPC360-15697"/>
    <s v="[C360 - mkt_contacts_det] Misma Operativa en distinta operativa"/>
    <s v="mkt_contacts_det"/>
    <d v="2025-02-11T17:37:08"/>
    <d v="2025-02-17T15:28:54"/>
    <s v="ANALÍTICO"/>
    <s v="FUNCIONAL"/>
    <s v="mkt_contacts_det"/>
    <s v=""/>
    <s v="Highest"/>
    <s v="CERRADO"/>
    <s v=""/>
    <x v="1"/>
    <x v="4"/>
    <d v="2025-02-11T17:37:08"/>
    <d v="2025-02-17T15:28:54"/>
    <s v="Interno"/>
    <n v="7"/>
    <d v="2025-02-10T00:00:00"/>
    <n v="8"/>
    <d v="2025-02-17T00:00:00"/>
    <n v="5.910952708334662"/>
    <n v="2025"/>
    <n v="2025"/>
    <s v="2025-02"/>
    <s v="2025-02"/>
  </r>
  <r>
    <s v="ESPC360-15716"/>
    <s v="[CDL_MODELOS Features Models RGI] - Ajustes de campos y validaciones "/>
    <s v="oraculo_features_rgi"/>
    <d v="2025-02-12T16:11:22"/>
    <d v="2025-03-06T16:27:56"/>
    <s v="ANALÍTICO"/>
    <s v="DESARROLLO"/>
    <s v=""/>
    <s v="C360_Analitico_Team_2"/>
    <s v="Medium"/>
    <s v="CERRADO"/>
    <s v="C360_Analitico_Sprint 46"/>
    <x v="1"/>
    <x v="0"/>
    <d v="2025-02-12T16:11:22"/>
    <d v="2025-03-06T16:27:56"/>
    <s v="Interno"/>
    <n v="7"/>
    <d v="2025-02-10T00:00:00"/>
    <n v="10"/>
    <d v="2025-03-03T00:00:00"/>
    <n v="22.011509224532347"/>
    <n v="2025"/>
    <n v="2025"/>
    <s v="2025-02"/>
    <s v="2025-03"/>
  </r>
  <r>
    <s v="ESPC360-15961"/>
    <s v="[C360 - datagen_sociodemo] INC051498015 Tabla datagen_sociodemo viene a nulo en el 2024"/>
    <s v="datagen_sociodemo"/>
    <d v="2025-02-17T16:21:31"/>
    <d v="2025-02-25T09:31:14"/>
    <s v="ANALÍTICO"/>
    <s v="REPROCESO"/>
    <s v=""/>
    <s v=""/>
    <s v="Highest"/>
    <s v="CERRADO"/>
    <s v=""/>
    <x v="0"/>
    <x v="2"/>
    <d v="2025-02-17T16:21:31"/>
    <d v="2025-02-25T09:31:14"/>
    <s v="Interno"/>
    <n v="8"/>
    <d v="2025-02-17T00:00:00"/>
    <n v="9"/>
    <d v="2025-02-24T00:00:00"/>
    <n v="7.7150827893565292"/>
    <n v="2025"/>
    <n v="2025"/>
    <s v="2025-02"/>
    <s v="2025-02"/>
  </r>
  <r>
    <s v="ESPC360-16140"/>
    <s v="[CDL_MODELOS Features Models RGI] - Ajustes arquetipos"/>
    <s v="oraculo_features_rgi"/>
    <d v="2025-02-21T07:24:25"/>
    <d v="2025-03-06T16:27:56"/>
    <s v="ANALÍTICO"/>
    <s v="DESARROLLO"/>
    <s v=""/>
    <s v="C360_Analitico_Team_2"/>
    <s v="Highest"/>
    <s v="CERRADO"/>
    <s v="C360_Analitico_Sprint 46"/>
    <x v="1"/>
    <x v="0"/>
    <d v="2025-02-21T07:24:25"/>
    <d v="2025-03-06T16:27:56"/>
    <s v="Interno"/>
    <n v="8"/>
    <d v="2025-02-17T00:00:00"/>
    <n v="10"/>
    <d v="2025-03-03T00:00:00"/>
    <n v="13.377434803245706"/>
    <n v="2025"/>
    <n v="2025"/>
    <s v="2025-02"/>
    <s v="2025-03"/>
  </r>
  <r>
    <s v="ESPC360-16141"/>
    <s v="[CDL_MODELOS Features Models RGI] - Ajustes saldos"/>
    <s v="oraculo_features_rgi"/>
    <d v="2025-02-21T07:25:13"/>
    <d v="2025-03-06T16:27:56"/>
    <s v="ANALÍTICO"/>
    <s v="DESARROLLO"/>
    <s v=""/>
    <s v="C360_Analitico_Team_2"/>
    <s v="Highest"/>
    <s v="CERRADO"/>
    <s v="C360_Analitico_Sprint 46"/>
    <x v="1"/>
    <x v="0"/>
    <d v="2025-02-21T07:25:13"/>
    <d v="2025-03-06T16:27:56"/>
    <s v="Interno"/>
    <n v="8"/>
    <d v="2025-02-17T00:00:00"/>
    <n v="10"/>
    <d v="2025-03-03T00:00:00"/>
    <n v="13.376885474543087"/>
    <n v="2025"/>
    <n v="2025"/>
    <s v="2025-02"/>
    <s v="2025-03"/>
  </r>
  <r>
    <s v="ESPC360-16142"/>
    <s v="[CDL_MODELOS Features Models RGI] - Ajustes red_leg_interv"/>
    <s v="oraculo_features_rgi"/>
    <d v="2025-02-21T07:26:19"/>
    <d v="2025-03-06T16:27:56"/>
    <s v="ANALÍTICO"/>
    <s v="DESARROLLO"/>
    <s v=""/>
    <s v="C360_Analitico_Team_2"/>
    <s v="Highest"/>
    <s v="CERRADO"/>
    <s v="C360_Analitico_Sprint 46"/>
    <x v="1"/>
    <x v="0"/>
    <d v="2025-02-21T07:26:19"/>
    <d v="2025-03-06T16:27:56"/>
    <s v="Interno"/>
    <n v="8"/>
    <d v="2025-02-17T00:00:00"/>
    <n v="10"/>
    <d v="2025-03-03T00:00:00"/>
    <n v="13.376118541666074"/>
    <n v="2025"/>
    <n v="2025"/>
    <s v="2025-02"/>
    <s v="2025-03"/>
  </r>
  <r>
    <s v="ESPC360-16143"/>
    <s v="[CDL_MODELOS Features Models RGI] - Ajustes incumplimientos"/>
    <s v="oraculo_features_rgi"/>
    <d v="2025-02-21T07:27:01"/>
    <d v="2025-03-06T16:27:55"/>
    <s v="ANALÍTICO"/>
    <s v="DESARROLLO"/>
    <s v=""/>
    <s v="C360_Analitico_Team_2"/>
    <s v="Highest"/>
    <s v="CERRADO"/>
    <s v="C360_Analitico_Sprint 46"/>
    <x v="1"/>
    <x v="0"/>
    <d v="2025-02-21T07:27:01"/>
    <d v="2025-03-06T16:27:55"/>
    <s v="Interno"/>
    <n v="8"/>
    <d v="2025-02-17T00:00:00"/>
    <n v="10"/>
    <d v="2025-03-03T00:00:00"/>
    <n v="13.37562921296194"/>
    <n v="2025"/>
    <n v="2025"/>
    <s v="2025-02"/>
    <s v="2025-03"/>
  </r>
  <r>
    <s v="ESPC360-16144"/>
    <s v="[CDL_MODELOS Features Models RGI] - Ajustes medias"/>
    <s v="oraculo_features_rgi"/>
    <d v="2025-02-21T07:28:18"/>
    <d v="2025-03-06T16:27:55"/>
    <s v="ANALÍTICO"/>
    <s v="DESARROLLO"/>
    <s v=""/>
    <s v="C360_Analitico_Team_2"/>
    <s v="Highest"/>
    <s v="CERRADO"/>
    <s v="C360_Analitico_Sprint 46"/>
    <x v="1"/>
    <x v="0"/>
    <d v="2025-02-21T07:28:18"/>
    <d v="2025-03-06T16:27:55"/>
    <s v="Interno"/>
    <n v="8"/>
    <d v="2025-02-17T00:00:00"/>
    <n v="10"/>
    <d v="2025-03-03T00:00:00"/>
    <n v="13.374737870370154"/>
    <n v="2025"/>
    <n v="2025"/>
    <s v="2025-02"/>
    <s v="2025-03"/>
  </r>
  <r>
    <s v="ESPC360-16145"/>
    <s v="[CDL_MODELOS Features Models RGI] - Ajustes en garantias"/>
    <s v="oraculo_features_rgi"/>
    <d v="2025-02-21T07:28:51"/>
    <d v="2025-03-06T16:27:55"/>
    <s v="ANALÍTICO"/>
    <s v="DESARROLLO"/>
    <s v=""/>
    <s v="C360_Analitico_Team_2"/>
    <s v="Highest"/>
    <s v="CERRADO"/>
    <s v="C360_Analitico_Sprint 46"/>
    <x v="1"/>
    <x v="0"/>
    <d v="2025-02-21T07:28:51"/>
    <d v="2025-03-06T16:27:55"/>
    <s v="Interno"/>
    <n v="8"/>
    <d v="2025-02-17T00:00:00"/>
    <n v="10"/>
    <d v="2025-03-03T00:00:00"/>
    <n v="13.374351122685766"/>
    <n v="2025"/>
    <n v="2025"/>
    <s v="2025-02"/>
    <s v="2025-03"/>
  </r>
  <r>
    <s v="ESPC360-16211"/>
    <s v="[C360 - documents_det] INC051752360 Duplicados en la tabla documents_det"/>
    <s v="documents_det"/>
    <d v="2025-02-25T09:37:19"/>
    <d v="2025-04-02T10:37:29"/>
    <s v="ANALÍTICO"/>
    <s v="DESARROLLO"/>
    <s v=""/>
    <s v="C360_Analitico_Team_1"/>
    <s v="Medium"/>
    <s v="CERRADO"/>
    <s v="C360_Analitico_Sprint 48"/>
    <x v="0"/>
    <x v="0"/>
    <d v="2025-02-25T09:37:19"/>
    <d v="2025-04-02T10:37:29"/>
    <s v="Interno"/>
    <n v="9"/>
    <d v="2025-02-24T00:00:00"/>
    <n v="14"/>
    <d v="2025-03-31T00:00:00"/>
    <n v="36.041786898145801"/>
    <n v="2025"/>
    <n v="2025"/>
    <s v="2025-02"/>
    <s v="2025-03"/>
  </r>
  <r>
    <s v="ESPC360-16216"/>
    <s v="[Agenda Financiera] INC051802058 Vencimiento de la carencia de su contrato"/>
    <s v="agenda financiera"/>
    <d v="2025-02-25T13:35:27"/>
    <d v="2025-02-26T11:31:56"/>
    <s v="ANALÍTICO"/>
    <s v="SOPORTE"/>
    <s v=""/>
    <s v="C360_Team_Mtto"/>
    <s v="Medium"/>
    <s v="CERRADO"/>
    <s v=""/>
    <x v="0"/>
    <x v="5"/>
    <d v="2025-02-25T13:35:27"/>
    <d v="2025-02-26T11:31:56"/>
    <s v="Externo"/>
    <n v="9"/>
    <d v="2025-02-24T00:00:00"/>
    <n v="9"/>
    <d v="2025-02-24T00:00:00"/>
    <n v="0.91422542824147968"/>
    <n v="2025"/>
    <n v="2025"/>
    <s v="2025-02"/>
    <s v="2025-02"/>
  </r>
  <r>
    <s v="ESPC360-16227"/>
    <s v="[C360 - eeff_enterprise_datagen] INC051817151 El datagen de EEFF de empresas está a nulo en noviembre 2024"/>
    <s v="eeff_enterprise_datagen"/>
    <d v="2025-02-25T17:42:08"/>
    <d v="2025-03-17T13:16:48"/>
    <s v="ANALÍTICO"/>
    <s v="DESARROLLO"/>
    <s v="eff_enterprise_datagen"/>
    <s v="C360_Team_Mtto"/>
    <s v="Medium"/>
    <s v="CERRADO"/>
    <s v=""/>
    <x v="0"/>
    <x v="0"/>
    <d v="2025-02-25T17:42:08"/>
    <d v="2025-03-17T13:16:48"/>
    <s v="Interno"/>
    <n v="9"/>
    <d v="2025-02-24T00:00:00"/>
    <n v="12"/>
    <d v="2025-03-17T00:00:00"/>
    <n v="19.815739363424655"/>
    <n v="2025"/>
    <n v="2025"/>
    <s v="2025-02"/>
    <s v="2025-03"/>
  </r>
  <r>
    <s v="ESPC360-16493"/>
    <s v="[BUG] Error a la hora de informar el full_name_2 en la mov_bills_det"/>
    <s v="mov_bills_det"/>
    <d v="2025-03-03T16:34:47"/>
    <d v="2025-03-17T09:22:12"/>
    <s v="ANALÍTICO"/>
    <s v="ORIGEN"/>
    <s v="mov_bills_det"/>
    <s v=""/>
    <s v="Medium"/>
    <s v="CERRADO"/>
    <s v=""/>
    <x v="1"/>
    <x v="1"/>
    <d v="2025-03-03T16:34:47"/>
    <d v="2025-03-17T09:22:12"/>
    <s v="Externo"/>
    <n v="10"/>
    <d v="2025-03-03T00:00:00"/>
    <n v="12"/>
    <d v="2025-03-17T00:00:00"/>
    <n v="13.699603298613511"/>
    <n v="2025"/>
    <n v="2025"/>
    <s v="2025-03"/>
    <s v="2025-03"/>
  </r>
  <r>
    <s v="ESPC360-16515"/>
    <s v="[CDL_MODELOS Features Models RGI] - Ajustes de cálculo de medias"/>
    <s v="oraculo_features_rgi"/>
    <d v="2025-03-04T12:49:47"/>
    <d v="2025-03-06T16:27:55"/>
    <s v="ANALÍTICO"/>
    <s v="FUNCIONAL"/>
    <s v=""/>
    <s v="C360_Analitico_Team_2"/>
    <s v="Highest"/>
    <s v="CERRADO"/>
    <s v="C360_Analitico_Sprint 47"/>
    <x v="1"/>
    <x v="4"/>
    <d v="2025-03-04T12:49:47"/>
    <d v="2025-03-06T16:27:55"/>
    <s v="Interno"/>
    <n v="10"/>
    <d v="2025-03-03T00:00:00"/>
    <n v="10"/>
    <d v="2025-03-03T00:00:00"/>
    <n v="2.1514812962923315"/>
    <n v="2025"/>
    <n v="2025"/>
    <s v="2025-03"/>
    <s v="2025-03"/>
  </r>
  <r>
    <s v="ESPC360-16536"/>
    <s v="[C360 - events] INC052087115 Errores en eventos"/>
    <s v="Hechos relevantes"/>
    <d v="2025-03-05T14:03:42"/>
    <d v="2025-03-10T13:18:05"/>
    <s v="ANALÍTICO"/>
    <s v="DESARROLLO"/>
    <s v=""/>
    <s v="C360_Team_Mtto"/>
    <s v="Highest"/>
    <s v="CERRADO"/>
    <s v=""/>
    <x v="0"/>
    <x v="0"/>
    <d v="2025-03-05T14:03:42"/>
    <d v="2025-03-10T13:18:05"/>
    <s v="Interno"/>
    <n v="10"/>
    <d v="2025-03-03T00:00:00"/>
    <n v="11"/>
    <d v="2025-03-10T00:00:00"/>
    <n v="4.9683247800930985"/>
    <n v="2025"/>
    <n v="2025"/>
    <s v="2025-03"/>
    <s v="2025-03"/>
  </r>
  <r>
    <s v="ESPC360-16537"/>
    <s v="[C360 - mkt_success_det] INC052089953 Falta de particiones en la tabla SUCCESS_DET"/>
    <s v="mkt_success_det"/>
    <d v="2025-03-05T15:35:38"/>
    <d v="2025-03-07T09:55:26"/>
    <s v="ANALÍTICO"/>
    <s v="REPROCESO"/>
    <s v=""/>
    <s v="C360_Team_Mtto"/>
    <s v="Medium"/>
    <s v="CERRADO"/>
    <s v=""/>
    <x v="0"/>
    <x v="2"/>
    <d v="2025-03-05T15:35:38"/>
    <d v="2025-03-07T09:55:26"/>
    <s v="Interno"/>
    <n v="10"/>
    <d v="2025-03-03T00:00:00"/>
    <n v="10"/>
    <d v="2025-03-03T00:00:00"/>
    <n v="1.763751331018284"/>
    <n v="2025"/>
    <n v="2025"/>
    <s v="2025-03"/>
    <s v="2025-03"/>
  </r>
  <r>
    <s v="ESPC360-16551"/>
    <s v="[CDL_MODELOS Features Models RGI] - Ajustes de cálculo de medias días"/>
    <s v="oraculo_features_rgi"/>
    <d v="2025-03-06T09:54:46"/>
    <d v="2025-03-06T16:27:55"/>
    <s v="ANALÍTICO"/>
    <s v="DESARROLLO"/>
    <s v=""/>
    <s v="C360_Analitico_Team_2"/>
    <s v="Highest"/>
    <s v="CERRADO"/>
    <s v="C360_Analitico_Sprint 47"/>
    <x v="1"/>
    <x v="0"/>
    <d v="2025-03-06T09:54:46"/>
    <d v="2025-03-06T16:27:55"/>
    <s v="Interno"/>
    <n v="10"/>
    <d v="2025-03-03T00:00:00"/>
    <n v="10"/>
    <d v="2025-03-03T00:00:00"/>
    <n v="0.2730269444436999"/>
    <n v="2025"/>
    <n v="2025"/>
    <s v="2025-03"/>
    <s v="2025-03"/>
  </r>
  <r>
    <s v="ESPC360-16682"/>
    <s v="[C360 - datagen] INC052131640 Falta de particiones en tablas DATAGEN"/>
    <s v="datagen_sociodemo;pos_datagen_pond_tit_q"/>
    <d v="2025-03-06T18:12:01"/>
    <d v="2025-03-07T09:57:23"/>
    <s v="ANALÍTICO"/>
    <s v="REPROCESO"/>
    <s v=""/>
    <s v="C360_Team_Mtto"/>
    <s v="Medium"/>
    <s v="CERRADO"/>
    <s v=""/>
    <x v="0"/>
    <x v="2"/>
    <d v="2025-03-06T18:12:01"/>
    <d v="2025-03-07T09:57:23"/>
    <s v="Interno"/>
    <n v="10"/>
    <d v="2025-03-03T00:00:00"/>
    <n v="10"/>
    <d v="2025-03-03T00:00:00"/>
    <n v="0.6565113773176563"/>
    <n v="2025"/>
    <n v="2025"/>
    <s v="2025-03"/>
    <s v="2025-03"/>
  </r>
  <r>
    <s v="ESPC360-16702"/>
    <s v="[CDL_MODELOS Features Models RGI] - Duplicados en PK"/>
    <s v="oraculo_features_rgi"/>
    <d v="2025-03-10T11:00:48"/>
    <d v="2025-03-17T11:59:45"/>
    <s v="ANALÍTICO"/>
    <s v="DESARROLLO"/>
    <s v=""/>
    <s v="C360_Analitico_Team_2"/>
    <s v="Highest"/>
    <s v="CERRADO"/>
    <s v="C360_Analitico_Sprint 47"/>
    <x v="1"/>
    <x v="0"/>
    <d v="2025-03-10T11:00:48"/>
    <d v="2025-03-17T11:59:45"/>
    <s v="Interno"/>
    <n v="11"/>
    <d v="2025-03-10T00:00:00"/>
    <n v="12"/>
    <d v="2025-03-17T00:00:00"/>
    <n v="7.0409385069433483"/>
    <n v="2025"/>
    <n v="2025"/>
    <s v="2025-03"/>
    <s v="2025-03"/>
  </r>
  <r>
    <s v="ESPC360-16711"/>
    <s v="[CDL_MODELOS Features Models RGI] - Ajustes de campo min_dias_apert_tarj_actual"/>
    <s v="oraculo_features_rgi"/>
    <d v="2025-03-10T11:01:48"/>
    <d v="2025-03-17T11:59:37"/>
    <s v="ANALÍTICO"/>
    <s v="DESARROLLO"/>
    <s v=""/>
    <s v="C360_Analitico_Team_2"/>
    <s v="Highest"/>
    <s v="CERRADO"/>
    <s v="C360_Analitico_Sprint 47"/>
    <x v="1"/>
    <x v="0"/>
    <d v="2025-03-10T11:01:48"/>
    <d v="2025-03-17T11:59:37"/>
    <s v="Interno"/>
    <n v="11"/>
    <d v="2025-03-10T00:00:00"/>
    <n v="12"/>
    <d v="2025-03-17T00:00:00"/>
    <n v="7.0401510648152907"/>
    <n v="2025"/>
    <n v="2025"/>
    <s v="2025-03"/>
    <s v="2025-03"/>
  </r>
  <r>
    <s v="ESPC360-16758"/>
    <s v="[C360 - events] INC052355912 Evento Internacional Primer pago plataforma divisa 6m"/>
    <s v="Hechos relevantes"/>
    <d v="2025-03-12T16:28:27"/>
    <d v="2025-03-31T13:11:36"/>
    <s v="ANALÍTICO"/>
    <s v="DEFINICIÓN"/>
    <s v=""/>
    <s v="C360_Team_Integration"/>
    <s v="Medium"/>
    <s v="CERRADO"/>
    <s v=""/>
    <x v="0"/>
    <x v="3"/>
    <d v="2025-03-12T16:28:27"/>
    <d v="2025-03-31T13:11:36"/>
    <s v="Externo"/>
    <n v="11"/>
    <d v="2025-03-10T00:00:00"/>
    <n v="14"/>
    <d v="2025-03-31T00:00:00"/>
    <n v="18.863297534720914"/>
    <n v="2025"/>
    <n v="2025"/>
    <s v="2025-03"/>
    <s v="2025-03"/>
  </r>
  <r>
    <s v="ESPC360-16766"/>
    <s v="[Agenda financiera] Modificar replaceWhere y eliminar data_date_part"/>
    <s v="agenda financiera"/>
    <d v="2025-03-13T10:40:05"/>
    <d v="2025-04-09T12:32:17"/>
    <s v="ANALÍTICO"/>
    <s v="DESARROLLO"/>
    <s v=""/>
    <s v="C360_Analitico_Team_2"/>
    <s v="Medium"/>
    <s v="CERRADO"/>
    <s v="C360_Analitico_Sprint 48"/>
    <x v="1"/>
    <x v="0"/>
    <d v="2025-03-13T10:40:05"/>
    <d v="2025-04-09T12:32:17"/>
    <s v="Interno"/>
    <n v="11"/>
    <d v="2025-03-10T00:00:00"/>
    <n v="15"/>
    <d v="2025-04-07T00:00:00"/>
    <n v="27.077915613430378"/>
    <n v="2025"/>
    <n v="2025"/>
    <s v="2025-03"/>
    <s v="2025-04"/>
  </r>
  <r>
    <s v="ESPC360-16875"/>
    <s v="[C360 - mov_accounts_det] INC052433269 Variable concept vacia data_date_part = 2022-05-24"/>
    <s v="mov_accounts_det"/>
    <d v="2025-03-17T09:13:03"/>
    <d v="2025-04-13T11:39:47"/>
    <s v="ANALÍTICO"/>
    <s v="REPROCESO"/>
    <s v=""/>
    <s v="C360_Team_Integration;C360_Team_Mtto"/>
    <s v="Medium"/>
    <s v="CERRADO"/>
    <s v=""/>
    <x v="0"/>
    <x v="2"/>
    <d v="2025-03-17T09:13:03"/>
    <d v="2025-04-13T11:39:47"/>
    <s v="Interno"/>
    <n v="12"/>
    <d v="2025-03-17T00:00:00"/>
    <n v="16"/>
    <d v="2025-04-14T00:00:00"/>
    <n v="27.101898379631166"/>
    <n v="2025"/>
    <n v="2025"/>
    <s v="2025-03"/>
    <s v="2025-04"/>
  </r>
  <r>
    <s v="ESPC360-16919"/>
    <s v="[CDL_MODELOS Features Models RGI] - Ajustes de campo incum_sumimp_12m"/>
    <s v="oraculo_features_rgi"/>
    <d v="2025-03-17T12:00:41"/>
    <d v="2025-03-20T10:04:35"/>
    <s v="ANALÍTICO"/>
    <s v="DEFINICIÓN"/>
    <s v=""/>
    <s v="C360_Analitico_Team_2"/>
    <s v="Highest"/>
    <s v="CANCELADO"/>
    <s v="C360_Analitico_Sprint 48"/>
    <x v="1"/>
    <x v="3"/>
    <d v="2025-03-17T12:00:41"/>
    <d v="2025-03-20T10:04:35"/>
    <s v="Externo"/>
    <n v="12"/>
    <d v="2025-03-17T00:00:00"/>
    <n v="12"/>
    <d v="2025-03-17T00:00:00"/>
    <n v="2.9193768055556575"/>
    <n v="2025"/>
    <n v="2025"/>
    <s v="2025-03"/>
    <s v="2025-03"/>
  </r>
  <r>
    <s v="ESPC360-16920"/>
    <s v="[CDL_MODELOS Features Models RGI] - Ajustes de campo red_grupo_num_cli_irr"/>
    <s v="oraculo_features_rgi"/>
    <d v="2025-03-17T12:01:12"/>
    <d v="2025-04-02T10:37:32"/>
    <s v="ANALÍTICO"/>
    <s v="DESARROLLO"/>
    <s v=""/>
    <s v="C360_Analitico_Team_2"/>
    <s v="Highest"/>
    <s v="CERRADO"/>
    <s v="C360_Analitico_Sprint 48"/>
    <x v="1"/>
    <x v="0"/>
    <d v="2025-03-17T12:01:12"/>
    <d v="2025-04-02T10:37:32"/>
    <s v="Interno"/>
    <n v="12"/>
    <d v="2025-03-17T00:00:00"/>
    <n v="14"/>
    <d v="2025-03-31T00:00:00"/>
    <n v="15.941904548606544"/>
    <n v="2025"/>
    <n v="2025"/>
    <s v="2025-03"/>
    <s v="2025-03"/>
  </r>
  <r>
    <s v="ESPC360-16935"/>
    <s v="[C360 - mov_bills_det] INC052433422 Variable iban_1 e iban_2 con nulos"/>
    <s v="mov_bills_det"/>
    <d v="2025-03-17T17:31:07"/>
    <d v="2025-04-01T09:36:50"/>
    <s v="ANALÍTICO"/>
    <s v="ORIGEN"/>
    <s v=""/>
    <s v="C360_Team_Mtto"/>
    <s v="Medium"/>
    <s v="CERRADO"/>
    <s v=""/>
    <x v="0"/>
    <x v="1"/>
    <d v="2025-03-17T17:31:07"/>
    <d v="2025-04-01T09:36:50"/>
    <s v="Externo"/>
    <n v="12"/>
    <d v="2025-03-17T00:00:00"/>
    <n v="14"/>
    <d v="2025-03-31T00:00:00"/>
    <n v="14.670645243051695"/>
    <n v="2025"/>
    <n v="2025"/>
    <s v="2025-03"/>
    <s v="2025-03"/>
  </r>
  <r>
    <s v="ESPC360-16969"/>
    <s v="[C360 - eeff_enterprise_datagen] campo = '0'"/>
    <s v="eeff_enterprise_datagen"/>
    <d v="2025-03-19T12:42:37"/>
    <d v="2025-03-31T13:11:21"/>
    <s v="ANALÍTICO"/>
    <s v="DESARROLLO"/>
    <s v=""/>
    <s v="C360_Team_Integration"/>
    <s v="Medium"/>
    <s v="CERRADO"/>
    <s v=""/>
    <x v="1"/>
    <x v="0"/>
    <d v="2025-03-19T12:42:37"/>
    <d v="2025-03-31T13:11:21"/>
    <s v="Interno"/>
    <n v="12"/>
    <d v="2025-03-17T00:00:00"/>
    <n v="14"/>
    <d v="2025-03-31T00:00:00"/>
    <n v="12.0199530671307"/>
    <n v="2025"/>
    <n v="2025"/>
    <s v="2025-03"/>
    <s v="2025-03"/>
  </r>
  <r>
    <s v="ESPC360-17089"/>
    <s v="[CDL_MODELOS Features Models RGI] - Ajustes de campo garan_mingarantia y garan_minltv"/>
    <s v="oraculo_features_rgi"/>
    <d v="2025-03-21T12:50:26"/>
    <d v="2025-04-01T09:24:13"/>
    <s v="ANALÍTICO"/>
    <s v="DESARROLLO"/>
    <s v=""/>
    <s v="C360_Analitico_Team_2"/>
    <s v="Highest"/>
    <s v="CERRADO"/>
    <s v="C360_Analitico_Sprint 48"/>
    <x v="1"/>
    <x v="0"/>
    <d v="2025-03-21T12:50:26"/>
    <d v="2025-04-01T09:24:13"/>
    <s v="Interno"/>
    <n v="12"/>
    <d v="2025-03-17T00:00:00"/>
    <n v="14"/>
    <d v="2025-03-31T00:00:00"/>
    <n v="10.856802025460638"/>
    <n v="2025"/>
    <n v="2025"/>
    <s v="2025-03"/>
    <s v="2025-03"/>
  </r>
  <r>
    <s v="ESPC360-17101"/>
    <s v="[CDL_MODELOS Features Models RGI] - Ajustes de campos de periodos"/>
    <s v="oraculo_features_rgi"/>
    <d v="2025-03-24T12:14:33"/>
    <d v="2025-04-01T09:30:19"/>
    <s v="ANALÍTICO"/>
    <s v="FUNCIONAL"/>
    <s v=""/>
    <s v="C360_Analitico_Team_2"/>
    <s v="Highest"/>
    <s v="CERRADO"/>
    <s v="C360_Analitico_Sprint 48"/>
    <x v="1"/>
    <x v="4"/>
    <d v="2025-03-24T12:14:33"/>
    <d v="2025-04-01T09:30:19"/>
    <s v="Interno"/>
    <n v="13"/>
    <d v="2025-03-24T00:00:00"/>
    <n v="14"/>
    <d v="2025-03-31T00:00:00"/>
    <n v="7.8859389930512407"/>
    <n v="2025"/>
    <n v="2025"/>
    <s v="2025-03"/>
    <s v="2025-03"/>
  </r>
  <r>
    <s v="ESPC360-17102"/>
    <s v="[CDL_MODELOS Features Models RGI] - Ajustes de campos de incumplimientos"/>
    <s v="oraculo_features_rgi"/>
    <d v="2025-03-24T12:16:25"/>
    <d v="2025-04-01T09:30:22"/>
    <s v="ANALÍTICO"/>
    <s v="DESARROLLO"/>
    <s v=""/>
    <s v="C360_Analitico_Team_2"/>
    <s v="Highest"/>
    <s v="CERRADO"/>
    <s v="C360_Analitico_Sprint 48"/>
    <x v="1"/>
    <x v="0"/>
    <d v="2025-03-24T12:16:25"/>
    <d v="2025-04-01T09:30:22"/>
    <s v="Interno"/>
    <n v="13"/>
    <d v="2025-03-24T00:00:00"/>
    <n v="14"/>
    <d v="2025-03-31T00:00:00"/>
    <n v="7.8846910879583447"/>
    <n v="2025"/>
    <n v="2025"/>
    <s v="2025-03"/>
    <s v="2025-03"/>
  </r>
  <r>
    <s v="ESPC360-17171"/>
    <s v="[C360 - channelactivity_digitalnavigation_det] INC052787967 no hay ningún registro en la tabla para personas físicas"/>
    <s v="channelactivity_digitalnavigation_det"/>
    <d v="2025-03-26T16:52:13"/>
    <d v="2025-03-28T11:06:39"/>
    <s v="ANALÍTICO"/>
    <s v="ORIGEN"/>
    <s v=""/>
    <s v="C360_Team_Mtto"/>
    <s v="Medium"/>
    <s v="CERRADO"/>
    <s v=""/>
    <x v="0"/>
    <x v="1"/>
    <d v="2025-03-26T16:52:13"/>
    <d v="2025-03-28T11:06:39"/>
    <s v="Externo"/>
    <n v="13"/>
    <d v="2025-03-24T00:00:00"/>
    <n v="13"/>
    <d v="2025-03-24T00:00:00"/>
    <n v="1.7600223148183431"/>
    <n v="2025"/>
    <n v="2025"/>
    <s v="2025-03"/>
    <s v="2025-03"/>
  </r>
  <r>
    <s v="ESPC360-17172"/>
    <s v="[C360 - mov_datagen_q] INC052866097 partición del 2024-04-30 variables no informadas"/>
    <s v="mov_datagen_q"/>
    <d v="2025-03-26T16:56:13"/>
    <d v="2025-03-28T11:18:41"/>
    <s v="ANALÍTICO"/>
    <s v="REPROCESO"/>
    <s v="mov_datagen_q"/>
    <s v="C360_Team_Mtto"/>
    <s v="Medium"/>
    <s v="CERRADO"/>
    <s v=""/>
    <x v="0"/>
    <x v="2"/>
    <d v="2025-03-26T16:56:13"/>
    <d v="2025-03-28T11:18:41"/>
    <s v="Interno"/>
    <n v="13"/>
    <d v="2025-03-24T00:00:00"/>
    <n v="13"/>
    <d v="2025-03-24T00:00:00"/>
    <n v="1.7655994675951661"/>
    <n v="2025"/>
    <n v="2025"/>
    <s v="2025-03"/>
    <s v="2025-03"/>
  </r>
  <r>
    <s v="ESPC360-17303"/>
    <s v="[C360 - mkt_contacts_det] INC052945417 Faltan particiones en mkt_contacts_det"/>
    <s v="mkt_contacts_det"/>
    <d v="2025-03-31T09:44:03"/>
    <d v="2025-05-05T09:57:52"/>
    <s v="ANALÍTICO"/>
    <s v="ORIGEN"/>
    <s v=""/>
    <s v="C360_Team_Integration;C360_Team_Mtto"/>
    <s v="Medium"/>
    <s v="CERRADO"/>
    <s v=""/>
    <x v="0"/>
    <x v="1"/>
    <d v="2025-03-31T09:44:03"/>
    <d v="2025-05-05T09:57:52"/>
    <s v="Externo"/>
    <n v="14"/>
    <d v="2025-03-31T00:00:00"/>
    <n v="19"/>
    <d v="2025-05-05T00:00:00"/>
    <n v="35.009590740737622"/>
    <n v="2025"/>
    <n v="2025"/>
    <s v="2025-03"/>
    <s v="2025-05"/>
  </r>
  <r>
    <s v="ESPC360-17351"/>
    <s v="[C360 - transactional_customerrelationship_det] INC053062392 cif con múltiples nombres/nombres con multiples cif"/>
    <s v="transactional_customerrelationship_det"/>
    <d v="2025-04-01T12:39:26"/>
    <d v="2025-04-10T09:53:36"/>
    <s v="ANALÍTICO"/>
    <s v="REPROCESO"/>
    <s v=""/>
    <s v="C360_Team_Integration;C360_Team_Mtto"/>
    <s v="High"/>
    <s v="CERRADO"/>
    <s v=""/>
    <x v="0"/>
    <x v="2"/>
    <d v="2025-04-01T12:39:26"/>
    <d v="2025-04-10T09:53:36"/>
    <s v="Interno"/>
    <n v="14"/>
    <d v="2025-03-31T00:00:00"/>
    <n v="15"/>
    <d v="2025-04-07T00:00:00"/>
    <n v="8.8848410532373236"/>
    <n v="2025"/>
    <n v="2025"/>
    <s v="2025-03"/>
    <s v="2025-04"/>
  </r>
  <r>
    <s v="ESPC360-17352"/>
    <s v="[C360 - santander-go] INC053065576 datos de accesos a canales no están actualizados"/>
    <s v="Santanger GO"/>
    <d v="2025-04-01T13:24:12"/>
    <d v="2025-05-13T09:48:55"/>
    <s v="ANALÍTICO"/>
    <s v="ORIGEN"/>
    <s v="santander-go"/>
    <s v="C360_Team_Integration;C360_Team_Mtto"/>
    <s v="Medium"/>
    <s v="CERRADO"/>
    <s v=""/>
    <x v="0"/>
    <x v="1"/>
    <d v="2025-04-01T13:24:12"/>
    <d v="2025-05-13T09:48:55"/>
    <s v="Externo"/>
    <n v="14"/>
    <d v="2025-03-31T00:00:00"/>
    <n v="20"/>
    <d v="2025-05-12T00:00:00"/>
    <n v="41.850488067131664"/>
    <n v="2025"/>
    <n v="2025"/>
    <s v="2025-03"/>
    <s v="2025-05"/>
  </r>
  <r>
    <s v="ESPC360-17355"/>
    <s v="[ORACULO_FEATURES_RGI] Nulos en campos de oraculo RGI"/>
    <s v="oraculo_features_rgi"/>
    <d v="2025-04-01T15:59:48"/>
    <d v="2025-04-10T09:53:49"/>
    <s v="ANALÍTICO"/>
    <s v="DESARROLLO"/>
    <s v=""/>
    <s v="C360_Analitico_Team_2"/>
    <s v="Medium"/>
    <s v="CERRADO"/>
    <s v="C360_Analitico_Sprint 49"/>
    <x v="1"/>
    <x v="0"/>
    <d v="2025-04-01T15:59:48"/>
    <d v="2025-04-10T09:53:49"/>
    <s v="Interno"/>
    <n v="14"/>
    <d v="2025-03-31T00:00:00"/>
    <n v="15"/>
    <d v="2025-04-07T00:00:00"/>
    <n v="8.7458515856487793"/>
    <n v="2025"/>
    <n v="2025"/>
    <s v="2025-03"/>
    <s v="2025-04"/>
  </r>
  <r>
    <s v="ESPC360-17366"/>
    <s v="[C360-mov_*]-INC053112110-Error_tras_ejecucion_alter"/>
    <s v="mov_accounts_det;mov_bills_det;mov_creditcards_det;mov_debitcards_det;mov_transfers_det"/>
    <d v="2025-04-02T13:52:07"/>
    <d v="2025-04-10T09:55:21"/>
    <s v="ANALÍTICO"/>
    <s v="ORIGEN"/>
    <s v=""/>
    <s v="C360_Team_Integration;C360_Team_Mtto"/>
    <s v="Highest"/>
    <s v="CERRADO"/>
    <s v=""/>
    <x v="0"/>
    <x v="1"/>
    <d v="2025-04-02T13:52:07"/>
    <d v="2025-04-10T09:55:21"/>
    <s v="Externo"/>
    <n v="14"/>
    <d v="2025-03-31T00:00:00"/>
    <n v="15"/>
    <d v="2025-04-07T00:00:00"/>
    <n v="7.8355803935191943"/>
    <n v="2025"/>
    <n v="2025"/>
    <s v="2025-03"/>
    <s v="2025-04"/>
  </r>
  <r>
    <s v="ESPC360-17383"/>
    <s v="[C360-productions_det ]-INC053158038-Volumetrías irregulares especialmente entre 09/2024 y 12/2024"/>
    <s v="productions_det"/>
    <d v="2025-04-03T12:53:40"/>
    <d v="2025-04-10T09:53:42"/>
    <s v="ANALÍTICO"/>
    <s v="ORIGEN"/>
    <s v="productions_det"/>
    <s v="C360_Team_Integration;C360_Team_Mtto"/>
    <s v="Medium"/>
    <s v="CERRADO"/>
    <s v=""/>
    <x v="0"/>
    <x v="1"/>
    <d v="2025-04-03T12:53:40"/>
    <d v="2025-04-10T09:53:42"/>
    <s v="Externo"/>
    <n v="14"/>
    <d v="2025-03-31T00:00:00"/>
    <n v="15"/>
    <d v="2025-04-07T00:00:00"/>
    <n v="6.8750245949049713"/>
    <n v="2025"/>
    <n v="2025"/>
    <s v="2025-03"/>
    <s v="2025-04"/>
  </r>
  <r>
    <s v="ESPC360-17544"/>
    <s v="[C360-digitalchannelactivity_datagen_*]-INC053326921-Variables que calculan si la conexión es entresemana o los findes están a null en todas las particiones:"/>
    <s v="digitalchannelactivity_datagen"/>
    <d v="2025-04-08T15:35:27"/>
    <d v="2025-04-24T15:58:49"/>
    <s v="ANALÍTICO"/>
    <s v="DESARROLLO"/>
    <s v="digitalchannelactivity_datagen_q"/>
    <s v="C360_Team_Integration;C360_Team_Mtto"/>
    <s v="Medium"/>
    <s v="CERRADO"/>
    <s v=""/>
    <x v="0"/>
    <x v="0"/>
    <d v="2025-04-08T15:35:27"/>
    <d v="2025-04-24T15:58:49"/>
    <s v="Interno"/>
    <n v="15"/>
    <d v="2025-04-07T00:00:00"/>
    <n v="17"/>
    <d v="2025-04-21T00:00:00"/>
    <n v="16.016232442132605"/>
    <n v="2025"/>
    <n v="2025"/>
    <s v="2025-04"/>
    <s v="2025-04"/>
  </r>
  <r>
    <s v="ESPC360-17563"/>
    <s v="[C360-channelactivity_digitalnavigation_det]-RITM015890724-datos desplazados del día 03/04/2025 04/04/2025, genera duplicados"/>
    <s v="channelactivity_digitalnavigation_det"/>
    <d v="2025-04-09T09:55:47"/>
    <d v="2025-04-15T09:35:51"/>
    <s v="ANALÍTICO"/>
    <s v="REPROCESO"/>
    <s v="channelactivity_digitalnavigation_det"/>
    <s v="C360_Team_Integration;C360_Team_Mtto"/>
    <s v="Medium"/>
    <s v="CERRADO"/>
    <s v=""/>
    <x v="0"/>
    <x v="2"/>
    <d v="2025-04-09T09:55:47"/>
    <d v="2025-04-15T09:35:51"/>
    <s v="Interno"/>
    <n v="15"/>
    <d v="2025-04-07T00:00:00"/>
    <n v="16"/>
    <d v="2025-04-14T00:00:00"/>
    <n v="5.9861602546297945"/>
    <n v="2025"/>
    <n v="2025"/>
    <s v="2025-04"/>
    <s v="2025-04"/>
  </r>
  <r>
    <s v="ESPC360-17564"/>
    <s v="[C360-customer_360]-INC053337517-Estamos leyendo datos de la customer_360 y las variables relativas al pago de nóminas aparecen siempre con valor cero."/>
    <s v="customer_360"/>
    <d v="2025-04-09T10:04:54"/>
    <d v="2025-04-10T10:08:58"/>
    <s v="ANALÍTICO"/>
    <s v="SOPORTE"/>
    <s v="customer_360"/>
    <s v="C360_Team_Integration;C360_Team_Mtto"/>
    <s v="Medium"/>
    <s v="CANCELADO"/>
    <s v=""/>
    <x v="0"/>
    <x v="5"/>
    <d v="2025-04-09T10:04:54"/>
    <d v="2025-04-10T10:08:58"/>
    <s v="Externo"/>
    <n v="15"/>
    <d v="2025-04-07T00:00:00"/>
    <n v="15"/>
    <d v="2025-04-07T00:00:00"/>
    <n v="1.0028274421347305"/>
    <n v="2025"/>
    <n v="2025"/>
    <s v="2025-04"/>
    <s v="2025-04"/>
  </r>
  <r>
    <s v="ESPC360-17657"/>
    <s v="[C360-mov_datagen_d]-variables sin informar relacionadas con transferencias y recibos."/>
    <s v="mov_datagen_d"/>
    <d v="2025-04-11T09:20:39"/>
    <d v="2025-04-16T09:33:25"/>
    <s v="ANALÍTICO"/>
    <s v="REPROCESO"/>
    <s v="mov_datagen_d"/>
    <s v="C360_Team_Integration;C360_Team_Mtto"/>
    <s v="Medium"/>
    <s v="CERRADO"/>
    <s v=""/>
    <x v="0"/>
    <x v="2"/>
    <d v="2025-04-11T09:20:39"/>
    <d v="2025-04-16T09:33:25"/>
    <s v="Interno"/>
    <n v="15"/>
    <d v="2025-04-07T00:00:00"/>
    <n v="16"/>
    <d v="2025-04-14T00:00:00"/>
    <n v="5.0088659027751419"/>
    <n v="2025"/>
    <n v="2025"/>
    <s v="2025-04"/>
    <s v="2025-04"/>
  </r>
  <r>
    <s v="ESPC360-17710"/>
    <s v="[C360-comlay-descriptivos-dg-clientes]-INC053725603-PCENTROINF21D a Odate: 2025/04/16 y 2025/04/21"/>
    <s v="Primer Modelo CDL"/>
    <d v="2025-04-21T12:58:13"/>
    <d v="2025-04-28T09:11:50"/>
    <s v="ANALÍTICO"/>
    <s v="ORIGEN"/>
    <s v=""/>
    <s v="C360_Team_Integration;C360_Team_Mtto"/>
    <s v="Medium"/>
    <s v="CERRADO"/>
    <s v=""/>
    <x v="0"/>
    <x v="1"/>
    <d v="2025-04-21T12:58:13"/>
    <d v="2025-04-28T09:11:50"/>
    <s v="Externo"/>
    <n v="17"/>
    <d v="2025-04-21T00:00:00"/>
    <n v="18"/>
    <d v="2025-04-28T00:00:00"/>
    <n v="6.8427954166691052"/>
    <n v="2025"/>
    <n v="2025"/>
    <s v="2025-04"/>
    <s v="2025-04"/>
  </r>
  <r>
    <s v="ESPC360-17777"/>
    <s v="[C360-risk_datagen_q]-INC053796279-duplicados por pk en la partición de 2025-03-31"/>
    <s v="risk_datagen_q"/>
    <d v="2025-04-22T09:25:19"/>
    <d v="2025-04-22T16:23:32"/>
    <s v="ANALÍTICO"/>
    <s v="REPROCESO"/>
    <s v="risk_datagen_q"/>
    <s v="C360_Team_Integration;C360_Team_Mtto"/>
    <s v="High"/>
    <s v="CERRADO"/>
    <s v=""/>
    <x v="0"/>
    <x v="2"/>
    <d v="2025-04-22T09:25:19"/>
    <d v="2025-04-22T16:23:32"/>
    <s v="Interno"/>
    <n v="17"/>
    <d v="2025-04-21T00:00:00"/>
    <n v="17"/>
    <d v="2025-04-21T00:00:00"/>
    <n v="0.29043430555611849"/>
    <n v="2025"/>
    <n v="2025"/>
    <s v="2025-04"/>
    <s v="2025-04"/>
  </r>
  <r>
    <s v="ESPC360-17793"/>
    <s v="[ORACULO_FEATURES_RGI] Problemas en los saldos"/>
    <s v="oraculo_features_rgi"/>
    <d v="2025-04-22T16:57:36"/>
    <d v="2025-04-24T15:58:30"/>
    <s v="ANALÍTICO"/>
    <s v="FUNCIONAL"/>
    <s v=""/>
    <s v="C360_Analitico_Team_2"/>
    <s v="Highest"/>
    <s v="CERRADO"/>
    <s v="C360_Analitico_Sprint 50"/>
    <x v="1"/>
    <x v="4"/>
    <d v="2025-04-22T16:57:36"/>
    <d v="2025-04-24T15:58:30"/>
    <s v="Interno"/>
    <n v="17"/>
    <d v="2025-04-21T00:00:00"/>
    <n v="17"/>
    <d v="2025-04-21T00:00:00"/>
    <n v="1.9589508333374397"/>
    <n v="2025"/>
    <n v="2025"/>
    <s v="2025-04"/>
    <s v="2025-04"/>
  </r>
  <r>
    <s v="ESPC360-17798"/>
    <s v="[Oficina principal] Modificación ETL"/>
    <s v=""/>
    <d v="2025-04-23T09:28:44"/>
    <d v="2025-05-14T15:09:31"/>
    <s v="ANALÍTICO"/>
    <s v="DEFINICIÓN"/>
    <s v=""/>
    <s v="C360_Analitico_Team_1"/>
    <s v="Medium"/>
    <s v="CERRADO"/>
    <s v="C360_Analitico_Sprint 51"/>
    <x v="1"/>
    <x v="3"/>
    <d v="2025-04-23T09:28:44"/>
    <d v="2025-05-14T15:09:31"/>
    <s v="Externo"/>
    <n v="17"/>
    <d v="2025-04-21T00:00:00"/>
    <n v="20"/>
    <d v="2025-05-12T00:00:00"/>
    <n v="21.236657280096551"/>
    <n v="2025"/>
    <n v="2025"/>
    <s v="2025-04"/>
    <s v="2025-05"/>
  </r>
  <r>
    <s v="ESPC360-17811"/>
    <s v="[mov_bills_det] Variables full_name_2 y document_number_2"/>
    <s v="mov_bills_det"/>
    <d v="2025-04-23T13:12:34"/>
    <d v="2025-05-20T09:40:10"/>
    <s v="ANALÍTICO"/>
    <s v="ORIGEN"/>
    <s v="mov_bills_det"/>
    <s v="C360_Team_Integration;C360_Team_Mtto"/>
    <s v="Medium"/>
    <s v="CERRADO"/>
    <s v=""/>
    <x v="0"/>
    <x v="1"/>
    <d v="2025-04-23T13:12:34"/>
    <d v="2025-05-20T09:40:10"/>
    <s v="Externo"/>
    <n v="17"/>
    <d v="2025-04-21T00:00:00"/>
    <n v="21"/>
    <d v="2025-05-19T00:00:00"/>
    <n v="26.85250121527497"/>
    <n v="2025"/>
    <n v="2025"/>
    <s v="2025-04"/>
    <s v="2025-05"/>
  </r>
  <r>
    <s v="ESPC360-17812"/>
    <s v="[C360-mov_creditcards_det ]-INC053845500-contiene duplicados en los que unicamente varia la variable data_timestamp"/>
    <s v="mov_creditcards_det"/>
    <d v="2025-04-23T13:15:26"/>
    <d v="2025-05-05T09:44:08"/>
    <s v="ANALÍTICO"/>
    <s v="DESARROLLO"/>
    <s v="mov_creditcards_det"/>
    <s v="C360_Team_Integration;C360_Team_Mtto"/>
    <s v="Medium"/>
    <s v="CERRADO"/>
    <s v=""/>
    <x v="0"/>
    <x v="0"/>
    <d v="2025-04-23T13:15:26"/>
    <d v="2025-05-05T09:44:08"/>
    <s v="Interno"/>
    <n v="17"/>
    <d v="2025-04-21T00:00:00"/>
    <n v="19"/>
    <d v="2025-05-05T00:00:00"/>
    <n v="11.853253206012596"/>
    <n v="2025"/>
    <n v="2025"/>
    <s v="2025-04"/>
    <s v="2025-05"/>
  </r>
  <r>
    <s v="ESPC360-17819"/>
    <s v="[C360-customerrelationship_det]-INC053855763-contiene información de relaciones para personas físicas para los origenes de cargos y accionistas"/>
    <s v="customerrelationship_det"/>
    <d v="2025-04-23T17:05:07"/>
    <d v="2025-05-05T13:17:10"/>
    <s v="ANALÍTICO"/>
    <s v="DESARROLLO"/>
    <s v="customerrelationship_det"/>
    <s v=""/>
    <s v="Medium"/>
    <s v="CERRADO"/>
    <s v=""/>
    <x v="0"/>
    <x v="0"/>
    <d v="2025-04-23T17:05:07"/>
    <d v="2025-05-05T13:17:10"/>
    <s v="Interno"/>
    <n v="17"/>
    <d v="2025-04-21T00:00:00"/>
    <n v="19"/>
    <d v="2025-05-05T00:00:00"/>
    <n v="11.841693993061199"/>
    <n v="2025"/>
    <n v="2025"/>
    <s v="2025-04"/>
    <s v="2025-05"/>
  </r>
  <r>
    <s v="ESPC360-18007"/>
    <s v="[transactional_customrelationship_det] Mismo full_name para diferentes identificadores"/>
    <s v=""/>
    <d v="2025-04-28T09:52:21"/>
    <d v="2025-04-30T18:33:23"/>
    <s v="ANALÍTICO"/>
    <s v="REPROCESO"/>
    <s v=""/>
    <s v=""/>
    <s v="Medium"/>
    <s v="CERRADO"/>
    <s v=""/>
    <x v="1"/>
    <x v="2"/>
    <d v="2025-04-28T09:52:21"/>
    <d v="2025-04-30T18:33:23"/>
    <s v="Interno"/>
    <n v="18"/>
    <d v="2025-04-28T00:00:00"/>
    <n v="18"/>
    <d v="2025-04-28T00:00:00"/>
    <n v="2.3618213888912578"/>
    <n v="2025"/>
    <n v="2025"/>
    <s v="2025-04"/>
    <s v="2025-04"/>
  </r>
  <r>
    <s v="ESPC360-18024"/>
    <s v="[mov_accounts_det] - INC054060820 - Variable concept a NULO más del 50%"/>
    <s v="mov_accounts_det"/>
    <d v="2025-04-29T14:58:08"/>
    <d v="2025-05-09T11:06:39"/>
    <s v="ANALÍTICO"/>
    <s v="DESARROLLO"/>
    <s v="mov_accounts_det"/>
    <s v=""/>
    <s v="Medium"/>
    <s v="CERRADO"/>
    <s v=""/>
    <x v="0"/>
    <x v="0"/>
    <d v="2025-04-29T14:58:08"/>
    <d v="2025-05-09T11:06:39"/>
    <s v="Interno"/>
    <n v="18"/>
    <d v="2025-04-28T00:00:00"/>
    <n v="19"/>
    <d v="2025-05-05T00:00:00"/>
    <n v="9.8392527662072098"/>
    <n v="2025"/>
    <n v="2025"/>
    <s v="2025-04"/>
    <s v="2025-05"/>
  </r>
  <r>
    <s v="ESPC360-18047"/>
    <s v="[Agenda Financiera] - INC054090482"/>
    <s v=""/>
    <d v="2025-04-30T15:53:51"/>
    <d v="2025-05-21T10:14:04"/>
    <s v="ANALÍTICO"/>
    <s v="DEFINICIÓN"/>
    <s v=""/>
    <s v=""/>
    <s v="Medium"/>
    <s v="CERRADO"/>
    <s v=""/>
    <x v="1"/>
    <x v="3"/>
    <d v="2025-04-30T15:53:51"/>
    <d v="2025-05-21T10:14:04"/>
    <s v="Externo"/>
    <n v="18"/>
    <d v="2025-04-28T00:00:00"/>
    <n v="21"/>
    <d v="2025-05-19T00:00:00"/>
    <n v="20.764038194443856"/>
    <n v="2025"/>
    <n v="2025"/>
    <s v="2025-04"/>
    <s v="2025-05"/>
  </r>
  <r>
    <s v="ESPC360-18145"/>
    <s v="[mov_datagen_q] - INC054237427 - tiene duplicados"/>
    <s v="mov_datagen_q"/>
    <d v="2025-05-05T12:53:36"/>
    <d v="2025-05-06T10:06:21"/>
    <s v="ANALÍTICO"/>
    <s v="DESARROLLO"/>
    <s v=""/>
    <s v="C360_Team_Integration"/>
    <s v="Medium"/>
    <s v="CERRADO"/>
    <s v=""/>
    <x v="1"/>
    <x v="0"/>
    <d v="2025-05-05T12:53:36"/>
    <d v="2025-05-06T10:06:21"/>
    <s v="Interno"/>
    <n v="19"/>
    <d v="2025-05-05T00:00:00"/>
    <n v="19"/>
    <d v="2025-05-05T00:00:00"/>
    <n v="0.88385373842902482"/>
    <n v="2025"/>
    <n v="2025"/>
    <s v="2025-05"/>
    <s v="2025-05"/>
  </r>
  <r>
    <s v="ESPC360-18156"/>
    <s v="[transactional_customerrelationship_det] Acumular información mes en curso"/>
    <s v="transactional_customerrelationship_det"/>
    <d v="2025-05-06T10:02:55"/>
    <d v="2025-05-16T09:54:30"/>
    <s v="ANALÍTICO"/>
    <s v="DESARROLLO"/>
    <s v=""/>
    <s v="C360_Team_Integration"/>
    <s v="Highest"/>
    <s v="CERRADO"/>
    <s v=""/>
    <x v="1"/>
    <x v="0"/>
    <d v="2025-05-06T10:02:55"/>
    <d v="2025-05-16T09:54:30"/>
    <s v="Interno"/>
    <n v="19"/>
    <d v="2025-05-05T00:00:00"/>
    <n v="20"/>
    <d v="2025-05-12T00:00:00"/>
    <n v="9.9941516088001663"/>
    <n v="2025"/>
    <n v="2025"/>
    <s v="2025-05"/>
    <s v="2025-05"/>
  </r>
  <r>
    <s v="ESPC360-18174"/>
    <s v="INC054289815 - éxitos renting auto"/>
    <s v=""/>
    <d v="2025-05-07T08:46:39"/>
    <d v="2025-05-30T10:11:22"/>
    <s v="ANALÍTICO"/>
    <s v="ORIGEN"/>
    <s v=""/>
    <s v=""/>
    <s v="Medium"/>
    <s v="CERRADO"/>
    <s v=""/>
    <x v="1"/>
    <x v="1"/>
    <d v="2025-05-07T08:46:39"/>
    <d v="2025-05-30T10:11:22"/>
    <s v="Externo"/>
    <n v="19"/>
    <d v="2025-05-05T00:00:00"/>
    <n v="22"/>
    <d v="2025-05-26T00:00:00"/>
    <n v="23.058828391200223"/>
    <n v="2025"/>
    <n v="2025"/>
    <s v="2025-05"/>
    <s v="2025-05"/>
  </r>
  <r>
    <s v="ESPC360-18188"/>
    <s v="[mov_XXXX_det] Campo operation_amount de la mov_transfers_det a nulo"/>
    <s v=""/>
    <d v="2025-05-08T11:43:03"/>
    <d v="2025-05-27T10:06:43"/>
    <s v="ANALÍTICO"/>
    <s v="DESARROLLO"/>
    <s v=""/>
    <s v=""/>
    <s v="Medium"/>
    <s v="CERRADO"/>
    <s v=""/>
    <x v="1"/>
    <x v="0"/>
    <d v="2025-05-08T11:43:03"/>
    <d v="2025-05-27T10:06:43"/>
    <s v="Interno"/>
    <n v="19"/>
    <d v="2025-05-05T00:00:00"/>
    <n v="22"/>
    <d v="2025-05-26T00:00:00"/>
    <n v="18.933096678243601"/>
    <n v="2025"/>
    <n v="2025"/>
    <s v="2025-05"/>
    <s v="2025-05"/>
  </r>
  <r>
    <s v="ESPC360-18189"/>
    <s v="[mov_accounts_det] - Duplicados en la tabla mov_accounts_det, mismo movimiento insertado en diferentes particiones"/>
    <s v=""/>
    <d v="2025-05-08T11:43:56"/>
    <d v="2025-06-19T11:46:54"/>
    <s v="ANALÍTICO"/>
    <s v="ORIGEN"/>
    <s v=""/>
    <s v=""/>
    <s v="Medium"/>
    <s v="CERRADO"/>
    <s v=""/>
    <x v="1"/>
    <x v="1"/>
    <d v="2025-05-08T11:43:56"/>
    <d v="2025-06-19T11:46:54"/>
    <s v="Externo"/>
    <n v="19"/>
    <d v="2025-05-05T00:00:00"/>
    <n v="25"/>
    <d v="2025-06-16T00:00:00"/>
    <n v="42.002067256944429"/>
    <n v="2025"/>
    <n v="2025"/>
    <s v="2025-05"/>
    <s v="2025-06"/>
  </r>
  <r>
    <s v="ESPC360-18332"/>
    <s v="[mov_debitcards_det] - Faltan registros"/>
    <s v=""/>
    <d v="2025-05-08T16:04:51"/>
    <d v="2025-05-19T09:51:12"/>
    <s v="ANALÍTICO"/>
    <s v="REPROCESO"/>
    <s v=""/>
    <s v=""/>
    <s v="Medium"/>
    <s v="CERRADO"/>
    <s v=""/>
    <x v="1"/>
    <x v="2"/>
    <d v="2025-05-08T16:04:51"/>
    <d v="2025-05-19T09:51:12"/>
    <s v="Interno"/>
    <n v="19"/>
    <d v="2025-05-05T00:00:00"/>
    <n v="21"/>
    <d v="2025-05-19T00:00:00"/>
    <n v="10.740515555560705"/>
    <n v="2025"/>
    <n v="2025"/>
    <s v="2025-05"/>
    <s v="2025-05"/>
  </r>
  <r>
    <s v="ESPC360-18400"/>
    <s v="[mov_datagen_q] - INC054524102 - Formato deltas ITSM alter RITM016283742 y luego reprocesar"/>
    <s v=""/>
    <d v="2025-05-13T15:36:18"/>
    <d v="2025-07-28T09:47:17"/>
    <s v="ANALÍTICO"/>
    <s v="DEFINICIÓN"/>
    <s v="mov_datagen_q"/>
    <s v=""/>
    <s v="Medium"/>
    <s v="CERRADO"/>
    <s v=""/>
    <x v="1"/>
    <x v="3"/>
    <d v="2025-05-13T15:36:18"/>
    <d v="2025-07-28T09:47:17"/>
    <s v="Externo"/>
    <n v="20"/>
    <d v="2025-05-12T00:00:00"/>
    <n v="31"/>
    <d v="2025-07-28T00:00:00"/>
    <n v="75.757623969911947"/>
    <n v="2025"/>
    <n v="2025"/>
    <s v="2025-05"/>
    <s v="2025-07"/>
  </r>
  <r>
    <s v="ESPC360-18649"/>
    <s v="[C360-pos_prices_det]-INC054840447-tipo de interés y tipo de interés de la última cuota pagada"/>
    <s v="pos_prices_det"/>
    <d v="2025-05-22T12:12:01"/>
    <d v="2025-05-28T12:52:09"/>
    <s v="ANALÍTICO"/>
    <s v="DEFINICIÓN"/>
    <s v="pos_prices_det"/>
    <s v="C360_Team_Integration;C360_Team_Mtto"/>
    <s v="Medium"/>
    <s v="CERRADO"/>
    <s v=""/>
    <x v="1"/>
    <x v="3"/>
    <d v="2025-05-22T12:12:01"/>
    <d v="2025-05-28T12:52:09"/>
    <s v="Externo"/>
    <n v="21"/>
    <d v="2025-05-19T00:00:00"/>
    <n v="22"/>
    <d v="2025-05-26T00:00:00"/>
    <n v="6.0278789467556635"/>
    <n v="2025"/>
    <n v="2025"/>
    <s v="2025-05"/>
    <s v="2025-05"/>
  </r>
  <r>
    <s v="ESPC360-18758"/>
    <s v="[C360-oraculo_daten_rgi]-INC054880018-BUG variables oraculo_daten_rgi"/>
    <s v="oraculo_features_rgi"/>
    <d v="2025-05-23T13:44:26"/>
    <d v="2025-06-20T11:42:26"/>
    <s v="ANALÍTICO"/>
    <s v="DEFINICIÓN"/>
    <s v=""/>
    <s v="C360_Analitico_Team_2;C360_Team_Integration;C360_Team_Mtto"/>
    <s v="Medium"/>
    <s v="CERRADO"/>
    <s v="C360_Analitico_Sprint 54"/>
    <x v="0"/>
    <x v="3"/>
    <d v="2025-05-23T13:44:26"/>
    <d v="2025-06-20T11:42:26"/>
    <s v="Externo"/>
    <n v="21"/>
    <d v="2025-05-19T00:00:00"/>
    <n v="25"/>
    <d v="2025-06-16T00:00:00"/>
    <n v="27.915277962965774"/>
    <n v="2025"/>
    <n v="2025"/>
    <s v="2025-05"/>
    <s v="2025-06"/>
  </r>
  <r>
    <s v="ESPC360-18788"/>
    <s v="[C360-Agenda_financiera]-INC054947447-NO LE APARECE INFORMACIÓN"/>
    <s v="agenda financiera"/>
    <d v="2025-05-28T09:19:36"/>
    <d v="2025-05-30T10:48:45"/>
    <s v="ANALÍTICO"/>
    <s v="DEFINICIÓN"/>
    <s v=""/>
    <s v="C360_Team_Integration;C360_Team_Mtto"/>
    <s v="Medium"/>
    <s v="CERRADO"/>
    <s v=""/>
    <x v="0"/>
    <x v="3"/>
    <d v="2025-05-28T09:19:36"/>
    <d v="2025-05-30T10:48:45"/>
    <s v="Externo"/>
    <n v="22"/>
    <d v="2025-05-26T00:00:00"/>
    <n v="22"/>
    <d v="2025-05-26T00:00:00"/>
    <n v="2.0619087500017486"/>
    <n v="2025"/>
    <n v="2025"/>
    <s v="2025-05"/>
    <s v="2025-05"/>
  </r>
  <r>
    <s v="ESPC360-18789"/>
    <s v="[C360-]-INC054974602-Relanzado proceso"/>
    <s v="agenda financiera"/>
    <d v="2025-05-28T10:06:22"/>
    <d v="2025-05-28T10:07:38"/>
    <s v="ANALÍTICO"/>
    <s v="REPROCESO"/>
    <s v=""/>
    <s v="C360_Team_Integration;C360_Team_Mtto"/>
    <s v="Medium"/>
    <s v="CERRADO"/>
    <s v=""/>
    <x v="0"/>
    <x v="2"/>
    <d v="2025-05-28T10:06:22"/>
    <d v="2025-05-28T10:07:38"/>
    <s v="Interno"/>
    <n v="22"/>
    <d v="2025-05-26T00:00:00"/>
    <n v="22"/>
    <d v="2025-05-26T00:00:00"/>
    <n v="8.8576388952787966E-4"/>
    <n v="2025"/>
    <n v="2025"/>
    <s v="2025-05"/>
    <s v="2025-05"/>
  </r>
  <r>
    <s v="ESPC360-18794"/>
    <s v="[C360-pos_prices_det]-identificador fijo y variable e intereses de capital"/>
    <s v="pos_prices_det"/>
    <d v="2025-05-28T10:56:12"/>
    <d v="9999-12-31T10:56:12"/>
    <s v="ANALÍTICO"/>
    <s v="DEFINICIÓN"/>
    <s v="pos_prices_det"/>
    <s v="C360_Team_Integration"/>
    <s v="Medium"/>
    <s v="Tested CERT / TEST"/>
    <s v=""/>
    <x v="1"/>
    <x v="3"/>
    <d v="2025-05-28T10:56:12"/>
    <d v="9999-12-31T10:56:12"/>
    <s v="Externo"/>
    <n v="22"/>
    <d v="2025-05-26T00:00:00"/>
    <n v="53"/>
    <n v="2958468"/>
    <n v="2912660"/>
    <n v="2025"/>
    <n v="9999"/>
    <s v="2025-05"/>
    <e v="#VALUE!"/>
  </r>
  <r>
    <s v="ESPC360-18798"/>
    <s v="[C360-PCDP360112D]-INC055019982-Relanzar proceso"/>
    <s v="pos_prices_det"/>
    <d v="2025-05-28T12:59:28"/>
    <d v="2025-05-28T13:02:57"/>
    <s v="ANALÍTICO"/>
    <s v="REPROCESO"/>
    <s v=""/>
    <s v="C360_Team_Integration;C360_Team_Mtto"/>
    <s v="Medium"/>
    <s v="CERRADO"/>
    <s v=""/>
    <x v="1"/>
    <x v="2"/>
    <d v="2025-05-28T12:59:28"/>
    <d v="2025-05-28T13:02:57"/>
    <s v="Interno"/>
    <n v="22"/>
    <d v="2025-05-26T00:00:00"/>
    <n v="22"/>
    <d v="2025-05-26T00:00:00"/>
    <n v="2.4270717622130178E-3"/>
    <n v="2025"/>
    <n v="2025"/>
    <s v="2025-05"/>
    <s v="2025-05"/>
  </r>
  <r>
    <s v="ESPC360-18811"/>
    <s v="[santander_go] - Bug sobre los indicadores de biometría y geolocalización"/>
    <s v="Santanger GO"/>
    <d v="2025-05-29T09:05:59"/>
    <d v="2025-05-29T13:46:30"/>
    <s v="ANALÍTICO"/>
    <s v="FUNCIONAL"/>
    <s v=""/>
    <s v="C360_Team_Integration;C360_Team_Mtto"/>
    <s v="Medium"/>
    <s v="CERRADO"/>
    <s v=""/>
    <x v="0"/>
    <x v="4"/>
    <d v="2025-05-29T09:05:59"/>
    <d v="2025-05-29T13:46:30"/>
    <s v="Interno"/>
    <n v="22"/>
    <d v="2025-05-26T00:00:00"/>
    <n v="22"/>
    <d v="2025-05-26T00:00:00"/>
    <n v="0.19481290508701932"/>
    <n v="2025"/>
    <n v="2025"/>
    <s v="2025-05"/>
    <s v="2025-05"/>
  </r>
  <r>
    <s v="ESPC360-18815"/>
    <s v="[santander_go] - Campos relacionados con empresas"/>
    <s v=""/>
    <d v="2025-05-29T11:47:20"/>
    <d v="2025-07-04T08:41:53"/>
    <s v="ANALÍTICO"/>
    <s v="FUNCIONAL"/>
    <s v=""/>
    <s v=""/>
    <s v="Medium"/>
    <s v="CERRADO"/>
    <s v=""/>
    <x v="0"/>
    <x v="4"/>
    <d v="2025-05-29T11:47:20"/>
    <d v="2025-07-04T08:41:53"/>
    <s v="Interno"/>
    <n v="22"/>
    <d v="2025-05-26T00:00:00"/>
    <n v="27"/>
    <d v="2025-06-30T00:00:00"/>
    <n v="35.871212141202705"/>
    <n v="2025"/>
    <n v="2025"/>
    <s v="2025-05"/>
    <s v="2025-06"/>
  </r>
  <r>
    <s v="ESPC360-18816"/>
    <s v="[C360-PCDPADB049D]-INC055057741- Relanzado de proceso"/>
    <s v="pos_prices_det"/>
    <d v="2025-05-29T13:01:19"/>
    <d v="2025-05-30T08:50:10"/>
    <s v="ANALÍTICO"/>
    <s v="REPROCESO"/>
    <s v=""/>
    <s v="C360_Team_Integration;C360_Team_Mtto"/>
    <s v="Medium"/>
    <s v="CERRADO"/>
    <s v=""/>
    <x v="1"/>
    <x v="2"/>
    <d v="2025-05-29T13:01:19"/>
    <d v="2025-05-30T08:50:10"/>
    <s v="Interno"/>
    <n v="22"/>
    <d v="2025-05-26T00:00:00"/>
    <n v="22"/>
    <d v="2025-05-26T00:00:00"/>
    <n v="0.82559006944211433"/>
    <n v="2025"/>
    <n v="2025"/>
    <s v="2025-05"/>
    <s v="2025-05"/>
  </r>
  <r>
    <s v="ESPC360-18818"/>
    <s v="[C360-Customer360]-Gestores sin numero empleado"/>
    <s v="customer_360"/>
    <d v="2025-05-29T17:00:56"/>
    <d v="2025-07-11T10:03:43"/>
    <s v="ANALÍTICO"/>
    <s v="ORIGEN"/>
    <s v="customer360"/>
    <s v="C360_Team_Integration;C360_Team_Mtto"/>
    <s v="Medium"/>
    <s v="CANCELADO"/>
    <s v=""/>
    <x v="0"/>
    <x v="1"/>
    <d v="2025-05-29T17:00:56"/>
    <d v="2025-07-11T10:03:43"/>
    <s v="Externo"/>
    <n v="22"/>
    <d v="2025-05-26T00:00:00"/>
    <n v="28"/>
    <d v="2025-07-07T00:00:00"/>
    <n v="42.710272511569201"/>
    <n v="2025"/>
    <n v="2025"/>
    <s v="2025-05"/>
    <s v="2025-07"/>
  </r>
  <r>
    <s v="ESPC360-18942"/>
    <s v="[santander_go] - Campo firma electrónica"/>
    <s v=""/>
    <d v="2025-05-30T13:06:08"/>
    <d v="2025-06-03T15:26:02"/>
    <s v="ANALÍTICO"/>
    <s v="FUNCIONAL"/>
    <s v=""/>
    <s v=""/>
    <s v="Medium"/>
    <s v="CERRADO"/>
    <s v=""/>
    <x v="0"/>
    <x v="4"/>
    <d v="2025-05-30T13:06:08"/>
    <d v="2025-06-03T15:26:02"/>
    <s v="Interno"/>
    <n v="22"/>
    <d v="2025-05-26T00:00:00"/>
    <n v="23"/>
    <d v="2025-06-02T00:00:00"/>
    <n v="4.097150416666409"/>
    <n v="2025"/>
    <n v="2025"/>
    <s v="2025-05"/>
    <s v="2025-06"/>
  </r>
  <r>
    <s v="ESPC360-18948"/>
    <s v="[C360-oraculo_daten_rgi]-INC055103162-BUG variables oraculo_daten_rgi"/>
    <s v=""/>
    <d v="2025-05-30T13:48:55"/>
    <d v="2025-06-20T11:43:12"/>
    <s v="ANALÍTICO"/>
    <s v="DEFINICIÓN"/>
    <s v=""/>
    <s v="C360_Analitico_Team_2;C360_Team_Integration"/>
    <s v="Medium"/>
    <s v="CERRADO"/>
    <s v="C360_Analitico_Sprint 54"/>
    <x v="0"/>
    <x v="3"/>
    <d v="2025-05-30T13:48:55"/>
    <d v="2025-06-20T11:43:12"/>
    <s v="Externo"/>
    <n v="22"/>
    <d v="2025-05-26T00:00:00"/>
    <n v="25"/>
    <d v="2025-06-16T00:00:00"/>
    <n v="20.912695613427786"/>
    <n v="2025"/>
    <n v="2025"/>
    <s v="2025-05"/>
    <s v="2025-06"/>
  </r>
  <r>
    <s v="ESPC360-18951"/>
    <s v="[C360-channelactivity_digitalnavigation_det]-INC055104589-discrepancia de datos entre cloudera y ADB."/>
    <s v="channelactivity_digitalnavigation_det"/>
    <d v="2025-06-02T08:58:01"/>
    <d v="2025-06-12T09:23:18"/>
    <s v="ANALÍTICO"/>
    <s v="DEFINICIÓN"/>
    <s v="channelactivity_digitalnavigation_det"/>
    <s v="C360_Team_Integration;C360_Team_Mtto"/>
    <s v="Medium"/>
    <s v="CERRADO"/>
    <s v=""/>
    <x v="0"/>
    <x v="3"/>
    <d v="2025-06-02T08:58:01"/>
    <d v="2025-06-12T09:23:18"/>
    <s v="Externo"/>
    <n v="23"/>
    <d v="2025-06-02T00:00:00"/>
    <n v="24"/>
    <d v="2025-06-09T00:00:00"/>
    <n v="10.017551909724716"/>
    <n v="2025"/>
    <n v="2025"/>
    <s v="2025-06"/>
    <s v="2025-06"/>
  </r>
  <r>
    <s v="ESPC360-18962"/>
    <s v="[santander_go] - Último acceso app"/>
    <s v="Santanger GO"/>
    <d v="2025-06-02T15:53:01"/>
    <d v="2025-06-03T15:26:02"/>
    <s v="ANALÍTICO"/>
    <s v="ORIGEN"/>
    <s v=""/>
    <s v="C360_Team_Integration;C360_Team_Mtto"/>
    <s v="Medium"/>
    <s v="CERRADO"/>
    <s v=""/>
    <x v="0"/>
    <x v="1"/>
    <d v="2025-06-02T15:53:01"/>
    <d v="2025-06-03T15:26:02"/>
    <s v="Externo"/>
    <n v="23"/>
    <d v="2025-06-02T00:00:00"/>
    <n v="23"/>
    <d v="2025-06-02T00:00:00"/>
    <n v="0.98125313656782964"/>
    <n v="2025"/>
    <n v="2025"/>
    <s v="2025-06"/>
    <s v="2025-06"/>
  </r>
  <r>
    <s v="ESPC360-19124"/>
    <s v="[C360-pos_prices_det] Silverizacion pos_prices_det"/>
    <s v=""/>
    <d v="2025-06-09T11:33:26"/>
    <d v="2025-07-30T10:13:58"/>
    <s v="ANALÍTICO"/>
    <s v="DESARROLLO"/>
    <s v=""/>
    <s v=""/>
    <s v="Medium"/>
    <s v="CERRADO"/>
    <s v=""/>
    <x v="0"/>
    <x v="0"/>
    <d v="2025-06-09T11:33:26"/>
    <d v="2025-07-30T10:13:58"/>
    <s v="Interno"/>
    <n v="24"/>
    <d v="2025-06-09T00:00:00"/>
    <n v="31"/>
    <d v="2025-07-28T00:00:00"/>
    <n v="50.94481307870592"/>
    <n v="2025"/>
    <n v="2025"/>
    <s v="2025-06"/>
    <s v="2025-07"/>
  </r>
  <r>
    <s v="ESPC360-19132"/>
    <s v="[santander_go] - Campo BIZUM/geolocalización"/>
    <s v=""/>
    <d v="2025-06-09T16:51:28"/>
    <d v="2025-06-17T10:04:26"/>
    <s v="ANALÍTICO"/>
    <s v="FUNCIONAL"/>
    <s v=""/>
    <s v=""/>
    <s v="Medium"/>
    <s v="CERRADO"/>
    <s v=""/>
    <x v="0"/>
    <x v="4"/>
    <d v="2025-06-09T16:51:28"/>
    <d v="2025-06-17T10:04:26"/>
    <s v="Interno"/>
    <n v="24"/>
    <d v="2025-06-09T00:00:00"/>
    <n v="25"/>
    <d v="2025-06-16T00:00:00"/>
    <n v="7.7173420486069517"/>
    <n v="2025"/>
    <n v="2025"/>
    <s v="2025-06"/>
    <s v="2025-06"/>
  </r>
  <r>
    <s v="ESPC360-19136"/>
    <s v="[C360-mkt_contact]- Duplicados detectados en los botes de SMS,PUSH,EMAIL"/>
    <s v="mkt_contacts_det"/>
    <d v="2025-06-10T09:18:23"/>
    <d v="2025-06-11T13:11:53"/>
    <s v="ANALÍTICO"/>
    <s v="DESARROLLO"/>
    <s v=""/>
    <s v="C360_Team_Integration;C360_Team_Mtto"/>
    <s v="Medium"/>
    <s v="CERRADO"/>
    <s v=""/>
    <x v="0"/>
    <x v="0"/>
    <d v="2025-06-10T09:18:23"/>
    <d v="2025-06-11T13:11:53"/>
    <s v="Interno"/>
    <n v="24"/>
    <d v="2025-06-09T00:00:00"/>
    <n v="24"/>
    <d v="2025-06-09T00:00:00"/>
    <n v="1.1621597685152665"/>
    <n v="2025"/>
    <n v="2025"/>
    <s v="2025-06"/>
    <s v="2025-06"/>
  </r>
  <r>
    <s v="ESPC360-19137"/>
    <s v="[PSASCI041D] - Relanzado de proceso"/>
    <s v=""/>
    <d v="2025-06-10T09:45:17"/>
    <d v="2025-06-10T09:46:13"/>
    <s v="ANALÍTICO"/>
    <s v="REPROCESO"/>
    <s v=""/>
    <s v=""/>
    <s v="Medium"/>
    <s v="CERRADO"/>
    <s v=""/>
    <x v="0"/>
    <x v="2"/>
    <d v="2025-06-10T09:45:17"/>
    <d v="2025-06-10T09:46:13"/>
    <s v="Interno"/>
    <n v="24"/>
    <d v="2025-06-09T00:00:00"/>
    <n v="24"/>
    <d v="2025-06-09T00:00:00"/>
    <n v="6.5137731144204736E-4"/>
    <n v="2025"/>
    <n v="2025"/>
    <s v="2025-06"/>
    <s v="2025-06"/>
  </r>
  <r>
    <s v="ESPC360-19143"/>
    <s v="[C360-mkt_success_det] mismo código de éxito para varias descripciones"/>
    <s v="mkt_success_det"/>
    <d v="2025-06-10T16:00:41"/>
    <d v="2025-06-16T08:57:41"/>
    <s v="ANALÍTICO"/>
    <s v="ORIGEN"/>
    <s v="mkt_success_det"/>
    <s v="C360_Team_Integration;C360_Team_Mtto"/>
    <s v="Medium"/>
    <s v="CERRADO"/>
    <s v=""/>
    <x v="0"/>
    <x v="1"/>
    <d v="2025-06-10T16:00:41"/>
    <d v="2025-06-16T08:57:41"/>
    <s v="Externo"/>
    <n v="24"/>
    <d v="2025-06-09T00:00:00"/>
    <n v="25"/>
    <d v="2025-06-16T00:00:00"/>
    <n v="5.706250555558654"/>
    <n v="2025"/>
    <n v="2025"/>
    <s v="2025-06"/>
    <s v="2025-06"/>
  </r>
  <r>
    <s v="ESPC360-19155"/>
    <s v="[C360-oraculo_daten_rgi]-INC054880018-BUG variables  RADAR Carterizados"/>
    <s v=""/>
    <d v="2025-06-11T15:25:57"/>
    <d v="2025-06-20T11:43:15"/>
    <s v="ANALÍTICO"/>
    <s v="FUNCIONAL"/>
    <s v=""/>
    <s v="C360_Analitico_Team_2;C360_Team_Integration;C360_Team_Mtto"/>
    <s v="Medium"/>
    <s v="CERRADO"/>
    <s v="C360_Analitico_Sprint 54"/>
    <x v="0"/>
    <x v="4"/>
    <d v="2025-06-11T15:25:57"/>
    <d v="2025-06-20T11:43:15"/>
    <s v="Interno"/>
    <n v="24"/>
    <d v="2025-06-09T00:00:00"/>
    <n v="25"/>
    <d v="2025-06-16T00:00:00"/>
    <n v="8.845343680557562"/>
    <n v="2025"/>
    <n v="2025"/>
    <s v="2025-06"/>
    <s v="2025-06"/>
  </r>
  <r>
    <s v="ESPC360-19305"/>
    <s v="[C360-fioc_evidencias_cliente]-Discrepancia en volumetría de datos"/>
    <s v=""/>
    <d v="2025-06-18T15:50:53"/>
    <d v="2025-07-10T10:36:28"/>
    <s v="ANALÍTICO"/>
    <s v="SOPORTE"/>
    <s v=""/>
    <s v="C360_Team_Integration;C360_Team_Mtto"/>
    <s v="Medium"/>
    <s v="CANCELADO"/>
    <s v=""/>
    <x v="0"/>
    <x v="5"/>
    <d v="2025-06-18T15:50:53"/>
    <d v="2025-07-10T10:36:28"/>
    <s v="Externo"/>
    <n v="25"/>
    <d v="2025-06-16T00:00:00"/>
    <n v="28"/>
    <d v="2025-07-07T00:00:00"/>
    <n v="21.781655046295782"/>
    <n v="2025"/>
    <n v="2025"/>
    <s v="2025-06"/>
    <s v="2025-07"/>
  </r>
  <r>
    <s v="ESPC360-19358"/>
    <s v="[C360-channeldigitalnavigation_det]-INC055813856-  problemas con los datos de la tabla"/>
    <s v="channelactivity_digitalnavigation_det"/>
    <d v="2025-06-19T14:07:01"/>
    <d v="2025-06-20T14:29:24"/>
    <s v="ANALÍTICO"/>
    <s v="DEFINICIÓN"/>
    <s v=""/>
    <s v="C360_Team_Integration;C360_Team_Mtto"/>
    <s v="Medium"/>
    <s v="CERRADO"/>
    <s v=""/>
    <x v="0"/>
    <x v="3"/>
    <d v="2025-06-19T14:07:01"/>
    <d v="2025-06-20T14:29:24"/>
    <s v="Externo"/>
    <n v="25"/>
    <d v="2025-06-16T00:00:00"/>
    <n v="25"/>
    <d v="2025-06-16T00:00:00"/>
    <n v="1.0155427314821281"/>
    <n v="2025"/>
    <n v="2025"/>
    <s v="2025-06"/>
    <s v="2025-06"/>
  </r>
  <r>
    <s v="ESPC360-19367"/>
    <s v="[C360-smartdata_new_funds]-INC055844398- &quot;EUR&quot; of the type &quot;string&quot; cannot be cast to &quot;BIGINT&quot;."/>
    <s v="smartdata_new_funds"/>
    <d v="2025-06-20T13:31:27"/>
    <d v="2025-06-23T10:25:08"/>
    <s v="ANALÍTICO"/>
    <s v="FUNCIONAL"/>
    <s v=""/>
    <s v="C360_Team_Integration;C360_Team_Mtto"/>
    <s v="Medium"/>
    <s v="CERRADO"/>
    <s v=""/>
    <x v="0"/>
    <x v="4"/>
    <d v="2025-06-20T13:31:27"/>
    <d v="2025-06-23T10:25:08"/>
    <s v="Interno"/>
    <n v="25"/>
    <d v="2025-06-16T00:00:00"/>
    <n v="26"/>
    <d v="2025-06-23T00:00:00"/>
    <n v="2.8706157638880541"/>
    <n v="2025"/>
    <n v="2025"/>
    <s v="2025-06"/>
    <s v="2025-06"/>
  </r>
  <r>
    <s v="ESPC360-19368"/>
    <s v="[C360-datagen]-INC055845490-Particiones y errores en las métricas"/>
    <s v=""/>
    <d v="2025-06-20T13:43:00"/>
    <d v="2025-06-24T16:45:37"/>
    <s v="ANALÍTICO"/>
    <s v="REPROCESO"/>
    <s v=""/>
    <s v="C360_Team_Integration;C360_Team_Mtto"/>
    <s v="Medium"/>
    <s v="CERRADO"/>
    <s v=""/>
    <x v="0"/>
    <x v="2"/>
    <d v="2025-06-20T13:43:00"/>
    <d v="2025-06-24T16:45:37"/>
    <s v="Interno"/>
    <n v="25"/>
    <d v="2025-06-16T00:00:00"/>
    <n v="26"/>
    <d v="2025-06-23T00:00:00"/>
    <n v="4.1268114699123544"/>
    <n v="2025"/>
    <n v="2025"/>
    <s v="2025-06"/>
    <s v="2025-06"/>
  </r>
  <r>
    <s v="ESPC360-19375"/>
    <s v="[C360-agenda financiera] - INC055910146 - aviso en agenda financiera de transferencias que anteriormente no ha recibido."/>
    <s v=""/>
    <d v="2025-06-23T11:10:01"/>
    <d v="2025-06-24T08:38:32"/>
    <s v="ANALÍTICO"/>
    <s v="DEFINICIÓN"/>
    <s v=""/>
    <s v=""/>
    <s v="Medium"/>
    <s v="CERRADO"/>
    <s v=""/>
    <x v="0"/>
    <x v="3"/>
    <d v="2025-06-23T11:10:01"/>
    <d v="2025-06-24T08:38:32"/>
    <s v="Externo"/>
    <n v="26"/>
    <d v="2025-06-23T00:00:00"/>
    <n v="26"/>
    <d v="2025-06-23T00:00:00"/>
    <n v="0.8947953124952619"/>
    <n v="2025"/>
    <n v="2025"/>
    <s v="2025-06"/>
    <s v="2025-06"/>
  </r>
  <r>
    <s v="ESPC360-19376"/>
    <s v="[C360-oraculo_rgi] - INC055913800 - Incidencia en datagenes para RGI"/>
    <s v="oraculo_features_rgi"/>
    <d v="2025-06-23T11:13:12"/>
    <d v="2025-07-10T10:38:08"/>
    <s v="ANALÍTICO"/>
    <s v="DEFINICIÓN"/>
    <s v=""/>
    <s v="C360_Team_Integration;C360_Team_Mtto"/>
    <s v="Medium"/>
    <s v="CERRADO"/>
    <s v=""/>
    <x v="0"/>
    <x v="3"/>
    <d v="2025-06-23T11:13:12"/>
    <d v="2025-07-10T10:38:08"/>
    <s v="Externo"/>
    <n v="26"/>
    <d v="2025-06-23T00:00:00"/>
    <n v="28"/>
    <d v="2025-07-07T00:00:00"/>
    <n v="16.975644062498759"/>
    <n v="2025"/>
    <n v="2025"/>
    <s v="2025-06"/>
    <s v="2025-07"/>
  </r>
  <r>
    <s v="ESPC360-19394"/>
    <s v="[C360-customerrelationship_enterprise_datagen]-INC056002843-Incidencias en campos de redes"/>
    <s v="customerrelationship_enterprise_datagen"/>
    <d v="2025-06-25T13:14:33"/>
    <d v="2025-07-11T09:25:51"/>
    <s v="ANALÍTICO"/>
    <s v="DEFINICIÓN"/>
    <s v=""/>
    <s v="C360_Team_Integration;C360_Team_Mtto"/>
    <s v="Medium"/>
    <s v="CERRADO"/>
    <s v=""/>
    <x v="0"/>
    <x v="3"/>
    <d v="2025-06-25T13:14:33"/>
    <d v="2025-07-11T09:25:51"/>
    <s v="Externo"/>
    <n v="26"/>
    <d v="2025-06-23T00:00:00"/>
    <n v="28"/>
    <d v="2025-07-07T00:00:00"/>
    <n v="15.841176111112873"/>
    <n v="2025"/>
    <n v="2025"/>
    <s v="2025-06"/>
    <s v="2025-07"/>
  </r>
  <r>
    <s v="ESPC360-19500"/>
    <s v="[C360-mov_transfer_det]-INC056151665-Misma query en origen y destino proporcionan volúmenes diferentes:"/>
    <s v="mov_transfers_det"/>
    <d v="2025-06-30T10:27:39"/>
    <d v="2025-07-01T14:17:39"/>
    <s v="ANALÍTICO"/>
    <s v="ORIGEN"/>
    <s v=""/>
    <s v="C360_Team_Integration;C360_Team_Mtto"/>
    <s v="Medium"/>
    <s v="CERRADO"/>
    <s v=""/>
    <x v="0"/>
    <x v="1"/>
    <d v="2025-06-30T10:27:39"/>
    <d v="2025-07-01T14:17:39"/>
    <s v="Externo"/>
    <n v="27"/>
    <d v="2025-06-30T00:00:00"/>
    <n v="27"/>
    <d v="2025-06-30T00:00:00"/>
    <n v="1.1597202083357843"/>
    <n v="2025"/>
    <n v="2025"/>
    <s v="2025-06"/>
    <s v="2025-06"/>
  </r>
  <r>
    <s v="ESPC360-19525"/>
    <s v="[C360-datagenes]-INC056151367-Duplicados en Datagenes"/>
    <s v="contacts_datagen_d"/>
    <d v="2025-06-30T14:47:17"/>
    <d v="2025-07-14T11:10:17"/>
    <s v="ANALÍTICO"/>
    <s v="DEFINICIÓN"/>
    <s v=""/>
    <s v="C360_Team_Integration;C360_Team_Mtto"/>
    <s v="Medium"/>
    <s v="CERRADO"/>
    <s v=""/>
    <x v="0"/>
    <x v="3"/>
    <d v="2025-06-30T14:47:17"/>
    <d v="2025-07-14T11:10:17"/>
    <s v="Externo"/>
    <n v="27"/>
    <d v="2025-06-30T00:00:00"/>
    <n v="29"/>
    <d v="2025-07-14T00:00:00"/>
    <n v="13.849305972224101"/>
    <n v="2025"/>
    <n v="2025"/>
    <s v="2025-06"/>
    <s v="2025-07"/>
  </r>
  <r>
    <s v="ESPC360-19534"/>
    <s v="[C360-contracts_det]-El campo initial_amount vacío"/>
    <s v=""/>
    <d v="2025-07-01T09:09:10"/>
    <d v="2025-07-30T12:17:15"/>
    <s v="ANALÍTICO"/>
    <s v="SOPORTE"/>
    <s v=""/>
    <s v=""/>
    <s v="Medium"/>
    <s v="CERRADO"/>
    <s v=""/>
    <x v="0"/>
    <x v="5"/>
    <d v="2025-07-01T09:09:10"/>
    <d v="2025-07-30T12:17:15"/>
    <s v="Externo"/>
    <n v="27"/>
    <d v="2025-06-30T00:00:00"/>
    <n v="31"/>
    <d v="2025-07-28T00:00:00"/>
    <n v="29.130604062498605"/>
    <n v="2025"/>
    <n v="2025"/>
    <s v="2025-06"/>
    <s v="2025-07"/>
  </r>
  <r>
    <s v="ESPC360-19557"/>
    <s v="risk_datagen_q sin version silver"/>
    <s v=""/>
    <d v="2025-07-03T11:18:23"/>
    <d v="2025-07-16T10:04:17"/>
    <s v="ANALÍTICO"/>
    <s v="SOPORTE"/>
    <s v=""/>
    <s v=""/>
    <s v="Medium"/>
    <s v="CERRADO"/>
    <s v=""/>
    <x v="0"/>
    <x v="5"/>
    <d v="2025-07-03T11:18:23"/>
    <d v="2025-07-16T10:04:17"/>
    <s v="Externo"/>
    <n v="27"/>
    <d v="2025-06-30T00:00:00"/>
    <n v="29"/>
    <d v="2025-07-14T00:00:00"/>
    <n v="12.94854424767982"/>
    <n v="2025"/>
    <n v="2025"/>
    <s v="2025-06"/>
    <s v="2025-07"/>
  </r>
  <r>
    <s v="ESPC360-19558"/>
    <s v="RE: Tablón de información de Grupos de Empresas - orígenes del Lago"/>
    <s v=""/>
    <d v="2025-07-03T11:21:16"/>
    <d v="2025-08-19T10:16:22"/>
    <s v="ANALÍTICO"/>
    <s v="DEFINICIÓN"/>
    <s v=""/>
    <s v=""/>
    <s v="Medium"/>
    <s v="CERRADO"/>
    <s v=""/>
    <x v="1"/>
    <x v="3"/>
    <d v="2025-07-03T11:21:16"/>
    <d v="2025-08-19T10:16:22"/>
    <s v="Externo"/>
    <n v="27"/>
    <d v="2025-06-30T00:00:00"/>
    <n v="34"/>
    <d v="2025-08-18T00:00:00"/>
    <n v="46.954928090279282"/>
    <n v="2025"/>
    <n v="2025"/>
    <s v="2025-06"/>
    <s v="2025-08"/>
  </r>
  <r>
    <s v="ESPC360-19765"/>
    <s v="[C360-datagen_sociodemo]-INC056479525-Tenemos nulo en la variable del employment type del datagen_sociodemo"/>
    <s v="datagen_sociodemo"/>
    <d v="2025-07-11T09:55:26"/>
    <d v="2025-07-15T13:02:21"/>
    <s v="ANALÍTICO"/>
    <s v="ORIGEN"/>
    <s v="datagen_sociodemo"/>
    <s v="C360_Team_Integration;C360_Team_Mtto"/>
    <s v="Medium"/>
    <s v="CERRADO"/>
    <s v=""/>
    <x v="0"/>
    <x v="1"/>
    <d v="2025-07-11T09:55:26"/>
    <d v="2025-07-15T13:02:21"/>
    <s v="Externo"/>
    <n v="28"/>
    <d v="2025-07-07T00:00:00"/>
    <n v="29"/>
    <d v="2025-07-14T00:00:00"/>
    <n v="4.1298084953668877"/>
    <n v="2025"/>
    <n v="2025"/>
    <s v="2025-07"/>
    <s v="2025-07"/>
  </r>
  <r>
    <s v="ESPC360-19825"/>
    <s v="[C360-mov_bills_det]-INC056660081-No se esta pegando la variable CNAE de categorizacion en la tabla mov_bills_det."/>
    <s v="mov_bills_det"/>
    <d v="2025-07-16T13:22:34"/>
    <d v="2025-07-25T10:16:50"/>
    <s v="ANALÍTICO"/>
    <s v="DESARROLLO"/>
    <s v=""/>
    <s v="C360_Team_Mtto"/>
    <s v="Medium"/>
    <s v="CERRADO"/>
    <s v=""/>
    <x v="0"/>
    <x v="0"/>
    <d v="2025-07-16T13:22:34"/>
    <d v="2025-07-25T10:16:50"/>
    <s v="Interno"/>
    <n v="29"/>
    <d v="2025-07-14T00:00:00"/>
    <n v="30"/>
    <d v="2025-07-21T00:00:00"/>
    <n v="8.8710184027804644"/>
    <n v="2025"/>
    <n v="2025"/>
    <s v="2025-07"/>
    <s v="2025-07"/>
  </r>
  <r>
    <s v="ESPC360-19892"/>
    <s v="[C360-agenda financiera]-INC056691147-APP Y NHB AGENDA FINANCIERA / NO MUESTRA ADUEDOS SANTANDER"/>
    <s v="agenda financiera"/>
    <d v="2025-07-18T08:54:21"/>
    <d v="2025-08-22T11:12:26"/>
    <s v="ANALÍTICO"/>
    <s v="DEFINICIÓN"/>
    <s v="Agenda Financiera"/>
    <s v="C360_Team_Integration;C360_Team_Mtto"/>
    <s v="Medium"/>
    <s v="CERRADO"/>
    <s v=""/>
    <x v="0"/>
    <x v="3"/>
    <d v="2025-07-18T08:54:21"/>
    <d v="2025-08-22T11:12:26"/>
    <s v="Externo"/>
    <n v="29"/>
    <d v="2025-07-14T00:00:00"/>
    <n v="34"/>
    <d v="2025-08-18T00:00:00"/>
    <n v="35.095893124998838"/>
    <n v="2025"/>
    <n v="2025"/>
    <s v="2025-07"/>
    <s v="2025-08"/>
  </r>
  <r>
    <s v="ESPC360-19924"/>
    <s v="[C360-pos_prices_det]-alerta crítica-Duplicados por PK"/>
    <s v="pos_prices_det"/>
    <d v="2025-07-22T09:09:55"/>
    <d v="9999-12-31T10:56:12"/>
    <s v="ANALÍTICO"/>
    <s v="FUNCIONAL"/>
    <s v=""/>
    <s v="C360_Team_Integration;C360_Team_Mtto"/>
    <s v="Medium"/>
    <s v="Tested CERT / TEST"/>
    <s v=""/>
    <x v="0"/>
    <x v="4"/>
    <d v="2025-07-22T09:09:55"/>
    <d v="9999-12-31T10:56:12"/>
    <s v="Interno"/>
    <n v="30"/>
    <d v="2025-07-21T00:00:00"/>
    <n v="53"/>
    <n v="2958468"/>
    <n v="2912605.0738075115"/>
    <n v="2025"/>
    <n v="9999"/>
    <s v="2025-07"/>
    <e v="#VALUE!"/>
  </r>
  <r>
    <s v="ESPC360-19925"/>
    <s v="[C360-productions_det]-alerta crítica-Duplicados por PK"/>
    <s v="productions_det"/>
    <d v="2025-07-22T09:11:41"/>
    <d v="2025-08-05T14:05:28"/>
    <s v="ANALÍTICO"/>
    <s v="DEFINICIÓN"/>
    <s v=""/>
    <s v="C360_Team_Integration;C360_Team_Mtto"/>
    <s v="Medium"/>
    <s v="CERRADO"/>
    <s v=""/>
    <x v="0"/>
    <x v="3"/>
    <d v="2025-07-22T09:11:41"/>
    <d v="2025-08-05T14:05:28"/>
    <s v="Externo"/>
    <n v="30"/>
    <d v="2025-07-21T00:00:00"/>
    <n v="32"/>
    <d v="2025-08-04T00:00:00"/>
    <n v="14.204007384258148"/>
    <n v="2025"/>
    <n v="2025"/>
    <s v="2025-07"/>
    <s v="2025-08"/>
  </r>
  <r>
    <s v="ESPC360-19926"/>
    <s v="[C360-mkt_contacts_det]-alerta crítica-Duplicados por PK"/>
    <s v="mkt_contacts_det"/>
    <d v="2025-07-22T09:13:29"/>
    <d v="2025-07-24T12:57:30"/>
    <s v="ANALÍTICO"/>
    <s v="DESARROLLO"/>
    <s v=""/>
    <s v="C360_Team_Integration;C360_Team_Mtto"/>
    <s v="Medium"/>
    <s v="CERRADO"/>
    <s v=""/>
    <x v="1"/>
    <x v="0"/>
    <d v="2025-07-22T09:13:29"/>
    <d v="2025-07-24T12:57:30"/>
    <s v="Interno"/>
    <n v="30"/>
    <d v="2025-07-21T00:00:00"/>
    <n v="30"/>
    <d v="2025-07-21T00:00:00"/>
    <n v="2.1555579050909728"/>
    <n v="2025"/>
    <n v="2025"/>
    <s v="2025-07"/>
    <s v="2025-07"/>
  </r>
  <r>
    <s v="ESPC360-20026"/>
    <s v="[C360-mov_transfer_det]-pegan ibanes en diferentes formatos"/>
    <s v=""/>
    <d v="2025-07-25T08:58:29"/>
    <d v="2025-09-18T12:08:11"/>
    <s v="ANALÍTICO"/>
    <s v="SOPORTE"/>
    <s v=""/>
    <s v=""/>
    <s v="Medium"/>
    <s v="CANCELADO"/>
    <s v=""/>
    <x v="0"/>
    <x v="5"/>
    <d v="2025-07-25T08:58:29"/>
    <d v="2025-09-18T12:08:11"/>
    <s v="Externo"/>
    <n v="30"/>
    <d v="2025-07-21T00:00:00"/>
    <n v="38"/>
    <d v="2025-09-15T00:00:00"/>
    <n v="55.131738171301549"/>
    <n v="2025"/>
    <n v="2025"/>
    <s v="2025-07"/>
    <s v="2025-09"/>
  </r>
  <r>
    <s v="ESPC360-20082"/>
    <s v="[C360-santander_go]- cliente no digital, pese a que tiene todas las capacidades para serlo"/>
    <s v="Santanger GO"/>
    <d v="2025-07-30T11:27:54"/>
    <d v="2025-07-31T10:11:59"/>
    <s v="ANALÍTICO"/>
    <s v="FUNCIONAL"/>
    <s v=""/>
    <s v="C360_Team_Integration;C360_Team_Mtto"/>
    <s v="Medium"/>
    <s v="CERRADO"/>
    <s v=""/>
    <x v="0"/>
    <x v="4"/>
    <d v="2025-07-30T11:27:54"/>
    <d v="2025-07-31T10:11:59"/>
    <s v="Interno"/>
    <n v="31"/>
    <d v="2025-07-28T00:00:00"/>
    <n v="31"/>
    <d v="2025-07-28T00:00:00"/>
    <n v="0.94728634259081446"/>
    <n v="2025"/>
    <n v="2025"/>
    <s v="2025-07"/>
    <s v="2025-07"/>
  </r>
  <r>
    <s v="ESPC360-20164"/>
    <s v="[Caliope BUG] Error visualización por falta de partición"/>
    <s v=""/>
    <d v="2025-08-01T11:05:50"/>
    <d v="2025-09-10T11:04:29"/>
    <s v="ANALÍTICO"/>
    <s v="DESARROLLO"/>
    <s v=""/>
    <s v=""/>
    <s v="Medium"/>
    <s v="CERRADO"/>
    <s v=""/>
    <x v="1"/>
    <x v="0"/>
    <d v="2025-08-01T11:05:50"/>
    <d v="2025-09-10T11:04:29"/>
    <s v="Interno"/>
    <n v="31"/>
    <d v="2025-07-28T00:00:00"/>
    <n v="37"/>
    <d v="2025-09-08T00:00:00"/>
    <n v="39.999058472218167"/>
    <n v="2025"/>
    <n v="2025"/>
    <s v="2025-07"/>
    <s v="2025-09"/>
  </r>
  <r>
    <s v="ESPC360-20165"/>
    <s v="[Caliope] Problema de visualización de controles ejecutados por falta de partición del día"/>
    <s v=""/>
    <d v="2025-08-01T11:07:19"/>
    <d v="2025-09-10T11:04:31"/>
    <s v="ANALÍTICO"/>
    <s v="DESARROLLO"/>
    <s v=""/>
    <s v="C360_Analitico_Team_1"/>
    <s v="Medium"/>
    <s v="CERRADO"/>
    <s v="C360_Analitico_Sprint 60"/>
    <x v="1"/>
    <x v="0"/>
    <d v="2025-08-01T11:07:19"/>
    <d v="2025-09-10T11:04:31"/>
    <s v="Interno"/>
    <n v="31"/>
    <d v="2025-07-28T00:00:00"/>
    <n v="37"/>
    <d v="2025-09-08T00:00:00"/>
    <n v="39.998050115740625"/>
    <n v="2025"/>
    <n v="2025"/>
    <s v="2025-07"/>
    <s v="2025-09"/>
  </r>
  <r>
    <s v="ESPC360-20167"/>
    <s v="[C360-identdata_cli]-INC057157385-campo legal_person_document_number"/>
    <s v="identdata_cli"/>
    <d v="2025-08-01T12:00:47"/>
    <d v="2025-08-04T12:12:17"/>
    <s v="ANALÍTICO"/>
    <s v="ORIGEN"/>
    <s v=""/>
    <s v="C360_Team_Integration;C360_Team_Mtto"/>
    <s v="Medium"/>
    <s v="CERRADO"/>
    <s v=""/>
    <x v="0"/>
    <x v="1"/>
    <d v="2025-08-01T12:00:47"/>
    <d v="2025-08-04T12:12:17"/>
    <s v="Externo"/>
    <n v="31"/>
    <d v="2025-07-28T00:00:00"/>
    <n v="32"/>
    <d v="2025-08-04T00:00:00"/>
    <n v="3.0079881134297466"/>
    <n v="2025"/>
    <n v="2025"/>
    <s v="2025-07"/>
    <s v="2025-08"/>
  </r>
  <r>
    <s v="ESPC360-20168"/>
    <s v="[C360-channelactivity_digitalnav_det]-INC057159880-Campo full_visitor_id con alto volumen de  nulos"/>
    <s v=""/>
    <d v="2025-08-01T12:16:15"/>
    <d v="2025-08-04T12:12:23"/>
    <s v="ANALÍTICO"/>
    <s v="ORIGEN"/>
    <s v=""/>
    <s v=""/>
    <s v="Medium"/>
    <s v="CERRADO"/>
    <s v=""/>
    <x v="0"/>
    <x v="1"/>
    <d v="2025-08-01T12:16:15"/>
    <d v="2025-08-04T12:12:23"/>
    <s v="Externo"/>
    <n v="31"/>
    <d v="2025-07-28T00:00:00"/>
    <n v="32"/>
    <d v="2025-08-04T00:00:00"/>
    <n v="2.9973157523199916"/>
    <n v="2025"/>
    <n v="2025"/>
    <s v="2025-07"/>
    <s v="2025-08"/>
  </r>
  <r>
    <s v="ESPC360-20185"/>
    <s v="[C360-tarjetas]-revisar nulls customer id en debit y credit"/>
    <s v=""/>
    <d v="2025-08-04T10:55:00"/>
    <d v="2025-09-03T12:22:29"/>
    <s v="ANALÍTICO"/>
    <s v="REPROCESO"/>
    <s v=""/>
    <s v=""/>
    <s v="Medium"/>
    <s v="CERRADO"/>
    <s v=""/>
    <x v="1"/>
    <x v="2"/>
    <d v="2025-08-04T10:55:00"/>
    <d v="2025-09-03T12:22:29"/>
    <s v="Interno"/>
    <n v="32"/>
    <d v="2025-08-04T00:00:00"/>
    <n v="36"/>
    <d v="2025-09-01T00:00:00"/>
    <n v="30.060754513884604"/>
    <n v="2025"/>
    <n v="2025"/>
    <s v="2025-08"/>
    <s v="2025-09"/>
  </r>
  <r>
    <s v="ESPC360-20190"/>
    <s v="[C360-mkt_contacts_det]-alerta critica-duplicados PK"/>
    <s v=""/>
    <d v="2025-08-04T13:40:24"/>
    <d v="2025-09-10T11:18:47"/>
    <s v="ANALÍTICO"/>
    <s v="DESARROLLO"/>
    <s v=""/>
    <s v="C360_Analitico_Team_1"/>
    <s v="Medium"/>
    <s v="CERRADO"/>
    <s v="C360_Analitico_Sprint 60"/>
    <x v="0"/>
    <x v="0"/>
    <d v="2025-08-04T13:40:24"/>
    <d v="2025-09-10T11:18:47"/>
    <s v="Interno"/>
    <n v="32"/>
    <d v="2025-08-04T00:00:00"/>
    <n v="37"/>
    <d v="2025-09-08T00:00:00"/>
    <n v="36.901659907402063"/>
    <n v="2025"/>
    <n v="2025"/>
    <s v="2025-08"/>
    <s v="2025-09"/>
  </r>
  <r>
    <s v="ESPC360-20328"/>
    <s v="[mov_bills_det]-INC057479223-Se está informando mal el full_name_2"/>
    <s v="mov_bills_det"/>
    <d v="2025-08-13T16:29:00"/>
    <d v="2025-08-22T09:28:55"/>
    <s v="ANALÍTICO"/>
    <s v="DESARROLLO"/>
    <s v="Agenda Financiera"/>
    <s v="C360_Team_Integration;C360_Team_Mtto"/>
    <s v="Medium"/>
    <s v="CERRADO"/>
    <s v=""/>
    <x v="0"/>
    <x v="0"/>
    <d v="2025-08-13T16:29:00"/>
    <d v="2025-08-22T09:28:55"/>
    <s v="Interno"/>
    <n v="33"/>
    <d v="2025-08-11T00:00:00"/>
    <n v="34"/>
    <d v="2025-08-18T00:00:00"/>
    <n v="8.7082784490776248"/>
    <n v="2025"/>
    <n v="2025"/>
    <s v="2025-08"/>
    <s v="2025-08"/>
  </r>
  <r>
    <s v="ESPC360-20329"/>
    <s v="[mov_datagen_q]-INC057471958-Campos number_of_xxx a NULL"/>
    <s v="mov_datagen_q"/>
    <d v="2025-08-13T16:35:10"/>
    <d v="2025-08-14T15:42:59"/>
    <s v="ANALÍTICO"/>
    <s v="REPROCESO"/>
    <s v="Agenda Financiera"/>
    <s v="C360_Team_Integration;C360_Team_Mtto"/>
    <s v="Medium"/>
    <s v="CERRADO"/>
    <s v=""/>
    <x v="0"/>
    <x v="2"/>
    <d v="2025-08-13T16:35:10"/>
    <d v="2025-08-14T15:42:59"/>
    <s v="Interno"/>
    <n v="33"/>
    <d v="2025-08-11T00:00:00"/>
    <n v="33"/>
    <d v="2025-08-11T00:00:00"/>
    <n v="0.96376054397842381"/>
    <n v="2025"/>
    <n v="2025"/>
    <s v="2025-08"/>
    <s v="2025-08"/>
  </r>
  <r>
    <s v="ESPC360-20474"/>
    <s v="[C360-mov_transfers_det]-INC057775447-Nulos en las variables"/>
    <s v="mov_transfers_det"/>
    <d v="2025-08-22T09:15:36"/>
    <d v="2025-10-14T09:23:04"/>
    <s v="ANALÍTICO"/>
    <s v="ORIGEN"/>
    <s v=""/>
    <s v="C360_Team_Mtto"/>
    <s v="Medium"/>
    <s v="CERRADO"/>
    <s v=""/>
    <x v="0"/>
    <x v="1"/>
    <d v="2025-08-22T09:15:36"/>
    <d v="2025-10-14T09:23:04"/>
    <s v="Externo"/>
    <n v="34"/>
    <d v="2025-08-18T00:00:00"/>
    <n v="42"/>
    <d v="2025-10-13T00:00:00"/>
    <n v="53.005184999994526"/>
    <n v="2025"/>
    <n v="2025"/>
    <s v="2025-08"/>
    <s v="2025-10"/>
  </r>
  <r>
    <s v="ESPC360-20476"/>
    <s v="[C360-mov_bills_det]-INC057800640- Para la tabla mov_bills_det aparecen vacias las variables relacionadas con el contrato de la cuenta de la parte 1"/>
    <s v=""/>
    <d v="2025-08-22T11:14:04"/>
    <d v="2025-08-25T09:29:01"/>
    <s v="ANALÍTICO"/>
    <s v="SOPORTE"/>
    <s v=""/>
    <s v=""/>
    <s v="Medium"/>
    <s v="CERRADO"/>
    <s v=""/>
    <x v="0"/>
    <x v="5"/>
    <d v="2025-08-22T11:14:04"/>
    <d v="2025-08-25T09:29:01"/>
    <s v="Externo"/>
    <n v="34"/>
    <d v="2025-08-18T00:00:00"/>
    <n v="35"/>
    <d v="2025-08-25T00:00:00"/>
    <n v="2.9270506249958999"/>
    <n v="2025"/>
    <n v="2025"/>
    <s v="2025-08"/>
    <s v="2025-08"/>
  </r>
  <r>
    <s v="ESPC360-20526"/>
    <s v="[C360-risk_performance_det]-no genera partición"/>
    <s v=""/>
    <d v="2025-08-27T09:42:27"/>
    <d v="2025-09-01T12:20:48"/>
    <s v="ANALÍTICO"/>
    <s v="REPROCESO"/>
    <s v=""/>
    <s v=""/>
    <s v="Medium"/>
    <s v="CERRADO"/>
    <s v=""/>
    <x v="0"/>
    <x v="2"/>
    <d v="2025-08-27T09:42:27"/>
    <d v="2025-09-01T12:20:48"/>
    <s v="Interno"/>
    <n v="35"/>
    <d v="2025-08-25T00:00:00"/>
    <n v="36"/>
    <d v="2025-09-01T00:00:00"/>
    <n v="5.1099554745378555"/>
    <n v="2025"/>
    <n v="2025"/>
    <s v="2025-08"/>
    <s v="2025-09"/>
  </r>
  <r>
    <s v="ESPC360-20616"/>
    <s v="[C360-geo_cp]-particiones que tienen fecha el dia 30 y no el 31"/>
    <s v=""/>
    <d v="2025-08-29T10:31:02"/>
    <d v="2025-08-29T14:39:19"/>
    <s v="ANALÍTICO"/>
    <s v="REPROCESO"/>
    <s v=""/>
    <s v=""/>
    <s v="Medium"/>
    <s v="CERRADO"/>
    <s v=""/>
    <x v="0"/>
    <x v="2"/>
    <d v="2025-08-29T10:31:02"/>
    <d v="2025-08-29T14:39:19"/>
    <s v="Interno"/>
    <n v="35"/>
    <d v="2025-08-25T00:00:00"/>
    <n v="35"/>
    <d v="2025-08-25T00:00:00"/>
    <n v="0.17242212963174097"/>
    <n v="2025"/>
    <n v="2025"/>
    <s v="2025-08"/>
    <s v="2025-08"/>
  </r>
  <r>
    <s v="ESPC360-20639"/>
    <s v="[C360-agenda_financiera]-Revisión de los conceptos señalados"/>
    <s v=""/>
    <d v="2025-09-03T08:59:48"/>
    <d v="2025-09-04T10:25:32"/>
    <s v="ANALÍTICO"/>
    <s v="SOPORTE"/>
    <s v=""/>
    <s v="C360_Team_Mtto"/>
    <s v="Medium"/>
    <s v="CERRADO"/>
    <s v=""/>
    <x v="0"/>
    <x v="5"/>
    <d v="2025-09-03T08:59:48"/>
    <d v="2025-09-04T10:25:32"/>
    <s v="Externo"/>
    <n v="36"/>
    <d v="2025-09-01T00:00:00"/>
    <n v="36"/>
    <d v="2025-09-01T00:00:00"/>
    <n v="1.0595310416683787"/>
    <n v="2025"/>
    <n v="2025"/>
    <s v="2025-09"/>
    <s v="2025-09"/>
  </r>
  <r>
    <s v="ESPC360-20640"/>
    <s v="[C360-santanderGo]-Revisión del indicador de bizum "/>
    <s v=""/>
    <d v="2025-09-03T09:02:34"/>
    <d v="2025-09-03T09:54:09"/>
    <s v="ANALÍTICO"/>
    <s v="SOPORTE"/>
    <s v=""/>
    <s v=""/>
    <s v="Medium"/>
    <s v="CERRADO"/>
    <s v=""/>
    <x v="0"/>
    <x v="5"/>
    <d v="2025-09-03T09:02:34"/>
    <d v="2025-09-03T09:54:09"/>
    <s v="Externo"/>
    <n v="36"/>
    <d v="2025-09-01T00:00:00"/>
    <n v="36"/>
    <d v="2025-09-01T00:00:00"/>
    <n v="3.5815150462440215E-2"/>
    <n v="2025"/>
    <n v="2025"/>
    <s v="2025-09"/>
    <s v="2025-09"/>
  </r>
  <r>
    <s v="ESPC360-20642"/>
    <s v="[C360-Datagenes]-Revisión de la generación de particiones de datagenes mensuales"/>
    <s v=""/>
    <d v="2025-09-03T11:51:02"/>
    <d v="2025-09-04T11:33:46"/>
    <s v="ANALÍTICO"/>
    <s v="SOPORTE"/>
    <s v=""/>
    <s v=""/>
    <s v="Medium"/>
    <s v="CERRADO"/>
    <s v=""/>
    <x v="0"/>
    <x v="5"/>
    <d v="2025-09-03T11:51:02"/>
    <d v="2025-09-04T11:33:46"/>
    <s v="Externo"/>
    <n v="36"/>
    <d v="2025-09-01T00:00:00"/>
    <n v="36"/>
    <d v="2025-09-01T00:00:00"/>
    <n v="0.98800172453775303"/>
    <n v="2025"/>
    <n v="2025"/>
    <s v="2025-09"/>
    <s v="2025-09"/>
  </r>
  <r>
    <s v="ESPC360-20754"/>
    <s v="[C360-Customer360]-INC058205411-campo fecha de captación"/>
    <s v=""/>
    <d v="2025-09-05T11:04:01"/>
    <d v="2025-09-05T14:16:05"/>
    <s v="ANALÍTICO"/>
    <s v="ORIGEN"/>
    <s v=""/>
    <s v=""/>
    <s v="Medium"/>
    <s v="CERRADO"/>
    <s v=""/>
    <x v="0"/>
    <x v="1"/>
    <d v="2025-09-05T11:04:01"/>
    <d v="2025-09-05T14:16:05"/>
    <s v="Externo"/>
    <n v="36"/>
    <d v="2025-09-01T00:00:00"/>
    <n v="36"/>
    <d v="2025-09-01T00:00:00"/>
    <n v="0.13338431713054888"/>
    <n v="2025"/>
    <n v="2025"/>
    <s v="2025-09"/>
    <s v="2025-09"/>
  </r>
  <r>
    <s v="ESPC360-20809"/>
    <s v="[C360-segmentaciones]-INC058360318-fallo en la ejecución"/>
    <s v=""/>
    <d v="2025-09-11T09:08:02"/>
    <d v="2025-09-11T12:54:35"/>
    <s v="ANALÍTICO"/>
    <s v="SOPORTE"/>
    <s v=""/>
    <s v=""/>
    <s v="Medium"/>
    <s v="CERRADO"/>
    <s v=""/>
    <x v="0"/>
    <x v="5"/>
    <d v="2025-09-11T09:08:02"/>
    <d v="2025-09-11T12:54:35"/>
    <s v="Externo"/>
    <n v="37"/>
    <d v="2025-09-08T00:00:00"/>
    <n v="37"/>
    <d v="2025-09-08T00:00:00"/>
    <n v="0.1573297800932778"/>
    <n v="2025"/>
    <n v="2025"/>
    <s v="2025-09"/>
    <s v="2025-09"/>
  </r>
  <r>
    <s v="ESPC360-20867"/>
    <s v="[C360-caliope]-Publicacion_de_tablones_consolidados"/>
    <s v=""/>
    <d v="2025-09-11T12:55:31"/>
    <d v="2025-09-11T14:02:07"/>
    <s v="ANALÍTICO"/>
    <s v="DESARROLLO"/>
    <s v=""/>
    <s v=""/>
    <s v="Medium"/>
    <s v="CERRADO"/>
    <s v=""/>
    <x v="0"/>
    <x v="0"/>
    <d v="2025-09-11T12:55:31"/>
    <d v="2025-09-11T14:02:07"/>
    <s v="Interno"/>
    <n v="37"/>
    <d v="2025-09-08T00:00:00"/>
    <n v="37"/>
    <d v="2025-09-08T00:00:00"/>
    <n v="4.6250335646618623E-2"/>
    <n v="2025"/>
    <n v="2025"/>
    <s v="2025-09"/>
    <s v="2025-09"/>
  </r>
  <r>
    <s v="ESPC360-20873"/>
    <s v="[C360-channelactivity_digital]-portal deudores"/>
    <s v=""/>
    <d v="2025-09-12T08:58:48"/>
    <d v="2025-09-15T10:34:55"/>
    <s v="ANALÍTICO"/>
    <s v="SOPORTE"/>
    <s v=""/>
    <s v=""/>
    <s v="Medium"/>
    <s v="CERRADO"/>
    <s v=""/>
    <x v="0"/>
    <x v="5"/>
    <d v="2025-09-12T08:58:48"/>
    <d v="2025-09-15T10:34:55"/>
    <s v="Externo"/>
    <n v="37"/>
    <d v="2025-09-08T00:00:00"/>
    <n v="38"/>
    <d v="2025-09-15T00:00:00"/>
    <n v="3.0667459837932256"/>
    <n v="2025"/>
    <n v="2025"/>
    <s v="2025-09"/>
    <s v="2025-09"/>
  </r>
  <r>
    <s v="ESPC360-20875"/>
    <s v="_x0009_[Mediacion - xxx] Eliminación duplicados correspondientes a la migración"/>
    <s v=""/>
    <d v="2025-09-12T10:06:28"/>
    <d v="2025-09-25T11:18:42"/>
    <s v="ANALÍTICO"/>
    <s v="FUNCIONAL"/>
    <s v=""/>
    <s v="C360_Analitico_Team_1"/>
    <s v="Medium"/>
    <s v="CERRADO"/>
    <s v="C360_Analitico_Sprint 61"/>
    <x v="1"/>
    <x v="4"/>
    <d v="2025-09-12T10:06:28"/>
    <d v="2025-09-25T11:18:42"/>
    <s v="Interno"/>
    <n v="37"/>
    <d v="2025-09-08T00:00:00"/>
    <n v="39"/>
    <d v="2025-09-22T00:00:00"/>
    <n v="13.05016131944285"/>
    <n v="2025"/>
    <n v="2025"/>
    <s v="2025-09"/>
    <s v="2025-09"/>
  </r>
  <r>
    <s v="ESPC360-20876"/>
    <s v="[C360-oraculo_daten_rgi]-BUG variables  RADAR Carterizados"/>
    <s v=""/>
    <d v="2025-09-12T10:30:12"/>
    <d v="2025-10-23T10:07:57"/>
    <s v="ANALÍTICO"/>
    <s v="DEFINICIÓN"/>
    <s v=""/>
    <s v="C360_Team_Integration"/>
    <s v="Medium"/>
    <s v="CERRADO"/>
    <s v=""/>
    <x v="0"/>
    <x v="3"/>
    <d v="2025-09-12T10:30:12"/>
    <d v="2025-10-23T10:07:57"/>
    <s v="Externo"/>
    <n v="37"/>
    <d v="2025-09-08T00:00:00"/>
    <n v="43"/>
    <d v="2025-10-20T00:00:00"/>
    <n v="40.984551782406925"/>
    <n v="2025"/>
    <n v="2025"/>
    <s v="2025-09"/>
    <s v="2025-10"/>
  </r>
  <r>
    <s v="ESPC360-20886"/>
    <s v="[Caliope] PBI &quot;Cobertura Modelo de control&quot; en blanco y sin fecha de datos en el informe"/>
    <s v=""/>
    <d v="2025-09-15T09:34:51"/>
    <d v="2025-10-07T14:36:35"/>
    <s v="ANALÍTICO"/>
    <s v="SOPORTE"/>
    <s v=""/>
    <s v="C360_Analitico_Team_1;C360_Team_Mtto"/>
    <s v="Medium"/>
    <s v="CERRADO"/>
    <s v="C360_Analitico_Sprint 64"/>
    <x v="1"/>
    <x v="5"/>
    <d v="2025-09-15T09:34:51"/>
    <d v="2025-10-07T14:36:35"/>
    <s v="Externo"/>
    <n v="38"/>
    <d v="2025-09-15T00:00:00"/>
    <n v="41"/>
    <d v="2025-10-06T00:00:00"/>
    <n v="22.209536446760467"/>
    <n v="2025"/>
    <n v="2025"/>
    <s v="2025-09"/>
    <s v="2025-10"/>
  </r>
  <r>
    <s v="ESPC360-20914"/>
    <s v="[C360-sociodemo]-Distinto valor de edad "/>
    <s v=""/>
    <d v="2025-09-16T14:11:31"/>
    <d v="2025-09-17T09:16:09"/>
    <s v="ANALÍTICO"/>
    <s v="SOPORTE"/>
    <s v=""/>
    <s v=""/>
    <s v="Medium"/>
    <s v="CERRADO"/>
    <s v=""/>
    <x v="0"/>
    <x v="5"/>
    <d v="2025-09-16T14:11:31"/>
    <d v="2025-09-17T09:16:09"/>
    <s v="Externo"/>
    <n v="38"/>
    <d v="2025-09-15T00:00:00"/>
    <n v="38"/>
    <d v="2025-09-15T00:00:00"/>
    <n v="0.79488406249583932"/>
    <n v="2025"/>
    <n v="2025"/>
    <s v="2025-09"/>
    <s v="2025-09"/>
  </r>
  <r>
    <s v="ESPC360-20930"/>
    <s v="[C360-mov_transfer_det]-INC058614510-Variables mal informadas para la parte 2 del movimiento (nulos o vacios)"/>
    <s v="mov_transfers_det"/>
    <d v="2025-09-17T16:55:57"/>
    <d v="2025-10-22T12:12:19"/>
    <s v="ANALÍTICO"/>
    <s v="FUNCIONAL"/>
    <s v=""/>
    <s v=""/>
    <s v="Medium"/>
    <s v="CANCELADO"/>
    <s v=""/>
    <x v="0"/>
    <x v="4"/>
    <d v="2025-09-17T16:55:57"/>
    <d v="2025-10-22T12:12:19"/>
    <s v="Interno"/>
    <n v="38"/>
    <d v="2025-09-15T00:00:00"/>
    <n v="43"/>
    <d v="2025-10-20T00:00:00"/>
    <n v="34.803034456017485"/>
    <n v="2025"/>
    <n v="2025"/>
    <s v="2025-09"/>
    <s v="2025-10"/>
  </r>
  <r>
    <s v="ESPC360-20931"/>
    <s v="[C360-sociodemo]-Distinto valor de edad "/>
    <s v="datagen_sociodemo"/>
    <d v="2025-09-17T17:21:46"/>
    <d v="2025-09-18T10:58:20"/>
    <s v="ANALÍTICO"/>
    <s v="REPROCESO"/>
    <s v=""/>
    <s v=""/>
    <s v="Medium"/>
    <s v="CERRADO"/>
    <s v=""/>
    <x v="0"/>
    <x v="2"/>
    <d v="2025-09-17T17:21:46"/>
    <d v="2025-09-18T10:58:20"/>
    <s v="Interno"/>
    <n v="38"/>
    <d v="2025-09-15T00:00:00"/>
    <n v="38"/>
    <d v="2025-09-15T00:00:00"/>
    <n v="0.73372700231266208"/>
    <n v="2025"/>
    <n v="2025"/>
    <s v="2025-09"/>
    <s v="2025-09"/>
  </r>
  <r>
    <s v="ESPC360-21027"/>
    <s v="[Risk permance det] - Revisión de valores"/>
    <s v=""/>
    <d v="2025-09-19T13:30:34"/>
    <d v="2025-09-24T12:09:55"/>
    <s v="ANALÍTICO"/>
    <s v="FUNCIONAL"/>
    <s v=""/>
    <s v="C360_Analitico_Team_1;C360_Team_Mtto"/>
    <s v="Highest"/>
    <s v="CERRADO"/>
    <s v=""/>
    <x v="0"/>
    <x v="4"/>
    <d v="2025-09-19T13:30:34"/>
    <d v="2025-09-24T12:09:55"/>
    <s v="Interno"/>
    <n v="38"/>
    <d v="2025-09-15T00:00:00"/>
    <n v="39"/>
    <d v="2025-09-22T00:00:00"/>
    <n v="4.9439980787064997"/>
    <n v="2025"/>
    <n v="2025"/>
    <s v="2025-09"/>
    <s v="2025-09"/>
  </r>
  <r>
    <s v="ESPC360-21039"/>
    <s v="Conteos PBI de incidencias, justificaciones y observaciones"/>
    <s v=""/>
    <d v="2025-09-22T13:10:37"/>
    <d v="2025-10-23T16:54:53"/>
    <s v="ANALÍTICO"/>
    <s v="Selecciona (ORIGEN/PLANIFICACIÓN/RELANZADO PROCESO/DEFINICIÓN/FUNCIONAL/TÉCNICO/DESARROLLO/PENDIENTE REPROCESO)"/>
    <s v=""/>
    <s v=""/>
    <s v="Medium"/>
    <s v="CERRADO"/>
    <s v=""/>
    <x v="1"/>
    <x v="6"/>
    <d v="2025-09-22T13:10:37"/>
    <d v="2025-10-23T16:54:53"/>
    <s v="Pendiente clasificar"/>
    <n v="39"/>
    <d v="2025-09-22T00:00:00"/>
    <n v="43"/>
    <d v="2025-10-20T00:00:00"/>
    <n v="31.155741481481527"/>
    <n v="2025"/>
    <n v="2025"/>
    <s v="2025-09"/>
    <s v="2025-10"/>
  </r>
  <r>
    <s v="ESPC360-21051"/>
    <s v="[Calíope] no se están visualizando las ejecuciones del mdc morosidad posteriores a abril"/>
    <s v=""/>
    <d v="2025-09-23T11:51:38"/>
    <d v="2025-09-26T11:52:50"/>
    <s v="ANALÍTICO"/>
    <s v="ORIGEN"/>
    <s v=""/>
    <s v="C360_Team_Mtto"/>
    <s v="High"/>
    <s v="CERRADO"/>
    <s v=""/>
    <x v="0"/>
    <x v="1"/>
    <d v="2025-09-23T11:51:38"/>
    <d v="2025-09-26T11:52:50"/>
    <s v="Externo"/>
    <n v="39"/>
    <d v="2025-09-22T00:00:00"/>
    <n v="39"/>
    <d v="2025-09-22T00:00:00"/>
    <n v="3.0008339699052158"/>
    <n v="2025"/>
    <n v="2025"/>
    <s v="2025-09"/>
    <s v="2025-09"/>
  </r>
  <r>
    <s v="ESPC360-21068"/>
    <s v="[C360-mov_accounts_det]-INC058829631-Faltan movimientos en la tabla"/>
    <s v="mov_accounts_det"/>
    <d v="2025-09-24T12:22:31"/>
    <d v="2025-09-26T11:09:49"/>
    <s v="ANALÍTICO"/>
    <s v="REPROCESO"/>
    <s v=""/>
    <s v="C360_Team_Mtto"/>
    <s v="Medium"/>
    <s v="CERRADO"/>
    <s v=""/>
    <x v="0"/>
    <x v="2"/>
    <d v="2025-09-24T12:22:31"/>
    <d v="2025-09-26T11:09:49"/>
    <s v="Interno"/>
    <n v="39"/>
    <d v="2025-09-22T00:00:00"/>
    <n v="39"/>
    <d v="2025-09-22T00:00:00"/>
    <n v="1.9495131597213913"/>
    <n v="2025"/>
    <n v="2025"/>
    <s v="2025-09"/>
    <s v="2025-09"/>
  </r>
  <r>
    <s v="ESPC360-21153"/>
    <s v="[C360-risk_performance_det]-volumtería particiones de 2025-04-01 y 2025-05-01/2022-08-01"/>
    <s v=""/>
    <d v="2025-09-26T13:57:00"/>
    <d v="2025-09-29T13:33:25"/>
    <s v="ANALÍTICO"/>
    <s v="REPROCESO"/>
    <s v=""/>
    <s v=""/>
    <s v="Medium"/>
    <s v="CERRADO"/>
    <s v=""/>
    <x v="1"/>
    <x v="2"/>
    <d v="2025-09-26T13:57:00"/>
    <d v="2025-09-29T13:33:25"/>
    <s v="Interno"/>
    <n v="39"/>
    <d v="2025-09-22T00:00:00"/>
    <n v="40"/>
    <d v="2025-09-29T00:00:00"/>
    <n v="2.983622372688842"/>
    <n v="2025"/>
    <n v="2025"/>
    <s v="2025-09"/>
    <s v="2025-09"/>
  </r>
  <r>
    <s v="ESPC360-21166"/>
    <s v="[C360-customrel_det]-fallo en la ejecuciones desde 2025-09-09"/>
    <s v=""/>
    <d v="2025-09-29T14:18:07"/>
    <d v="2025-09-29T16:57:39"/>
    <s v="ANALÍTICO"/>
    <s v="REPROCESO"/>
    <s v=""/>
    <s v=""/>
    <s v="Medium"/>
    <s v="CERRADO"/>
    <s v=""/>
    <x v="0"/>
    <x v="2"/>
    <d v="2025-09-29T14:18:07"/>
    <d v="2025-09-29T16:57:39"/>
    <s v="Interno"/>
    <n v="40"/>
    <d v="2025-09-29T00:00:00"/>
    <n v="40"/>
    <d v="2025-09-29T00:00:00"/>
    <n v="0.11078892360819736"/>
    <n v="2025"/>
    <n v="2025"/>
    <s v="2025-09"/>
    <s v="2025-09"/>
  </r>
  <r>
    <s v="ESPC360-21168"/>
    <s v="[C360-mov_accounts_det]-INC058995569-faltan movimientos comparando con SantanderGo"/>
    <s v="mov_accounts_det"/>
    <d v="2025-09-29T15:24:43"/>
    <d v="2025-09-30T12:54:11"/>
    <s v="ANALÍTICO"/>
    <s v="ORIGEN"/>
    <s v=""/>
    <s v="C360_Team_Mtto"/>
    <s v="Medium"/>
    <s v="CERRADO"/>
    <s v=""/>
    <x v="0"/>
    <x v="1"/>
    <d v="2025-09-29T15:24:43"/>
    <d v="2025-09-30T12:54:11"/>
    <s v="Externo"/>
    <n v="40"/>
    <d v="2025-09-29T00:00:00"/>
    <n v="40"/>
    <d v="2025-09-29T00:00:00"/>
    <n v="0.89546293981402414"/>
    <n v="2025"/>
    <n v="2025"/>
    <s v="2025-09"/>
    <s v="2025-09"/>
  </r>
  <r>
    <s v="ESPC360-21173"/>
    <s v="[C360 - pro_common_soporte.c360_data.competence_accounts_det] Bug - Volumetrias Cuentas"/>
    <s v=""/>
    <d v="2025-09-30T12:39:43"/>
    <d v="2025-09-30T13:25:54"/>
    <s v="ANALÍTICO"/>
    <s v=""/>
    <s v=""/>
    <s v=""/>
    <s v="Medium"/>
    <s v="CANCELADO"/>
    <s v=""/>
    <x v="1"/>
    <x v="7"/>
    <d v="2025-09-30T12:39:43"/>
    <d v="2025-09-30T13:25:54"/>
    <s v="Pendiente clasificar"/>
    <n v="40"/>
    <d v="2025-09-29T00:00:00"/>
    <n v="40"/>
    <d v="2025-09-29T00:00:00"/>
    <n v="3.2066828702227212E-2"/>
    <n v="2025"/>
    <n v="2025"/>
    <s v="2025-09"/>
    <s v="2025-09"/>
  </r>
  <r>
    <s v="ESPC360-21174"/>
    <s v="[C360 - pro_common_soporte.c360_data.competence_accounts_det] Bug - Volumetrias Cuentas"/>
    <s v=""/>
    <d v="2025-09-30T12:39:45"/>
    <d v="2025-10-01T16:27:59"/>
    <s v="ANALÍTICO"/>
    <s v="DEFINICIÓN"/>
    <s v=""/>
    <s v="C360_Team_Mtto"/>
    <s v="Medium"/>
    <s v="CERRADO"/>
    <s v=""/>
    <x v="1"/>
    <x v="3"/>
    <d v="2025-09-30T12:39:45"/>
    <d v="2025-10-01T16:27:59"/>
    <s v="Externo"/>
    <n v="40"/>
    <d v="2025-09-29T00:00:00"/>
    <n v="40"/>
    <d v="2025-09-29T00:00:00"/>
    <n v="1.1584874421314453"/>
    <n v="2025"/>
    <n v="2025"/>
    <s v="2025-09"/>
    <s v="2025-09"/>
  </r>
  <r>
    <s v="ESPC360-21177"/>
    <s v="[C360-Santander_go]-revisión de cliente"/>
    <s v="Santanger GO"/>
    <d v="2025-09-30T14:17:21"/>
    <d v="2025-09-30T16:19:30"/>
    <s v="ANALÍTICO"/>
    <s v="SOPORTE"/>
    <s v=""/>
    <s v="C360_Team_Mtto"/>
    <s v="Medium"/>
    <s v="CERRADO"/>
    <s v=""/>
    <x v="0"/>
    <x v="5"/>
    <d v="2025-09-30T14:17:21"/>
    <d v="2025-09-30T16:19:30"/>
    <s v="Externo"/>
    <n v="40"/>
    <d v="2025-09-29T00:00:00"/>
    <n v="40"/>
    <d v="2025-09-29T00:00:00"/>
    <n v="8.4827407408738509E-2"/>
    <n v="2025"/>
    <n v="2025"/>
    <s v="2025-09"/>
    <s v="2025-09"/>
  </r>
  <r>
    <s v="ESPC360-21279"/>
    <s v="Cambiar el criterio de asignación de grupo principal de riesgos en intprofile_cli"/>
    <s v=""/>
    <d v="2025-10-03T08:22:56"/>
    <d v="2025-10-07T13:10:39"/>
    <s v="ANALÍTICO"/>
    <s v="DEFINICIÓN"/>
    <s v=""/>
    <s v="C360_Team_Mtto"/>
    <s v="Medium"/>
    <s v="CERRADO"/>
    <s v=""/>
    <x v="1"/>
    <x v="3"/>
    <d v="2025-10-03T08:22:56"/>
    <d v="2025-10-07T13:10:39"/>
    <s v="Externo"/>
    <n v="40"/>
    <d v="2025-09-29T00:00:00"/>
    <n v="41"/>
    <d v="2025-10-06T00:00:00"/>
    <n v="4.1998052199123777"/>
    <n v="2025"/>
    <n v="2025"/>
    <s v="2025-09"/>
    <s v="2025-10"/>
  </r>
  <r>
    <s v="ESPC360-21282"/>
    <s v="[C360-customer360]-facturacion_tpv_mes_customer "/>
    <s v="customer_360"/>
    <d v="2025-10-03T09:28:52"/>
    <d v="2025-10-16T13:41:53"/>
    <s v="ANALÍTICO"/>
    <s v="SOPORTE"/>
    <s v=""/>
    <s v="C360_Team_Mtto"/>
    <s v="Medium"/>
    <s v="CERRADO"/>
    <s v=""/>
    <x v="0"/>
    <x v="5"/>
    <d v="2025-10-03T09:28:52"/>
    <d v="2025-10-16T13:41:53"/>
    <s v="Externo"/>
    <n v="40"/>
    <d v="2025-09-29T00:00:00"/>
    <n v="42"/>
    <d v="2025-10-13T00:00:00"/>
    <n v="13.175714780089038"/>
    <n v="2025"/>
    <n v="2025"/>
    <s v="2025-09"/>
    <s v="2025-10"/>
  </r>
  <r>
    <s v="ESPC360-21283"/>
    <s v="Cambiar el criterio de asignación de grupo principal de riesgos en customerrelationship_det"/>
    <s v="customerrelationship_det"/>
    <d v="2025-10-03T09:37:47"/>
    <d v="2025-10-08T09:36:49"/>
    <s v="ANALÍTICO"/>
    <s v="SOPORTE"/>
    <s v=""/>
    <s v="C360_Team_Mtto"/>
    <s v="Medium"/>
    <s v="CERRADO"/>
    <s v=""/>
    <x v="1"/>
    <x v="5"/>
    <d v="2025-10-03T09:37:47"/>
    <d v="2025-10-08T09:36:49"/>
    <s v="Externo"/>
    <n v="40"/>
    <d v="2025-09-29T00:00:00"/>
    <n v="41"/>
    <d v="2025-10-06T00:00:00"/>
    <n v="4.9993293981460738"/>
    <n v="2025"/>
    <n v="2025"/>
    <s v="2025-09"/>
    <s v="2025-10"/>
  </r>
  <r>
    <s v="ESPC360-21301"/>
    <s v="Cambiar el criterio de asignación de grupo principal de riesgos en oraculo_features_rgi"/>
    <s v="oraculo_features_rgi"/>
    <d v="2025-10-06T14:54:06"/>
    <d v="2025-10-29T13:05:25"/>
    <s v="ANALÍTICO"/>
    <s v="DEFINICIÓN"/>
    <s v=""/>
    <s v="C360_Analitico_Team_1;C360_Team_Integration"/>
    <s v="Medium"/>
    <s v="CERRADO"/>
    <s v="C360_Analitico_Sprint 63"/>
    <x v="1"/>
    <x v="3"/>
    <d v="2025-10-06T14:54:06"/>
    <d v="2025-10-29T13:05:25"/>
    <s v="Externo"/>
    <n v="41"/>
    <d v="2025-10-06T00:00:00"/>
    <n v="44"/>
    <d v="2025-10-27T00:00:00"/>
    <n v="22.924535277779796"/>
    <n v="2025"/>
    <n v="2025"/>
    <s v="2025-10"/>
    <s v="2025-10"/>
  </r>
  <r>
    <s v="ESPC360-21325"/>
    <s v="[C360-customrelationship]-INC059287839- solamente se están considerando relaciones de los 10 tipos"/>
    <s v="customerrelationship_det"/>
    <d v="2025-10-08T08:55:59"/>
    <d v="9999-12-31T10:56:12"/>
    <s v="ANALÍTICO"/>
    <s v="DESARROLLO"/>
    <s v=""/>
    <s v="C360_Team_Mtto"/>
    <s v="Medium"/>
    <s v="Tested CERT / TEST"/>
    <s v=""/>
    <x v="0"/>
    <x v="0"/>
    <d v="2025-10-08T08:55:59"/>
    <d v="9999-12-31T10:56:12"/>
    <s v="Interno"/>
    <n v="41"/>
    <d v="2025-10-06T00:00:00"/>
    <n v="53"/>
    <n v="2958468"/>
    <n v="2912527.0834847917"/>
    <n v="2025"/>
    <n v="9999"/>
    <s v="2025-10"/>
    <e v="#VALUE!"/>
  </r>
  <r>
    <s v="ESPC360-21327"/>
    <s v="[C360-SantanderGo]-Accesos cliente F006487979 "/>
    <s v="Santanger GO"/>
    <d v="2025-10-08T11:09:50"/>
    <d v="2025-10-08T16:53:16"/>
    <s v="ANALÍTICO"/>
    <s v="SOPORTE"/>
    <s v=""/>
    <s v="C360_Team_Mtto"/>
    <s v="Medium"/>
    <s v="CERRADO"/>
    <s v=""/>
    <x v="0"/>
    <x v="5"/>
    <d v="2025-10-08T11:09:50"/>
    <d v="2025-10-08T16:53:16"/>
    <s v="Externo"/>
    <n v="41"/>
    <d v="2025-10-06T00:00:00"/>
    <n v="41"/>
    <d v="2025-10-06T00:00:00"/>
    <n v="0.23849473379959818"/>
    <n v="2025"/>
    <n v="2025"/>
    <s v="2025-10"/>
    <s v="2025-10"/>
  </r>
  <r>
    <s v="ESPC360-21396"/>
    <s v="[C360-channelactivity_digital]-Consulta de perdida path CMC"/>
    <s v="channelactivity_digitalnavigation_det"/>
    <d v="2025-10-14T10:07:28"/>
    <d v="2025-10-14T19:06:43"/>
    <s v="ANALÍTICO"/>
    <s v="SOPORTE"/>
    <s v=""/>
    <s v="C360_Team_Mtto"/>
    <s v="Medium"/>
    <s v="CERRADO"/>
    <s v=""/>
    <x v="0"/>
    <x v="5"/>
    <d v="2025-10-14T10:07:28"/>
    <d v="2025-10-14T19:06:43"/>
    <s v="Externo"/>
    <n v="42"/>
    <d v="2025-10-13T00:00:00"/>
    <n v="42"/>
    <d v="2025-10-13T00:00:00"/>
    <n v="0.37447965277533513"/>
    <n v="2025"/>
    <n v="2025"/>
    <s v="2025-10"/>
    <s v="2025-10"/>
  </r>
  <r>
    <s v="ESPC360-21423"/>
    <s v="[C360-mov_bills_det]-INC059514927-faltan movimientos"/>
    <s v=""/>
    <d v="2025-10-15T17:47:52"/>
    <d v="2025-10-22T16:38:37"/>
    <s v="ANALÍTICO"/>
    <s v="SOPORTE"/>
    <s v=""/>
    <s v="C360_Team_Mtto"/>
    <s v="Medium"/>
    <s v="CERRADO"/>
    <s v=""/>
    <x v="0"/>
    <x v="5"/>
    <d v="2025-10-15T17:47:52"/>
    <d v="2025-10-22T16:38:37"/>
    <s v="Externo"/>
    <n v="42"/>
    <d v="2025-10-13T00:00:00"/>
    <n v="43"/>
    <d v="2025-10-20T00:00:00"/>
    <n v="6.9519111111076199"/>
    <n v="2025"/>
    <n v="2025"/>
    <s v="2025-10"/>
    <s v="2025-10"/>
  </r>
  <r>
    <s v="ESPC360-21436"/>
    <s v="[C360-customer360]-ind_contable a 1, cuando idcent = 1810"/>
    <s v="customer_360"/>
    <d v="2025-10-16T13:10:10"/>
    <d v="2025-10-22T12:11:59"/>
    <s v="ANALÍTICO"/>
    <s v="ORIGEN"/>
    <s v=""/>
    <s v="C360_Team_Mtto"/>
    <s v="Medium"/>
    <s v="CANCELADO"/>
    <s v=""/>
    <x v="1"/>
    <x v="1"/>
    <d v="2025-10-16T13:10:10"/>
    <d v="2025-10-22T12:11:59"/>
    <s v="Externo"/>
    <n v="42"/>
    <d v="2025-10-13T00:00:00"/>
    <n v="43"/>
    <d v="2025-10-20T00:00:00"/>
    <n v="5.9596011226822156"/>
    <n v="2025"/>
    <n v="2025"/>
    <s v="2025-10"/>
    <s v="2025-10"/>
  </r>
  <r>
    <s v="ESPC360-21526"/>
    <s v="[C360-revisiónes de tabla]- Alertas critica"/>
    <s v="identdata_cli;intprofile_cli"/>
    <d v="2025-10-20T15:36:45"/>
    <d v="2025-10-21T13:35:51"/>
    <s v="ANALÍTICO"/>
    <s v="SOPORTE"/>
    <s v=""/>
    <s v="C360_Team_Mtto"/>
    <s v="Medium"/>
    <s v="CERRADO"/>
    <s v=""/>
    <x v="1"/>
    <x v="5"/>
    <d v="2025-10-20T15:36:45"/>
    <d v="2025-10-21T13:35:51"/>
    <s v="Externo"/>
    <n v="43"/>
    <d v="2025-10-20T00:00:00"/>
    <n v="43"/>
    <d v="2025-10-20T00:00:00"/>
    <n v="0.9160419791660388"/>
    <n v="2025"/>
    <n v="2025"/>
    <s v="2025-10"/>
    <s v="2025-10"/>
  </r>
  <r>
    <s v="ESPC360-21527"/>
    <s v="Revisión campos Recibos, overdrafts y balances Oráculo-RGI"/>
    <s v="oraculo_features_rgi"/>
    <d v="2025-10-20T15:46:07"/>
    <d v="2025-10-29T13:06:22"/>
    <s v="ANALÍTICO"/>
    <s v="DEFINICIÓN"/>
    <s v=""/>
    <s v="C360_Team_Integration"/>
    <s v="Medium"/>
    <s v="CERRADO"/>
    <s v=""/>
    <x v="1"/>
    <x v="3"/>
    <d v="2025-10-20T15:46:07"/>
    <d v="2025-10-29T13:06:22"/>
    <s v="Externo"/>
    <n v="43"/>
    <d v="2025-10-20T00:00:00"/>
    <n v="44"/>
    <d v="2025-10-27T00:00:00"/>
    <n v="8.8890717245376436"/>
    <n v="2025"/>
    <n v="2025"/>
    <s v="2025-10"/>
    <s v="2025-10"/>
  </r>
  <r>
    <s v="ESPC360-21538"/>
    <s v="[C360-Dinero Nuevo]-cliente F15121555 "/>
    <s v="smartdata_new_funds"/>
    <d v="2025-10-21T14:05:25"/>
    <d v="2025-10-22T10:17:02"/>
    <s v="ANALÍTICO"/>
    <s v="SOPORTE"/>
    <s v=""/>
    <s v="C360_Team_Mtto"/>
    <s v="Medium"/>
    <s v="CERRADO"/>
    <s v=""/>
    <x v="1"/>
    <x v="5"/>
    <d v="2025-10-21T14:05:25"/>
    <d v="2025-10-22T10:17:02"/>
    <s v="Externo"/>
    <n v="43"/>
    <d v="2025-10-20T00:00:00"/>
    <n v="43"/>
    <d v="2025-10-20T00:00:00"/>
    <n v="0.84139228009735234"/>
    <n v="2025"/>
    <n v="2025"/>
    <s v="2025-10"/>
    <s v="2025-10"/>
  </r>
  <r>
    <s v="ESPC360-21670"/>
    <s v="[C360-mov_creditcards]-INC059809815-Ejecución con ODATE 20251023"/>
    <s v="mov_creditcards_det"/>
    <d v="2025-10-27T09:07:20"/>
    <d v="2025-10-27T15:50:12"/>
    <s v="ANALÍTICO"/>
    <s v="SOPORTE"/>
    <s v=""/>
    <s v="C360_Team_Mtto"/>
    <s v="Medium"/>
    <s v="CERRADO"/>
    <s v=""/>
    <x v="0"/>
    <x v="5"/>
    <d v="2025-10-27T09:07:20"/>
    <d v="2025-10-27T15:50:12"/>
    <s v="Externo"/>
    <n v="44"/>
    <d v="2025-10-27T00:00:00"/>
    <n v="44"/>
    <d v="2025-10-27T00:00:00"/>
    <n v="0.27977121527510462"/>
    <n v="2025"/>
    <n v="2025"/>
    <s v="2025-10"/>
    <s v="2025-10"/>
  </r>
  <r>
    <s v="ESPC360-21671"/>
    <s v="[C360-mov_transfers_det]-INC059814465-iban_2 vacio"/>
    <s v="mov_transfers_det"/>
    <d v="2025-10-27T09:09:07"/>
    <d v="9999-12-31T10:56:12"/>
    <s v="ANALÍTICO"/>
    <s v="ORIGEN"/>
    <s v=""/>
    <s v="C360_Team_Mtto"/>
    <s v="Medium"/>
    <s v="Blocked"/>
    <s v=""/>
    <x v="0"/>
    <x v="1"/>
    <d v="2025-10-27T09:09:07"/>
    <d v="9999-12-31T10:56:12"/>
    <s v="Externo"/>
    <n v="44"/>
    <d v="2025-10-27T00:00:00"/>
    <n v="53"/>
    <n v="2958468"/>
    <n v="2912508.0743673728"/>
    <n v="2025"/>
    <n v="9999"/>
    <s v="2025-10"/>
    <e v="#VALUE!"/>
  </r>
  <r>
    <s v="ESPC360-21672"/>
    <s v="[C360]-Ejecuciones pendientes semana 20251022"/>
    <s v=""/>
    <d v="2025-10-27T10:29:22"/>
    <d v="2025-10-27T15:51:02"/>
    <s v="ANALÍTICO"/>
    <s v="ORIGEN"/>
    <s v=""/>
    <s v="C360_Team_Mtto"/>
    <s v="Medium"/>
    <s v="CERRADO"/>
    <s v=""/>
    <x v="1"/>
    <x v="1"/>
    <d v="2025-10-27T10:29:22"/>
    <d v="2025-10-27T15:51:02"/>
    <s v="Externo"/>
    <n v="44"/>
    <d v="2025-10-27T00:00:00"/>
    <n v="44"/>
    <d v="2025-10-27T00:00:00"/>
    <n v="0.22337795139173977"/>
    <n v="2025"/>
    <n v="2025"/>
    <s v="2025-10"/>
    <s v="2025-10"/>
  </r>
  <r>
    <s v="ESPC360-21673"/>
    <s v="[C360-santanderGo]-INC059813109-no sale correcto el nombre de esta empresa"/>
    <s v="Santanger GO"/>
    <d v="2025-10-27T11:13:42"/>
    <d v="2025-10-27T17:33:00"/>
    <s v="ANALÍTICO"/>
    <s v="SOPORTE"/>
    <s v=""/>
    <s v="C360_Team_Mtto"/>
    <s v="Medium"/>
    <s v="CERRADO"/>
    <s v=""/>
    <x v="0"/>
    <x v="5"/>
    <d v="2025-10-27T11:13:42"/>
    <d v="2025-10-27T17:33:00"/>
    <s v="Externo"/>
    <n v="44"/>
    <d v="2025-10-27T00:00:00"/>
    <n v="44"/>
    <d v="2025-10-27T00:00:00"/>
    <n v="0.26339571759308456"/>
    <n v="2025"/>
    <n v="2025"/>
    <s v="2025-10"/>
    <s v="2025-10"/>
  </r>
  <r>
    <s v="ESPC360-21690"/>
    <s v="[C360-mov_transfer_det]-variable periodicity_days "/>
    <s v="mov_bills_det;mov_creditcards_det;mov_debitcards_det;mov_transfers_det"/>
    <d v="2025-10-28T13:25:53"/>
    <d v="9999-12-31T10:56:12"/>
    <s v="ANALÍTICO"/>
    <s v="DEFINICIÓN"/>
    <s v=""/>
    <s v="C360_Team_Mtto"/>
    <s v="Medium"/>
    <s v="Tested CERT / TEST"/>
    <s v=""/>
    <x v="0"/>
    <x v="3"/>
    <d v="2025-10-28T13:25:53"/>
    <d v="9999-12-31T10:56:12"/>
    <s v="Externo"/>
    <n v="44"/>
    <d v="2025-10-27T00:00:00"/>
    <n v="53"/>
    <n v="2958468"/>
    <n v="2912506.896056192"/>
    <n v="2025"/>
    <n v="9999"/>
    <s v="2025-10"/>
    <e v="#VALUE!"/>
  </r>
  <r>
    <s v="ESPC360-21725"/>
    <s v="[Dinero nuevo] - Registro no identificado"/>
    <s v=""/>
    <d v="2025-10-30T15:04:03"/>
    <d v="9999-12-31T10:56:12"/>
    <s v="ANALÍTICO"/>
    <s v="Selecciona (ORIGEN/PLANIFICACIÓN/RELANZADO PROCESO/DEFINICIÓN/FUNCIONAL/TÉCNICO/DESARROLLO/PENDIENTE REPROCESO)"/>
    <s v=""/>
    <s v="C360_Analitico_Team_1"/>
    <s v="Medium"/>
    <s v="Upstream Generic State 07"/>
    <s v="C360_Analitico_Sprint 65"/>
    <x v="1"/>
    <x v="6"/>
    <d v="2025-10-30T15:04:03"/>
    <d v="9999-12-31T10:56:12"/>
    <s v="Pendiente clasificar"/>
    <n v="44"/>
    <d v="2025-10-27T00:00:00"/>
    <n v="53"/>
    <n v="2958468"/>
    <n v="2912504.8278804515"/>
    <n v="2025"/>
    <n v="9999"/>
    <s v="2025-10"/>
    <e v="#VALUE!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">
  <r>
    <s v="ESPC360-12632"/>
    <s v="[C360 - mkt_contacts_det] Posibles Duplicados"/>
    <s v="mkt_contacts_det"/>
    <d v="2024-10-22T12:46:10"/>
    <d v="2025-01-22T17:02:30"/>
    <s v="ANALÍTICO"/>
    <s v="DESARROLLO"/>
    <s v=""/>
    <s v=""/>
    <s v="Highest"/>
    <s v="CERRADO"/>
    <s v="C360_Analitico_Sprint 40"/>
    <s v="PRO"/>
    <x v="0"/>
    <d v="2024-10-22T12:46:10"/>
    <d v="2025-01-22T17:02:30"/>
    <s v="Interno"/>
    <n v="43"/>
    <d v="2024-10-21T00:00:00"/>
    <n v="4"/>
    <d v="2025-01-20T00:00:00"/>
    <n v="92.17800627314864"/>
    <n v="2024"/>
    <n v="2025"/>
    <x v="0"/>
    <x v="0"/>
  </r>
  <r>
    <s v="ESPC360-13131"/>
    <s v="[C360 - pos_datagen_pond_tit_d] BUG campo imp_xxx_1d"/>
    <s v="pos_datagen_pond_tit_d"/>
    <d v="2024-11-13T13:11:22"/>
    <d v="2025-01-23T09:48:44"/>
    <s v="ANALÍTICO"/>
    <s v="DESARROLLO"/>
    <s v="pos_datagen_pond_tit_d"/>
    <s v="C360_Analitico_Team_1"/>
    <s v="Medium"/>
    <s v="CERRADO"/>
    <s v="C360_Analitico_Sprint 42"/>
    <s v=""/>
    <x v="0"/>
    <d v="2024-11-13T13:11:22"/>
    <d v="2025-01-23T09:48:44"/>
    <s v="Interno"/>
    <n v="46"/>
    <d v="2024-11-11T00:00:00"/>
    <n v="4"/>
    <d v="2025-01-20T00:00:00"/>
    <n v="70.859286157407041"/>
    <n v="2024"/>
    <n v="2025"/>
    <x v="1"/>
    <x v="0"/>
  </r>
  <r>
    <s v="ESPC360-13309"/>
    <s v="[C360 - mov_bills_det] Concepto vacio"/>
    <s v="mov_bills_det"/>
    <d v="2024-11-18T11:30:08"/>
    <d v="2025-01-28T09:36:10"/>
    <s v="ANALÍTICO"/>
    <s v="ORIGEN"/>
    <s v=""/>
    <s v=""/>
    <s v="Medium"/>
    <s v="CANCELADO"/>
    <s v=""/>
    <s v=""/>
    <x v="1"/>
    <d v="2024-11-18T11:30:08"/>
    <d v="2025-01-28T09:36:10"/>
    <s v="Externo"/>
    <n v="47"/>
    <d v="2024-11-18T00:00:00"/>
    <n v="5"/>
    <d v="2025-01-27T00:00:00"/>
    <n v="70.920863865736465"/>
    <n v="2024"/>
    <n v="2025"/>
    <x v="1"/>
    <x v="0"/>
  </r>
  <r>
    <s v="ESPC360-13363"/>
    <s v="[C360 - intprofile_cli] cnae_calculated mal informado"/>
    <s v="intprofile_cli"/>
    <d v="2024-11-19T10:11:04"/>
    <d v="2025-03-17T10:48:01"/>
    <s v="ANALÍTICO"/>
    <s v="ORIGEN"/>
    <s v="intprofile_cli"/>
    <s v="C360_Analitico_Team_1"/>
    <s v="Medium"/>
    <s v="CERRADO"/>
    <s v="C360_Analitico_Sprint 46"/>
    <s v="PRO"/>
    <x v="1"/>
    <d v="2024-11-19T10:11:04"/>
    <d v="2025-03-17T10:48:01"/>
    <s v="Externo"/>
    <n v="47"/>
    <d v="2024-11-18T00:00:00"/>
    <n v="12"/>
    <d v="2025-03-17T00:00:00"/>
    <n v="118.02566730323451"/>
    <n v="2024"/>
    <n v="2025"/>
    <x v="1"/>
    <x v="1"/>
  </r>
  <r>
    <s v="ESPC360-13375"/>
    <s v="[C360 - Oracle] Tablas Santander GO"/>
    <s v="Santanger GO"/>
    <d v="2024-11-19T15:15:52"/>
    <d v="2025-02-17T16:23:06"/>
    <s v="ANALÍTICO"/>
    <s v="REPROCESO"/>
    <s v=""/>
    <s v=""/>
    <s v="Medium"/>
    <s v="CERRADO"/>
    <s v=""/>
    <s v="PRO"/>
    <x v="2"/>
    <d v="2024-11-19T15:15:52"/>
    <d v="2025-02-17T16:23:06"/>
    <s v="Interno"/>
    <n v="47"/>
    <d v="2024-11-18T00:00:00"/>
    <n v="8"/>
    <d v="2025-02-17T00:00:00"/>
    <n v="90.04668371527805"/>
    <n v="2024"/>
    <n v="2025"/>
    <x v="1"/>
    <x v="2"/>
  </r>
  <r>
    <s v="ESPC360-13377"/>
    <s v="[C360 - mkt_contacts_det] Faltan canales"/>
    <s v="mkt_contacts_det"/>
    <d v="2024-11-19T15:41:49"/>
    <d v="2025-01-22T17:02:46"/>
    <s v="ANALÍTICO"/>
    <s v="REPROCESO"/>
    <s v=""/>
    <s v=""/>
    <s v="Medium"/>
    <s v="CERRADO"/>
    <s v="C360_Analitico_Sprint 40"/>
    <s v="PRO"/>
    <x v="2"/>
    <d v="2024-11-19T15:41:49"/>
    <d v="2025-01-22T17:02:46"/>
    <s v="Interno"/>
    <n v="47"/>
    <d v="2024-11-18T00:00:00"/>
    <n v="4"/>
    <d v="2025-01-20T00:00:00"/>
    <n v="64.056217361110612"/>
    <n v="2024"/>
    <n v="2025"/>
    <x v="1"/>
    <x v="0"/>
  </r>
  <r>
    <s v="ESPC360-13482"/>
    <s v="[C360 - dlge_ssii_ccee_comlay_h.transactional_customerrelationship_det] Mismo full_name"/>
    <s v="transactional_customerrelationship_det"/>
    <d v="2024-11-21T15:52:50"/>
    <d v="2025-03-04T10:51:38"/>
    <s v="ANALÍTICO"/>
    <s v="DESARROLLO"/>
    <s v="transactional_customerrelationship_det"/>
    <s v="C360_Analitico_Team_2"/>
    <s v="Medium"/>
    <s v="CERRADO"/>
    <s v="C360_Analitico_Sprint 42;C360_Analitico_Sprint 43;C360_Analitico_Sprint 44"/>
    <s v=""/>
    <x v="0"/>
    <d v="2024-11-21T15:52:50"/>
    <d v="2025-03-04T10:51:38"/>
    <s v="Interno"/>
    <n v="47"/>
    <d v="2024-11-18T00:00:00"/>
    <n v="10"/>
    <d v="2025-03-03T00:00:00"/>
    <n v="102.79084037036955"/>
    <n v="2024"/>
    <n v="2025"/>
    <x v="1"/>
    <x v="1"/>
  </r>
  <r>
    <s v="ESPC360-13540"/>
    <s v="[ BUG ] - Error de calculo en digitalchannelactivity_datagen_d  indicadores "/>
    <s v="digitalchannelactivity_datagen"/>
    <d v="2024-11-26T15:28:36"/>
    <d v="2025-01-23T09:48:44"/>
    <s v="ANALÍTICO"/>
    <s v="DESARROLLO"/>
    <s v="digitalchannelactivity_datagen_d"/>
    <s v="C360_Analitico_Team_1"/>
    <s v="Medium"/>
    <s v="CERRADO"/>
    <s v="C360_Analitico_Sprint 42"/>
    <s v=""/>
    <x v="0"/>
    <d v="2024-11-26T15:28:36"/>
    <d v="2025-01-23T09:48:44"/>
    <s v="Interno"/>
    <n v="48"/>
    <d v="2024-11-25T00:00:00"/>
    <n v="4"/>
    <d v="2025-01-20T00:00:00"/>
    <n v="57.763978402777866"/>
    <n v="2024"/>
    <n v="2025"/>
    <x v="1"/>
    <x v="0"/>
  </r>
  <r>
    <s v="ESPC360-13557"/>
    <s v="[C360 - customer_360] fec_captacion entero a nulos."/>
    <s v="customer_360"/>
    <d v="2024-11-28T09:23:28"/>
    <d v="2025-02-26T09:45:58"/>
    <s v="ANALÍTICO"/>
    <s v="DESARROLLO"/>
    <s v=""/>
    <s v="C360_Analitico_Team_1"/>
    <s v="Medium"/>
    <s v="CERRADO"/>
    <s v="C360_Analitico_Sprint 45"/>
    <s v="PRO"/>
    <x v="0"/>
    <d v="2024-11-28T09:23:28"/>
    <d v="2025-02-26T09:45:58"/>
    <s v="Interno"/>
    <n v="48"/>
    <d v="2024-11-25T00:00:00"/>
    <n v="9"/>
    <d v="2025-02-24T00:00:00"/>
    <n v="90.015617129633029"/>
    <n v="2024"/>
    <n v="2025"/>
    <x v="1"/>
    <x v="2"/>
  </r>
  <r>
    <s v="ESPC360-13803"/>
    <s v="[BUG] - Réplicas Datagen en Databricks"/>
    <s v="datagen_xxx"/>
    <d v="2024-12-02T14:59:23"/>
    <d v="2025-04-07T15:06:03"/>
    <s v="ANALÍTICO"/>
    <s v="REPROCESO"/>
    <s v=""/>
    <s v=""/>
    <s v="Medium"/>
    <s v="CANCELADO"/>
    <s v=""/>
    <s v=""/>
    <x v="2"/>
    <d v="2024-12-02T14:59:23"/>
    <d v="2025-04-07T15:06:03"/>
    <s v="Interno"/>
    <n v="49"/>
    <d v="2024-12-02T00:00:00"/>
    <n v="15"/>
    <d v="2025-04-07T00:00:00"/>
    <n v="126.00463061342452"/>
    <n v="2024"/>
    <n v="2025"/>
    <x v="2"/>
    <x v="3"/>
  </r>
  <r>
    <s v="ESPC360-13804"/>
    <s v="[BUG] - Error generación Datagen mes de noviembre"/>
    <s v="datagen_xxx"/>
    <d v="2024-12-02T15:06:15"/>
    <d v="2025-04-07T15:07:26"/>
    <s v="ANALÍTICO"/>
    <s v="REPROCESO"/>
    <s v=""/>
    <s v=""/>
    <s v="Medium"/>
    <s v="CERRADO"/>
    <s v=""/>
    <s v=""/>
    <x v="2"/>
    <d v="2024-12-02T15:06:15"/>
    <d v="2025-04-07T15:07:26"/>
    <s v="Interno"/>
    <n v="49"/>
    <d v="2024-12-02T00:00:00"/>
    <n v="15"/>
    <d v="2025-04-07T00:00:00"/>
    <n v="126.00081844907254"/>
    <n v="2024"/>
    <n v="2025"/>
    <x v="2"/>
    <x v="3"/>
  </r>
  <r>
    <s v="ESPC360-13805"/>
    <s v="[BUG] - Faltan particiones en Datagen"/>
    <s v="customerrelationship_enterprise_datagen;datagen_xxx"/>
    <d v="2024-12-02T15:13:52"/>
    <d v="2025-04-15T09:38:16"/>
    <s v="ANALÍTICO"/>
    <s v="REPROCESO"/>
    <s v=""/>
    <s v="C360_Team_Integration"/>
    <s v="Medium"/>
    <s v="CERRADO"/>
    <s v=""/>
    <s v=""/>
    <x v="2"/>
    <d v="2024-12-02T15:13:52"/>
    <d v="2025-04-15T09:38:16"/>
    <s v="Interno"/>
    <n v="49"/>
    <d v="2024-12-02T00:00:00"/>
    <n v="16"/>
    <d v="2025-04-14T00:00:00"/>
    <n v="133.76694100694294"/>
    <n v="2024"/>
    <n v="2025"/>
    <x v="2"/>
    <x v="3"/>
  </r>
  <r>
    <s v="ESPC360-13825"/>
    <s v="[C360 - mov_transfers_det] Concepto vacío"/>
    <s v="mov_transfers_det"/>
    <d v="2024-12-04T13:06:28"/>
    <d v="2025-01-28T09:38:51"/>
    <s v="ANALÍTICO"/>
    <s v="ORIGEN"/>
    <s v=""/>
    <s v=""/>
    <s v="Medium"/>
    <s v="CANCELADO"/>
    <s v=""/>
    <s v=""/>
    <x v="1"/>
    <d v="2024-12-04T13:06:28"/>
    <d v="2025-01-28T09:38:51"/>
    <s v="Externo"/>
    <n v="49"/>
    <d v="2024-12-02T00:00:00"/>
    <n v="5"/>
    <d v="2025-01-27T00:00:00"/>
    <n v="54.855813969901646"/>
    <n v="2024"/>
    <n v="2025"/>
    <x v="2"/>
    <x v="0"/>
  </r>
  <r>
    <s v="ESPC360-13831"/>
    <s v="[C360 - mov_bills_det] Variable iban_1 vacío al igual que iban_2"/>
    <s v="mov_bills_det"/>
    <d v="2024-12-04T14:48:18"/>
    <d v="2025-01-28T09:36:58"/>
    <s v="ANALÍTICO"/>
    <s v="ORIGEN"/>
    <s v=""/>
    <s v=""/>
    <s v="Medium"/>
    <s v="CANCELADO"/>
    <s v=""/>
    <s v=""/>
    <x v="1"/>
    <d v="2024-12-04T14:48:18"/>
    <d v="2025-01-28T09:36:58"/>
    <s v="Externo"/>
    <n v="49"/>
    <d v="2024-12-02T00:00:00"/>
    <n v="5"/>
    <d v="2025-01-27T00:00:00"/>
    <n v="54.783793923612393"/>
    <n v="2024"/>
    <n v="2025"/>
    <x v="2"/>
    <x v="0"/>
  </r>
  <r>
    <s v="ESPC360-13965"/>
    <s v="errores en fichero de feature_changes generado en el proceso_12_Ejecución_Controles"/>
    <s v="CDO"/>
    <d v="2024-12-11T16:54:53"/>
    <d v="2025-01-16T13:05:19"/>
    <s v="ANALÍTICO"/>
    <s v="ORIGEN"/>
    <s v=""/>
    <s v="C360_Analitico_Team_1"/>
    <s v="Medium"/>
    <s v="CERRADO"/>
    <s v="C360_Analitico_Sprint 42"/>
    <s v=""/>
    <x v="1"/>
    <d v="2024-12-11T16:54:53"/>
    <d v="2025-01-16T13:05:19"/>
    <s v="Externo"/>
    <n v="50"/>
    <d v="2024-12-09T00:00:00"/>
    <n v="3"/>
    <d v="2025-01-13T00:00:00"/>
    <n v="35.840579548610549"/>
    <n v="2024"/>
    <n v="2025"/>
    <x v="2"/>
    <x v="0"/>
  </r>
  <r>
    <s v="ESPC360-14082"/>
    <s v="[BUG Eventos] Volumetrías dispares PRE vs PRO"/>
    <s v="Hechos relevantes"/>
    <d v="2024-12-12T16:53:10"/>
    <d v="2025-03-18T13:44:00"/>
    <s v="ANALÍTICO"/>
    <s v="ORIGEN"/>
    <s v=""/>
    <s v="C360_Team_Integration"/>
    <s v="Medium"/>
    <s v="CERRADO"/>
    <s v=""/>
    <s v="PRO"/>
    <x v="1"/>
    <d v="2024-12-12T16:53:10"/>
    <d v="2025-03-18T13:44:00"/>
    <s v="Externo"/>
    <n v="50"/>
    <d v="2024-12-09T00:00:00"/>
    <n v="12"/>
    <d v="2025-03-17T00:00:00"/>
    <n v="95.868640682871046"/>
    <n v="2024"/>
    <n v="2025"/>
    <x v="2"/>
    <x v="1"/>
  </r>
  <r>
    <s v="ESPC360-14089"/>
    <s v="[C360 - mov_accounts_det] Variable concept vacía"/>
    <s v="mov_accounts_det"/>
    <d v="2024-12-16T15:07:58"/>
    <d v="2025-04-07T15:10:34"/>
    <s v="ANALÍTICO"/>
    <s v="REPROCESO"/>
    <s v=""/>
    <s v=""/>
    <s v="Highest"/>
    <s v="CANCELADO"/>
    <s v=""/>
    <s v=""/>
    <x v="2"/>
    <d v="2024-12-16T15:07:58"/>
    <d v="2025-04-07T15:10:34"/>
    <s v="Interno"/>
    <n v="51"/>
    <d v="2024-12-16T00:00:00"/>
    <n v="15"/>
    <d v="2025-04-07T00:00:00"/>
    <n v="112.00180217592424"/>
    <n v="2024"/>
    <n v="2025"/>
    <x v="2"/>
    <x v="3"/>
  </r>
  <r>
    <s v="ESPC360-14097"/>
    <s v="Santander GO Funcionalidad Bizum errónea"/>
    <s v="Santanger GO"/>
    <d v="2024-12-18T09:36:26"/>
    <d v="2025-01-24T10:20:56"/>
    <s v="ANALÍTICO"/>
    <s v="DESARROLLO"/>
    <s v=""/>
    <s v="C360_Team_Mtto"/>
    <s v="Medium"/>
    <s v="CERRADO"/>
    <s v=""/>
    <s v=""/>
    <x v="0"/>
    <d v="2024-12-18T09:36:26"/>
    <d v="2025-01-24T10:20:56"/>
    <s v="Interno"/>
    <n v="51"/>
    <d v="2024-12-16T00:00:00"/>
    <n v="4"/>
    <d v="2025-01-20T00:00:00"/>
    <n v="37.030900347221177"/>
    <n v="2024"/>
    <n v="2025"/>
    <x v="2"/>
    <x v="0"/>
  </r>
  <r>
    <s v="ESPC360-14103"/>
    <s v="[C360 - mov_creditcards_det] Registros con customer_id a NULL"/>
    <s v="mov_creditcards_det"/>
    <d v="2024-12-18T15:28:36"/>
    <d v="2025-04-07T15:12:43"/>
    <s v="ANALÍTICO"/>
    <s v="REPROCESO"/>
    <s v=""/>
    <s v=""/>
    <s v="Medium"/>
    <s v="CERRADO"/>
    <s v=""/>
    <s v=""/>
    <x v="2"/>
    <d v="2024-12-18T15:28:36"/>
    <d v="2025-04-07T15:12:43"/>
    <s v="Interno"/>
    <n v="51"/>
    <d v="2024-12-16T00:00:00"/>
    <n v="15"/>
    <d v="2025-04-07T00:00:00"/>
    <n v="109.98897643518285"/>
    <n v="2024"/>
    <n v="2025"/>
    <x v="2"/>
    <x v="3"/>
  </r>
  <r>
    <s v="ESPC360-14106"/>
    <s v="Santander GO. Funcionalidad Pago móvil y Pago ecommerce errónea"/>
    <s v=""/>
    <d v="2024-12-19T09:48:23"/>
    <d v="2025-02-10T16:27:29"/>
    <s v="ANALÍTICO"/>
    <s v="REPROCESO"/>
    <s v=""/>
    <s v=""/>
    <s v="Medium"/>
    <s v="CERRADO"/>
    <s v=""/>
    <s v=""/>
    <x v="2"/>
    <d v="2024-12-19T09:48:23"/>
    <d v="2025-02-10T16:27:29"/>
    <s v="Interno"/>
    <n v="51"/>
    <d v="2024-12-16T00:00:00"/>
    <n v="7"/>
    <d v="2025-02-10T00:00:00"/>
    <n v="53.277153738425113"/>
    <n v="2024"/>
    <n v="2025"/>
    <x v="2"/>
    <x v="2"/>
  </r>
  <r>
    <s v="ESPC360-14124"/>
    <s v="[C360 mov_debitcards_det] Faltan movimientos pagos móvil"/>
    <s v="mov_debitcards_det"/>
    <d v="2024-12-20T09:14:20"/>
    <d v="2025-04-07T15:13:06"/>
    <s v="ANALÍTICO"/>
    <s v="REPROCESO"/>
    <s v=""/>
    <s v=""/>
    <s v="Medium"/>
    <s v="CERRADO"/>
    <s v=""/>
    <s v=""/>
    <x v="2"/>
    <d v="2024-12-20T09:14:20"/>
    <d v="2025-04-07T15:13:06"/>
    <s v="Interno"/>
    <n v="51"/>
    <d v="2024-12-16T00:00:00"/>
    <n v="15"/>
    <d v="2025-04-07T00:00:00"/>
    <n v="108.24914371527848"/>
    <n v="2024"/>
    <n v="2025"/>
    <x v="2"/>
    <x v="3"/>
  </r>
  <r>
    <s v="ESPC360-14158"/>
    <s v="[C360 - mkt_success_det] No se registran éxitos de producciones de créditos"/>
    <s v="mkt_success_det"/>
    <d v="2024-12-24T11:05:19"/>
    <d v="2025-04-10T09:53:58"/>
    <s v="ANALÍTICO"/>
    <s v="DEFINICIÓN"/>
    <s v=""/>
    <s v="C360_Analitico_Team_2"/>
    <s v="Medium"/>
    <s v="CERRADO"/>
    <s v="C360_Analitico_Sprint 45;C360_Analitico_Sprint 46"/>
    <s v="PRO"/>
    <x v="3"/>
    <d v="2024-12-24T11:05:19"/>
    <d v="2025-04-10T09:53:58"/>
    <s v="Externo"/>
    <n v="52"/>
    <d v="2024-12-23T00:00:00"/>
    <n v="15"/>
    <d v="2025-04-07T00:00:00"/>
    <n v="106.95045609954104"/>
    <n v="2024"/>
    <n v="2025"/>
    <x v="2"/>
    <x v="3"/>
  </r>
  <r>
    <s v="ESPC360-14160"/>
    <s v="[C360 - mkt_success_det] No se registran éxitos de Financiación Total"/>
    <s v="mkt_success_det"/>
    <d v="2024-12-24T11:51:53"/>
    <d v="2025-03-17T09:52:10"/>
    <s v="ANALÍTICO"/>
    <s v="FUNCIONAL"/>
    <s v=""/>
    <s v="C360_Analitico_Team_2"/>
    <s v="Medium"/>
    <s v="CANCELADO"/>
    <s v=""/>
    <s v="PRO"/>
    <x v="4"/>
    <d v="2024-12-24T11:51:53"/>
    <d v="2025-03-17T09:52:10"/>
    <s v="Interno"/>
    <n v="52"/>
    <d v="2024-12-23T00:00:00"/>
    <n v="12"/>
    <d v="2025-03-17T00:00:00"/>
    <n v="82.916858958335069"/>
    <n v="2024"/>
    <n v="2025"/>
    <x v="2"/>
    <x v="1"/>
  </r>
  <r>
    <s v="ESPC360-14172"/>
    <s v="[C360 - mkt_success_det] Volumetría irregular éxito aportación planes"/>
    <s v="mkt_success_det"/>
    <d v="2024-12-31T12:46:17"/>
    <d v="2025-03-03T16:21:16"/>
    <s v="ANALÍTICO"/>
    <s v="DESARROLLO"/>
    <s v="mkt_success_det"/>
    <s v="C360_Analitico_Team_2"/>
    <s v="Medium"/>
    <s v="CERRADO"/>
    <s v="C360_Analitico_Sprint 45"/>
    <s v="PRO"/>
    <x v="0"/>
    <d v="2024-12-31T12:46:17"/>
    <d v="2025-03-03T16:21:16"/>
    <s v="Interno"/>
    <n v="53"/>
    <d v="2024-12-30T00:00:00"/>
    <n v="10"/>
    <d v="2025-03-03T00:00:00"/>
    <n v="62.149291585643368"/>
    <n v="2024"/>
    <n v="2025"/>
    <x v="2"/>
    <x v="1"/>
  </r>
  <r>
    <s v="ESPC360-14862"/>
    <s v="[INC050600310] - Agenda Financiera, aparece &quot;null&quot; en el encabezado del movimiento"/>
    <s v="agenda financiera"/>
    <d v="2025-01-22T13:03:15"/>
    <d v="2025-01-27T18:05:00"/>
    <s v="ANALÍTICO"/>
    <s v="SOPORTE"/>
    <s v=""/>
    <s v=""/>
    <s v="Medium"/>
    <s v="CERRADO"/>
    <s v=""/>
    <s v="PRO"/>
    <x v="5"/>
    <d v="2025-01-22T13:03:15"/>
    <d v="2025-01-27T18:05:00"/>
    <s v="Externo"/>
    <n v="4"/>
    <d v="2025-01-20T00:00:00"/>
    <n v="5"/>
    <d v="2025-01-27T00:00:00"/>
    <n v="5.2095556134299841"/>
    <n v="2025"/>
    <n v="2025"/>
    <x v="3"/>
    <x v="0"/>
  </r>
  <r>
    <s v="ESPC360-14863"/>
    <s v="[PRO] INC050611283 - Tabla 'customerrelationship_enterprise_datagen' en databricks no se puede acceder"/>
    <s v="customerrelationship_enterprise_datagen"/>
    <d v="2025-01-22T17:14:31"/>
    <d v="2025-01-28T12:18:01"/>
    <s v="ANALÍTICO"/>
    <s v="SOPORTE"/>
    <s v=""/>
    <s v=""/>
    <s v="Medium"/>
    <s v="CERRADO"/>
    <s v=""/>
    <s v="PRO"/>
    <x v="5"/>
    <d v="2025-01-22T17:14:31"/>
    <d v="2025-01-28T12:18:01"/>
    <s v="Externo"/>
    <n v="4"/>
    <d v="2025-01-20T00:00:00"/>
    <n v="5"/>
    <d v="2025-01-27T00:00:00"/>
    <n v="5.7940910416655242"/>
    <n v="2025"/>
    <n v="2025"/>
    <x v="3"/>
    <x v="0"/>
  </r>
  <r>
    <s v="ESPC360-14883"/>
    <s v="[PRO] INC050636354 - La tabla channelactivity_digitalnavigaion_det no se actualiza desde noviembre en databricks"/>
    <s v="channelactivity_digitalnavigation_det"/>
    <d v="2025-01-23T11:02:45"/>
    <d v="2025-01-30T11:56:11"/>
    <s v="ANALÍTICO"/>
    <s v="SOPORTE"/>
    <s v=""/>
    <s v=""/>
    <s v="Medium"/>
    <s v="CERRADO"/>
    <s v=""/>
    <s v="PRO"/>
    <x v="5"/>
    <d v="2025-01-23T11:02:45"/>
    <d v="2025-01-30T11:56:11"/>
    <s v="Externo"/>
    <n v="4"/>
    <d v="2025-01-20T00:00:00"/>
    <n v="5"/>
    <d v="2025-01-27T00:00:00"/>
    <n v="7.03711251157074"/>
    <n v="2025"/>
    <n v="2025"/>
    <x v="3"/>
    <x v="0"/>
  </r>
  <r>
    <s v="ESPC360-14884"/>
    <s v="[PRO] INC050636479 - Retraso en las tablas"/>
    <s v=""/>
    <d v="2025-01-23T11:27:15"/>
    <d v="2025-01-30T11:57:22"/>
    <s v="ANALÍTICO"/>
    <s v="SOPORTE"/>
    <s v=""/>
    <s v=""/>
    <s v="Medium"/>
    <s v="CERRADO"/>
    <s v=""/>
    <s v="PRO"/>
    <x v="5"/>
    <d v="2025-01-23T11:27:15"/>
    <d v="2025-01-30T11:57:22"/>
    <s v="Externo"/>
    <n v="4"/>
    <d v="2025-01-20T00:00:00"/>
    <n v="5"/>
    <d v="2025-01-27T00:00:00"/>
    <n v="7.0209241898119217"/>
    <n v="2025"/>
    <n v="2025"/>
    <x v="3"/>
    <x v="0"/>
  </r>
  <r>
    <s v="ESPC360-15046"/>
    <s v="[BUG Eventos] No se registran eventos de tarjetas"/>
    <s v="Hechos relevantes"/>
    <d v="2025-01-28T10:19:38"/>
    <d v="2025-02-26T16:42:05"/>
    <s v="ANALÍTICO"/>
    <s v="DESARROLLO"/>
    <s v=""/>
    <s v="C360_Analitico_Team_2"/>
    <s v="Medium"/>
    <s v="CERRADO"/>
    <s v="C360_Analitico_Sprint 46"/>
    <s v="PRO"/>
    <x v="0"/>
    <d v="2025-01-28T10:19:38"/>
    <d v="2025-02-26T16:42:05"/>
    <s v="Interno"/>
    <n v="5"/>
    <d v="2025-01-27T00:00:00"/>
    <n v="9"/>
    <d v="2025-02-24T00:00:00"/>
    <n v="29.265591770832543"/>
    <n v="2025"/>
    <n v="2025"/>
    <x v="3"/>
    <x v="2"/>
  </r>
  <r>
    <s v="ESPC360-15069"/>
    <s v="[CDL_MODELOS Features Models RGI] - Ajustes finales"/>
    <s v="oraculo_features_rgi"/>
    <d v="2025-01-29T10:14:13"/>
    <d v="2025-02-18T16:10:25"/>
    <s v="ANALÍTICO"/>
    <s v="DESARROLLO"/>
    <s v=""/>
    <s v="C360_Analitico_Team_2"/>
    <s v="Highest"/>
    <s v="CERRADO"/>
    <s v="C360_Analitico_Sprint 45"/>
    <s v=""/>
    <x v="0"/>
    <d v="2025-01-29T10:14:13"/>
    <d v="2025-02-18T16:10:25"/>
    <s v="Interno"/>
    <n v="5"/>
    <d v="2025-01-27T00:00:00"/>
    <n v="8"/>
    <d v="2025-02-17T00:00:00"/>
    <n v="20.247367164352909"/>
    <n v="2025"/>
    <n v="2025"/>
    <x v="3"/>
    <x v="2"/>
  </r>
  <r>
    <s v="ESPC360-15408"/>
    <s v="[BUG Eventos] Ejecución - Pymes Primer pago confirming en competencia 6 meses"/>
    <s v="Hechos relevantes"/>
    <d v="2025-01-31T11:16:58"/>
    <d v="2025-02-25T08:08:06"/>
    <s v="ANALÍTICO"/>
    <s v="DESARROLLO"/>
    <s v=""/>
    <s v=""/>
    <s v="Medium"/>
    <s v="CERRADO"/>
    <s v=""/>
    <s v=""/>
    <x v="0"/>
    <d v="2025-01-31T11:16:58"/>
    <d v="2025-02-25T08:08:06"/>
    <s v="Interno"/>
    <n v="5"/>
    <d v="2025-01-27T00:00:00"/>
    <n v="9"/>
    <d v="2025-02-24T00:00:00"/>
    <n v="24.868849907405092"/>
    <n v="2025"/>
    <n v="2025"/>
    <x v="3"/>
    <x v="2"/>
  </r>
  <r>
    <s v="ESPC360-15447"/>
    <s v="[C360 - eventos] Fallo en el proceso de silverización de la tabla events"/>
    <s v="Hechos relevantes"/>
    <d v="2025-02-04T16:08:05"/>
    <d v="2025-02-11T17:31:41"/>
    <s v="ANALÍTICO"/>
    <s v="SOPORTE"/>
    <s v=""/>
    <s v=""/>
    <s v="High"/>
    <s v="CERRADO"/>
    <s v=""/>
    <s v=""/>
    <x v="5"/>
    <d v="2025-02-04T16:08:05"/>
    <d v="2025-02-11T17:31:41"/>
    <s v="Externo"/>
    <n v="6"/>
    <d v="2025-02-03T00:00:00"/>
    <n v="7"/>
    <d v="2025-02-10T00:00:00"/>
    <n v="7.0580510300933383"/>
    <n v="2025"/>
    <n v="2025"/>
    <x v="4"/>
    <x v="2"/>
  </r>
  <r>
    <s v="ESPC360-15628"/>
    <s v="[C360 - customer_360] Número empleado del gestor a NULL"/>
    <s v="intprofile_cli"/>
    <d v="2025-02-10T09:24:51"/>
    <d v="2025-02-27T09:43:49"/>
    <s v="ANALÍTICO"/>
    <s v="FUNCIONAL"/>
    <s v="intprofile_cli; customer_360"/>
    <s v=""/>
    <s v="Medium"/>
    <s v="CERRADO"/>
    <s v=""/>
    <s v=""/>
    <x v="4"/>
    <d v="2025-02-10T09:24:51"/>
    <d v="2025-02-27T09:43:49"/>
    <s v="Interno"/>
    <n v="7"/>
    <d v="2025-02-10T00:00:00"/>
    <n v="9"/>
    <d v="2025-02-24T00:00:00"/>
    <n v="17.013170763886592"/>
    <n v="2025"/>
    <n v="2025"/>
    <x v="4"/>
    <x v="2"/>
  </r>
  <r>
    <s v="ESPC360-15697"/>
    <s v="[C360 - mkt_contacts_det] Misma Operativa en distinta operativa"/>
    <s v="mkt_contacts_det"/>
    <d v="2025-02-11T17:37:08"/>
    <d v="2025-02-17T15:28:54"/>
    <s v="ANALÍTICO"/>
    <s v="FUNCIONAL"/>
    <s v="mkt_contacts_det"/>
    <s v=""/>
    <s v="Highest"/>
    <s v="CERRADO"/>
    <s v=""/>
    <s v=""/>
    <x v="4"/>
    <d v="2025-02-11T17:37:08"/>
    <d v="2025-02-17T15:28:54"/>
    <s v="Interno"/>
    <n v="7"/>
    <d v="2025-02-10T00:00:00"/>
    <n v="8"/>
    <d v="2025-02-17T00:00:00"/>
    <n v="5.910952708334662"/>
    <n v="2025"/>
    <n v="2025"/>
    <x v="4"/>
    <x v="2"/>
  </r>
  <r>
    <s v="ESPC360-15716"/>
    <s v="[CDL_MODELOS Features Models RGI] - Ajustes de campos y validaciones "/>
    <s v="oraculo_features_rgi"/>
    <d v="2025-02-12T16:11:22"/>
    <d v="2025-03-06T16:27:56"/>
    <s v="ANALÍTICO"/>
    <s v="DESARROLLO"/>
    <s v=""/>
    <s v="C360_Analitico_Team_2"/>
    <s v="Medium"/>
    <s v="CERRADO"/>
    <s v="C360_Analitico_Sprint 46"/>
    <s v=""/>
    <x v="0"/>
    <d v="2025-02-12T16:11:22"/>
    <d v="2025-03-06T16:27:56"/>
    <s v="Interno"/>
    <n v="7"/>
    <d v="2025-02-10T00:00:00"/>
    <n v="10"/>
    <d v="2025-03-03T00:00:00"/>
    <n v="22.011509224532347"/>
    <n v="2025"/>
    <n v="2025"/>
    <x v="4"/>
    <x v="1"/>
  </r>
  <r>
    <s v="ESPC360-15961"/>
    <s v="[C360 - datagen_sociodemo] INC051498015 Tabla datagen_sociodemo viene a nulo en el 2024"/>
    <s v="datagen_sociodemo"/>
    <d v="2025-02-17T16:21:31"/>
    <d v="2025-02-25T09:31:14"/>
    <s v="ANALÍTICO"/>
    <s v="REPROCESO"/>
    <s v=""/>
    <s v=""/>
    <s v="Highest"/>
    <s v="CERRADO"/>
    <s v=""/>
    <s v="PRO"/>
    <x v="2"/>
    <d v="2025-02-17T16:21:31"/>
    <d v="2025-02-25T09:31:14"/>
    <s v="Interno"/>
    <n v="8"/>
    <d v="2025-02-17T00:00:00"/>
    <n v="9"/>
    <d v="2025-02-24T00:00:00"/>
    <n v="7.7150827893565292"/>
    <n v="2025"/>
    <n v="2025"/>
    <x v="4"/>
    <x v="2"/>
  </r>
  <r>
    <s v="ESPC360-16140"/>
    <s v="[CDL_MODELOS Features Models RGI] - Ajustes arquetipos"/>
    <s v="oraculo_features_rgi"/>
    <d v="2025-02-21T07:24:25"/>
    <d v="2025-03-06T16:27:56"/>
    <s v="ANALÍTICO"/>
    <s v="DESARROLLO"/>
    <s v=""/>
    <s v="C360_Analitico_Team_2"/>
    <s v="Highest"/>
    <s v="CERRADO"/>
    <s v="C360_Analitico_Sprint 46"/>
    <s v=""/>
    <x v="0"/>
    <d v="2025-02-21T07:24:25"/>
    <d v="2025-03-06T16:27:56"/>
    <s v="Interno"/>
    <n v="8"/>
    <d v="2025-02-17T00:00:00"/>
    <n v="10"/>
    <d v="2025-03-03T00:00:00"/>
    <n v="13.377434803245706"/>
    <n v="2025"/>
    <n v="2025"/>
    <x v="4"/>
    <x v="1"/>
  </r>
  <r>
    <s v="ESPC360-16141"/>
    <s v="[CDL_MODELOS Features Models RGI] - Ajustes saldos"/>
    <s v="oraculo_features_rgi"/>
    <d v="2025-02-21T07:25:13"/>
    <d v="2025-03-06T16:27:56"/>
    <s v="ANALÍTICO"/>
    <s v="DESARROLLO"/>
    <s v=""/>
    <s v="C360_Analitico_Team_2"/>
    <s v="Highest"/>
    <s v="CERRADO"/>
    <s v="C360_Analitico_Sprint 46"/>
    <s v=""/>
    <x v="0"/>
    <d v="2025-02-21T07:25:13"/>
    <d v="2025-03-06T16:27:56"/>
    <s v="Interno"/>
    <n v="8"/>
    <d v="2025-02-17T00:00:00"/>
    <n v="10"/>
    <d v="2025-03-03T00:00:00"/>
    <n v="13.376885474543087"/>
    <n v="2025"/>
    <n v="2025"/>
    <x v="4"/>
    <x v="1"/>
  </r>
  <r>
    <s v="ESPC360-16142"/>
    <s v="[CDL_MODELOS Features Models RGI] - Ajustes red_leg_interv"/>
    <s v="oraculo_features_rgi"/>
    <d v="2025-02-21T07:26:19"/>
    <d v="2025-03-06T16:27:56"/>
    <s v="ANALÍTICO"/>
    <s v="DESARROLLO"/>
    <s v=""/>
    <s v="C360_Analitico_Team_2"/>
    <s v="Highest"/>
    <s v="CERRADO"/>
    <s v="C360_Analitico_Sprint 46"/>
    <s v=""/>
    <x v="0"/>
    <d v="2025-02-21T07:26:19"/>
    <d v="2025-03-06T16:27:56"/>
    <s v="Interno"/>
    <n v="8"/>
    <d v="2025-02-17T00:00:00"/>
    <n v="10"/>
    <d v="2025-03-03T00:00:00"/>
    <n v="13.376118541666074"/>
    <n v="2025"/>
    <n v="2025"/>
    <x v="4"/>
    <x v="1"/>
  </r>
  <r>
    <s v="ESPC360-16143"/>
    <s v="[CDL_MODELOS Features Models RGI] - Ajustes incumplimientos"/>
    <s v="oraculo_features_rgi"/>
    <d v="2025-02-21T07:27:01"/>
    <d v="2025-03-06T16:27:55"/>
    <s v="ANALÍTICO"/>
    <s v="DESARROLLO"/>
    <s v=""/>
    <s v="C360_Analitico_Team_2"/>
    <s v="Highest"/>
    <s v="CERRADO"/>
    <s v="C360_Analitico_Sprint 46"/>
    <s v=""/>
    <x v="0"/>
    <d v="2025-02-21T07:27:01"/>
    <d v="2025-03-06T16:27:55"/>
    <s v="Interno"/>
    <n v="8"/>
    <d v="2025-02-17T00:00:00"/>
    <n v="10"/>
    <d v="2025-03-03T00:00:00"/>
    <n v="13.37562921296194"/>
    <n v="2025"/>
    <n v="2025"/>
    <x v="4"/>
    <x v="1"/>
  </r>
  <r>
    <s v="ESPC360-16144"/>
    <s v="[CDL_MODELOS Features Models RGI] - Ajustes medias"/>
    <s v="oraculo_features_rgi"/>
    <d v="2025-02-21T07:28:18"/>
    <d v="2025-03-06T16:27:55"/>
    <s v="ANALÍTICO"/>
    <s v="DESARROLLO"/>
    <s v=""/>
    <s v="C360_Analitico_Team_2"/>
    <s v="Highest"/>
    <s v="CERRADO"/>
    <s v="C360_Analitico_Sprint 46"/>
    <s v=""/>
    <x v="0"/>
    <d v="2025-02-21T07:28:18"/>
    <d v="2025-03-06T16:27:55"/>
    <s v="Interno"/>
    <n v="8"/>
    <d v="2025-02-17T00:00:00"/>
    <n v="10"/>
    <d v="2025-03-03T00:00:00"/>
    <n v="13.374737870370154"/>
    <n v="2025"/>
    <n v="2025"/>
    <x v="4"/>
    <x v="1"/>
  </r>
  <r>
    <s v="ESPC360-16145"/>
    <s v="[CDL_MODELOS Features Models RGI] - Ajustes en garantias"/>
    <s v="oraculo_features_rgi"/>
    <d v="2025-02-21T07:28:51"/>
    <d v="2025-03-06T16:27:55"/>
    <s v="ANALÍTICO"/>
    <s v="DESARROLLO"/>
    <s v=""/>
    <s v="C360_Analitico_Team_2"/>
    <s v="Highest"/>
    <s v="CERRADO"/>
    <s v="C360_Analitico_Sprint 46"/>
    <s v=""/>
    <x v="0"/>
    <d v="2025-02-21T07:28:51"/>
    <d v="2025-03-06T16:27:55"/>
    <s v="Interno"/>
    <n v="8"/>
    <d v="2025-02-17T00:00:00"/>
    <n v="10"/>
    <d v="2025-03-03T00:00:00"/>
    <n v="13.374351122685766"/>
    <n v="2025"/>
    <n v="2025"/>
    <x v="4"/>
    <x v="1"/>
  </r>
  <r>
    <s v="ESPC360-16211"/>
    <s v="[C360 - documents_det] INC051752360 Duplicados en la tabla documents_det"/>
    <s v="documents_det"/>
    <d v="2025-02-25T09:37:19"/>
    <d v="2025-04-02T10:37:29"/>
    <s v="ANALÍTICO"/>
    <s v="DESARROLLO"/>
    <s v=""/>
    <s v="C360_Analitico_Team_1"/>
    <s v="Medium"/>
    <s v="CERRADO"/>
    <s v="C360_Analitico_Sprint 48"/>
    <s v="PRO"/>
    <x v="0"/>
    <d v="2025-02-25T09:37:19"/>
    <d v="2025-04-02T10:37:29"/>
    <s v="Interno"/>
    <n v="9"/>
    <d v="2025-02-24T00:00:00"/>
    <n v="14"/>
    <d v="2025-03-31T00:00:00"/>
    <n v="36.041786898145801"/>
    <n v="2025"/>
    <n v="2025"/>
    <x v="4"/>
    <x v="1"/>
  </r>
  <r>
    <s v="ESPC360-16216"/>
    <s v="[Agenda Financiera] INC051802058 Vencimiento de la carencia de su contrato"/>
    <s v="agenda financiera"/>
    <d v="2025-02-25T13:35:27"/>
    <d v="2025-02-26T11:31:56"/>
    <s v="ANALÍTICO"/>
    <s v="SOPORTE"/>
    <s v=""/>
    <s v="C360_Team_Mtto"/>
    <s v="Medium"/>
    <s v="CERRADO"/>
    <s v=""/>
    <s v="PRO"/>
    <x v="5"/>
    <d v="2025-02-25T13:35:27"/>
    <d v="2025-02-26T11:31:56"/>
    <s v="Externo"/>
    <n v="9"/>
    <d v="2025-02-24T00:00:00"/>
    <n v="9"/>
    <d v="2025-02-24T00:00:00"/>
    <n v="0.91422542824147968"/>
    <n v="2025"/>
    <n v="2025"/>
    <x v="4"/>
    <x v="2"/>
  </r>
  <r>
    <s v="ESPC360-16227"/>
    <s v="[C360 - eeff_enterprise_datagen] INC051817151 El datagen de EEFF de empresas está a nulo en noviembre 2024"/>
    <s v="eeff_enterprise_datagen"/>
    <d v="2025-02-25T17:42:08"/>
    <d v="2025-03-17T13:16:48"/>
    <s v="ANALÍTICO"/>
    <s v="DESARROLLO"/>
    <s v="eff_enterprise_datagen"/>
    <s v="C360_Team_Mtto"/>
    <s v="Medium"/>
    <s v="CERRADO"/>
    <s v=""/>
    <s v="PRO"/>
    <x v="0"/>
    <d v="2025-02-25T17:42:08"/>
    <d v="2025-03-17T13:16:48"/>
    <s v="Interno"/>
    <n v="9"/>
    <d v="2025-02-24T00:00:00"/>
    <n v="12"/>
    <d v="2025-03-17T00:00:00"/>
    <n v="19.815739363424655"/>
    <n v="2025"/>
    <n v="2025"/>
    <x v="4"/>
    <x v="1"/>
  </r>
  <r>
    <s v="ESPC360-16493"/>
    <s v="[BUG] Error a la hora de informar el full_name_2 en la mov_bills_det"/>
    <s v="mov_bills_det"/>
    <d v="2025-03-03T16:34:47"/>
    <d v="2025-03-17T09:22:12"/>
    <s v="ANALÍTICO"/>
    <s v="ORIGEN"/>
    <s v="mov_bills_det"/>
    <s v=""/>
    <s v="Medium"/>
    <s v="CERRADO"/>
    <s v=""/>
    <s v=""/>
    <x v="1"/>
    <d v="2025-03-03T16:34:47"/>
    <d v="2025-03-17T09:22:12"/>
    <s v="Externo"/>
    <n v="10"/>
    <d v="2025-03-03T00:00:00"/>
    <n v="12"/>
    <d v="2025-03-17T00:00:00"/>
    <n v="13.699603298613511"/>
    <n v="2025"/>
    <n v="2025"/>
    <x v="5"/>
    <x v="1"/>
  </r>
  <r>
    <s v="ESPC360-16515"/>
    <s v="[CDL_MODELOS Features Models RGI] - Ajustes de cálculo de medias"/>
    <s v="oraculo_features_rgi"/>
    <d v="2025-03-04T12:49:47"/>
    <d v="2025-03-06T16:27:55"/>
    <s v="ANALÍTICO"/>
    <s v="FUNCIONAL"/>
    <s v=""/>
    <s v="C360_Analitico_Team_2"/>
    <s v="Highest"/>
    <s v="CERRADO"/>
    <s v="C360_Analitico_Sprint 47"/>
    <s v=""/>
    <x v="4"/>
    <d v="2025-03-04T12:49:47"/>
    <d v="2025-03-06T16:27:55"/>
    <s v="Interno"/>
    <n v="10"/>
    <d v="2025-03-03T00:00:00"/>
    <n v="10"/>
    <d v="2025-03-03T00:00:00"/>
    <n v="2.1514812962923315"/>
    <n v="2025"/>
    <n v="2025"/>
    <x v="5"/>
    <x v="1"/>
  </r>
  <r>
    <s v="ESPC360-16536"/>
    <s v="[C360 - events] INC052087115 Errores en eventos"/>
    <s v="Hechos relevantes"/>
    <d v="2025-03-05T14:03:42"/>
    <d v="2025-03-10T13:18:05"/>
    <s v="ANALÍTICO"/>
    <s v="DESARROLLO"/>
    <s v=""/>
    <s v="C360_Team_Mtto"/>
    <s v="Highest"/>
    <s v="CERRADO"/>
    <s v=""/>
    <s v="PRO"/>
    <x v="0"/>
    <d v="2025-03-05T14:03:42"/>
    <d v="2025-03-10T13:18:05"/>
    <s v="Interno"/>
    <n v="10"/>
    <d v="2025-03-03T00:00:00"/>
    <n v="11"/>
    <d v="2025-03-10T00:00:00"/>
    <n v="4.9683247800930985"/>
    <n v="2025"/>
    <n v="2025"/>
    <x v="5"/>
    <x v="1"/>
  </r>
  <r>
    <s v="ESPC360-16537"/>
    <s v="[C360 - mkt_success_det] INC052089953 Falta de particiones en la tabla SUCCESS_DET"/>
    <s v="mkt_success_det"/>
    <d v="2025-03-05T15:35:38"/>
    <d v="2025-03-07T09:55:26"/>
    <s v="ANALÍTICO"/>
    <s v="REPROCESO"/>
    <s v=""/>
    <s v="C360_Team_Mtto"/>
    <s v="Medium"/>
    <s v="CERRADO"/>
    <s v=""/>
    <s v="PRO"/>
    <x v="2"/>
    <d v="2025-03-05T15:35:38"/>
    <d v="2025-03-07T09:55:26"/>
    <s v="Interno"/>
    <n v="10"/>
    <d v="2025-03-03T00:00:00"/>
    <n v="10"/>
    <d v="2025-03-03T00:00:00"/>
    <n v="1.763751331018284"/>
    <n v="2025"/>
    <n v="2025"/>
    <x v="5"/>
    <x v="1"/>
  </r>
  <r>
    <s v="ESPC360-16551"/>
    <s v="[CDL_MODELOS Features Models RGI] - Ajustes de cálculo de medias días"/>
    <s v="oraculo_features_rgi"/>
    <d v="2025-03-06T09:54:46"/>
    <d v="2025-03-06T16:27:55"/>
    <s v="ANALÍTICO"/>
    <s v="DESARROLLO"/>
    <s v=""/>
    <s v="C360_Analitico_Team_2"/>
    <s v="Highest"/>
    <s v="CERRADO"/>
    <s v="C360_Analitico_Sprint 47"/>
    <s v=""/>
    <x v="0"/>
    <d v="2025-03-06T09:54:46"/>
    <d v="2025-03-06T16:27:55"/>
    <s v="Interno"/>
    <n v="10"/>
    <d v="2025-03-03T00:00:00"/>
    <n v="10"/>
    <d v="2025-03-03T00:00:00"/>
    <n v="0.2730269444436999"/>
    <n v="2025"/>
    <n v="2025"/>
    <x v="5"/>
    <x v="1"/>
  </r>
  <r>
    <s v="ESPC360-16682"/>
    <s v="[C360 - datagen] INC052131640 Falta de particiones en tablas DATAGEN"/>
    <s v="datagen_sociodemo;pos_datagen_pond_tit_q"/>
    <d v="2025-03-06T18:12:01"/>
    <d v="2025-03-07T09:57:23"/>
    <s v="ANALÍTICO"/>
    <s v="REPROCESO"/>
    <s v=""/>
    <s v="C360_Team_Mtto"/>
    <s v="Medium"/>
    <s v="CERRADO"/>
    <s v=""/>
    <s v="PRO"/>
    <x v="2"/>
    <d v="2025-03-06T18:12:01"/>
    <d v="2025-03-07T09:57:23"/>
    <s v="Interno"/>
    <n v="10"/>
    <d v="2025-03-03T00:00:00"/>
    <n v="10"/>
    <d v="2025-03-03T00:00:00"/>
    <n v="0.6565113773176563"/>
    <n v="2025"/>
    <n v="2025"/>
    <x v="5"/>
    <x v="1"/>
  </r>
  <r>
    <s v="ESPC360-16702"/>
    <s v="[CDL_MODELOS Features Models RGI] - Duplicados en PK"/>
    <s v="oraculo_features_rgi"/>
    <d v="2025-03-10T11:00:48"/>
    <d v="2025-03-17T11:59:45"/>
    <s v="ANALÍTICO"/>
    <s v="DESARROLLO"/>
    <s v=""/>
    <s v="C360_Analitico_Team_2"/>
    <s v="Highest"/>
    <s v="CERRADO"/>
    <s v="C360_Analitico_Sprint 47"/>
    <s v=""/>
    <x v="0"/>
    <d v="2025-03-10T11:00:48"/>
    <d v="2025-03-17T11:59:45"/>
    <s v="Interno"/>
    <n v="11"/>
    <d v="2025-03-10T00:00:00"/>
    <n v="12"/>
    <d v="2025-03-17T00:00:00"/>
    <n v="7.0409385069433483"/>
    <n v="2025"/>
    <n v="2025"/>
    <x v="5"/>
    <x v="1"/>
  </r>
  <r>
    <s v="ESPC360-16711"/>
    <s v="[CDL_MODELOS Features Models RGI] - Ajustes de campo min_dias_apert_tarj_actual"/>
    <s v="oraculo_features_rgi"/>
    <d v="2025-03-10T11:01:48"/>
    <d v="2025-03-17T11:59:37"/>
    <s v="ANALÍTICO"/>
    <s v="DESARROLLO"/>
    <s v=""/>
    <s v="C360_Analitico_Team_2"/>
    <s v="Highest"/>
    <s v="CERRADO"/>
    <s v="C360_Analitico_Sprint 47"/>
    <s v=""/>
    <x v="0"/>
    <d v="2025-03-10T11:01:48"/>
    <d v="2025-03-17T11:59:37"/>
    <s v="Interno"/>
    <n v="11"/>
    <d v="2025-03-10T00:00:00"/>
    <n v="12"/>
    <d v="2025-03-17T00:00:00"/>
    <n v="7.0401510648152907"/>
    <n v="2025"/>
    <n v="2025"/>
    <x v="5"/>
    <x v="1"/>
  </r>
  <r>
    <s v="ESPC360-16758"/>
    <s v="[C360 - events] INC052355912 Evento Internacional Primer pago plataforma divisa 6m"/>
    <s v="Hechos relevantes"/>
    <d v="2025-03-12T16:28:27"/>
    <d v="2025-03-31T13:11:36"/>
    <s v="ANALÍTICO"/>
    <s v="DEFINICIÓN"/>
    <s v=""/>
    <s v="C360_Team_Integration"/>
    <s v="Medium"/>
    <s v="CERRADO"/>
    <s v=""/>
    <s v="PRO"/>
    <x v="3"/>
    <d v="2025-03-12T16:28:27"/>
    <d v="2025-03-31T13:11:36"/>
    <s v="Externo"/>
    <n v="11"/>
    <d v="2025-03-10T00:00:00"/>
    <n v="14"/>
    <d v="2025-03-31T00:00:00"/>
    <n v="18.863297534720914"/>
    <n v="2025"/>
    <n v="2025"/>
    <x v="5"/>
    <x v="1"/>
  </r>
  <r>
    <s v="ESPC360-16766"/>
    <s v="[Agenda financiera] Modificar replaceWhere y eliminar data_date_part"/>
    <s v="agenda financiera"/>
    <d v="2025-03-13T10:40:05"/>
    <d v="2025-04-09T12:32:17"/>
    <s v="ANALÍTICO"/>
    <s v="DESARROLLO"/>
    <s v=""/>
    <s v="C360_Analitico_Team_2"/>
    <s v="Medium"/>
    <s v="CERRADO"/>
    <s v="C360_Analitico_Sprint 48"/>
    <s v=""/>
    <x v="0"/>
    <d v="2025-03-13T10:40:05"/>
    <d v="2025-04-09T12:32:17"/>
    <s v="Interno"/>
    <n v="11"/>
    <d v="2025-03-10T00:00:00"/>
    <n v="15"/>
    <d v="2025-04-07T00:00:00"/>
    <n v="27.077915613430378"/>
    <n v="2025"/>
    <n v="2025"/>
    <x v="5"/>
    <x v="3"/>
  </r>
  <r>
    <s v="ESPC360-16875"/>
    <s v="[C360 - mov_accounts_det] INC052433269 Variable concept vacia data_date_part = 2022-05-24"/>
    <s v="mov_accounts_det"/>
    <d v="2025-03-17T09:13:03"/>
    <d v="2025-04-13T11:39:47"/>
    <s v="ANALÍTICO"/>
    <s v="REPROCESO"/>
    <s v=""/>
    <s v="C360_Team_Integration;C360_Team_Mtto"/>
    <s v="Medium"/>
    <s v="CERRADO"/>
    <s v=""/>
    <s v="PRO"/>
    <x v="2"/>
    <d v="2025-03-17T09:13:03"/>
    <d v="2025-04-13T11:39:47"/>
    <s v="Interno"/>
    <n v="12"/>
    <d v="2025-03-17T00:00:00"/>
    <n v="16"/>
    <d v="2025-04-14T00:00:00"/>
    <n v="27.101898379631166"/>
    <n v="2025"/>
    <n v="2025"/>
    <x v="5"/>
    <x v="3"/>
  </r>
  <r>
    <s v="ESPC360-16919"/>
    <s v="[CDL_MODELOS Features Models RGI] - Ajustes de campo incum_sumimp_12m"/>
    <s v="oraculo_features_rgi"/>
    <d v="2025-03-17T12:00:41"/>
    <d v="2025-03-20T10:04:35"/>
    <s v="ANALÍTICO"/>
    <s v="DEFINICIÓN"/>
    <s v=""/>
    <s v="C360_Analitico_Team_2"/>
    <s v="Highest"/>
    <s v="CANCELADO"/>
    <s v="C360_Analitico_Sprint 48"/>
    <s v=""/>
    <x v="3"/>
    <d v="2025-03-17T12:00:41"/>
    <d v="2025-03-20T10:04:35"/>
    <s v="Externo"/>
    <n v="12"/>
    <d v="2025-03-17T00:00:00"/>
    <n v="12"/>
    <d v="2025-03-17T00:00:00"/>
    <n v="2.9193768055556575"/>
    <n v="2025"/>
    <n v="2025"/>
    <x v="5"/>
    <x v="1"/>
  </r>
  <r>
    <s v="ESPC360-16920"/>
    <s v="[CDL_MODELOS Features Models RGI] - Ajustes de campo red_grupo_num_cli_irr"/>
    <s v="oraculo_features_rgi"/>
    <d v="2025-03-17T12:01:12"/>
    <d v="2025-04-02T10:37:32"/>
    <s v="ANALÍTICO"/>
    <s v="DESARROLLO"/>
    <s v=""/>
    <s v="C360_Analitico_Team_2"/>
    <s v="Highest"/>
    <s v="CERRADO"/>
    <s v="C360_Analitico_Sprint 48"/>
    <s v=""/>
    <x v="0"/>
    <d v="2025-03-17T12:01:12"/>
    <d v="2025-04-02T10:37:32"/>
    <s v="Interno"/>
    <n v="12"/>
    <d v="2025-03-17T00:00:00"/>
    <n v="14"/>
    <d v="2025-03-31T00:00:00"/>
    <n v="15.941904548606544"/>
    <n v="2025"/>
    <n v="2025"/>
    <x v="5"/>
    <x v="1"/>
  </r>
  <r>
    <s v="ESPC360-16935"/>
    <s v="[C360 - mov_bills_det] INC052433422 Variable iban_1 e iban_2 con nulos"/>
    <s v="mov_bills_det"/>
    <d v="2025-03-17T17:31:07"/>
    <d v="2025-04-01T09:36:50"/>
    <s v="ANALÍTICO"/>
    <s v="ORIGEN"/>
    <s v=""/>
    <s v="C360_Team_Mtto"/>
    <s v="Medium"/>
    <s v="CERRADO"/>
    <s v=""/>
    <s v="PRO"/>
    <x v="1"/>
    <d v="2025-03-17T17:31:07"/>
    <d v="2025-04-01T09:36:50"/>
    <s v="Externo"/>
    <n v="12"/>
    <d v="2025-03-17T00:00:00"/>
    <n v="14"/>
    <d v="2025-03-31T00:00:00"/>
    <n v="14.670645243051695"/>
    <n v="2025"/>
    <n v="2025"/>
    <x v="5"/>
    <x v="1"/>
  </r>
  <r>
    <s v="ESPC360-16969"/>
    <s v="[C360 - eeff_enterprise_datagen] campo = '0'"/>
    <s v="eeff_enterprise_datagen"/>
    <d v="2025-03-19T12:42:37"/>
    <d v="2025-03-31T13:11:21"/>
    <s v="ANALÍTICO"/>
    <s v="DESARROLLO"/>
    <s v=""/>
    <s v="C360_Team_Integration"/>
    <s v="Medium"/>
    <s v="CERRADO"/>
    <s v=""/>
    <s v=""/>
    <x v="0"/>
    <d v="2025-03-19T12:42:37"/>
    <d v="2025-03-31T13:11:21"/>
    <s v="Interno"/>
    <n v="12"/>
    <d v="2025-03-17T00:00:00"/>
    <n v="14"/>
    <d v="2025-03-31T00:00:00"/>
    <n v="12.0199530671307"/>
    <n v="2025"/>
    <n v="2025"/>
    <x v="5"/>
    <x v="1"/>
  </r>
  <r>
    <s v="ESPC360-17089"/>
    <s v="[CDL_MODELOS Features Models RGI] - Ajustes de campo garan_mingarantia y garan_minltv"/>
    <s v="oraculo_features_rgi"/>
    <d v="2025-03-21T12:50:26"/>
    <d v="2025-04-01T09:24:13"/>
    <s v="ANALÍTICO"/>
    <s v="DESARROLLO"/>
    <s v=""/>
    <s v="C360_Analitico_Team_2"/>
    <s v="Highest"/>
    <s v="CERRADO"/>
    <s v="C360_Analitico_Sprint 48"/>
    <s v=""/>
    <x v="0"/>
    <d v="2025-03-21T12:50:26"/>
    <d v="2025-04-01T09:24:13"/>
    <s v="Interno"/>
    <n v="12"/>
    <d v="2025-03-17T00:00:00"/>
    <n v="14"/>
    <d v="2025-03-31T00:00:00"/>
    <n v="10.856802025460638"/>
    <n v="2025"/>
    <n v="2025"/>
    <x v="5"/>
    <x v="1"/>
  </r>
  <r>
    <s v="ESPC360-17101"/>
    <s v="[CDL_MODELOS Features Models RGI] - Ajustes de campos de periodos"/>
    <s v="oraculo_features_rgi"/>
    <d v="2025-03-24T12:14:33"/>
    <d v="2025-04-01T09:30:19"/>
    <s v="ANALÍTICO"/>
    <s v="FUNCIONAL"/>
    <s v=""/>
    <s v="C360_Analitico_Team_2"/>
    <s v="Highest"/>
    <s v="CERRADO"/>
    <s v="C360_Analitico_Sprint 48"/>
    <s v=""/>
    <x v="4"/>
    <d v="2025-03-24T12:14:33"/>
    <d v="2025-04-01T09:30:19"/>
    <s v="Interno"/>
    <n v="13"/>
    <d v="2025-03-24T00:00:00"/>
    <n v="14"/>
    <d v="2025-03-31T00:00:00"/>
    <n v="7.8859389930512407"/>
    <n v="2025"/>
    <n v="2025"/>
    <x v="5"/>
    <x v="1"/>
  </r>
  <r>
    <s v="ESPC360-17102"/>
    <s v="[CDL_MODELOS Features Models RGI] - Ajustes de campos de incumplimientos"/>
    <s v="oraculo_features_rgi"/>
    <d v="2025-03-24T12:16:25"/>
    <d v="2025-04-01T09:30:22"/>
    <s v="ANALÍTICO"/>
    <s v="DESARROLLO"/>
    <s v=""/>
    <s v="C360_Analitico_Team_2"/>
    <s v="Highest"/>
    <s v="CERRADO"/>
    <s v="C360_Analitico_Sprint 48"/>
    <s v=""/>
    <x v="0"/>
    <d v="2025-03-24T12:16:25"/>
    <d v="2025-04-01T09:30:22"/>
    <s v="Interno"/>
    <n v="13"/>
    <d v="2025-03-24T00:00:00"/>
    <n v="14"/>
    <d v="2025-03-31T00:00:00"/>
    <n v="7.8846910879583447"/>
    <n v="2025"/>
    <n v="2025"/>
    <x v="5"/>
    <x v="1"/>
  </r>
  <r>
    <s v="ESPC360-17171"/>
    <s v="[C360 - channelactivity_digitalnavigation_det] INC052787967 no hay ningún registro en la tabla para personas físicas"/>
    <s v="channelactivity_digitalnavigation_det"/>
    <d v="2025-03-26T16:52:13"/>
    <d v="2025-03-28T11:06:39"/>
    <s v="ANALÍTICO"/>
    <s v="ORIGEN"/>
    <s v=""/>
    <s v="C360_Team_Mtto"/>
    <s v="Medium"/>
    <s v="CERRADO"/>
    <s v=""/>
    <s v="PRO"/>
    <x v="1"/>
    <d v="2025-03-26T16:52:13"/>
    <d v="2025-03-28T11:06:39"/>
    <s v="Externo"/>
    <n v="13"/>
    <d v="2025-03-24T00:00:00"/>
    <n v="13"/>
    <d v="2025-03-24T00:00:00"/>
    <n v="1.7600223148183431"/>
    <n v="2025"/>
    <n v="2025"/>
    <x v="5"/>
    <x v="1"/>
  </r>
  <r>
    <s v="ESPC360-17172"/>
    <s v="[C360 - mov_datagen_q] INC052866097 partición del 2024-04-30 variables no informadas"/>
    <s v="mov_datagen_q"/>
    <d v="2025-03-26T16:56:13"/>
    <d v="2025-03-28T11:18:41"/>
    <s v="ANALÍTICO"/>
    <s v="REPROCESO"/>
    <s v="mov_datagen_q"/>
    <s v="C360_Team_Mtto"/>
    <s v="Medium"/>
    <s v="CERRADO"/>
    <s v=""/>
    <s v="PRO"/>
    <x v="2"/>
    <d v="2025-03-26T16:56:13"/>
    <d v="2025-03-28T11:18:41"/>
    <s v="Interno"/>
    <n v="13"/>
    <d v="2025-03-24T00:00:00"/>
    <n v="13"/>
    <d v="2025-03-24T00:00:00"/>
    <n v="1.7655994675951661"/>
    <n v="2025"/>
    <n v="2025"/>
    <x v="5"/>
    <x v="1"/>
  </r>
  <r>
    <s v="ESPC360-17303"/>
    <s v="[C360 - mkt_contacts_det] INC052945417 Faltan particiones en mkt_contacts_det"/>
    <s v="mkt_contacts_det"/>
    <d v="2025-03-31T09:44:03"/>
    <d v="2025-05-05T09:57:52"/>
    <s v="ANALÍTICO"/>
    <s v="ORIGEN"/>
    <s v=""/>
    <s v="C360_Team_Integration;C360_Team_Mtto"/>
    <s v="Medium"/>
    <s v="CERRADO"/>
    <s v=""/>
    <s v="PRO"/>
    <x v="1"/>
    <d v="2025-03-31T09:44:03"/>
    <d v="2025-05-05T09:57:52"/>
    <s v="Externo"/>
    <n v="14"/>
    <d v="2025-03-31T00:00:00"/>
    <n v="19"/>
    <d v="2025-05-05T00:00:00"/>
    <n v="35.009590740737622"/>
    <n v="2025"/>
    <n v="2025"/>
    <x v="5"/>
    <x v="4"/>
  </r>
  <r>
    <s v="ESPC360-17351"/>
    <s v="[C360 - transactional_customerrelationship_det] INC053062392 cif con múltiples nombres/nombres con multiples cif"/>
    <s v="transactional_customerrelationship_det"/>
    <d v="2025-04-01T12:39:26"/>
    <d v="2025-04-10T09:53:36"/>
    <s v="ANALÍTICO"/>
    <s v="REPROCESO"/>
    <s v=""/>
    <s v="C360_Team_Integration;C360_Team_Mtto"/>
    <s v="High"/>
    <s v="CERRADO"/>
    <s v=""/>
    <s v="PRO"/>
    <x v="2"/>
    <d v="2025-04-01T12:39:26"/>
    <d v="2025-04-10T09:53:36"/>
    <s v="Interno"/>
    <n v="14"/>
    <d v="2025-03-31T00:00:00"/>
    <n v="15"/>
    <d v="2025-04-07T00:00:00"/>
    <n v="8.8848410532373236"/>
    <n v="2025"/>
    <n v="2025"/>
    <x v="5"/>
    <x v="3"/>
  </r>
  <r>
    <s v="ESPC360-17352"/>
    <s v="[C360 - santander-go] INC053065576 datos de accesos a canales no están actualizados"/>
    <s v="Santanger GO"/>
    <d v="2025-04-01T13:24:12"/>
    <d v="2025-05-13T09:48:55"/>
    <s v="ANALÍTICO"/>
    <s v="ORIGEN"/>
    <s v="santander-go"/>
    <s v="C360_Team_Integration;C360_Team_Mtto"/>
    <s v="Medium"/>
    <s v="CERRADO"/>
    <s v=""/>
    <s v="PRO"/>
    <x v="1"/>
    <d v="2025-04-01T13:24:12"/>
    <d v="2025-05-13T09:48:55"/>
    <s v="Externo"/>
    <n v="14"/>
    <d v="2025-03-31T00:00:00"/>
    <n v="20"/>
    <d v="2025-05-12T00:00:00"/>
    <n v="41.850488067131664"/>
    <n v="2025"/>
    <n v="2025"/>
    <x v="5"/>
    <x v="4"/>
  </r>
  <r>
    <s v="ESPC360-17355"/>
    <s v="[ORACULO_FEATURES_RGI] Nulos en campos de oraculo RGI"/>
    <s v="oraculo_features_rgi"/>
    <d v="2025-04-01T15:59:48"/>
    <d v="2025-04-10T09:53:49"/>
    <s v="ANALÍTICO"/>
    <s v="DESARROLLO"/>
    <s v=""/>
    <s v="C360_Analitico_Team_2"/>
    <s v="Medium"/>
    <s v="CERRADO"/>
    <s v="C360_Analitico_Sprint 49"/>
    <s v=""/>
    <x v="0"/>
    <d v="2025-04-01T15:59:48"/>
    <d v="2025-04-10T09:53:49"/>
    <s v="Interno"/>
    <n v="14"/>
    <d v="2025-03-31T00:00:00"/>
    <n v="15"/>
    <d v="2025-04-07T00:00:00"/>
    <n v="8.7458515856487793"/>
    <n v="2025"/>
    <n v="2025"/>
    <x v="5"/>
    <x v="3"/>
  </r>
  <r>
    <s v="ESPC360-17366"/>
    <s v="[C360-mov_*]-INC053112110-Error_tras_ejecucion_alter"/>
    <s v="mov_accounts_det;mov_bills_det;mov_creditcards_det;mov_debitcards_det;mov_transfers_det"/>
    <d v="2025-04-02T13:52:07"/>
    <d v="2025-04-10T09:55:21"/>
    <s v="ANALÍTICO"/>
    <s v="ORIGEN"/>
    <s v=""/>
    <s v="C360_Team_Integration;C360_Team_Mtto"/>
    <s v="Highest"/>
    <s v="CERRADO"/>
    <s v=""/>
    <s v="PRO"/>
    <x v="1"/>
    <d v="2025-04-02T13:52:07"/>
    <d v="2025-04-10T09:55:21"/>
    <s v="Externo"/>
    <n v="14"/>
    <d v="2025-03-31T00:00:00"/>
    <n v="15"/>
    <d v="2025-04-07T00:00:00"/>
    <n v="7.8355803935191943"/>
    <n v="2025"/>
    <n v="2025"/>
    <x v="5"/>
    <x v="3"/>
  </r>
  <r>
    <s v="ESPC360-17383"/>
    <s v="[C360-productions_det ]-INC053158038-Volumetrías irregulares especialmente entre 09/2024 y 12/2024"/>
    <s v="productions_det"/>
    <d v="2025-04-03T12:53:40"/>
    <d v="2025-04-10T09:53:42"/>
    <s v="ANALÍTICO"/>
    <s v="ORIGEN"/>
    <s v="productions_det"/>
    <s v="C360_Team_Integration;C360_Team_Mtto"/>
    <s v="Medium"/>
    <s v="CERRADO"/>
    <s v=""/>
    <s v="PRO"/>
    <x v="1"/>
    <d v="2025-04-03T12:53:40"/>
    <d v="2025-04-10T09:53:42"/>
    <s v="Externo"/>
    <n v="14"/>
    <d v="2025-03-31T00:00:00"/>
    <n v="15"/>
    <d v="2025-04-07T00:00:00"/>
    <n v="6.8750245949049713"/>
    <n v="2025"/>
    <n v="2025"/>
    <x v="5"/>
    <x v="3"/>
  </r>
  <r>
    <s v="ESPC360-17544"/>
    <s v="[C360-digitalchannelactivity_datagen_*]-INC053326921-Variables que calculan si la conexión es entresemana o los findes están a null en todas las particiones:"/>
    <s v="digitalchannelactivity_datagen"/>
    <d v="2025-04-08T15:35:27"/>
    <d v="2025-04-24T15:58:49"/>
    <s v="ANALÍTICO"/>
    <s v="DESARROLLO"/>
    <s v="digitalchannelactivity_datagen_q"/>
    <s v="C360_Team_Integration;C360_Team_Mtto"/>
    <s v="Medium"/>
    <s v="CERRADO"/>
    <s v=""/>
    <s v="PRO"/>
    <x v="0"/>
    <d v="2025-04-08T15:35:27"/>
    <d v="2025-04-24T15:58:49"/>
    <s v="Interno"/>
    <n v="15"/>
    <d v="2025-04-07T00:00:00"/>
    <n v="17"/>
    <d v="2025-04-21T00:00:00"/>
    <n v="16.016232442132605"/>
    <n v="2025"/>
    <n v="2025"/>
    <x v="6"/>
    <x v="3"/>
  </r>
  <r>
    <s v="ESPC360-17563"/>
    <s v="[C360-channelactivity_digitalnavigation_det]-RITM015890724-datos desplazados del día 03/04/2025 04/04/2025, genera duplicados"/>
    <s v="channelactivity_digitalnavigation_det"/>
    <d v="2025-04-09T09:55:47"/>
    <d v="2025-04-15T09:35:51"/>
    <s v="ANALÍTICO"/>
    <s v="REPROCESO"/>
    <s v="channelactivity_digitalnavigation_det"/>
    <s v="C360_Team_Integration;C360_Team_Mtto"/>
    <s v="Medium"/>
    <s v="CERRADO"/>
    <s v=""/>
    <s v="PRO"/>
    <x v="2"/>
    <d v="2025-04-09T09:55:47"/>
    <d v="2025-04-15T09:35:51"/>
    <s v="Interno"/>
    <n v="15"/>
    <d v="2025-04-07T00:00:00"/>
    <n v="16"/>
    <d v="2025-04-14T00:00:00"/>
    <n v="5.9861602546297945"/>
    <n v="2025"/>
    <n v="2025"/>
    <x v="6"/>
    <x v="3"/>
  </r>
  <r>
    <s v="ESPC360-17564"/>
    <s v="[C360-customer_360]-INC053337517-Estamos leyendo datos de la customer_360 y las variables relativas al pago de nóminas aparecen siempre con valor cero."/>
    <s v="customer_360"/>
    <d v="2025-04-09T10:04:54"/>
    <d v="2025-04-10T10:08:58"/>
    <s v="ANALÍTICO"/>
    <s v="SOPORTE"/>
    <s v="customer_360"/>
    <s v="C360_Team_Integration;C360_Team_Mtto"/>
    <s v="Medium"/>
    <s v="CANCELADO"/>
    <s v=""/>
    <s v="PRO"/>
    <x v="5"/>
    <d v="2025-04-09T10:04:54"/>
    <d v="2025-04-10T10:08:58"/>
    <s v="Externo"/>
    <n v="15"/>
    <d v="2025-04-07T00:00:00"/>
    <n v="15"/>
    <d v="2025-04-07T00:00:00"/>
    <n v="1.0028274421347305"/>
    <n v="2025"/>
    <n v="2025"/>
    <x v="6"/>
    <x v="3"/>
  </r>
  <r>
    <s v="ESPC360-17657"/>
    <s v="[C360-mov_datagen_d]-variables sin informar relacionadas con transferencias y recibos."/>
    <s v="mov_datagen_d"/>
    <d v="2025-04-11T09:20:39"/>
    <d v="2025-04-16T09:33:25"/>
    <s v="ANALÍTICO"/>
    <s v="REPROCESO"/>
    <s v="mov_datagen_d"/>
    <s v="C360_Team_Integration;C360_Team_Mtto"/>
    <s v="Medium"/>
    <s v="CERRADO"/>
    <s v=""/>
    <s v="PRO"/>
    <x v="2"/>
    <d v="2025-04-11T09:20:39"/>
    <d v="2025-04-16T09:33:25"/>
    <s v="Interno"/>
    <n v="15"/>
    <d v="2025-04-07T00:00:00"/>
    <n v="16"/>
    <d v="2025-04-14T00:00:00"/>
    <n v="5.0088659027751419"/>
    <n v="2025"/>
    <n v="2025"/>
    <x v="6"/>
    <x v="3"/>
  </r>
  <r>
    <s v="ESPC360-17710"/>
    <s v="[C360-comlay-descriptivos-dg-clientes]-INC053725603-PCENTROINF21D a Odate: 2025/04/16 y 2025/04/21"/>
    <s v="Primer Modelo CDL"/>
    <d v="2025-04-21T12:58:13"/>
    <d v="2025-04-28T09:11:50"/>
    <s v="ANALÍTICO"/>
    <s v="ORIGEN"/>
    <s v=""/>
    <s v="C360_Team_Integration;C360_Team_Mtto"/>
    <s v="Medium"/>
    <s v="CERRADO"/>
    <s v=""/>
    <s v="PRO"/>
    <x v="1"/>
    <d v="2025-04-21T12:58:13"/>
    <d v="2025-04-28T09:11:50"/>
    <s v="Externo"/>
    <n v="17"/>
    <d v="2025-04-21T00:00:00"/>
    <n v="18"/>
    <d v="2025-04-28T00:00:00"/>
    <n v="6.8427954166691052"/>
    <n v="2025"/>
    <n v="2025"/>
    <x v="6"/>
    <x v="3"/>
  </r>
  <r>
    <s v="ESPC360-17777"/>
    <s v="[C360-risk_datagen_q]-INC053796279-duplicados por pk en la partición de 2025-03-31"/>
    <s v="risk_datagen_q"/>
    <d v="2025-04-22T09:25:19"/>
    <d v="2025-04-22T16:23:32"/>
    <s v="ANALÍTICO"/>
    <s v="REPROCESO"/>
    <s v="risk_datagen_q"/>
    <s v="C360_Team_Integration;C360_Team_Mtto"/>
    <s v="High"/>
    <s v="CERRADO"/>
    <s v=""/>
    <s v="PRO"/>
    <x v="2"/>
    <d v="2025-04-22T09:25:19"/>
    <d v="2025-04-22T16:23:32"/>
    <s v="Interno"/>
    <n v="17"/>
    <d v="2025-04-21T00:00:00"/>
    <n v="17"/>
    <d v="2025-04-21T00:00:00"/>
    <n v="0.29043430555611849"/>
    <n v="2025"/>
    <n v="2025"/>
    <x v="6"/>
    <x v="3"/>
  </r>
  <r>
    <s v="ESPC360-17793"/>
    <s v="[ORACULO_FEATURES_RGI] Problemas en los saldos"/>
    <s v="oraculo_features_rgi"/>
    <d v="2025-04-22T16:57:36"/>
    <d v="2025-04-24T15:58:30"/>
    <s v="ANALÍTICO"/>
    <s v="FUNCIONAL"/>
    <s v=""/>
    <s v="C360_Analitico_Team_2"/>
    <s v="Highest"/>
    <s v="CERRADO"/>
    <s v="C360_Analitico_Sprint 50"/>
    <s v=""/>
    <x v="4"/>
    <d v="2025-04-22T16:57:36"/>
    <d v="2025-04-24T15:58:30"/>
    <s v="Interno"/>
    <n v="17"/>
    <d v="2025-04-21T00:00:00"/>
    <n v="17"/>
    <d v="2025-04-21T00:00:00"/>
    <n v="1.9589508333374397"/>
    <n v="2025"/>
    <n v="2025"/>
    <x v="6"/>
    <x v="3"/>
  </r>
  <r>
    <s v="ESPC360-17798"/>
    <s v="[Oficina principal] Modificación ETL"/>
    <s v=""/>
    <d v="2025-04-23T09:28:44"/>
    <d v="2025-05-14T15:09:31"/>
    <s v="ANALÍTICO"/>
    <s v="DEFINICIÓN"/>
    <s v=""/>
    <s v="C360_Analitico_Team_1"/>
    <s v="Medium"/>
    <s v="CERRADO"/>
    <s v="C360_Analitico_Sprint 51"/>
    <s v=""/>
    <x v="3"/>
    <d v="2025-04-23T09:28:44"/>
    <d v="2025-05-14T15:09:31"/>
    <s v="Externo"/>
    <n v="17"/>
    <d v="2025-04-21T00:00:00"/>
    <n v="20"/>
    <d v="2025-05-12T00:00:00"/>
    <n v="21.236657280096551"/>
    <n v="2025"/>
    <n v="2025"/>
    <x v="6"/>
    <x v="4"/>
  </r>
  <r>
    <s v="ESPC360-17811"/>
    <s v="[mov_bills_det] Variables full_name_2 y document_number_2"/>
    <s v="mov_bills_det"/>
    <d v="2025-04-23T13:12:34"/>
    <d v="2025-05-20T09:40:10"/>
    <s v="ANALÍTICO"/>
    <s v="ORIGEN"/>
    <s v="mov_bills_det"/>
    <s v="C360_Team_Integration;C360_Team_Mtto"/>
    <s v="Medium"/>
    <s v="CERRADO"/>
    <s v=""/>
    <s v="PRO"/>
    <x v="1"/>
    <d v="2025-04-23T13:12:34"/>
    <d v="2025-05-20T09:40:10"/>
    <s v="Externo"/>
    <n v="17"/>
    <d v="2025-04-21T00:00:00"/>
    <n v="21"/>
    <d v="2025-05-19T00:00:00"/>
    <n v="26.85250121527497"/>
    <n v="2025"/>
    <n v="2025"/>
    <x v="6"/>
    <x v="4"/>
  </r>
  <r>
    <s v="ESPC360-17812"/>
    <s v="[C360-mov_creditcards_det ]-INC053845500-contiene duplicados en los que unicamente varia la variable data_timestamp"/>
    <s v="mov_creditcards_det"/>
    <d v="2025-04-23T13:15:26"/>
    <d v="2025-05-05T09:44:08"/>
    <s v="ANALÍTICO"/>
    <s v="DESARROLLO"/>
    <s v="mov_creditcards_det"/>
    <s v="C360_Team_Integration;C360_Team_Mtto"/>
    <s v="Medium"/>
    <s v="CERRADO"/>
    <s v=""/>
    <s v="PRO"/>
    <x v="0"/>
    <d v="2025-04-23T13:15:26"/>
    <d v="2025-05-05T09:44:08"/>
    <s v="Interno"/>
    <n v="17"/>
    <d v="2025-04-21T00:00:00"/>
    <n v="19"/>
    <d v="2025-05-05T00:00:00"/>
    <n v="11.853253206012596"/>
    <n v="2025"/>
    <n v="2025"/>
    <x v="6"/>
    <x v="4"/>
  </r>
  <r>
    <s v="ESPC360-17819"/>
    <s v="[C360-customerrelationship_det]-INC053855763-contiene información de relaciones para personas físicas para los origenes de cargos y accionistas"/>
    <s v="customerrelationship_det"/>
    <d v="2025-04-23T17:05:07"/>
    <d v="2025-05-05T13:17:10"/>
    <s v="ANALÍTICO"/>
    <s v="DESARROLLO"/>
    <s v="customerrelationship_det"/>
    <s v=""/>
    <s v="Medium"/>
    <s v="CERRADO"/>
    <s v=""/>
    <s v="PRO"/>
    <x v="0"/>
    <d v="2025-04-23T17:05:07"/>
    <d v="2025-05-05T13:17:10"/>
    <s v="Interno"/>
    <n v="17"/>
    <d v="2025-04-21T00:00:00"/>
    <n v="19"/>
    <d v="2025-05-05T00:00:00"/>
    <n v="11.841693993061199"/>
    <n v="2025"/>
    <n v="2025"/>
    <x v="6"/>
    <x v="4"/>
  </r>
  <r>
    <s v="ESPC360-18007"/>
    <s v="[transactional_customrelationship_det] Mismo full_name para diferentes identificadores"/>
    <s v=""/>
    <d v="2025-04-28T09:52:21"/>
    <d v="2025-04-30T18:33:23"/>
    <s v="ANALÍTICO"/>
    <s v="REPROCESO"/>
    <s v=""/>
    <s v=""/>
    <s v="Medium"/>
    <s v="CERRADO"/>
    <s v=""/>
    <s v=""/>
    <x v="2"/>
    <d v="2025-04-28T09:52:21"/>
    <d v="2025-04-30T18:33:23"/>
    <s v="Interno"/>
    <n v="18"/>
    <d v="2025-04-28T00:00:00"/>
    <n v="18"/>
    <d v="2025-04-28T00:00:00"/>
    <n v="2.3618213888912578"/>
    <n v="2025"/>
    <n v="2025"/>
    <x v="6"/>
    <x v="3"/>
  </r>
  <r>
    <s v="ESPC360-18024"/>
    <s v="[mov_accounts_det] - INC054060820 - Variable concept a NULO más del 50%"/>
    <s v="mov_accounts_det"/>
    <d v="2025-04-29T14:58:08"/>
    <d v="2025-05-09T11:06:39"/>
    <s v="ANALÍTICO"/>
    <s v="DESARROLLO"/>
    <s v="mov_accounts_det"/>
    <s v=""/>
    <s v="Medium"/>
    <s v="CERRADO"/>
    <s v=""/>
    <s v="PRO"/>
    <x v="0"/>
    <d v="2025-04-29T14:58:08"/>
    <d v="2025-05-09T11:06:39"/>
    <s v="Interno"/>
    <n v="18"/>
    <d v="2025-04-28T00:00:00"/>
    <n v="19"/>
    <d v="2025-05-05T00:00:00"/>
    <n v="9.8392527662072098"/>
    <n v="2025"/>
    <n v="2025"/>
    <x v="6"/>
    <x v="4"/>
  </r>
  <r>
    <s v="ESPC360-18047"/>
    <s v="[Agenda Financiera] - INC054090482"/>
    <s v=""/>
    <d v="2025-04-30T15:53:51"/>
    <d v="2025-05-21T10:14:04"/>
    <s v="ANALÍTICO"/>
    <s v="DEFINICIÓN"/>
    <s v=""/>
    <s v=""/>
    <s v="Medium"/>
    <s v="CERRADO"/>
    <s v=""/>
    <s v=""/>
    <x v="3"/>
    <d v="2025-04-30T15:53:51"/>
    <d v="2025-05-21T10:14:04"/>
    <s v="Externo"/>
    <n v="18"/>
    <d v="2025-04-28T00:00:00"/>
    <n v="21"/>
    <d v="2025-05-19T00:00:00"/>
    <n v="20.764038194443856"/>
    <n v="2025"/>
    <n v="2025"/>
    <x v="6"/>
    <x v="4"/>
  </r>
  <r>
    <s v="ESPC360-18145"/>
    <s v="[mov_datagen_q] - INC054237427 - tiene duplicados"/>
    <s v="mov_datagen_q"/>
    <d v="2025-05-05T12:53:36"/>
    <d v="2025-05-06T10:06:21"/>
    <s v="ANALÍTICO"/>
    <s v="DESARROLLO"/>
    <s v=""/>
    <s v="C360_Team_Integration"/>
    <s v="Medium"/>
    <s v="CERRADO"/>
    <s v=""/>
    <s v=""/>
    <x v="0"/>
    <d v="2025-05-05T12:53:36"/>
    <d v="2025-05-06T10:06:21"/>
    <s v="Interno"/>
    <n v="19"/>
    <d v="2025-05-05T00:00:00"/>
    <n v="19"/>
    <d v="2025-05-05T00:00:00"/>
    <n v="0.88385373842902482"/>
    <n v="2025"/>
    <n v="2025"/>
    <x v="7"/>
    <x v="4"/>
  </r>
  <r>
    <s v="ESPC360-18156"/>
    <s v="[transactional_customerrelationship_det] Acumular información mes en curso"/>
    <s v="transactional_customerrelationship_det"/>
    <d v="2025-05-06T10:02:55"/>
    <d v="2025-05-16T09:54:30"/>
    <s v="ANALÍTICO"/>
    <s v="DESARROLLO"/>
    <s v=""/>
    <s v="C360_Team_Integration"/>
    <s v="Highest"/>
    <s v="CERRADO"/>
    <s v=""/>
    <s v=""/>
    <x v="0"/>
    <d v="2025-05-06T10:02:55"/>
    <d v="2025-05-16T09:54:30"/>
    <s v="Interno"/>
    <n v="19"/>
    <d v="2025-05-05T00:00:00"/>
    <n v="20"/>
    <d v="2025-05-12T00:00:00"/>
    <n v="9.9941516088001663"/>
    <n v="2025"/>
    <n v="2025"/>
    <x v="7"/>
    <x v="4"/>
  </r>
  <r>
    <s v="ESPC360-18174"/>
    <s v="INC054289815 - éxitos renting auto"/>
    <s v=""/>
    <d v="2025-05-07T08:46:39"/>
    <d v="2025-05-30T10:11:22"/>
    <s v="ANALÍTICO"/>
    <s v="ORIGEN"/>
    <s v=""/>
    <s v=""/>
    <s v="Medium"/>
    <s v="CERRADO"/>
    <s v=""/>
    <s v=""/>
    <x v="1"/>
    <d v="2025-05-07T08:46:39"/>
    <d v="2025-05-30T10:11:22"/>
    <s v="Externo"/>
    <n v="19"/>
    <d v="2025-05-05T00:00:00"/>
    <n v="22"/>
    <d v="2025-05-26T00:00:00"/>
    <n v="23.058828391200223"/>
    <n v="2025"/>
    <n v="2025"/>
    <x v="7"/>
    <x v="4"/>
  </r>
  <r>
    <s v="ESPC360-18188"/>
    <s v="[mov_XXXX_det] Campo operation_amount de la mov_transfers_det a nulo"/>
    <s v=""/>
    <d v="2025-05-08T11:43:03"/>
    <d v="2025-05-27T10:06:43"/>
    <s v="ANALÍTICO"/>
    <s v="DESARROLLO"/>
    <s v=""/>
    <s v=""/>
    <s v="Medium"/>
    <s v="CERRADO"/>
    <s v=""/>
    <s v=""/>
    <x v="0"/>
    <d v="2025-05-08T11:43:03"/>
    <d v="2025-05-27T10:06:43"/>
    <s v="Interno"/>
    <n v="19"/>
    <d v="2025-05-05T00:00:00"/>
    <n v="22"/>
    <d v="2025-05-26T00:00:00"/>
    <n v="18.933096678243601"/>
    <n v="2025"/>
    <n v="2025"/>
    <x v="7"/>
    <x v="4"/>
  </r>
  <r>
    <s v="ESPC360-18189"/>
    <s v="[mov_accounts_det] - Duplicados en la tabla mov_accounts_det, mismo movimiento insertado en diferentes particiones"/>
    <s v=""/>
    <d v="2025-05-08T11:43:56"/>
    <d v="2025-06-19T11:46:54"/>
    <s v="ANALÍTICO"/>
    <s v="ORIGEN"/>
    <s v=""/>
    <s v=""/>
    <s v="Medium"/>
    <s v="CERRADO"/>
    <s v=""/>
    <s v=""/>
    <x v="1"/>
    <d v="2025-05-08T11:43:56"/>
    <d v="2025-06-19T11:46:54"/>
    <s v="Externo"/>
    <n v="19"/>
    <d v="2025-05-05T00:00:00"/>
    <n v="25"/>
    <d v="2025-06-16T00:00:00"/>
    <n v="42.002067256944429"/>
    <n v="2025"/>
    <n v="2025"/>
    <x v="7"/>
    <x v="5"/>
  </r>
  <r>
    <s v="ESPC360-18332"/>
    <s v="[mov_debitcards_det] - Faltan registros"/>
    <s v=""/>
    <d v="2025-05-08T16:04:51"/>
    <d v="2025-05-19T09:51:12"/>
    <s v="ANALÍTICO"/>
    <s v="REPROCESO"/>
    <s v=""/>
    <s v=""/>
    <s v="Medium"/>
    <s v="CERRADO"/>
    <s v=""/>
    <s v=""/>
    <x v="2"/>
    <d v="2025-05-08T16:04:51"/>
    <d v="2025-05-19T09:51:12"/>
    <s v="Interno"/>
    <n v="19"/>
    <d v="2025-05-05T00:00:00"/>
    <n v="21"/>
    <d v="2025-05-19T00:00:00"/>
    <n v="10.740515555560705"/>
    <n v="2025"/>
    <n v="2025"/>
    <x v="7"/>
    <x v="4"/>
  </r>
  <r>
    <s v="ESPC360-18400"/>
    <s v="[mov_datagen_q] - INC054524102 - Formato deltas ITSM alter RITM016283742 y luego reprocesar"/>
    <s v=""/>
    <d v="2025-05-13T15:36:18"/>
    <d v="2025-07-28T09:47:17"/>
    <s v="ANALÍTICO"/>
    <s v="DEFINICIÓN"/>
    <s v="mov_datagen_q"/>
    <s v=""/>
    <s v="Medium"/>
    <s v="CERRADO"/>
    <s v=""/>
    <s v=""/>
    <x v="3"/>
    <d v="2025-05-13T15:36:18"/>
    <d v="2025-07-28T09:47:17"/>
    <s v="Externo"/>
    <n v="20"/>
    <d v="2025-05-12T00:00:00"/>
    <n v="31"/>
    <d v="2025-07-28T00:00:00"/>
    <n v="75.757623969911947"/>
    <n v="2025"/>
    <n v="2025"/>
    <x v="7"/>
    <x v="6"/>
  </r>
  <r>
    <s v="ESPC360-18649"/>
    <s v="[C360-pos_prices_det]-INC054840447-tipo de interés y tipo de interés de la última cuota pagada"/>
    <s v="pos_prices_det"/>
    <d v="2025-05-22T12:12:01"/>
    <d v="2025-05-28T12:52:09"/>
    <s v="ANALÍTICO"/>
    <s v="DEFINICIÓN"/>
    <s v="pos_prices_det"/>
    <s v="C360_Team_Integration;C360_Team_Mtto"/>
    <s v="Medium"/>
    <s v="CERRADO"/>
    <s v=""/>
    <s v=""/>
    <x v="3"/>
    <d v="2025-05-22T12:12:01"/>
    <d v="2025-05-28T12:52:09"/>
    <s v="Externo"/>
    <n v="21"/>
    <d v="2025-05-19T00:00:00"/>
    <n v="22"/>
    <d v="2025-05-26T00:00:00"/>
    <n v="6.0278789467556635"/>
    <n v="2025"/>
    <n v="2025"/>
    <x v="7"/>
    <x v="4"/>
  </r>
  <r>
    <s v="ESPC360-18758"/>
    <s v="[C360-oraculo_daten_rgi]-INC054880018-BUG variables oraculo_daten_rgi"/>
    <s v="oraculo_features_rgi"/>
    <d v="2025-05-23T13:44:26"/>
    <d v="2025-06-20T11:42:26"/>
    <s v="ANALÍTICO"/>
    <s v="DEFINICIÓN"/>
    <s v=""/>
    <s v="C360_Analitico_Team_2;C360_Team_Integration;C360_Team_Mtto"/>
    <s v="Medium"/>
    <s v="CERRADO"/>
    <s v="C360_Analitico_Sprint 54"/>
    <s v="PRO"/>
    <x v="3"/>
    <d v="2025-05-23T13:44:26"/>
    <d v="2025-06-20T11:42:26"/>
    <s v="Externo"/>
    <n v="21"/>
    <d v="2025-05-19T00:00:00"/>
    <n v="25"/>
    <d v="2025-06-16T00:00:00"/>
    <n v="27.915277962965774"/>
    <n v="2025"/>
    <n v="2025"/>
    <x v="7"/>
    <x v="5"/>
  </r>
  <r>
    <s v="ESPC360-18788"/>
    <s v="[C360-Agenda_financiera]-INC054947447-NO LE APARECE INFORMACIÓN"/>
    <s v="agenda financiera"/>
    <d v="2025-05-28T09:19:36"/>
    <d v="2025-05-30T10:48:45"/>
    <s v="ANALÍTICO"/>
    <s v="DEFINICIÓN"/>
    <s v=""/>
    <s v="C360_Team_Integration;C360_Team_Mtto"/>
    <s v="Medium"/>
    <s v="CERRADO"/>
    <s v=""/>
    <s v="PRO"/>
    <x v="3"/>
    <d v="2025-05-28T09:19:36"/>
    <d v="2025-05-30T10:48:45"/>
    <s v="Externo"/>
    <n v="22"/>
    <d v="2025-05-26T00:00:00"/>
    <n v="22"/>
    <d v="2025-05-26T00:00:00"/>
    <n v="2.0619087500017486"/>
    <n v="2025"/>
    <n v="2025"/>
    <x v="7"/>
    <x v="4"/>
  </r>
  <r>
    <s v="ESPC360-18789"/>
    <s v="[C360-]-INC054974602-Relanzado proceso"/>
    <s v="agenda financiera"/>
    <d v="2025-05-28T10:06:22"/>
    <d v="2025-05-28T10:07:38"/>
    <s v="ANALÍTICO"/>
    <s v="REPROCESO"/>
    <s v=""/>
    <s v="C360_Team_Integration;C360_Team_Mtto"/>
    <s v="Medium"/>
    <s v="CERRADO"/>
    <s v=""/>
    <s v="PRO"/>
    <x v="2"/>
    <d v="2025-05-28T10:06:22"/>
    <d v="2025-05-28T10:07:38"/>
    <s v="Interno"/>
    <n v="22"/>
    <d v="2025-05-26T00:00:00"/>
    <n v="22"/>
    <d v="2025-05-26T00:00:00"/>
    <n v="8.8576388952787966E-4"/>
    <n v="2025"/>
    <n v="2025"/>
    <x v="7"/>
    <x v="4"/>
  </r>
  <r>
    <s v="ESPC360-18794"/>
    <s v="[C360-pos_prices_det]-identificador fijo y variable e intereses de capital"/>
    <s v="pos_prices_det"/>
    <d v="2025-05-28T10:56:12"/>
    <d v="9999-12-31T10:56:12"/>
    <s v="ANALÍTICO"/>
    <s v="DEFINICIÓN"/>
    <s v="pos_prices_det"/>
    <s v="C360_Team_Integration"/>
    <s v="Medium"/>
    <s v="Tested CERT / TEST"/>
    <s v=""/>
    <s v=""/>
    <x v="3"/>
    <d v="2025-05-28T10:56:12"/>
    <d v="9999-12-31T10:56:12"/>
    <s v="Externo"/>
    <n v="22"/>
    <d v="2025-05-26T00:00:00"/>
    <n v="53"/>
    <n v="2958468"/>
    <n v="2912660"/>
    <n v="2025"/>
    <n v="9999"/>
    <x v="7"/>
    <x v="7"/>
  </r>
  <r>
    <s v="ESPC360-18798"/>
    <s v="[C360-PCDP360112D]-INC055019982-Relanzar proceso"/>
    <s v="pos_prices_det"/>
    <d v="2025-05-28T12:59:28"/>
    <d v="2025-05-28T13:02:57"/>
    <s v="ANALÍTICO"/>
    <s v="REPROCESO"/>
    <s v=""/>
    <s v="C360_Team_Integration;C360_Team_Mtto"/>
    <s v="Medium"/>
    <s v="CERRADO"/>
    <s v=""/>
    <s v=""/>
    <x v="2"/>
    <d v="2025-05-28T12:59:28"/>
    <d v="2025-05-28T13:02:57"/>
    <s v="Interno"/>
    <n v="22"/>
    <d v="2025-05-26T00:00:00"/>
    <n v="22"/>
    <d v="2025-05-26T00:00:00"/>
    <n v="2.4270717622130178E-3"/>
    <n v="2025"/>
    <n v="2025"/>
    <x v="7"/>
    <x v="4"/>
  </r>
  <r>
    <s v="ESPC360-18811"/>
    <s v="[santander_go] - Bug sobre los indicadores de biometría y geolocalización"/>
    <s v="Santanger GO"/>
    <d v="2025-05-29T09:05:59"/>
    <d v="2025-05-29T13:46:30"/>
    <s v="ANALÍTICO"/>
    <s v="FUNCIONAL"/>
    <s v=""/>
    <s v="C360_Team_Integration;C360_Team_Mtto"/>
    <s v="Medium"/>
    <s v="CERRADO"/>
    <s v=""/>
    <s v="PRO"/>
    <x v="4"/>
    <d v="2025-05-29T09:05:59"/>
    <d v="2025-05-29T13:46:30"/>
    <s v="Interno"/>
    <n v="22"/>
    <d v="2025-05-26T00:00:00"/>
    <n v="22"/>
    <d v="2025-05-26T00:00:00"/>
    <n v="0.19481290508701932"/>
    <n v="2025"/>
    <n v="2025"/>
    <x v="7"/>
    <x v="4"/>
  </r>
  <r>
    <s v="ESPC360-18815"/>
    <s v="[santander_go] - Campos relacionados con empresas"/>
    <s v=""/>
    <d v="2025-05-29T11:47:20"/>
    <d v="2025-07-04T08:41:53"/>
    <s v="ANALÍTICO"/>
    <s v="FUNCIONAL"/>
    <s v=""/>
    <s v=""/>
    <s v="Medium"/>
    <s v="CERRADO"/>
    <s v=""/>
    <s v="PRO"/>
    <x v="4"/>
    <d v="2025-05-29T11:47:20"/>
    <d v="2025-07-04T08:41:53"/>
    <s v="Interno"/>
    <n v="22"/>
    <d v="2025-05-26T00:00:00"/>
    <n v="27"/>
    <d v="2025-06-30T00:00:00"/>
    <n v="35.871212141202705"/>
    <n v="2025"/>
    <n v="2025"/>
    <x v="7"/>
    <x v="5"/>
  </r>
  <r>
    <s v="ESPC360-18816"/>
    <s v="[C360-PCDPADB049D]-INC055057741- Relanzado de proceso"/>
    <s v="pos_prices_det"/>
    <d v="2025-05-29T13:01:19"/>
    <d v="2025-05-30T08:50:10"/>
    <s v="ANALÍTICO"/>
    <s v="REPROCESO"/>
    <s v=""/>
    <s v="C360_Team_Integration;C360_Team_Mtto"/>
    <s v="Medium"/>
    <s v="CERRADO"/>
    <s v=""/>
    <s v=""/>
    <x v="2"/>
    <d v="2025-05-29T13:01:19"/>
    <d v="2025-05-30T08:50:10"/>
    <s v="Interno"/>
    <n v="22"/>
    <d v="2025-05-26T00:00:00"/>
    <n v="22"/>
    <d v="2025-05-26T00:00:00"/>
    <n v="0.82559006944211433"/>
    <n v="2025"/>
    <n v="2025"/>
    <x v="7"/>
    <x v="4"/>
  </r>
  <r>
    <s v="ESPC360-18818"/>
    <s v="[C360-Customer360]-Gestores sin numero empleado"/>
    <s v="customer_360"/>
    <d v="2025-05-29T17:00:56"/>
    <d v="2025-07-11T10:03:43"/>
    <s v="ANALÍTICO"/>
    <s v="ORIGEN"/>
    <s v="customer360"/>
    <s v="C360_Team_Integration;C360_Team_Mtto"/>
    <s v="Medium"/>
    <s v="CANCELADO"/>
    <s v=""/>
    <s v="PRO"/>
    <x v="1"/>
    <d v="2025-05-29T17:00:56"/>
    <d v="2025-07-11T10:03:43"/>
    <s v="Externo"/>
    <n v="22"/>
    <d v="2025-05-26T00:00:00"/>
    <n v="28"/>
    <d v="2025-07-07T00:00:00"/>
    <n v="42.710272511569201"/>
    <n v="2025"/>
    <n v="2025"/>
    <x v="7"/>
    <x v="6"/>
  </r>
  <r>
    <s v="ESPC360-18942"/>
    <s v="[santander_go] - Campo firma electrónica"/>
    <s v=""/>
    <d v="2025-05-30T13:06:08"/>
    <d v="2025-06-03T15:26:02"/>
    <s v="ANALÍTICO"/>
    <s v="FUNCIONAL"/>
    <s v=""/>
    <s v=""/>
    <s v="Medium"/>
    <s v="CERRADO"/>
    <s v=""/>
    <s v="PRO"/>
    <x v="4"/>
    <d v="2025-05-30T13:06:08"/>
    <d v="2025-06-03T15:26:02"/>
    <s v="Interno"/>
    <n v="22"/>
    <d v="2025-05-26T00:00:00"/>
    <n v="23"/>
    <d v="2025-06-02T00:00:00"/>
    <n v="4.097150416666409"/>
    <n v="2025"/>
    <n v="2025"/>
    <x v="7"/>
    <x v="5"/>
  </r>
  <r>
    <s v="ESPC360-18948"/>
    <s v="[C360-oraculo_daten_rgi]-INC055103162-BUG variables oraculo_daten_rgi"/>
    <s v=""/>
    <d v="2025-05-30T13:48:55"/>
    <d v="2025-06-20T11:43:12"/>
    <s v="ANALÍTICO"/>
    <s v="DEFINICIÓN"/>
    <s v=""/>
    <s v="C360_Analitico_Team_2;C360_Team_Integration"/>
    <s v="Medium"/>
    <s v="CERRADO"/>
    <s v="C360_Analitico_Sprint 54"/>
    <s v="PRO"/>
    <x v="3"/>
    <d v="2025-05-30T13:48:55"/>
    <d v="2025-06-20T11:43:12"/>
    <s v="Externo"/>
    <n v="22"/>
    <d v="2025-05-26T00:00:00"/>
    <n v="25"/>
    <d v="2025-06-16T00:00:00"/>
    <n v="20.912695613427786"/>
    <n v="2025"/>
    <n v="2025"/>
    <x v="7"/>
    <x v="5"/>
  </r>
  <r>
    <s v="ESPC360-18951"/>
    <s v="[C360-channelactivity_digitalnavigation_det]-INC055104589-discrepancia de datos entre cloudera y ADB."/>
    <s v="channelactivity_digitalnavigation_det"/>
    <d v="2025-06-02T08:58:01"/>
    <d v="2025-06-12T09:23:18"/>
    <s v="ANALÍTICO"/>
    <s v="DEFINICIÓN"/>
    <s v="channelactivity_digitalnavigation_det"/>
    <s v="C360_Team_Integration;C360_Team_Mtto"/>
    <s v="Medium"/>
    <s v="CERRADO"/>
    <s v=""/>
    <s v="PRO"/>
    <x v="3"/>
    <d v="2025-06-02T08:58:01"/>
    <d v="2025-06-12T09:23:18"/>
    <s v="Externo"/>
    <n v="23"/>
    <d v="2025-06-02T00:00:00"/>
    <n v="24"/>
    <d v="2025-06-09T00:00:00"/>
    <n v="10.017551909724716"/>
    <n v="2025"/>
    <n v="2025"/>
    <x v="8"/>
    <x v="5"/>
  </r>
  <r>
    <s v="ESPC360-18962"/>
    <s v="[santander_go] - Último acceso app"/>
    <s v="Santanger GO"/>
    <d v="2025-06-02T15:53:01"/>
    <d v="2025-06-03T15:26:02"/>
    <s v="ANALÍTICO"/>
    <s v="ORIGEN"/>
    <s v=""/>
    <s v="C360_Team_Integration;C360_Team_Mtto"/>
    <s v="Medium"/>
    <s v="CERRADO"/>
    <s v=""/>
    <s v="PRO"/>
    <x v="1"/>
    <d v="2025-06-02T15:53:01"/>
    <d v="2025-06-03T15:26:02"/>
    <s v="Externo"/>
    <n v="23"/>
    <d v="2025-06-02T00:00:00"/>
    <n v="23"/>
    <d v="2025-06-02T00:00:00"/>
    <n v="0.98125313656782964"/>
    <n v="2025"/>
    <n v="2025"/>
    <x v="8"/>
    <x v="5"/>
  </r>
  <r>
    <s v="ESPC360-19124"/>
    <s v="[C360-pos_prices_det] Silverizacion pos_prices_det"/>
    <s v=""/>
    <d v="2025-06-09T11:33:26"/>
    <d v="2025-07-30T10:13:58"/>
    <s v="ANALÍTICO"/>
    <s v="DESARROLLO"/>
    <s v=""/>
    <s v=""/>
    <s v="Medium"/>
    <s v="CERRADO"/>
    <s v=""/>
    <s v="PRO"/>
    <x v="0"/>
    <d v="2025-06-09T11:33:26"/>
    <d v="2025-07-30T10:13:58"/>
    <s v="Interno"/>
    <n v="24"/>
    <d v="2025-06-09T00:00:00"/>
    <n v="31"/>
    <d v="2025-07-28T00:00:00"/>
    <n v="50.94481307870592"/>
    <n v="2025"/>
    <n v="2025"/>
    <x v="8"/>
    <x v="6"/>
  </r>
  <r>
    <s v="ESPC360-19132"/>
    <s v="[santander_go] - Campo BIZUM/geolocalización"/>
    <s v=""/>
    <d v="2025-06-09T16:51:28"/>
    <d v="2025-06-17T10:04:26"/>
    <s v="ANALÍTICO"/>
    <s v="FUNCIONAL"/>
    <s v=""/>
    <s v=""/>
    <s v="Medium"/>
    <s v="CERRADO"/>
    <s v=""/>
    <s v="PRO"/>
    <x v="4"/>
    <d v="2025-06-09T16:51:28"/>
    <d v="2025-06-17T10:04:26"/>
    <s v="Interno"/>
    <n v="24"/>
    <d v="2025-06-09T00:00:00"/>
    <n v="25"/>
    <d v="2025-06-16T00:00:00"/>
    <n v="7.7173420486069517"/>
    <n v="2025"/>
    <n v="2025"/>
    <x v="8"/>
    <x v="5"/>
  </r>
  <r>
    <s v="ESPC360-19136"/>
    <s v="[C360-mkt_contact]- Duplicados detectados en los botes de SMS,PUSH,EMAIL"/>
    <s v="mkt_contacts_det"/>
    <d v="2025-06-10T09:18:23"/>
    <d v="2025-06-11T13:11:53"/>
    <s v="ANALÍTICO"/>
    <s v="DESARROLLO"/>
    <s v=""/>
    <s v="C360_Team_Integration;C360_Team_Mtto"/>
    <s v="Medium"/>
    <s v="CERRADO"/>
    <s v=""/>
    <s v="PRO"/>
    <x v="0"/>
    <d v="2025-06-10T09:18:23"/>
    <d v="2025-06-11T13:11:53"/>
    <s v="Interno"/>
    <n v="24"/>
    <d v="2025-06-09T00:00:00"/>
    <n v="24"/>
    <d v="2025-06-09T00:00:00"/>
    <n v="1.1621597685152665"/>
    <n v="2025"/>
    <n v="2025"/>
    <x v="8"/>
    <x v="5"/>
  </r>
  <r>
    <s v="ESPC360-19137"/>
    <s v="[PSASCI041D] - Relanzado de proceso"/>
    <s v=""/>
    <d v="2025-06-10T09:45:17"/>
    <d v="2025-06-10T09:46:13"/>
    <s v="ANALÍTICO"/>
    <s v="REPROCESO"/>
    <s v=""/>
    <s v=""/>
    <s v="Medium"/>
    <s v="CERRADO"/>
    <s v=""/>
    <s v="PRO"/>
    <x v="2"/>
    <d v="2025-06-10T09:45:17"/>
    <d v="2025-06-10T09:46:13"/>
    <s v="Interno"/>
    <n v="24"/>
    <d v="2025-06-09T00:00:00"/>
    <n v="24"/>
    <d v="2025-06-09T00:00:00"/>
    <n v="6.5137731144204736E-4"/>
    <n v="2025"/>
    <n v="2025"/>
    <x v="8"/>
    <x v="5"/>
  </r>
  <r>
    <s v="ESPC360-19143"/>
    <s v="[C360-mkt_success_det] mismo código de éxito para varias descripciones"/>
    <s v="mkt_success_det"/>
    <d v="2025-06-10T16:00:41"/>
    <d v="2025-06-16T08:57:41"/>
    <s v="ANALÍTICO"/>
    <s v="ORIGEN"/>
    <s v="mkt_success_det"/>
    <s v="C360_Team_Integration;C360_Team_Mtto"/>
    <s v="Medium"/>
    <s v="CERRADO"/>
    <s v=""/>
    <s v="PRO"/>
    <x v="1"/>
    <d v="2025-06-10T16:00:41"/>
    <d v="2025-06-16T08:57:41"/>
    <s v="Externo"/>
    <n v="24"/>
    <d v="2025-06-09T00:00:00"/>
    <n v="25"/>
    <d v="2025-06-16T00:00:00"/>
    <n v="5.706250555558654"/>
    <n v="2025"/>
    <n v="2025"/>
    <x v="8"/>
    <x v="5"/>
  </r>
  <r>
    <s v="ESPC360-19155"/>
    <s v="[C360-oraculo_daten_rgi]-INC054880018-BUG variables  RADAR Carterizados"/>
    <s v=""/>
    <d v="2025-06-11T15:25:57"/>
    <d v="2025-06-20T11:43:15"/>
    <s v="ANALÍTICO"/>
    <s v="FUNCIONAL"/>
    <s v=""/>
    <s v="C360_Analitico_Team_2;C360_Team_Integration;C360_Team_Mtto"/>
    <s v="Medium"/>
    <s v="CERRADO"/>
    <s v="C360_Analitico_Sprint 54"/>
    <s v="PRO"/>
    <x v="4"/>
    <d v="2025-06-11T15:25:57"/>
    <d v="2025-06-20T11:43:15"/>
    <s v="Interno"/>
    <n v="24"/>
    <d v="2025-06-09T00:00:00"/>
    <n v="25"/>
    <d v="2025-06-16T00:00:00"/>
    <n v="8.845343680557562"/>
    <n v="2025"/>
    <n v="2025"/>
    <x v="8"/>
    <x v="5"/>
  </r>
  <r>
    <s v="ESPC360-19305"/>
    <s v="[C360-fioc_evidencias_cliente]-Discrepancia en volumetría de datos"/>
    <s v=""/>
    <d v="2025-06-18T15:50:53"/>
    <d v="2025-07-10T10:36:28"/>
    <s v="ANALÍTICO"/>
    <s v="SOPORTE"/>
    <s v=""/>
    <s v="C360_Team_Integration;C360_Team_Mtto"/>
    <s v="Medium"/>
    <s v="CANCELADO"/>
    <s v=""/>
    <s v="PRO"/>
    <x v="5"/>
    <d v="2025-06-18T15:50:53"/>
    <d v="2025-07-10T10:36:28"/>
    <s v="Externo"/>
    <n v="25"/>
    <d v="2025-06-16T00:00:00"/>
    <n v="28"/>
    <d v="2025-07-07T00:00:00"/>
    <n v="21.781655046295782"/>
    <n v="2025"/>
    <n v="2025"/>
    <x v="8"/>
    <x v="6"/>
  </r>
  <r>
    <s v="ESPC360-19358"/>
    <s v="[C360-channeldigitalnavigation_det]-INC055813856-  problemas con los datos de la tabla"/>
    <s v="channelactivity_digitalnavigation_det"/>
    <d v="2025-06-19T14:07:01"/>
    <d v="2025-06-20T14:29:24"/>
    <s v="ANALÍTICO"/>
    <s v="DEFINICIÓN"/>
    <s v=""/>
    <s v="C360_Team_Integration;C360_Team_Mtto"/>
    <s v="Medium"/>
    <s v="CERRADO"/>
    <s v=""/>
    <s v="PRO"/>
    <x v="3"/>
    <d v="2025-06-19T14:07:01"/>
    <d v="2025-06-20T14:29:24"/>
    <s v="Externo"/>
    <n v="25"/>
    <d v="2025-06-16T00:00:00"/>
    <n v="25"/>
    <d v="2025-06-16T00:00:00"/>
    <n v="1.0155427314821281"/>
    <n v="2025"/>
    <n v="2025"/>
    <x v="8"/>
    <x v="5"/>
  </r>
  <r>
    <s v="ESPC360-19367"/>
    <s v="[C360-smartdata_new_funds]-INC055844398- &quot;EUR&quot; of the type &quot;string&quot; cannot be cast to &quot;BIGINT&quot;."/>
    <s v="smartdata_new_funds"/>
    <d v="2025-06-20T13:31:27"/>
    <d v="2025-06-23T10:25:08"/>
    <s v="ANALÍTICO"/>
    <s v="FUNCIONAL"/>
    <s v=""/>
    <s v="C360_Team_Integration;C360_Team_Mtto"/>
    <s v="Medium"/>
    <s v="CERRADO"/>
    <s v=""/>
    <s v="PRO"/>
    <x v="4"/>
    <d v="2025-06-20T13:31:27"/>
    <d v="2025-06-23T10:25:08"/>
    <s v="Interno"/>
    <n v="25"/>
    <d v="2025-06-16T00:00:00"/>
    <n v="26"/>
    <d v="2025-06-23T00:00:00"/>
    <n v="2.8706157638880541"/>
    <n v="2025"/>
    <n v="2025"/>
    <x v="8"/>
    <x v="5"/>
  </r>
  <r>
    <s v="ESPC360-19368"/>
    <s v="[C360-datagen]-INC055845490-Particiones y errores en las métricas"/>
    <s v=""/>
    <d v="2025-06-20T13:43:00"/>
    <d v="2025-06-24T16:45:37"/>
    <s v="ANALÍTICO"/>
    <s v="REPROCESO"/>
    <s v=""/>
    <s v="C360_Team_Integration;C360_Team_Mtto"/>
    <s v="Medium"/>
    <s v="CERRADO"/>
    <s v=""/>
    <s v="PRO"/>
    <x v="2"/>
    <d v="2025-06-20T13:43:00"/>
    <d v="2025-06-24T16:45:37"/>
    <s v="Interno"/>
    <n v="25"/>
    <d v="2025-06-16T00:00:00"/>
    <n v="26"/>
    <d v="2025-06-23T00:00:00"/>
    <n v="4.1268114699123544"/>
    <n v="2025"/>
    <n v="2025"/>
    <x v="8"/>
    <x v="5"/>
  </r>
  <r>
    <s v="ESPC360-19375"/>
    <s v="[C360-agenda financiera] - INC055910146 - aviso en agenda financiera de transferencias que anteriormente no ha recibido."/>
    <s v=""/>
    <d v="2025-06-23T11:10:01"/>
    <d v="2025-06-24T08:38:32"/>
    <s v="ANALÍTICO"/>
    <s v="DEFINICIÓN"/>
    <s v=""/>
    <s v=""/>
    <s v="Medium"/>
    <s v="CERRADO"/>
    <s v=""/>
    <s v="PRO"/>
    <x v="3"/>
    <d v="2025-06-23T11:10:01"/>
    <d v="2025-06-24T08:38:32"/>
    <s v="Externo"/>
    <n v="26"/>
    <d v="2025-06-23T00:00:00"/>
    <n v="26"/>
    <d v="2025-06-23T00:00:00"/>
    <n v="0.8947953124952619"/>
    <n v="2025"/>
    <n v="2025"/>
    <x v="8"/>
    <x v="5"/>
  </r>
  <r>
    <s v="ESPC360-19376"/>
    <s v="[C360-oraculo_rgi] - INC055913800 - Incidencia en datagenes para RGI"/>
    <s v="oraculo_features_rgi"/>
    <d v="2025-06-23T11:13:12"/>
    <d v="2025-07-10T10:38:08"/>
    <s v="ANALÍTICO"/>
    <s v="DEFINICIÓN"/>
    <s v=""/>
    <s v="C360_Team_Integration;C360_Team_Mtto"/>
    <s v="Medium"/>
    <s v="CERRADO"/>
    <s v=""/>
    <s v="PRO"/>
    <x v="3"/>
    <d v="2025-06-23T11:13:12"/>
    <d v="2025-07-10T10:38:08"/>
    <s v="Externo"/>
    <n v="26"/>
    <d v="2025-06-23T00:00:00"/>
    <n v="28"/>
    <d v="2025-07-07T00:00:00"/>
    <n v="16.975644062498759"/>
    <n v="2025"/>
    <n v="2025"/>
    <x v="8"/>
    <x v="6"/>
  </r>
  <r>
    <s v="ESPC360-19394"/>
    <s v="[C360-customerrelationship_enterprise_datagen]-INC056002843-Incidencias en campos de redes"/>
    <s v="customerrelationship_enterprise_datagen"/>
    <d v="2025-06-25T13:14:33"/>
    <d v="2025-07-11T09:25:51"/>
    <s v="ANALÍTICO"/>
    <s v="DEFINICIÓN"/>
    <s v=""/>
    <s v="C360_Team_Integration;C360_Team_Mtto"/>
    <s v="Medium"/>
    <s v="CERRADO"/>
    <s v=""/>
    <s v="PRO"/>
    <x v="3"/>
    <d v="2025-06-25T13:14:33"/>
    <d v="2025-07-11T09:25:51"/>
    <s v="Externo"/>
    <n v="26"/>
    <d v="2025-06-23T00:00:00"/>
    <n v="28"/>
    <d v="2025-07-07T00:00:00"/>
    <n v="15.841176111112873"/>
    <n v="2025"/>
    <n v="2025"/>
    <x v="8"/>
    <x v="6"/>
  </r>
  <r>
    <s v="ESPC360-19500"/>
    <s v="[C360-mov_transfer_det]-INC056151665-Misma query en origen y destino proporcionan volúmenes diferentes:"/>
    <s v="mov_transfers_det"/>
    <d v="2025-06-30T10:27:39"/>
    <d v="2025-07-01T14:17:39"/>
    <s v="ANALÍTICO"/>
    <s v="ORIGEN"/>
    <s v=""/>
    <s v="C360_Team_Integration;C360_Team_Mtto"/>
    <s v="Medium"/>
    <s v="CERRADO"/>
    <s v=""/>
    <s v="PRO"/>
    <x v="1"/>
    <d v="2025-06-30T10:27:39"/>
    <d v="2025-07-01T14:17:39"/>
    <s v="Externo"/>
    <n v="27"/>
    <d v="2025-06-30T00:00:00"/>
    <n v="27"/>
    <d v="2025-06-30T00:00:00"/>
    <n v="1.1597202083357843"/>
    <n v="2025"/>
    <n v="2025"/>
    <x v="8"/>
    <x v="5"/>
  </r>
  <r>
    <s v="ESPC360-19525"/>
    <s v="[C360-datagenes]-INC056151367-Duplicados en Datagenes"/>
    <s v="contacts_datagen_d"/>
    <d v="2025-06-30T14:47:17"/>
    <d v="2025-07-14T11:10:17"/>
    <s v="ANALÍTICO"/>
    <s v="DEFINICIÓN"/>
    <s v=""/>
    <s v="C360_Team_Integration;C360_Team_Mtto"/>
    <s v="Medium"/>
    <s v="CERRADO"/>
    <s v=""/>
    <s v="PRO"/>
    <x v="3"/>
    <d v="2025-06-30T14:47:17"/>
    <d v="2025-07-14T11:10:17"/>
    <s v="Externo"/>
    <n v="27"/>
    <d v="2025-06-30T00:00:00"/>
    <n v="29"/>
    <d v="2025-07-14T00:00:00"/>
    <n v="13.849305972224101"/>
    <n v="2025"/>
    <n v="2025"/>
    <x v="8"/>
    <x v="6"/>
  </r>
  <r>
    <s v="ESPC360-19534"/>
    <s v="[C360-contracts_det]-El campo initial_amount vacío"/>
    <s v=""/>
    <d v="2025-07-01T09:09:10"/>
    <d v="2025-07-30T12:17:15"/>
    <s v="ANALÍTICO"/>
    <s v="SOPORTE"/>
    <s v=""/>
    <s v=""/>
    <s v="Medium"/>
    <s v="CERRADO"/>
    <s v=""/>
    <s v="PRO"/>
    <x v="5"/>
    <d v="2025-07-01T09:09:10"/>
    <d v="2025-07-30T12:17:15"/>
    <s v="Externo"/>
    <n v="27"/>
    <d v="2025-06-30T00:00:00"/>
    <n v="31"/>
    <d v="2025-07-28T00:00:00"/>
    <n v="29.130604062498605"/>
    <n v="2025"/>
    <n v="2025"/>
    <x v="8"/>
    <x v="6"/>
  </r>
  <r>
    <s v="ESPC360-19557"/>
    <s v="risk_datagen_q sin version silver"/>
    <s v=""/>
    <d v="2025-07-03T11:18:23"/>
    <d v="2025-07-16T10:04:17"/>
    <s v="ANALÍTICO"/>
    <s v="SOPORTE"/>
    <s v=""/>
    <s v=""/>
    <s v="Medium"/>
    <s v="CERRADO"/>
    <s v=""/>
    <s v="PRO"/>
    <x v="5"/>
    <d v="2025-07-03T11:18:23"/>
    <d v="2025-07-16T10:04:17"/>
    <s v="Externo"/>
    <n v="27"/>
    <d v="2025-06-30T00:00:00"/>
    <n v="29"/>
    <d v="2025-07-14T00:00:00"/>
    <n v="12.94854424767982"/>
    <n v="2025"/>
    <n v="2025"/>
    <x v="8"/>
    <x v="6"/>
  </r>
  <r>
    <s v="ESPC360-19558"/>
    <s v="RE: Tablón de información de Grupos de Empresas - orígenes del Lago"/>
    <s v=""/>
    <d v="2025-07-03T11:21:16"/>
    <d v="2025-08-19T10:16:22"/>
    <s v="ANALÍTICO"/>
    <s v="DEFINICIÓN"/>
    <s v=""/>
    <s v=""/>
    <s v="Medium"/>
    <s v="CERRADO"/>
    <s v=""/>
    <s v=""/>
    <x v="3"/>
    <d v="2025-07-03T11:21:16"/>
    <d v="2025-08-19T10:16:22"/>
    <s v="Externo"/>
    <n v="27"/>
    <d v="2025-06-30T00:00:00"/>
    <n v="34"/>
    <d v="2025-08-18T00:00:00"/>
    <n v="46.954928090279282"/>
    <n v="2025"/>
    <n v="2025"/>
    <x v="8"/>
    <x v="8"/>
  </r>
  <r>
    <s v="ESPC360-19765"/>
    <s v="[C360-datagen_sociodemo]-INC056479525-Tenemos nulo en la variable del employment type del datagen_sociodemo"/>
    <s v="datagen_sociodemo"/>
    <d v="2025-07-11T09:55:26"/>
    <d v="2025-07-15T13:02:21"/>
    <s v="ANALÍTICO"/>
    <s v="ORIGEN"/>
    <s v="datagen_sociodemo"/>
    <s v="C360_Team_Integration;C360_Team_Mtto"/>
    <s v="Medium"/>
    <s v="CERRADO"/>
    <s v=""/>
    <s v="PRO"/>
    <x v="1"/>
    <d v="2025-07-11T09:55:26"/>
    <d v="2025-07-15T13:02:21"/>
    <s v="Externo"/>
    <n v="28"/>
    <d v="2025-07-07T00:00:00"/>
    <n v="29"/>
    <d v="2025-07-14T00:00:00"/>
    <n v="4.1298084953668877"/>
    <n v="2025"/>
    <n v="2025"/>
    <x v="9"/>
    <x v="6"/>
  </r>
  <r>
    <s v="ESPC360-19825"/>
    <s v="[C360-mov_bills_det]-INC056660081-No se esta pegando la variable CNAE de categorizacion en la tabla mov_bills_det."/>
    <s v="mov_bills_det"/>
    <d v="2025-07-16T13:22:34"/>
    <d v="2025-07-25T10:16:50"/>
    <s v="ANALÍTICO"/>
    <s v="DESARROLLO"/>
    <s v=""/>
    <s v="C360_Team_Mtto"/>
    <s v="Medium"/>
    <s v="CERRADO"/>
    <s v=""/>
    <s v="PRO"/>
    <x v="0"/>
    <d v="2025-07-16T13:22:34"/>
    <d v="2025-07-25T10:16:50"/>
    <s v="Interno"/>
    <n v="29"/>
    <d v="2025-07-14T00:00:00"/>
    <n v="30"/>
    <d v="2025-07-21T00:00:00"/>
    <n v="8.8710184027804644"/>
    <n v="2025"/>
    <n v="2025"/>
    <x v="9"/>
    <x v="6"/>
  </r>
  <r>
    <s v="ESPC360-19892"/>
    <s v="[C360-agenda financiera]-INC056691147-APP Y NHB AGENDA FINANCIERA / NO MUESTRA ADUEDOS SANTANDER"/>
    <s v="agenda financiera"/>
    <d v="2025-07-18T08:54:21"/>
    <d v="2025-08-22T11:12:26"/>
    <s v="ANALÍTICO"/>
    <s v="DEFINICIÓN"/>
    <s v="Agenda Financiera"/>
    <s v="C360_Team_Integration;C360_Team_Mtto"/>
    <s v="Medium"/>
    <s v="CERRADO"/>
    <s v=""/>
    <s v="PRO"/>
    <x v="3"/>
    <d v="2025-07-18T08:54:21"/>
    <d v="2025-08-22T11:12:26"/>
    <s v="Externo"/>
    <n v="29"/>
    <d v="2025-07-14T00:00:00"/>
    <n v="34"/>
    <d v="2025-08-18T00:00:00"/>
    <n v="35.095893124998838"/>
    <n v="2025"/>
    <n v="2025"/>
    <x v="9"/>
    <x v="8"/>
  </r>
  <r>
    <s v="ESPC360-19924"/>
    <s v="[C360-pos_prices_det]-alerta crítica-Duplicados por PK"/>
    <s v="pos_prices_det"/>
    <d v="2025-07-22T09:09:55"/>
    <d v="9999-12-31T10:56:12"/>
    <s v="ANALÍTICO"/>
    <s v="FUNCIONAL"/>
    <s v=""/>
    <s v="C360_Team_Integration;C360_Team_Mtto"/>
    <s v="Medium"/>
    <s v="Tested CERT / TEST"/>
    <s v=""/>
    <s v="PRO"/>
    <x v="4"/>
    <d v="2025-07-22T09:09:55"/>
    <d v="9999-12-31T10:56:12"/>
    <s v="Interno"/>
    <n v="30"/>
    <d v="2025-07-21T00:00:00"/>
    <n v="53"/>
    <n v="2958468"/>
    <n v="2912605.0738075115"/>
    <n v="2025"/>
    <n v="9999"/>
    <x v="9"/>
    <x v="7"/>
  </r>
  <r>
    <s v="ESPC360-19925"/>
    <s v="[C360-productions_det]-alerta crítica-Duplicados por PK"/>
    <s v="productions_det"/>
    <d v="2025-07-22T09:11:41"/>
    <d v="2025-08-05T14:05:28"/>
    <s v="ANALÍTICO"/>
    <s v="DEFINICIÓN"/>
    <s v=""/>
    <s v="C360_Team_Integration;C360_Team_Mtto"/>
    <s v="Medium"/>
    <s v="CERRADO"/>
    <s v=""/>
    <s v="PRO"/>
    <x v="3"/>
    <d v="2025-07-22T09:11:41"/>
    <d v="2025-08-05T14:05:28"/>
    <s v="Externo"/>
    <n v="30"/>
    <d v="2025-07-21T00:00:00"/>
    <n v="32"/>
    <d v="2025-08-04T00:00:00"/>
    <n v="14.204007384258148"/>
    <n v="2025"/>
    <n v="2025"/>
    <x v="9"/>
    <x v="8"/>
  </r>
  <r>
    <s v="ESPC360-19926"/>
    <s v="[C360-mkt_contacts_det]-alerta crítica-Duplicados por PK"/>
    <s v="mkt_contacts_det"/>
    <d v="2025-07-22T09:13:29"/>
    <d v="2025-07-24T12:57:30"/>
    <s v="ANALÍTICO"/>
    <s v="DESARROLLO"/>
    <s v=""/>
    <s v="C360_Team_Integration;C360_Team_Mtto"/>
    <s v="Medium"/>
    <s v="CERRADO"/>
    <s v=""/>
    <s v=""/>
    <x v="0"/>
    <d v="2025-07-22T09:13:29"/>
    <d v="2025-07-24T12:57:30"/>
    <s v="Interno"/>
    <n v="30"/>
    <d v="2025-07-21T00:00:00"/>
    <n v="30"/>
    <d v="2025-07-21T00:00:00"/>
    <n v="2.1555579050909728"/>
    <n v="2025"/>
    <n v="2025"/>
    <x v="9"/>
    <x v="6"/>
  </r>
  <r>
    <s v="ESPC360-20026"/>
    <s v="[C360-mov_transfer_det]-pegan ibanes en diferentes formatos"/>
    <s v=""/>
    <d v="2025-07-25T08:58:29"/>
    <d v="2025-09-18T12:08:11"/>
    <s v="ANALÍTICO"/>
    <s v="SOPORTE"/>
    <s v=""/>
    <s v=""/>
    <s v="Medium"/>
    <s v="CANCELADO"/>
    <s v=""/>
    <s v="PRO"/>
    <x v="5"/>
    <d v="2025-07-25T08:58:29"/>
    <d v="2025-09-18T12:08:11"/>
    <s v="Externo"/>
    <n v="30"/>
    <d v="2025-07-21T00:00:00"/>
    <n v="38"/>
    <d v="2025-09-15T00:00:00"/>
    <n v="55.131738171301549"/>
    <n v="2025"/>
    <n v="2025"/>
    <x v="9"/>
    <x v="9"/>
  </r>
  <r>
    <s v="ESPC360-20082"/>
    <s v="[C360-santander_go]- cliente no digital, pese a que tiene todas las capacidades para serlo"/>
    <s v="Santanger GO"/>
    <d v="2025-07-30T11:27:54"/>
    <d v="2025-07-31T10:11:59"/>
    <s v="ANALÍTICO"/>
    <s v="FUNCIONAL"/>
    <s v=""/>
    <s v="C360_Team_Integration;C360_Team_Mtto"/>
    <s v="Medium"/>
    <s v="CERRADO"/>
    <s v=""/>
    <s v="PRO"/>
    <x v="4"/>
    <d v="2025-07-30T11:27:54"/>
    <d v="2025-07-31T10:11:59"/>
    <s v="Interno"/>
    <n v="31"/>
    <d v="2025-07-28T00:00:00"/>
    <n v="31"/>
    <d v="2025-07-28T00:00:00"/>
    <n v="0.94728634259081446"/>
    <n v="2025"/>
    <n v="2025"/>
    <x v="9"/>
    <x v="6"/>
  </r>
  <r>
    <s v="ESPC360-20164"/>
    <s v="[Caliope BUG] Error visualización por falta de partición"/>
    <s v=""/>
    <d v="2025-08-01T11:05:50"/>
    <d v="2025-09-10T11:04:29"/>
    <s v="ANALÍTICO"/>
    <s v="DESARROLLO"/>
    <s v=""/>
    <s v=""/>
    <s v="Medium"/>
    <s v="CERRADO"/>
    <s v=""/>
    <s v=""/>
    <x v="0"/>
    <d v="2025-08-01T11:05:50"/>
    <d v="2025-09-10T11:04:29"/>
    <s v="Interno"/>
    <n v="31"/>
    <d v="2025-07-28T00:00:00"/>
    <n v="37"/>
    <d v="2025-09-08T00:00:00"/>
    <n v="39.999058472218167"/>
    <n v="2025"/>
    <n v="2025"/>
    <x v="9"/>
    <x v="9"/>
  </r>
  <r>
    <s v="ESPC360-20165"/>
    <s v="[Caliope] Problema de visualización de controles ejecutados por falta de partición del día"/>
    <s v=""/>
    <d v="2025-08-01T11:07:19"/>
    <d v="2025-09-10T11:04:31"/>
    <s v="ANALÍTICO"/>
    <s v="DESARROLLO"/>
    <s v=""/>
    <s v="C360_Analitico_Team_1"/>
    <s v="Medium"/>
    <s v="CERRADO"/>
    <s v="C360_Analitico_Sprint 60"/>
    <s v=""/>
    <x v="0"/>
    <d v="2025-08-01T11:07:19"/>
    <d v="2025-09-10T11:04:31"/>
    <s v="Interno"/>
    <n v="31"/>
    <d v="2025-07-28T00:00:00"/>
    <n v="37"/>
    <d v="2025-09-08T00:00:00"/>
    <n v="39.998050115740625"/>
    <n v="2025"/>
    <n v="2025"/>
    <x v="9"/>
    <x v="9"/>
  </r>
  <r>
    <s v="ESPC360-20167"/>
    <s v="[C360-identdata_cli]-INC057157385-campo legal_person_document_number"/>
    <s v="identdata_cli"/>
    <d v="2025-08-01T12:00:47"/>
    <d v="2025-08-04T12:12:17"/>
    <s v="ANALÍTICO"/>
    <s v="ORIGEN"/>
    <s v=""/>
    <s v="C360_Team_Integration;C360_Team_Mtto"/>
    <s v="Medium"/>
    <s v="CERRADO"/>
    <s v=""/>
    <s v="PRO"/>
    <x v="1"/>
    <d v="2025-08-01T12:00:47"/>
    <d v="2025-08-04T12:12:17"/>
    <s v="Externo"/>
    <n v="31"/>
    <d v="2025-07-28T00:00:00"/>
    <n v="32"/>
    <d v="2025-08-04T00:00:00"/>
    <n v="3.0079881134297466"/>
    <n v="2025"/>
    <n v="2025"/>
    <x v="9"/>
    <x v="8"/>
  </r>
  <r>
    <s v="ESPC360-20168"/>
    <s v="[C360-channelactivity_digitalnav_det]-INC057159880-Campo full_visitor_id con alto volumen de  nulos"/>
    <s v=""/>
    <d v="2025-08-01T12:16:15"/>
    <d v="2025-08-04T12:12:23"/>
    <s v="ANALÍTICO"/>
    <s v="ORIGEN"/>
    <s v=""/>
    <s v=""/>
    <s v="Medium"/>
    <s v="CERRADO"/>
    <s v=""/>
    <s v="PRO"/>
    <x v="1"/>
    <d v="2025-08-01T12:16:15"/>
    <d v="2025-08-04T12:12:23"/>
    <s v="Externo"/>
    <n v="31"/>
    <d v="2025-07-28T00:00:00"/>
    <n v="32"/>
    <d v="2025-08-04T00:00:00"/>
    <n v="2.9973157523199916"/>
    <n v="2025"/>
    <n v="2025"/>
    <x v="9"/>
    <x v="8"/>
  </r>
  <r>
    <s v="ESPC360-20185"/>
    <s v="[C360-tarjetas]-revisar nulls customer id en debit y credit"/>
    <s v=""/>
    <d v="2025-08-04T10:55:00"/>
    <d v="2025-09-03T12:22:29"/>
    <s v="ANALÍTICO"/>
    <s v="REPROCESO"/>
    <s v=""/>
    <s v=""/>
    <s v="Medium"/>
    <s v="CERRADO"/>
    <s v=""/>
    <s v=""/>
    <x v="2"/>
    <d v="2025-08-04T10:55:00"/>
    <d v="2025-09-03T12:22:29"/>
    <s v="Interno"/>
    <n v="32"/>
    <d v="2025-08-04T00:00:00"/>
    <n v="36"/>
    <d v="2025-09-01T00:00:00"/>
    <n v="30.060754513884604"/>
    <n v="2025"/>
    <n v="2025"/>
    <x v="10"/>
    <x v="9"/>
  </r>
  <r>
    <s v="ESPC360-20190"/>
    <s v="[C360-mkt_contacts_det]-alerta critica-duplicados PK"/>
    <s v=""/>
    <d v="2025-08-04T13:40:24"/>
    <d v="2025-09-10T11:18:47"/>
    <s v="ANALÍTICO"/>
    <s v="DESARROLLO"/>
    <s v=""/>
    <s v="C360_Analitico_Team_1"/>
    <s v="Medium"/>
    <s v="CERRADO"/>
    <s v="C360_Analitico_Sprint 60"/>
    <s v="PRO"/>
    <x v="0"/>
    <d v="2025-08-04T13:40:24"/>
    <d v="2025-09-10T11:18:47"/>
    <s v="Interno"/>
    <n v="32"/>
    <d v="2025-08-04T00:00:00"/>
    <n v="37"/>
    <d v="2025-09-08T00:00:00"/>
    <n v="36.901659907402063"/>
    <n v="2025"/>
    <n v="2025"/>
    <x v="10"/>
    <x v="9"/>
  </r>
  <r>
    <s v="ESPC360-20328"/>
    <s v="[mov_bills_det]-INC057479223-Se está informando mal el full_name_2"/>
    <s v="mov_bills_det"/>
    <d v="2025-08-13T16:29:00"/>
    <d v="2025-08-22T09:28:55"/>
    <s v="ANALÍTICO"/>
    <s v="DESARROLLO"/>
    <s v="Agenda Financiera"/>
    <s v="C360_Team_Integration;C360_Team_Mtto"/>
    <s v="Medium"/>
    <s v="CERRADO"/>
    <s v=""/>
    <s v="PRO"/>
    <x v="0"/>
    <d v="2025-08-13T16:29:00"/>
    <d v="2025-08-22T09:28:55"/>
    <s v="Interno"/>
    <n v="33"/>
    <d v="2025-08-11T00:00:00"/>
    <n v="34"/>
    <d v="2025-08-18T00:00:00"/>
    <n v="8.7082784490776248"/>
    <n v="2025"/>
    <n v="2025"/>
    <x v="10"/>
    <x v="8"/>
  </r>
  <r>
    <s v="ESPC360-20329"/>
    <s v="[mov_datagen_q]-INC057471958-Campos number_of_xxx a NULL"/>
    <s v="mov_datagen_q"/>
    <d v="2025-08-13T16:35:10"/>
    <d v="2025-08-14T15:42:59"/>
    <s v="ANALÍTICO"/>
    <s v="REPROCESO"/>
    <s v="Agenda Financiera"/>
    <s v="C360_Team_Integration;C360_Team_Mtto"/>
    <s v="Medium"/>
    <s v="CERRADO"/>
    <s v=""/>
    <s v="PRO"/>
    <x v="2"/>
    <d v="2025-08-13T16:35:10"/>
    <d v="2025-08-14T15:42:59"/>
    <s v="Interno"/>
    <n v="33"/>
    <d v="2025-08-11T00:00:00"/>
    <n v="33"/>
    <d v="2025-08-11T00:00:00"/>
    <n v="0.96376054397842381"/>
    <n v="2025"/>
    <n v="2025"/>
    <x v="10"/>
    <x v="8"/>
  </r>
  <r>
    <s v="ESPC360-20474"/>
    <s v="[C360-mov_transfers_det]-INC057775447-Nulos en las variables"/>
    <s v="mov_transfers_det"/>
    <d v="2025-08-22T09:15:36"/>
    <d v="2025-10-14T09:23:04"/>
    <s v="ANALÍTICO"/>
    <s v="ORIGEN"/>
    <s v=""/>
    <s v="C360_Team_Mtto"/>
    <s v="Medium"/>
    <s v="CERRADO"/>
    <s v=""/>
    <s v="PRO"/>
    <x v="1"/>
    <d v="2025-08-22T09:15:36"/>
    <d v="2025-10-14T09:23:04"/>
    <s v="Externo"/>
    <n v="34"/>
    <d v="2025-08-18T00:00:00"/>
    <n v="42"/>
    <d v="2025-10-13T00:00:00"/>
    <n v="53.005184999994526"/>
    <n v="2025"/>
    <n v="2025"/>
    <x v="10"/>
    <x v="10"/>
  </r>
  <r>
    <s v="ESPC360-20476"/>
    <s v="[C360-mov_bills_det]-INC057800640- Para la tabla mov_bills_det aparecen vacias las variables relacionadas con el contrato de la cuenta de la parte 1"/>
    <s v=""/>
    <d v="2025-08-22T11:14:04"/>
    <d v="2025-08-25T09:29:01"/>
    <s v="ANALÍTICO"/>
    <s v="SOPORTE"/>
    <s v=""/>
    <s v=""/>
    <s v="Medium"/>
    <s v="CERRADO"/>
    <s v=""/>
    <s v="PRO"/>
    <x v="5"/>
    <d v="2025-08-22T11:14:04"/>
    <d v="2025-08-25T09:29:01"/>
    <s v="Externo"/>
    <n v="34"/>
    <d v="2025-08-18T00:00:00"/>
    <n v="35"/>
    <d v="2025-08-25T00:00:00"/>
    <n v="2.9270506249958999"/>
    <n v="2025"/>
    <n v="2025"/>
    <x v="10"/>
    <x v="8"/>
  </r>
  <r>
    <s v="ESPC360-20526"/>
    <s v="[C360-risk_performance_det]-no genera partición"/>
    <s v=""/>
    <d v="2025-08-27T09:42:27"/>
    <d v="2025-09-01T12:20:48"/>
    <s v="ANALÍTICO"/>
    <s v="REPROCESO"/>
    <s v=""/>
    <s v=""/>
    <s v="Medium"/>
    <s v="CERRADO"/>
    <s v=""/>
    <s v="PRO"/>
    <x v="2"/>
    <d v="2025-08-27T09:42:27"/>
    <d v="2025-09-01T12:20:48"/>
    <s v="Interno"/>
    <n v="35"/>
    <d v="2025-08-25T00:00:00"/>
    <n v="36"/>
    <d v="2025-09-01T00:00:00"/>
    <n v="5.1099554745378555"/>
    <n v="2025"/>
    <n v="2025"/>
    <x v="10"/>
    <x v="9"/>
  </r>
  <r>
    <s v="ESPC360-20616"/>
    <s v="[C360-geo_cp]-particiones que tienen fecha el dia 30 y no el 31"/>
    <s v=""/>
    <d v="2025-08-29T10:31:02"/>
    <d v="2025-08-29T14:39:19"/>
    <s v="ANALÍTICO"/>
    <s v="REPROCESO"/>
    <s v=""/>
    <s v=""/>
    <s v="Medium"/>
    <s v="CERRADO"/>
    <s v=""/>
    <s v="PRO"/>
    <x v="2"/>
    <d v="2025-08-29T10:31:02"/>
    <d v="2025-08-29T14:39:19"/>
    <s v="Interno"/>
    <n v="35"/>
    <d v="2025-08-25T00:00:00"/>
    <n v="35"/>
    <d v="2025-08-25T00:00:00"/>
    <n v="0.17242212963174097"/>
    <n v="2025"/>
    <n v="2025"/>
    <x v="10"/>
    <x v="8"/>
  </r>
  <r>
    <s v="ESPC360-20639"/>
    <s v="[C360-agenda_financiera]-Revisión de los conceptos señalados"/>
    <s v=""/>
    <d v="2025-09-03T08:59:48"/>
    <d v="2025-09-04T10:25:32"/>
    <s v="ANALÍTICO"/>
    <s v="SOPORTE"/>
    <s v=""/>
    <s v="C360_Team_Mtto"/>
    <s v="Medium"/>
    <s v="CERRADO"/>
    <s v=""/>
    <s v="PRO"/>
    <x v="5"/>
    <d v="2025-09-03T08:59:48"/>
    <d v="2025-09-04T10:25:32"/>
    <s v="Externo"/>
    <n v="36"/>
    <d v="2025-09-01T00:00:00"/>
    <n v="36"/>
    <d v="2025-09-01T00:00:00"/>
    <n v="1.0595310416683787"/>
    <n v="2025"/>
    <n v="2025"/>
    <x v="11"/>
    <x v="9"/>
  </r>
  <r>
    <s v="ESPC360-20640"/>
    <s v="[C360-santanderGo]-Revisión del indicador de bizum "/>
    <s v=""/>
    <d v="2025-09-03T09:02:34"/>
    <d v="2025-09-03T09:54:09"/>
    <s v="ANALÍTICO"/>
    <s v="SOPORTE"/>
    <s v=""/>
    <s v=""/>
    <s v="Medium"/>
    <s v="CERRADO"/>
    <s v=""/>
    <s v="PRO"/>
    <x v="5"/>
    <d v="2025-09-03T09:02:34"/>
    <d v="2025-09-03T09:54:09"/>
    <s v="Externo"/>
    <n v="36"/>
    <d v="2025-09-01T00:00:00"/>
    <n v="36"/>
    <d v="2025-09-01T00:00:00"/>
    <n v="3.5815150462440215E-2"/>
    <n v="2025"/>
    <n v="2025"/>
    <x v="11"/>
    <x v="9"/>
  </r>
  <r>
    <s v="ESPC360-20642"/>
    <s v="[C360-Datagenes]-Revisión de la generación de particiones de datagenes mensuales"/>
    <s v=""/>
    <d v="2025-09-03T11:51:02"/>
    <d v="2025-09-04T11:33:46"/>
    <s v="ANALÍTICO"/>
    <s v="SOPORTE"/>
    <s v=""/>
    <s v=""/>
    <s v="Medium"/>
    <s v="CERRADO"/>
    <s v=""/>
    <s v="PRO"/>
    <x v="5"/>
    <d v="2025-09-03T11:51:02"/>
    <d v="2025-09-04T11:33:46"/>
    <s v="Externo"/>
    <n v="36"/>
    <d v="2025-09-01T00:00:00"/>
    <n v="36"/>
    <d v="2025-09-01T00:00:00"/>
    <n v="0.98800172453775303"/>
    <n v="2025"/>
    <n v="2025"/>
    <x v="11"/>
    <x v="9"/>
  </r>
  <r>
    <s v="ESPC360-20754"/>
    <s v="[C360-Customer360]-INC058205411-campo fecha de captación"/>
    <s v=""/>
    <d v="2025-09-05T11:04:01"/>
    <d v="2025-09-05T14:16:05"/>
    <s v="ANALÍTICO"/>
    <s v="ORIGEN"/>
    <s v=""/>
    <s v=""/>
    <s v="Medium"/>
    <s v="CERRADO"/>
    <s v=""/>
    <s v="PRO"/>
    <x v="1"/>
    <d v="2025-09-05T11:04:01"/>
    <d v="2025-09-05T14:16:05"/>
    <s v="Externo"/>
    <n v="36"/>
    <d v="2025-09-01T00:00:00"/>
    <n v="36"/>
    <d v="2025-09-01T00:00:00"/>
    <n v="0.13338431713054888"/>
    <n v="2025"/>
    <n v="2025"/>
    <x v="11"/>
    <x v="9"/>
  </r>
  <r>
    <s v="ESPC360-20809"/>
    <s v="[C360-segmentaciones]-INC058360318-fallo en la ejecución"/>
    <s v=""/>
    <d v="2025-09-11T09:08:02"/>
    <d v="2025-09-11T12:54:35"/>
    <s v="ANALÍTICO"/>
    <s v="SOPORTE"/>
    <s v=""/>
    <s v=""/>
    <s v="Medium"/>
    <s v="CERRADO"/>
    <s v=""/>
    <s v="PRO"/>
    <x v="5"/>
    <d v="2025-09-11T09:08:02"/>
    <d v="2025-09-11T12:54:35"/>
    <s v="Externo"/>
    <n v="37"/>
    <d v="2025-09-08T00:00:00"/>
    <n v="37"/>
    <d v="2025-09-08T00:00:00"/>
    <n v="0.1573297800932778"/>
    <n v="2025"/>
    <n v="2025"/>
    <x v="11"/>
    <x v="9"/>
  </r>
  <r>
    <s v="ESPC360-20867"/>
    <s v="[C360-caliope]-Publicacion_de_tablones_consolidados"/>
    <s v=""/>
    <d v="2025-09-11T12:55:31"/>
    <d v="2025-09-11T14:02:07"/>
    <s v="ANALÍTICO"/>
    <s v="DESARROLLO"/>
    <s v=""/>
    <s v=""/>
    <s v="Medium"/>
    <s v="CERRADO"/>
    <s v=""/>
    <s v="PRO"/>
    <x v="0"/>
    <d v="2025-09-11T12:55:31"/>
    <d v="2025-09-11T14:02:07"/>
    <s v="Interno"/>
    <n v="37"/>
    <d v="2025-09-08T00:00:00"/>
    <n v="37"/>
    <d v="2025-09-08T00:00:00"/>
    <n v="4.6250335646618623E-2"/>
    <n v="2025"/>
    <n v="2025"/>
    <x v="11"/>
    <x v="9"/>
  </r>
  <r>
    <s v="ESPC360-20873"/>
    <s v="[C360-channelactivity_digital]-portal deudores"/>
    <s v=""/>
    <d v="2025-09-12T08:58:48"/>
    <d v="2025-09-15T10:34:55"/>
    <s v="ANALÍTICO"/>
    <s v="SOPORTE"/>
    <s v=""/>
    <s v=""/>
    <s v="Medium"/>
    <s v="CERRADO"/>
    <s v=""/>
    <s v="PRO"/>
    <x v="5"/>
    <d v="2025-09-12T08:58:48"/>
    <d v="2025-09-15T10:34:55"/>
    <s v="Externo"/>
    <n v="37"/>
    <d v="2025-09-08T00:00:00"/>
    <n v="38"/>
    <d v="2025-09-15T00:00:00"/>
    <n v="3.0667459837932256"/>
    <n v="2025"/>
    <n v="2025"/>
    <x v="11"/>
    <x v="9"/>
  </r>
  <r>
    <s v="ESPC360-20875"/>
    <s v="_x0009_[Mediacion - xxx] Eliminación duplicados correspondientes a la migración"/>
    <s v=""/>
    <d v="2025-09-12T10:06:28"/>
    <d v="2025-09-25T11:18:42"/>
    <s v="ANALÍTICO"/>
    <s v="FUNCIONAL"/>
    <s v=""/>
    <s v="C360_Analitico_Team_1"/>
    <s v="Medium"/>
    <s v="CERRADO"/>
    <s v="C360_Analitico_Sprint 61"/>
    <s v=""/>
    <x v="4"/>
    <d v="2025-09-12T10:06:28"/>
    <d v="2025-09-25T11:18:42"/>
    <s v="Interno"/>
    <n v="37"/>
    <d v="2025-09-08T00:00:00"/>
    <n v="39"/>
    <d v="2025-09-22T00:00:00"/>
    <n v="13.05016131944285"/>
    <n v="2025"/>
    <n v="2025"/>
    <x v="11"/>
    <x v="9"/>
  </r>
  <r>
    <s v="ESPC360-20876"/>
    <s v="[C360-oraculo_daten_rgi]-BUG variables  RADAR Carterizados"/>
    <s v=""/>
    <d v="2025-09-12T10:30:12"/>
    <d v="2025-10-23T10:07:57"/>
    <s v="ANALÍTICO"/>
    <s v="DEFINICIÓN"/>
    <s v=""/>
    <s v="C360_Team_Integration"/>
    <s v="Medium"/>
    <s v="CERRADO"/>
    <s v=""/>
    <s v="PRO"/>
    <x v="3"/>
    <d v="2025-09-12T10:30:12"/>
    <d v="2025-10-23T10:07:57"/>
    <s v="Externo"/>
    <n v="37"/>
    <d v="2025-09-08T00:00:00"/>
    <n v="43"/>
    <d v="2025-10-20T00:00:00"/>
    <n v="40.984551782406925"/>
    <n v="2025"/>
    <n v="2025"/>
    <x v="11"/>
    <x v="10"/>
  </r>
  <r>
    <s v="ESPC360-20886"/>
    <s v="[Caliope] PBI &quot;Cobertura Modelo de control&quot; en blanco y sin fecha de datos en el informe"/>
    <s v=""/>
    <d v="2025-09-15T09:34:51"/>
    <d v="2025-10-07T14:36:35"/>
    <s v="ANALÍTICO"/>
    <s v="SOPORTE"/>
    <s v=""/>
    <s v="C360_Analitico_Team_1;C360_Team_Mtto"/>
    <s v="Medium"/>
    <s v="CERRADO"/>
    <s v="C360_Analitico_Sprint 64"/>
    <s v=""/>
    <x v="5"/>
    <d v="2025-09-15T09:34:51"/>
    <d v="2025-10-07T14:36:35"/>
    <s v="Externo"/>
    <n v="38"/>
    <d v="2025-09-15T00:00:00"/>
    <n v="41"/>
    <d v="2025-10-06T00:00:00"/>
    <n v="22.209536446760467"/>
    <n v="2025"/>
    <n v="2025"/>
    <x v="11"/>
    <x v="10"/>
  </r>
  <r>
    <s v="ESPC360-20914"/>
    <s v="[C360-sociodemo]-Distinto valor de edad "/>
    <s v=""/>
    <d v="2025-09-16T14:11:31"/>
    <d v="2025-09-17T09:16:09"/>
    <s v="ANALÍTICO"/>
    <s v="SOPORTE"/>
    <s v=""/>
    <s v=""/>
    <s v="Medium"/>
    <s v="CERRADO"/>
    <s v=""/>
    <s v="PRO"/>
    <x v="5"/>
    <d v="2025-09-16T14:11:31"/>
    <d v="2025-09-17T09:16:09"/>
    <s v="Externo"/>
    <n v="38"/>
    <d v="2025-09-15T00:00:00"/>
    <n v="38"/>
    <d v="2025-09-15T00:00:00"/>
    <n v="0.79488406249583932"/>
    <n v="2025"/>
    <n v="2025"/>
    <x v="11"/>
    <x v="9"/>
  </r>
  <r>
    <s v="ESPC360-20930"/>
    <s v="[C360-mov_transfer_det]-INC058614510-Variables mal informadas para la parte 2 del movimiento (nulos o vacios)"/>
    <s v="mov_transfers_det"/>
    <d v="2025-09-17T16:55:57"/>
    <d v="2025-10-22T12:12:19"/>
    <s v="ANALÍTICO"/>
    <s v="FUNCIONAL"/>
    <s v=""/>
    <s v=""/>
    <s v="Medium"/>
    <s v="CANCELADO"/>
    <s v=""/>
    <s v="PRO"/>
    <x v="4"/>
    <d v="2025-09-17T16:55:57"/>
    <d v="2025-10-22T12:12:19"/>
    <s v="Interno"/>
    <n v="38"/>
    <d v="2025-09-15T00:00:00"/>
    <n v="43"/>
    <d v="2025-10-20T00:00:00"/>
    <n v="34.803034456017485"/>
    <n v="2025"/>
    <n v="2025"/>
    <x v="11"/>
    <x v="10"/>
  </r>
  <r>
    <s v="ESPC360-20931"/>
    <s v="[C360-sociodemo]-Distinto valor de edad "/>
    <s v="datagen_sociodemo"/>
    <d v="2025-09-17T17:21:46"/>
    <d v="2025-09-18T10:58:20"/>
    <s v="ANALÍTICO"/>
    <s v="REPROCESO"/>
    <s v=""/>
    <s v=""/>
    <s v="Medium"/>
    <s v="CERRADO"/>
    <s v=""/>
    <s v="PRO"/>
    <x v="2"/>
    <d v="2025-09-17T17:21:46"/>
    <d v="2025-09-18T10:58:20"/>
    <s v="Interno"/>
    <n v="38"/>
    <d v="2025-09-15T00:00:00"/>
    <n v="38"/>
    <d v="2025-09-15T00:00:00"/>
    <n v="0.73372700231266208"/>
    <n v="2025"/>
    <n v="2025"/>
    <x v="11"/>
    <x v="9"/>
  </r>
  <r>
    <s v="ESPC360-21027"/>
    <s v="[Risk permance det] - Revisión de valores"/>
    <s v=""/>
    <d v="2025-09-19T13:30:34"/>
    <d v="2025-09-24T12:09:55"/>
    <s v="ANALÍTICO"/>
    <s v="FUNCIONAL"/>
    <s v=""/>
    <s v="C360_Analitico_Team_1;C360_Team_Mtto"/>
    <s v="Highest"/>
    <s v="CERRADO"/>
    <s v=""/>
    <s v="PRO"/>
    <x v="4"/>
    <d v="2025-09-19T13:30:34"/>
    <d v="2025-09-24T12:09:55"/>
    <s v="Interno"/>
    <n v="38"/>
    <d v="2025-09-15T00:00:00"/>
    <n v="39"/>
    <d v="2025-09-22T00:00:00"/>
    <n v="4.9439980787064997"/>
    <n v="2025"/>
    <n v="2025"/>
    <x v="11"/>
    <x v="9"/>
  </r>
  <r>
    <s v="ESPC360-21039"/>
    <s v="Conteos PBI de incidencias, justificaciones y observaciones"/>
    <s v=""/>
    <d v="2025-09-22T13:10:37"/>
    <d v="2025-10-23T16:54:53"/>
    <s v="ANALÍTICO"/>
    <s v="Selecciona (ORIGEN/PLANIFICACIÓN/RELANZADO PROCESO/DEFINICIÓN/FUNCIONAL/TÉCNICO/DESARROLLO/PENDIENTE REPROCESO)"/>
    <s v=""/>
    <s v=""/>
    <s v="Medium"/>
    <s v="CERRADO"/>
    <s v=""/>
    <s v=""/>
    <x v="6"/>
    <d v="2025-09-22T13:10:37"/>
    <d v="2025-10-23T16:54:53"/>
    <s v="Pendiente clasificar"/>
    <n v="39"/>
    <d v="2025-09-22T00:00:00"/>
    <n v="43"/>
    <d v="2025-10-20T00:00:00"/>
    <n v="31.155741481481527"/>
    <n v="2025"/>
    <n v="2025"/>
    <x v="11"/>
    <x v="10"/>
  </r>
  <r>
    <s v="ESPC360-21051"/>
    <s v="[Calíope] no se están visualizando las ejecuciones del mdc morosidad posteriores a abril"/>
    <s v=""/>
    <d v="2025-09-23T11:51:38"/>
    <d v="2025-09-26T11:52:50"/>
    <s v="ANALÍTICO"/>
    <s v="ORIGEN"/>
    <s v=""/>
    <s v="C360_Team_Mtto"/>
    <s v="High"/>
    <s v="CERRADO"/>
    <s v=""/>
    <s v="PRO"/>
    <x v="1"/>
    <d v="2025-09-23T11:51:38"/>
    <d v="2025-09-26T11:52:50"/>
    <s v="Externo"/>
    <n v="39"/>
    <d v="2025-09-22T00:00:00"/>
    <n v="39"/>
    <d v="2025-09-22T00:00:00"/>
    <n v="3.0008339699052158"/>
    <n v="2025"/>
    <n v="2025"/>
    <x v="11"/>
    <x v="9"/>
  </r>
  <r>
    <s v="ESPC360-21068"/>
    <s v="[C360-mov_accounts_det]-INC058829631-Faltan movimientos en la tabla"/>
    <s v="mov_accounts_det"/>
    <d v="2025-09-24T12:22:31"/>
    <d v="2025-09-26T11:09:49"/>
    <s v="ANALÍTICO"/>
    <s v="REPROCESO"/>
    <s v=""/>
    <s v="C360_Team_Mtto"/>
    <s v="Medium"/>
    <s v="CERRADO"/>
    <s v=""/>
    <s v="PRO"/>
    <x v="2"/>
    <d v="2025-09-24T12:22:31"/>
    <d v="2025-09-26T11:09:49"/>
    <s v="Interno"/>
    <n v="39"/>
    <d v="2025-09-22T00:00:00"/>
    <n v="39"/>
    <d v="2025-09-22T00:00:00"/>
    <n v="1.9495131597213913"/>
    <n v="2025"/>
    <n v="2025"/>
    <x v="11"/>
    <x v="9"/>
  </r>
  <r>
    <s v="ESPC360-21153"/>
    <s v="[C360-risk_performance_det]-volumtería particiones de 2025-04-01 y 2025-05-01/2022-08-01"/>
    <s v=""/>
    <d v="2025-09-26T13:57:00"/>
    <d v="2025-09-29T13:33:25"/>
    <s v="ANALÍTICO"/>
    <s v="REPROCESO"/>
    <s v=""/>
    <s v=""/>
    <s v="Medium"/>
    <s v="CERRADO"/>
    <s v=""/>
    <s v=""/>
    <x v="2"/>
    <d v="2025-09-26T13:57:00"/>
    <d v="2025-09-29T13:33:25"/>
    <s v="Interno"/>
    <n v="39"/>
    <d v="2025-09-22T00:00:00"/>
    <n v="40"/>
    <d v="2025-09-29T00:00:00"/>
    <n v="2.983622372688842"/>
    <n v="2025"/>
    <n v="2025"/>
    <x v="11"/>
    <x v="9"/>
  </r>
  <r>
    <s v="ESPC360-21166"/>
    <s v="[C360-customrel_det]-fallo en la ejecuciones desde 2025-09-09"/>
    <s v=""/>
    <d v="2025-09-29T14:18:07"/>
    <d v="2025-09-29T16:57:39"/>
    <s v="ANALÍTICO"/>
    <s v="REPROCESO"/>
    <s v=""/>
    <s v=""/>
    <s v="Medium"/>
    <s v="CERRADO"/>
    <s v=""/>
    <s v="PRO"/>
    <x v="2"/>
    <d v="2025-09-29T14:18:07"/>
    <d v="2025-09-29T16:57:39"/>
    <s v="Interno"/>
    <n v="40"/>
    <d v="2025-09-29T00:00:00"/>
    <n v="40"/>
    <d v="2025-09-29T00:00:00"/>
    <n v="0.11078892360819736"/>
    <n v="2025"/>
    <n v="2025"/>
    <x v="11"/>
    <x v="9"/>
  </r>
  <r>
    <s v="ESPC360-21168"/>
    <s v="[C360-mov_accounts_det]-INC058995569-faltan movimientos comparando con SantanderGo"/>
    <s v="mov_accounts_det"/>
    <d v="2025-09-29T15:24:43"/>
    <d v="2025-09-30T12:54:11"/>
    <s v="ANALÍTICO"/>
    <s v="ORIGEN"/>
    <s v=""/>
    <s v="C360_Team_Mtto"/>
    <s v="Medium"/>
    <s v="CERRADO"/>
    <s v=""/>
    <s v="PRO"/>
    <x v="1"/>
    <d v="2025-09-29T15:24:43"/>
    <d v="2025-09-30T12:54:11"/>
    <s v="Externo"/>
    <n v="40"/>
    <d v="2025-09-29T00:00:00"/>
    <n v="40"/>
    <d v="2025-09-29T00:00:00"/>
    <n v="0.89546293981402414"/>
    <n v="2025"/>
    <n v="2025"/>
    <x v="11"/>
    <x v="9"/>
  </r>
  <r>
    <s v="ESPC360-21173"/>
    <s v="[C360 - pro_common_soporte.c360_data.competence_accounts_det] Bug - Volumetrias Cuentas"/>
    <s v=""/>
    <d v="2025-09-30T12:39:43"/>
    <d v="2025-09-30T13:25:54"/>
    <s v="ANALÍTICO"/>
    <s v=""/>
    <s v=""/>
    <s v=""/>
    <s v="Medium"/>
    <s v="CANCELADO"/>
    <s v=""/>
    <s v=""/>
    <x v="7"/>
    <d v="2025-09-30T12:39:43"/>
    <d v="2025-09-30T13:25:54"/>
    <s v="Pendiente clasificar"/>
    <n v="40"/>
    <d v="2025-09-29T00:00:00"/>
    <n v="40"/>
    <d v="2025-09-29T00:00:00"/>
    <n v="3.2066828702227212E-2"/>
    <n v="2025"/>
    <n v="2025"/>
    <x v="11"/>
    <x v="9"/>
  </r>
  <r>
    <s v="ESPC360-21174"/>
    <s v="[C360 - pro_common_soporte.c360_data.competence_accounts_det] Bug - Volumetrias Cuentas"/>
    <s v=""/>
    <d v="2025-09-30T12:39:45"/>
    <d v="2025-10-01T16:27:59"/>
    <s v="ANALÍTICO"/>
    <s v="DEFINICIÓN"/>
    <s v=""/>
    <s v="C360_Team_Mtto"/>
    <s v="Medium"/>
    <s v="CERRADO"/>
    <s v=""/>
    <s v=""/>
    <x v="3"/>
    <d v="2025-09-30T12:39:45"/>
    <d v="2025-10-01T16:27:59"/>
    <s v="Externo"/>
    <n v="40"/>
    <d v="2025-09-29T00:00:00"/>
    <n v="40"/>
    <d v="2025-09-29T00:00:00"/>
    <n v="1.1584874421314453"/>
    <n v="2025"/>
    <n v="2025"/>
    <x v="11"/>
    <x v="9"/>
  </r>
  <r>
    <s v="ESPC360-21177"/>
    <s v="[C360-Santander_go]-revisión de cliente"/>
    <s v="Santanger GO"/>
    <d v="2025-09-30T14:17:21"/>
    <d v="2025-09-30T16:19:30"/>
    <s v="ANALÍTICO"/>
    <s v="SOPORTE"/>
    <s v=""/>
    <s v="C360_Team_Mtto"/>
    <s v="Medium"/>
    <s v="CERRADO"/>
    <s v=""/>
    <s v="PRO"/>
    <x v="5"/>
    <d v="2025-09-30T14:17:21"/>
    <d v="2025-09-30T16:19:30"/>
    <s v="Externo"/>
    <n v="40"/>
    <d v="2025-09-29T00:00:00"/>
    <n v="40"/>
    <d v="2025-09-29T00:00:00"/>
    <n v="8.4827407408738509E-2"/>
    <n v="2025"/>
    <n v="2025"/>
    <x v="11"/>
    <x v="9"/>
  </r>
  <r>
    <s v="ESPC360-21279"/>
    <s v="Cambiar el criterio de asignación de grupo principal de riesgos en intprofile_cli"/>
    <s v=""/>
    <d v="2025-10-03T08:22:56"/>
    <d v="2025-10-07T13:10:39"/>
    <s v="ANALÍTICO"/>
    <s v="DEFINICIÓN"/>
    <s v=""/>
    <s v="C360_Team_Mtto"/>
    <s v="Medium"/>
    <s v="CERRADO"/>
    <s v=""/>
    <s v=""/>
    <x v="3"/>
    <d v="2025-10-03T08:22:56"/>
    <d v="2025-10-07T13:10:39"/>
    <s v="Externo"/>
    <n v="40"/>
    <d v="2025-09-29T00:00:00"/>
    <n v="41"/>
    <d v="2025-10-06T00:00:00"/>
    <n v="4.1998052199123777"/>
    <n v="2025"/>
    <n v="2025"/>
    <x v="11"/>
    <x v="10"/>
  </r>
  <r>
    <s v="ESPC360-21282"/>
    <s v="[C360-customer360]-facturacion_tpv_mes_customer "/>
    <s v="customer_360"/>
    <d v="2025-10-03T09:28:52"/>
    <d v="2025-10-16T13:41:53"/>
    <s v="ANALÍTICO"/>
    <s v="SOPORTE"/>
    <s v=""/>
    <s v="C360_Team_Mtto"/>
    <s v="Medium"/>
    <s v="CERRADO"/>
    <s v=""/>
    <s v="PRO"/>
    <x v="5"/>
    <d v="2025-10-03T09:28:52"/>
    <d v="2025-10-16T13:41:53"/>
    <s v="Externo"/>
    <n v="40"/>
    <d v="2025-09-29T00:00:00"/>
    <n v="42"/>
    <d v="2025-10-13T00:00:00"/>
    <n v="13.175714780089038"/>
    <n v="2025"/>
    <n v="2025"/>
    <x v="11"/>
    <x v="10"/>
  </r>
  <r>
    <s v="ESPC360-21283"/>
    <s v="Cambiar el criterio de asignación de grupo principal de riesgos en customerrelationship_det"/>
    <s v="customerrelationship_det"/>
    <d v="2025-10-03T09:37:47"/>
    <d v="2025-10-08T09:36:49"/>
    <s v="ANALÍTICO"/>
    <s v="SOPORTE"/>
    <s v=""/>
    <s v="C360_Team_Mtto"/>
    <s v="Medium"/>
    <s v="CERRADO"/>
    <s v=""/>
    <s v=""/>
    <x v="5"/>
    <d v="2025-10-03T09:37:47"/>
    <d v="2025-10-08T09:36:49"/>
    <s v="Externo"/>
    <n v="40"/>
    <d v="2025-09-29T00:00:00"/>
    <n v="41"/>
    <d v="2025-10-06T00:00:00"/>
    <n v="4.9993293981460738"/>
    <n v="2025"/>
    <n v="2025"/>
    <x v="11"/>
    <x v="10"/>
  </r>
  <r>
    <s v="ESPC360-21301"/>
    <s v="Cambiar el criterio de asignación de grupo principal de riesgos en oraculo_features_rgi"/>
    <s v="oraculo_features_rgi"/>
    <d v="2025-10-06T14:54:06"/>
    <d v="2025-10-29T13:05:25"/>
    <s v="ANALÍTICO"/>
    <s v="DEFINICIÓN"/>
    <s v=""/>
    <s v="C360_Analitico_Team_1;C360_Team_Integration"/>
    <s v="Medium"/>
    <s v="CERRADO"/>
    <s v="C360_Analitico_Sprint 63"/>
    <s v=""/>
    <x v="3"/>
    <d v="2025-10-06T14:54:06"/>
    <d v="2025-10-29T13:05:25"/>
    <s v="Externo"/>
    <n v="41"/>
    <d v="2025-10-06T00:00:00"/>
    <n v="44"/>
    <d v="2025-10-27T00:00:00"/>
    <n v="22.924535277779796"/>
    <n v="2025"/>
    <n v="2025"/>
    <x v="12"/>
    <x v="10"/>
  </r>
  <r>
    <s v="ESPC360-21325"/>
    <s v="[C360-customrelationship]-INC059287839- solamente se están considerando relaciones de los 10 tipos"/>
    <s v="customerrelationship_det"/>
    <d v="2025-10-08T08:55:59"/>
    <d v="9999-12-31T10:56:12"/>
    <s v="ANALÍTICO"/>
    <s v="DESARROLLO"/>
    <s v=""/>
    <s v="C360_Team_Mtto"/>
    <s v="Medium"/>
    <s v="Tested CERT / TEST"/>
    <s v=""/>
    <s v="PRO"/>
    <x v="0"/>
    <d v="2025-10-08T08:55:59"/>
    <d v="9999-12-31T10:56:12"/>
    <s v="Interno"/>
    <n v="41"/>
    <d v="2025-10-06T00:00:00"/>
    <n v="53"/>
    <n v="2958468"/>
    <n v="2912527.0834847917"/>
    <n v="2025"/>
    <n v="9999"/>
    <x v="12"/>
    <x v="7"/>
  </r>
  <r>
    <s v="ESPC360-21327"/>
    <s v="[C360-SantanderGo]-Accesos cliente F006487979 "/>
    <s v="Santanger GO"/>
    <d v="2025-10-08T11:09:50"/>
    <d v="2025-10-08T16:53:16"/>
    <s v="ANALÍTICO"/>
    <s v="SOPORTE"/>
    <s v=""/>
    <s v="C360_Team_Mtto"/>
    <s v="Medium"/>
    <s v="CERRADO"/>
    <s v=""/>
    <s v="PRO"/>
    <x v="5"/>
    <d v="2025-10-08T11:09:50"/>
    <d v="2025-10-08T16:53:16"/>
    <s v="Externo"/>
    <n v="41"/>
    <d v="2025-10-06T00:00:00"/>
    <n v="41"/>
    <d v="2025-10-06T00:00:00"/>
    <n v="0.23849473379959818"/>
    <n v="2025"/>
    <n v="2025"/>
    <x v="12"/>
    <x v="10"/>
  </r>
  <r>
    <s v="ESPC360-21396"/>
    <s v="[C360-channelactivity_digital]-Consulta de perdida path CMC"/>
    <s v="channelactivity_digitalnavigation_det"/>
    <d v="2025-10-14T10:07:28"/>
    <d v="2025-10-14T19:06:43"/>
    <s v="ANALÍTICO"/>
    <s v="SOPORTE"/>
    <s v=""/>
    <s v="C360_Team_Mtto"/>
    <s v="Medium"/>
    <s v="CERRADO"/>
    <s v=""/>
    <s v="PRO"/>
    <x v="5"/>
    <d v="2025-10-14T10:07:28"/>
    <d v="2025-10-14T19:06:43"/>
    <s v="Externo"/>
    <n v="42"/>
    <d v="2025-10-13T00:00:00"/>
    <n v="42"/>
    <d v="2025-10-13T00:00:00"/>
    <n v="0.37447965277533513"/>
    <n v="2025"/>
    <n v="2025"/>
    <x v="12"/>
    <x v="10"/>
  </r>
  <r>
    <s v="ESPC360-21423"/>
    <s v="[C360-mov_bills_det]-INC059514927-faltan movimientos"/>
    <s v=""/>
    <d v="2025-10-15T17:47:52"/>
    <d v="2025-10-22T16:38:37"/>
    <s v="ANALÍTICO"/>
    <s v="SOPORTE"/>
    <s v=""/>
    <s v="C360_Team_Mtto"/>
    <s v="Medium"/>
    <s v="CERRADO"/>
    <s v=""/>
    <s v="PRO"/>
    <x v="5"/>
    <d v="2025-10-15T17:47:52"/>
    <d v="2025-10-22T16:38:37"/>
    <s v="Externo"/>
    <n v="42"/>
    <d v="2025-10-13T00:00:00"/>
    <n v="43"/>
    <d v="2025-10-20T00:00:00"/>
    <n v="6.9519111111076199"/>
    <n v="2025"/>
    <n v="2025"/>
    <x v="12"/>
    <x v="10"/>
  </r>
  <r>
    <s v="ESPC360-21436"/>
    <s v="[C360-customer360]-ind_contable a 1, cuando idcent = 1810"/>
    <s v="customer_360"/>
    <d v="2025-10-16T13:10:10"/>
    <d v="2025-10-22T12:11:59"/>
    <s v="ANALÍTICO"/>
    <s v="ORIGEN"/>
    <s v=""/>
    <s v="C360_Team_Mtto"/>
    <s v="Medium"/>
    <s v="CANCELADO"/>
    <s v=""/>
    <s v=""/>
    <x v="1"/>
    <d v="2025-10-16T13:10:10"/>
    <d v="2025-10-22T12:11:59"/>
    <s v="Externo"/>
    <n v="42"/>
    <d v="2025-10-13T00:00:00"/>
    <n v="43"/>
    <d v="2025-10-20T00:00:00"/>
    <n v="5.9596011226822156"/>
    <n v="2025"/>
    <n v="2025"/>
    <x v="12"/>
    <x v="10"/>
  </r>
  <r>
    <s v="ESPC360-21526"/>
    <s v="[C360-revisiónes de tabla]- Alertas critica"/>
    <s v="identdata_cli;intprofile_cli"/>
    <d v="2025-10-20T15:36:45"/>
    <d v="2025-10-21T13:35:51"/>
    <s v="ANALÍTICO"/>
    <s v="SOPORTE"/>
    <s v=""/>
    <s v="C360_Team_Mtto"/>
    <s v="Medium"/>
    <s v="CERRADO"/>
    <s v=""/>
    <s v=""/>
    <x v="5"/>
    <d v="2025-10-20T15:36:45"/>
    <d v="2025-10-21T13:35:51"/>
    <s v="Externo"/>
    <n v="43"/>
    <d v="2025-10-20T00:00:00"/>
    <n v="43"/>
    <d v="2025-10-20T00:00:00"/>
    <n v="0.9160419791660388"/>
    <n v="2025"/>
    <n v="2025"/>
    <x v="12"/>
    <x v="10"/>
  </r>
  <r>
    <s v="ESPC360-21527"/>
    <s v="Revisión campos Recibos, overdrafts y balances Oráculo-RGI"/>
    <s v="oraculo_features_rgi"/>
    <d v="2025-10-20T15:46:07"/>
    <d v="2025-10-29T13:06:22"/>
    <s v="ANALÍTICO"/>
    <s v="DEFINICIÓN"/>
    <s v=""/>
    <s v="C360_Team_Integration"/>
    <s v="Medium"/>
    <s v="CERRADO"/>
    <s v=""/>
    <s v=""/>
    <x v="3"/>
    <d v="2025-10-20T15:46:07"/>
    <d v="2025-10-29T13:06:22"/>
    <s v="Externo"/>
    <n v="43"/>
    <d v="2025-10-20T00:00:00"/>
    <n v="44"/>
    <d v="2025-10-27T00:00:00"/>
    <n v="8.8890717245376436"/>
    <n v="2025"/>
    <n v="2025"/>
    <x v="12"/>
    <x v="10"/>
  </r>
  <r>
    <s v="ESPC360-21538"/>
    <s v="[C360-Dinero Nuevo]-cliente F15121555 "/>
    <s v="smartdata_new_funds"/>
    <d v="2025-10-21T14:05:25"/>
    <d v="2025-10-22T10:17:02"/>
    <s v="ANALÍTICO"/>
    <s v="SOPORTE"/>
    <s v=""/>
    <s v="C360_Team_Mtto"/>
    <s v="Medium"/>
    <s v="CERRADO"/>
    <s v=""/>
    <s v=""/>
    <x v="5"/>
    <d v="2025-10-21T14:05:25"/>
    <d v="2025-10-22T10:17:02"/>
    <s v="Externo"/>
    <n v="43"/>
    <d v="2025-10-20T00:00:00"/>
    <n v="43"/>
    <d v="2025-10-20T00:00:00"/>
    <n v="0.84139228009735234"/>
    <n v="2025"/>
    <n v="2025"/>
    <x v="12"/>
    <x v="10"/>
  </r>
  <r>
    <s v="ESPC360-21670"/>
    <s v="[C360-mov_creditcards]-INC059809815-Ejecución con ODATE 20251023"/>
    <s v="mov_creditcards_det"/>
    <d v="2025-10-27T09:07:20"/>
    <d v="2025-10-27T15:50:12"/>
    <s v="ANALÍTICO"/>
    <s v="SOPORTE"/>
    <s v=""/>
    <s v="C360_Team_Mtto"/>
    <s v="Medium"/>
    <s v="CERRADO"/>
    <s v=""/>
    <s v="PRO"/>
    <x v="5"/>
    <d v="2025-10-27T09:07:20"/>
    <d v="2025-10-27T15:50:12"/>
    <s v="Externo"/>
    <n v="44"/>
    <d v="2025-10-27T00:00:00"/>
    <n v="44"/>
    <d v="2025-10-27T00:00:00"/>
    <n v="0.27977121527510462"/>
    <n v="2025"/>
    <n v="2025"/>
    <x v="12"/>
    <x v="10"/>
  </r>
  <r>
    <s v="ESPC360-21671"/>
    <s v="[C360-mov_transfers_det]-INC059814465-iban_2 vacio"/>
    <s v="mov_transfers_det"/>
    <d v="2025-10-27T09:09:07"/>
    <d v="9999-12-31T10:56:12"/>
    <s v="ANALÍTICO"/>
    <s v="ORIGEN"/>
    <s v=""/>
    <s v="C360_Team_Mtto"/>
    <s v="Medium"/>
    <s v="Blocked"/>
    <s v=""/>
    <s v="PRO"/>
    <x v="1"/>
    <d v="2025-10-27T09:09:07"/>
    <d v="9999-12-31T10:56:12"/>
    <s v="Externo"/>
    <n v="44"/>
    <d v="2025-10-27T00:00:00"/>
    <n v="53"/>
    <n v="2958468"/>
    <n v="2912508.0743673728"/>
    <n v="2025"/>
    <n v="9999"/>
    <x v="12"/>
    <x v="7"/>
  </r>
  <r>
    <s v="ESPC360-21672"/>
    <s v="[C360]-Ejecuciones pendientes semana 20251022"/>
    <s v=""/>
    <d v="2025-10-27T10:29:22"/>
    <d v="2025-10-27T15:51:02"/>
    <s v="ANALÍTICO"/>
    <s v="ORIGEN"/>
    <s v=""/>
    <s v="C360_Team_Mtto"/>
    <s v="Medium"/>
    <s v="CERRADO"/>
    <s v=""/>
    <s v=""/>
    <x v="1"/>
    <d v="2025-10-27T10:29:22"/>
    <d v="2025-10-27T15:51:02"/>
    <s v="Externo"/>
    <n v="44"/>
    <d v="2025-10-27T00:00:00"/>
    <n v="44"/>
    <d v="2025-10-27T00:00:00"/>
    <n v="0.22337795139173977"/>
    <n v="2025"/>
    <n v="2025"/>
    <x v="12"/>
    <x v="10"/>
  </r>
  <r>
    <s v="ESPC360-21673"/>
    <s v="[C360-santanderGo]-INC059813109-no sale correcto el nombre de esta empresa"/>
    <s v="Santanger GO"/>
    <d v="2025-10-27T11:13:42"/>
    <d v="2025-10-27T17:33:00"/>
    <s v="ANALÍTICO"/>
    <s v="SOPORTE"/>
    <s v=""/>
    <s v="C360_Team_Mtto"/>
    <s v="Medium"/>
    <s v="CERRADO"/>
    <s v=""/>
    <s v="PRO"/>
    <x v="5"/>
    <d v="2025-10-27T11:13:42"/>
    <d v="2025-10-27T17:33:00"/>
    <s v="Externo"/>
    <n v="44"/>
    <d v="2025-10-27T00:00:00"/>
    <n v="44"/>
    <d v="2025-10-27T00:00:00"/>
    <n v="0.26339571759308456"/>
    <n v="2025"/>
    <n v="2025"/>
    <x v="12"/>
    <x v="10"/>
  </r>
  <r>
    <s v="ESPC360-21690"/>
    <s v="[C360-mov_transfer_det]-variable periodicity_days "/>
    <s v="mov_bills_det;mov_creditcards_det;mov_debitcards_det;mov_transfers_det"/>
    <d v="2025-10-28T13:25:53"/>
    <d v="9999-12-31T10:56:12"/>
    <s v="ANALÍTICO"/>
    <s v="DEFINICIÓN"/>
    <s v=""/>
    <s v="C360_Team_Mtto"/>
    <s v="Medium"/>
    <s v="Tested CERT / TEST"/>
    <s v=""/>
    <s v="PRO"/>
    <x v="3"/>
    <d v="2025-10-28T13:25:53"/>
    <d v="9999-12-31T10:56:12"/>
    <s v="Externo"/>
    <n v="44"/>
    <d v="2025-10-27T00:00:00"/>
    <n v="53"/>
    <n v="2958468"/>
    <n v="2912506.896056192"/>
    <n v="2025"/>
    <n v="9999"/>
    <x v="12"/>
    <x v="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6">
  <r>
    <s v="DESARROLLO"/>
    <d v="2024-10-22T12:46:10"/>
    <d v="2025-01-22T17:02:30"/>
    <x v="0"/>
    <n v="43"/>
    <x v="0"/>
    <n v="4"/>
    <x v="0"/>
    <n v="92.17800627314864"/>
    <n v="2024"/>
    <n v="2025"/>
  </r>
  <r>
    <s v="DESARROLLO"/>
    <d v="2024-11-13T13:11:22"/>
    <d v="2025-01-23T09:48:44"/>
    <x v="0"/>
    <n v="46"/>
    <x v="1"/>
    <n v="4"/>
    <x v="0"/>
    <n v="70.859286157407041"/>
    <n v="2024"/>
    <n v="2025"/>
  </r>
  <r>
    <s v="ORIGEN"/>
    <d v="2024-11-18T11:30:08"/>
    <d v="2025-01-28T09:36:10"/>
    <x v="1"/>
    <n v="47"/>
    <x v="2"/>
    <n v="5"/>
    <x v="1"/>
    <n v="70.920863865736465"/>
    <n v="2024"/>
    <n v="2025"/>
  </r>
  <r>
    <s v="ORIGEN"/>
    <d v="2024-11-19T10:11:04"/>
    <d v="2025-03-17T10:48:01"/>
    <x v="1"/>
    <n v="47"/>
    <x v="2"/>
    <n v="12"/>
    <x v="2"/>
    <n v="118.02566730323451"/>
    <n v="2024"/>
    <n v="2025"/>
  </r>
  <r>
    <s v="REPROCESO"/>
    <d v="2024-11-19T15:15:52"/>
    <d v="2025-02-17T16:23:06"/>
    <x v="0"/>
    <n v="47"/>
    <x v="2"/>
    <n v="8"/>
    <x v="3"/>
    <n v="90.04668371527805"/>
    <n v="2024"/>
    <n v="2025"/>
  </r>
  <r>
    <s v="REPROCESO"/>
    <d v="2024-11-19T15:41:49"/>
    <d v="2025-01-22T17:02:46"/>
    <x v="0"/>
    <n v="47"/>
    <x v="2"/>
    <n v="4"/>
    <x v="0"/>
    <n v="64.056217361110612"/>
    <n v="2024"/>
    <n v="2025"/>
  </r>
  <r>
    <s v="DESARROLLO"/>
    <d v="2024-11-21T15:52:50"/>
    <d v="2025-03-04T10:51:38"/>
    <x v="0"/>
    <n v="47"/>
    <x v="2"/>
    <n v="10"/>
    <x v="4"/>
    <n v="102.79084037036955"/>
    <n v="2024"/>
    <n v="2025"/>
  </r>
  <r>
    <s v="DESARROLLO"/>
    <d v="2024-11-26T15:28:36"/>
    <d v="2025-01-23T09:48:44"/>
    <x v="0"/>
    <n v="48"/>
    <x v="3"/>
    <n v="4"/>
    <x v="0"/>
    <n v="57.763978402777866"/>
    <n v="2024"/>
    <n v="2025"/>
  </r>
  <r>
    <s v="DESARROLLO"/>
    <d v="2024-11-28T09:23:28"/>
    <d v="2025-02-26T09:45:58"/>
    <x v="0"/>
    <n v="48"/>
    <x v="3"/>
    <n v="9"/>
    <x v="5"/>
    <n v="90.015617129633029"/>
    <n v="2024"/>
    <n v="2025"/>
  </r>
  <r>
    <s v="REPROCESO"/>
    <d v="2024-12-02T14:59:23"/>
    <d v="2025-04-07T15:06:03"/>
    <x v="0"/>
    <n v="49"/>
    <x v="4"/>
    <n v="15"/>
    <x v="6"/>
    <n v="126.00463061342452"/>
    <n v="2024"/>
    <n v="2025"/>
  </r>
  <r>
    <s v="REPROCESO"/>
    <d v="2024-12-02T15:06:15"/>
    <d v="2025-04-07T15:07:26"/>
    <x v="0"/>
    <n v="49"/>
    <x v="4"/>
    <n v="15"/>
    <x v="6"/>
    <n v="126.00081844907254"/>
    <n v="2024"/>
    <n v="2025"/>
  </r>
  <r>
    <s v="REPROCESO"/>
    <d v="2024-12-02T15:13:52"/>
    <d v="2025-04-15T09:38:16"/>
    <x v="0"/>
    <n v="49"/>
    <x v="4"/>
    <n v="16"/>
    <x v="7"/>
    <n v="133.76694100694294"/>
    <n v="2024"/>
    <n v="2025"/>
  </r>
  <r>
    <s v="ORIGEN"/>
    <d v="2024-12-04T13:06:28"/>
    <d v="2025-01-28T09:38:51"/>
    <x v="1"/>
    <n v="49"/>
    <x v="4"/>
    <n v="5"/>
    <x v="1"/>
    <n v="54.855813969901646"/>
    <n v="2024"/>
    <n v="2025"/>
  </r>
  <r>
    <s v="ORIGEN"/>
    <d v="2024-12-04T14:48:18"/>
    <d v="2025-01-28T09:36:58"/>
    <x v="1"/>
    <n v="49"/>
    <x v="4"/>
    <n v="5"/>
    <x v="1"/>
    <n v="54.783793923612393"/>
    <n v="2024"/>
    <n v="2025"/>
  </r>
  <r>
    <s v="ORIGEN"/>
    <d v="2024-12-11T16:54:53"/>
    <d v="2025-01-16T13:05:19"/>
    <x v="1"/>
    <n v="50"/>
    <x v="5"/>
    <n v="3"/>
    <x v="8"/>
    <n v="35.840579548610549"/>
    <n v="2024"/>
    <n v="2025"/>
  </r>
  <r>
    <s v="ORIGEN"/>
    <d v="2024-12-12T16:53:10"/>
    <d v="2025-03-18T13:44:00"/>
    <x v="1"/>
    <n v="50"/>
    <x v="5"/>
    <n v="12"/>
    <x v="2"/>
    <n v="95.868640682871046"/>
    <n v="2024"/>
    <n v="2025"/>
  </r>
  <r>
    <s v="REPROCESO"/>
    <d v="2024-12-16T15:07:58"/>
    <d v="2025-04-07T15:10:34"/>
    <x v="0"/>
    <n v="51"/>
    <x v="6"/>
    <n v="15"/>
    <x v="6"/>
    <n v="112.00180217592424"/>
    <n v="2024"/>
    <n v="2025"/>
  </r>
  <r>
    <s v="DESARROLLO"/>
    <d v="2024-12-18T09:36:26"/>
    <d v="2025-01-24T10:20:56"/>
    <x v="0"/>
    <n v="51"/>
    <x v="6"/>
    <n v="4"/>
    <x v="0"/>
    <n v="37.030900347221177"/>
    <n v="2024"/>
    <n v="2025"/>
  </r>
  <r>
    <s v="REPROCESO"/>
    <d v="2024-12-18T15:28:36"/>
    <d v="2025-04-07T15:12:43"/>
    <x v="0"/>
    <n v="51"/>
    <x v="6"/>
    <n v="15"/>
    <x v="6"/>
    <n v="109.98897643518285"/>
    <n v="2024"/>
    <n v="2025"/>
  </r>
  <r>
    <s v="REPROCESO"/>
    <d v="2024-12-19T09:48:23"/>
    <d v="2025-02-10T16:27:29"/>
    <x v="0"/>
    <n v="51"/>
    <x v="6"/>
    <n v="7"/>
    <x v="9"/>
    <n v="53.277153738425113"/>
    <n v="2024"/>
    <n v="2025"/>
  </r>
  <r>
    <s v="REPROCESO"/>
    <d v="2024-12-20T09:14:20"/>
    <d v="2025-04-07T15:13:06"/>
    <x v="0"/>
    <n v="51"/>
    <x v="6"/>
    <n v="15"/>
    <x v="6"/>
    <n v="108.24914371527848"/>
    <n v="2024"/>
    <n v="2025"/>
  </r>
  <r>
    <s v="DEFINICIÓN"/>
    <d v="2024-12-24T11:05:19"/>
    <d v="2025-04-10T09:53:58"/>
    <x v="1"/>
    <n v="52"/>
    <x v="7"/>
    <n v="15"/>
    <x v="6"/>
    <n v="106.95045609954104"/>
    <n v="2024"/>
    <n v="2025"/>
  </r>
  <r>
    <s v="FUNCIONAL"/>
    <d v="2024-12-24T11:51:53"/>
    <d v="2025-03-17T09:52:10"/>
    <x v="0"/>
    <n v="52"/>
    <x v="7"/>
    <n v="12"/>
    <x v="2"/>
    <n v="82.916858958335069"/>
    <n v="2024"/>
    <n v="2025"/>
  </r>
  <r>
    <s v="DESARROLLO"/>
    <d v="2024-12-31T12:46:17"/>
    <d v="2025-03-03T16:21:16"/>
    <x v="0"/>
    <n v="53"/>
    <x v="8"/>
    <n v="10"/>
    <x v="4"/>
    <n v="62.149291585643368"/>
    <n v="2024"/>
    <n v="2025"/>
  </r>
  <r>
    <s v="SOPORTE"/>
    <d v="2025-01-22T13:03:15"/>
    <d v="2025-01-27T18:05:00"/>
    <x v="1"/>
    <n v="4"/>
    <x v="9"/>
    <n v="5"/>
    <x v="1"/>
    <n v="5.2095556134299841"/>
    <n v="2025"/>
    <n v="2025"/>
  </r>
  <r>
    <s v="SOPORTE"/>
    <d v="2025-01-22T17:14:31"/>
    <d v="2025-01-28T12:18:01"/>
    <x v="1"/>
    <n v="4"/>
    <x v="9"/>
    <n v="5"/>
    <x v="1"/>
    <n v="5.7940910416655242"/>
    <n v="2025"/>
    <n v="2025"/>
  </r>
  <r>
    <s v="SOPORTE"/>
    <d v="2025-01-23T11:02:45"/>
    <d v="2025-01-30T11:56:11"/>
    <x v="1"/>
    <n v="4"/>
    <x v="9"/>
    <n v="5"/>
    <x v="1"/>
    <n v="7.03711251157074"/>
    <n v="2025"/>
    <n v="2025"/>
  </r>
  <r>
    <s v="SOPORTE"/>
    <d v="2025-01-23T11:27:15"/>
    <d v="2025-01-30T11:57:22"/>
    <x v="1"/>
    <n v="4"/>
    <x v="9"/>
    <n v="5"/>
    <x v="1"/>
    <n v="7.0209241898119217"/>
    <n v="2025"/>
    <n v="2025"/>
  </r>
  <r>
    <s v="DESARROLLO"/>
    <d v="2025-01-28T10:19:38"/>
    <d v="2025-02-26T16:42:05"/>
    <x v="0"/>
    <n v="5"/>
    <x v="10"/>
    <n v="9"/>
    <x v="5"/>
    <n v="29.265591770832543"/>
    <n v="2025"/>
    <n v="2025"/>
  </r>
  <r>
    <s v="DESARROLLO"/>
    <d v="2025-01-29T10:14:13"/>
    <d v="2025-02-18T16:10:25"/>
    <x v="0"/>
    <n v="5"/>
    <x v="10"/>
    <n v="8"/>
    <x v="3"/>
    <n v="20.247367164352909"/>
    <n v="2025"/>
    <n v="2025"/>
  </r>
  <r>
    <s v="DESARROLLO"/>
    <d v="2025-01-31T11:16:58"/>
    <d v="2025-02-25T08:08:06"/>
    <x v="0"/>
    <n v="5"/>
    <x v="10"/>
    <n v="9"/>
    <x v="5"/>
    <n v="24.868849907405092"/>
    <n v="2025"/>
    <n v="2025"/>
  </r>
  <r>
    <s v="SOPORTE"/>
    <d v="2025-02-04T16:08:05"/>
    <d v="2025-02-11T17:31:41"/>
    <x v="1"/>
    <n v="6"/>
    <x v="11"/>
    <n v="7"/>
    <x v="9"/>
    <n v="7.0580510300933383"/>
    <n v="2025"/>
    <n v="2025"/>
  </r>
  <r>
    <s v="FUNCIONAL"/>
    <d v="2025-02-10T09:24:51"/>
    <d v="2025-02-27T09:43:49"/>
    <x v="0"/>
    <n v="7"/>
    <x v="12"/>
    <n v="9"/>
    <x v="5"/>
    <n v="17.013170763886592"/>
    <n v="2025"/>
    <n v="2025"/>
  </r>
  <r>
    <s v="FUNCIONAL"/>
    <d v="2025-02-11T17:37:08"/>
    <d v="2025-02-17T15:28:54"/>
    <x v="0"/>
    <n v="7"/>
    <x v="12"/>
    <n v="8"/>
    <x v="3"/>
    <n v="5.910952708334662"/>
    <n v="2025"/>
    <n v="2025"/>
  </r>
  <r>
    <s v="DESARROLLO"/>
    <d v="2025-02-12T16:11:22"/>
    <d v="2025-03-06T16:27:56"/>
    <x v="0"/>
    <n v="7"/>
    <x v="12"/>
    <n v="10"/>
    <x v="4"/>
    <n v="22.011509224532347"/>
    <n v="2025"/>
    <n v="2025"/>
  </r>
  <r>
    <s v="REPROCESO"/>
    <d v="2025-02-17T16:21:31"/>
    <d v="2025-02-25T09:31:14"/>
    <x v="0"/>
    <n v="8"/>
    <x v="13"/>
    <n v="9"/>
    <x v="5"/>
    <n v="7.7150827893565292"/>
    <n v="2025"/>
    <n v="2025"/>
  </r>
  <r>
    <s v="DESARROLLO"/>
    <d v="2025-02-21T07:24:25"/>
    <d v="2025-03-06T16:27:56"/>
    <x v="0"/>
    <n v="8"/>
    <x v="13"/>
    <n v="10"/>
    <x v="4"/>
    <n v="13.377434803245706"/>
    <n v="2025"/>
    <n v="2025"/>
  </r>
  <r>
    <s v="DESARROLLO"/>
    <d v="2025-02-21T07:25:13"/>
    <d v="2025-03-06T16:27:56"/>
    <x v="0"/>
    <n v="8"/>
    <x v="13"/>
    <n v="10"/>
    <x v="4"/>
    <n v="13.376885474543087"/>
    <n v="2025"/>
    <n v="2025"/>
  </r>
  <r>
    <s v="DESARROLLO"/>
    <d v="2025-02-21T07:26:19"/>
    <d v="2025-03-06T16:27:56"/>
    <x v="0"/>
    <n v="8"/>
    <x v="13"/>
    <n v="10"/>
    <x v="4"/>
    <n v="13.376118541666074"/>
    <n v="2025"/>
    <n v="2025"/>
  </r>
  <r>
    <s v="DESARROLLO"/>
    <d v="2025-02-21T07:27:01"/>
    <d v="2025-03-06T16:27:55"/>
    <x v="0"/>
    <n v="8"/>
    <x v="13"/>
    <n v="10"/>
    <x v="4"/>
    <n v="13.37562921296194"/>
    <n v="2025"/>
    <n v="2025"/>
  </r>
  <r>
    <s v="DESARROLLO"/>
    <d v="2025-02-21T07:28:18"/>
    <d v="2025-03-06T16:27:55"/>
    <x v="0"/>
    <n v="8"/>
    <x v="13"/>
    <n v="10"/>
    <x v="4"/>
    <n v="13.374737870370154"/>
    <n v="2025"/>
    <n v="2025"/>
  </r>
  <r>
    <s v="DESARROLLO"/>
    <d v="2025-02-21T07:28:51"/>
    <d v="2025-03-06T16:27:55"/>
    <x v="0"/>
    <n v="8"/>
    <x v="13"/>
    <n v="10"/>
    <x v="4"/>
    <n v="13.374351122685766"/>
    <n v="2025"/>
    <n v="2025"/>
  </r>
  <r>
    <s v="DESARROLLO"/>
    <d v="2025-02-25T09:37:19"/>
    <d v="2025-04-02T10:37:29"/>
    <x v="0"/>
    <n v="9"/>
    <x v="14"/>
    <n v="14"/>
    <x v="10"/>
    <n v="36.041786898145801"/>
    <n v="2025"/>
    <n v="2025"/>
  </r>
  <r>
    <s v="SOPORTE"/>
    <d v="2025-02-25T13:35:27"/>
    <d v="2025-02-26T11:31:56"/>
    <x v="1"/>
    <n v="9"/>
    <x v="14"/>
    <n v="9"/>
    <x v="5"/>
    <n v="0.91422542824147968"/>
    <n v="2025"/>
    <n v="2025"/>
  </r>
  <r>
    <s v="DESARROLLO"/>
    <d v="2025-02-25T17:42:08"/>
    <d v="2025-03-17T13:16:48"/>
    <x v="0"/>
    <n v="9"/>
    <x v="14"/>
    <n v="12"/>
    <x v="2"/>
    <n v="19.815739363424655"/>
    <n v="2025"/>
    <n v="2025"/>
  </r>
  <r>
    <s v="ORIGEN"/>
    <d v="2025-03-03T16:34:47"/>
    <d v="2025-03-17T09:22:12"/>
    <x v="1"/>
    <n v="10"/>
    <x v="15"/>
    <n v="12"/>
    <x v="2"/>
    <n v="13.699603298613511"/>
    <n v="2025"/>
    <n v="2025"/>
  </r>
  <r>
    <s v="FUNCIONAL"/>
    <d v="2025-03-04T12:49:47"/>
    <d v="2025-03-06T16:27:55"/>
    <x v="0"/>
    <n v="10"/>
    <x v="15"/>
    <n v="10"/>
    <x v="4"/>
    <n v="2.1514812962923315"/>
    <n v="2025"/>
    <n v="2025"/>
  </r>
  <r>
    <s v="DESARROLLO"/>
    <d v="2025-03-05T14:03:42"/>
    <d v="2025-03-10T13:18:05"/>
    <x v="0"/>
    <n v="10"/>
    <x v="15"/>
    <n v="11"/>
    <x v="11"/>
    <n v="4.9683247800930985"/>
    <n v="2025"/>
    <n v="2025"/>
  </r>
  <r>
    <s v="REPROCESO"/>
    <d v="2025-03-05T15:35:38"/>
    <d v="2025-03-07T09:55:26"/>
    <x v="0"/>
    <n v="10"/>
    <x v="15"/>
    <n v="10"/>
    <x v="4"/>
    <n v="1.763751331018284"/>
    <n v="2025"/>
    <n v="2025"/>
  </r>
  <r>
    <s v="DESARROLLO"/>
    <d v="2025-03-06T09:54:46"/>
    <d v="2025-03-06T16:27:55"/>
    <x v="0"/>
    <n v="10"/>
    <x v="15"/>
    <n v="10"/>
    <x v="4"/>
    <n v="0.2730269444436999"/>
    <n v="2025"/>
    <n v="2025"/>
  </r>
  <r>
    <s v="REPROCESO"/>
    <d v="2025-03-06T18:12:01"/>
    <d v="2025-03-07T09:57:23"/>
    <x v="0"/>
    <n v="10"/>
    <x v="15"/>
    <n v="10"/>
    <x v="4"/>
    <n v="0.6565113773176563"/>
    <n v="2025"/>
    <n v="2025"/>
  </r>
  <r>
    <s v="DESARROLLO"/>
    <d v="2025-03-10T11:00:48"/>
    <d v="2025-03-17T11:59:45"/>
    <x v="0"/>
    <n v="11"/>
    <x v="16"/>
    <n v="12"/>
    <x v="2"/>
    <n v="7.0409385069433483"/>
    <n v="2025"/>
    <n v="2025"/>
  </r>
  <r>
    <s v="DESARROLLO"/>
    <d v="2025-03-10T11:01:48"/>
    <d v="2025-03-17T11:59:37"/>
    <x v="0"/>
    <n v="11"/>
    <x v="16"/>
    <n v="12"/>
    <x v="2"/>
    <n v="7.0401510648152907"/>
    <n v="2025"/>
    <n v="2025"/>
  </r>
  <r>
    <s v="DEFINICIÓN"/>
    <d v="2025-03-12T16:28:27"/>
    <d v="2025-03-31T13:11:36"/>
    <x v="1"/>
    <n v="11"/>
    <x v="16"/>
    <n v="14"/>
    <x v="10"/>
    <n v="18.863297534720914"/>
    <n v="2025"/>
    <n v="2025"/>
  </r>
  <r>
    <s v="DESARROLLO"/>
    <d v="2025-03-13T10:40:05"/>
    <d v="2025-04-09T12:32:17"/>
    <x v="0"/>
    <n v="11"/>
    <x v="16"/>
    <n v="15"/>
    <x v="6"/>
    <n v="27.077915613430378"/>
    <n v="2025"/>
    <n v="2025"/>
  </r>
  <r>
    <s v="REPROCESO"/>
    <d v="2025-03-17T09:13:03"/>
    <d v="2025-04-13T11:39:47"/>
    <x v="0"/>
    <n v="12"/>
    <x v="17"/>
    <n v="16"/>
    <x v="7"/>
    <n v="27.101898379631166"/>
    <n v="2025"/>
    <n v="2025"/>
  </r>
  <r>
    <s v="DEFINICIÓN"/>
    <d v="2025-03-17T12:00:41"/>
    <d v="2025-03-20T10:04:35"/>
    <x v="1"/>
    <n v="12"/>
    <x v="17"/>
    <n v="12"/>
    <x v="2"/>
    <n v="2.9193768055556575"/>
    <n v="2025"/>
    <n v="2025"/>
  </r>
  <r>
    <s v="DESARROLLO"/>
    <d v="2025-03-17T12:01:12"/>
    <d v="2025-04-02T10:37:32"/>
    <x v="0"/>
    <n v="12"/>
    <x v="17"/>
    <n v="14"/>
    <x v="10"/>
    <n v="15.941904548606544"/>
    <n v="2025"/>
    <n v="2025"/>
  </r>
  <r>
    <s v="ORIGEN"/>
    <d v="2025-03-17T17:31:07"/>
    <d v="2025-04-01T09:36:50"/>
    <x v="1"/>
    <n v="12"/>
    <x v="17"/>
    <n v="14"/>
    <x v="10"/>
    <n v="14.670645243051695"/>
    <n v="2025"/>
    <n v="2025"/>
  </r>
  <r>
    <s v="DESARROLLO"/>
    <d v="2025-03-19T12:42:37"/>
    <d v="2025-03-31T13:11:21"/>
    <x v="0"/>
    <n v="12"/>
    <x v="17"/>
    <n v="14"/>
    <x v="10"/>
    <n v="12.0199530671307"/>
    <n v="2025"/>
    <n v="2025"/>
  </r>
  <r>
    <s v="DESARROLLO"/>
    <d v="2025-03-21T12:50:26"/>
    <d v="2025-04-01T09:24:13"/>
    <x v="0"/>
    <n v="12"/>
    <x v="17"/>
    <n v="14"/>
    <x v="10"/>
    <n v="10.856802025460638"/>
    <n v="2025"/>
    <n v="2025"/>
  </r>
  <r>
    <s v="FUNCIONAL"/>
    <d v="2025-03-24T12:14:33"/>
    <d v="2025-04-01T09:30:19"/>
    <x v="0"/>
    <n v="13"/>
    <x v="18"/>
    <n v="14"/>
    <x v="10"/>
    <n v="7.8859389930512407"/>
    <n v="2025"/>
    <n v="2025"/>
  </r>
  <r>
    <s v="DESARROLLO"/>
    <d v="2025-03-24T12:16:25"/>
    <d v="2025-04-01T09:30:22"/>
    <x v="0"/>
    <n v="13"/>
    <x v="18"/>
    <n v="14"/>
    <x v="10"/>
    <n v="7.8846910879583447"/>
    <n v="2025"/>
    <n v="2025"/>
  </r>
  <r>
    <s v="ORIGEN"/>
    <d v="2025-03-26T16:52:13"/>
    <d v="2025-03-28T11:06:39"/>
    <x v="1"/>
    <n v="13"/>
    <x v="18"/>
    <n v="13"/>
    <x v="12"/>
    <n v="1.7600223148183431"/>
    <n v="2025"/>
    <n v="2025"/>
  </r>
  <r>
    <s v="REPROCESO"/>
    <d v="2025-03-26T16:56:13"/>
    <d v="2025-03-28T11:18:41"/>
    <x v="0"/>
    <n v="13"/>
    <x v="18"/>
    <n v="13"/>
    <x v="12"/>
    <n v="1.7655994675951661"/>
    <n v="2025"/>
    <n v="2025"/>
  </r>
  <r>
    <s v="ORIGEN"/>
    <d v="2025-03-31T09:44:03"/>
    <d v="2025-05-05T09:57:52"/>
    <x v="1"/>
    <n v="14"/>
    <x v="19"/>
    <n v="19"/>
    <x v="13"/>
    <n v="35.009590740737622"/>
    <n v="2025"/>
    <n v="2025"/>
  </r>
  <r>
    <s v="REPROCESO"/>
    <d v="2025-04-01T12:39:26"/>
    <d v="2025-04-10T09:53:36"/>
    <x v="0"/>
    <n v="14"/>
    <x v="19"/>
    <n v="15"/>
    <x v="6"/>
    <n v="8.8848410532373236"/>
    <n v="2025"/>
    <n v="2025"/>
  </r>
  <r>
    <s v="ORIGEN"/>
    <d v="2025-04-01T13:24:12"/>
    <d v="2025-05-13T09:48:55"/>
    <x v="1"/>
    <n v="14"/>
    <x v="19"/>
    <n v="20"/>
    <x v="14"/>
    <n v="41.850488067131664"/>
    <n v="2025"/>
    <n v="2025"/>
  </r>
  <r>
    <s v="DESARROLLO"/>
    <d v="2025-04-01T15:59:48"/>
    <d v="2025-04-10T09:53:49"/>
    <x v="0"/>
    <n v="14"/>
    <x v="19"/>
    <n v="15"/>
    <x v="6"/>
    <n v="8.7458515856487793"/>
    <n v="2025"/>
    <n v="2025"/>
  </r>
  <r>
    <s v="ORIGEN"/>
    <d v="2025-04-02T13:52:07"/>
    <d v="2025-04-10T09:55:21"/>
    <x v="1"/>
    <n v="14"/>
    <x v="19"/>
    <n v="15"/>
    <x v="6"/>
    <n v="7.8355803935191943"/>
    <n v="2025"/>
    <n v="2025"/>
  </r>
  <r>
    <s v="ORIGEN"/>
    <d v="2025-04-03T12:53:40"/>
    <d v="2025-04-10T09:53:42"/>
    <x v="1"/>
    <n v="14"/>
    <x v="19"/>
    <n v="15"/>
    <x v="6"/>
    <n v="6.8750245949049713"/>
    <n v="2025"/>
    <n v="2025"/>
  </r>
  <r>
    <s v="DESARROLLO"/>
    <d v="2025-04-08T15:35:27"/>
    <d v="2025-04-24T15:58:49"/>
    <x v="0"/>
    <n v="15"/>
    <x v="20"/>
    <n v="17"/>
    <x v="15"/>
    <n v="16.016232442132605"/>
    <n v="2025"/>
    <n v="2025"/>
  </r>
  <r>
    <s v="REPROCESO"/>
    <d v="2025-04-09T09:55:47"/>
    <d v="2025-04-15T09:35:51"/>
    <x v="0"/>
    <n v="15"/>
    <x v="20"/>
    <n v="16"/>
    <x v="7"/>
    <n v="5.9861602546297945"/>
    <n v="2025"/>
    <n v="2025"/>
  </r>
  <r>
    <s v="SOPORTE"/>
    <d v="2025-04-09T10:04:54"/>
    <d v="2025-04-10T10:08:58"/>
    <x v="1"/>
    <n v="15"/>
    <x v="20"/>
    <n v="15"/>
    <x v="6"/>
    <n v="1.0028274421347305"/>
    <n v="2025"/>
    <n v="2025"/>
  </r>
  <r>
    <s v="REPROCESO"/>
    <d v="2025-04-11T09:20:39"/>
    <d v="2025-04-16T09:33:25"/>
    <x v="0"/>
    <n v="15"/>
    <x v="20"/>
    <n v="16"/>
    <x v="7"/>
    <n v="5.0088659027751419"/>
    <n v="2025"/>
    <n v="2025"/>
  </r>
  <r>
    <s v="ORIGEN"/>
    <d v="2025-04-21T12:58:13"/>
    <d v="2025-04-28T09:11:50"/>
    <x v="1"/>
    <n v="17"/>
    <x v="21"/>
    <n v="18"/>
    <x v="16"/>
    <n v="6.8427954166691052"/>
    <n v="2025"/>
    <n v="2025"/>
  </r>
  <r>
    <s v="REPROCESO"/>
    <d v="2025-04-22T09:25:19"/>
    <d v="2025-04-22T16:23:32"/>
    <x v="0"/>
    <n v="17"/>
    <x v="21"/>
    <n v="17"/>
    <x v="15"/>
    <n v="0.29043430555611849"/>
    <n v="2025"/>
    <n v="2025"/>
  </r>
  <r>
    <s v="FUNCIONAL"/>
    <d v="2025-04-22T16:57:36"/>
    <d v="2025-04-24T15:58:30"/>
    <x v="0"/>
    <n v="17"/>
    <x v="21"/>
    <n v="17"/>
    <x v="15"/>
    <n v="1.9589508333374397"/>
    <n v="2025"/>
    <n v="2025"/>
  </r>
  <r>
    <s v="DEFINICIÓN"/>
    <d v="2025-04-23T09:28:44"/>
    <d v="2025-05-14T15:09:31"/>
    <x v="1"/>
    <n v="17"/>
    <x v="21"/>
    <n v="20"/>
    <x v="14"/>
    <n v="21.236657280096551"/>
    <n v="2025"/>
    <n v="2025"/>
  </r>
  <r>
    <s v="ORIGEN"/>
    <d v="2025-04-23T13:12:34"/>
    <d v="2025-05-20T09:40:10"/>
    <x v="1"/>
    <n v="17"/>
    <x v="21"/>
    <n v="21"/>
    <x v="17"/>
    <n v="26.85250121527497"/>
    <n v="2025"/>
    <n v="2025"/>
  </r>
  <r>
    <s v="DESARROLLO"/>
    <d v="2025-04-23T13:15:26"/>
    <d v="2025-05-05T09:44:08"/>
    <x v="0"/>
    <n v="17"/>
    <x v="21"/>
    <n v="19"/>
    <x v="13"/>
    <n v="11.853253206012596"/>
    <n v="2025"/>
    <n v="2025"/>
  </r>
  <r>
    <s v="DESARROLLO"/>
    <d v="2025-04-23T17:05:07"/>
    <d v="2025-05-05T13:17:10"/>
    <x v="0"/>
    <n v="17"/>
    <x v="21"/>
    <n v="19"/>
    <x v="13"/>
    <n v="11.841693993061199"/>
    <n v="2025"/>
    <n v="2025"/>
  </r>
  <r>
    <s v="REPROCESO"/>
    <d v="2025-04-28T09:52:21"/>
    <d v="2025-04-30T18:33:23"/>
    <x v="0"/>
    <n v="18"/>
    <x v="22"/>
    <n v="18"/>
    <x v="16"/>
    <n v="2.3618213888912578"/>
    <n v="2025"/>
    <n v="2025"/>
  </r>
  <r>
    <s v="DESARROLLO"/>
    <d v="2025-04-29T14:58:08"/>
    <d v="2025-05-09T11:06:39"/>
    <x v="0"/>
    <n v="18"/>
    <x v="22"/>
    <n v="19"/>
    <x v="13"/>
    <n v="9.8392527662072098"/>
    <n v="2025"/>
    <n v="2025"/>
  </r>
  <r>
    <s v="DEFINICIÓN"/>
    <d v="2025-04-30T15:53:51"/>
    <d v="2025-05-21T10:14:04"/>
    <x v="1"/>
    <n v="18"/>
    <x v="22"/>
    <n v="21"/>
    <x v="17"/>
    <n v="20.764038194443856"/>
    <n v="2025"/>
    <n v="2025"/>
  </r>
  <r>
    <s v="DESARROLLO"/>
    <d v="2025-05-05T12:53:36"/>
    <d v="2025-05-06T10:06:21"/>
    <x v="0"/>
    <n v="19"/>
    <x v="23"/>
    <n v="19"/>
    <x v="13"/>
    <n v="0.88385373842902482"/>
    <n v="2025"/>
    <n v="2025"/>
  </r>
  <r>
    <s v="DESARROLLO"/>
    <d v="2025-05-06T10:02:55"/>
    <d v="2025-05-16T09:54:30"/>
    <x v="0"/>
    <n v="19"/>
    <x v="23"/>
    <n v="20"/>
    <x v="14"/>
    <n v="9.9941516088001663"/>
    <n v="2025"/>
    <n v="2025"/>
  </r>
  <r>
    <s v="ORIGEN"/>
    <d v="2025-05-07T08:46:39"/>
    <d v="2025-05-30T10:11:22"/>
    <x v="1"/>
    <n v="19"/>
    <x v="23"/>
    <n v="22"/>
    <x v="18"/>
    <n v="23.058828391200223"/>
    <n v="2025"/>
    <n v="2025"/>
  </r>
  <r>
    <s v="DESARROLLO"/>
    <d v="2025-05-08T11:43:03"/>
    <d v="2025-05-27T10:06:43"/>
    <x v="0"/>
    <n v="19"/>
    <x v="23"/>
    <n v="22"/>
    <x v="18"/>
    <n v="18.933096678243601"/>
    <n v="2025"/>
    <n v="2025"/>
  </r>
  <r>
    <s v="ORIGEN"/>
    <d v="2025-05-08T11:43:56"/>
    <d v="2025-06-19T11:46:54"/>
    <x v="1"/>
    <n v="19"/>
    <x v="23"/>
    <n v="25"/>
    <x v="19"/>
    <n v="42.002067256944429"/>
    <n v="2025"/>
    <n v="2025"/>
  </r>
  <r>
    <s v="REPROCESO"/>
    <d v="2025-05-08T16:04:51"/>
    <d v="2025-05-19T09:51:12"/>
    <x v="0"/>
    <n v="19"/>
    <x v="23"/>
    <n v="21"/>
    <x v="17"/>
    <n v="10.740515555560705"/>
    <n v="2025"/>
    <n v="2025"/>
  </r>
  <r>
    <s v="DEFINICIÓN"/>
    <d v="2025-05-13T15:36:18"/>
    <d v="2025-07-28T09:47:17"/>
    <x v="1"/>
    <n v="20"/>
    <x v="24"/>
    <n v="31"/>
    <x v="20"/>
    <n v="75.757623969911947"/>
    <n v="2025"/>
    <n v="2025"/>
  </r>
  <r>
    <s v="DEFINICIÓN"/>
    <d v="2025-05-22T12:12:01"/>
    <d v="2025-05-28T12:52:09"/>
    <x v="1"/>
    <n v="21"/>
    <x v="25"/>
    <n v="22"/>
    <x v="18"/>
    <n v="6.0278789467556635"/>
    <n v="2025"/>
    <n v="2025"/>
  </r>
  <r>
    <s v="DEFINICIÓN"/>
    <d v="2025-05-23T13:44:26"/>
    <d v="2025-06-20T11:42:26"/>
    <x v="1"/>
    <n v="21"/>
    <x v="25"/>
    <n v="25"/>
    <x v="19"/>
    <n v="27.915277962965774"/>
    <n v="2025"/>
    <n v="2025"/>
  </r>
  <r>
    <s v="DEFINICIÓN"/>
    <d v="2025-05-28T09:19:36"/>
    <d v="2025-05-30T10:48:45"/>
    <x v="1"/>
    <n v="22"/>
    <x v="26"/>
    <n v="22"/>
    <x v="18"/>
    <n v="2.0619087500017486"/>
    <n v="2025"/>
    <n v="2025"/>
  </r>
  <r>
    <s v="REPROCESO"/>
    <d v="2025-05-28T10:06:22"/>
    <d v="2025-05-28T10:07:38"/>
    <x v="0"/>
    <n v="22"/>
    <x v="26"/>
    <n v="22"/>
    <x v="18"/>
    <n v="8.8576388952787966E-4"/>
    <n v="2025"/>
    <n v="2025"/>
  </r>
  <r>
    <s v="DEFINICIÓN"/>
    <d v="2025-05-28T10:56:12"/>
    <d v="9999-12-31T10:56:12"/>
    <x v="1"/>
    <n v="22"/>
    <x v="26"/>
    <n v="53"/>
    <x v="21"/>
    <n v="2912660"/>
    <n v="2025"/>
    <n v="9999"/>
  </r>
  <r>
    <s v="REPROCESO"/>
    <d v="2025-05-28T12:59:28"/>
    <d v="2025-05-28T13:02:57"/>
    <x v="0"/>
    <n v="22"/>
    <x v="26"/>
    <n v="22"/>
    <x v="18"/>
    <n v="2.4270717622130178E-3"/>
    <n v="2025"/>
    <n v="2025"/>
  </r>
  <r>
    <s v="FUNCIONAL"/>
    <d v="2025-05-29T09:05:59"/>
    <d v="2025-05-29T13:46:30"/>
    <x v="0"/>
    <n v="22"/>
    <x v="26"/>
    <n v="22"/>
    <x v="18"/>
    <n v="0.19481290508701932"/>
    <n v="2025"/>
    <n v="2025"/>
  </r>
  <r>
    <s v="FUNCIONAL"/>
    <d v="2025-05-29T11:47:20"/>
    <d v="2025-07-04T08:41:53"/>
    <x v="0"/>
    <n v="22"/>
    <x v="26"/>
    <n v="27"/>
    <x v="22"/>
    <n v="35.871212141202705"/>
    <n v="2025"/>
    <n v="2025"/>
  </r>
  <r>
    <s v="REPROCESO"/>
    <d v="2025-05-29T13:01:19"/>
    <d v="2025-05-30T08:50:10"/>
    <x v="0"/>
    <n v="22"/>
    <x v="26"/>
    <n v="22"/>
    <x v="18"/>
    <n v="0.82559006944211433"/>
    <n v="2025"/>
    <n v="2025"/>
  </r>
  <r>
    <s v="ORIGEN"/>
    <d v="2025-05-29T17:00:56"/>
    <d v="2025-07-11T10:03:43"/>
    <x v="1"/>
    <n v="22"/>
    <x v="26"/>
    <n v="28"/>
    <x v="23"/>
    <n v="42.710272511569201"/>
    <n v="2025"/>
    <n v="2025"/>
  </r>
  <r>
    <s v="FUNCIONAL"/>
    <d v="2025-05-30T13:06:08"/>
    <d v="2025-06-03T15:26:02"/>
    <x v="0"/>
    <n v="22"/>
    <x v="26"/>
    <n v="23"/>
    <x v="24"/>
    <n v="4.097150416666409"/>
    <n v="2025"/>
    <n v="2025"/>
  </r>
  <r>
    <s v="DEFINICIÓN"/>
    <d v="2025-05-30T13:48:55"/>
    <d v="2025-06-20T11:43:12"/>
    <x v="1"/>
    <n v="22"/>
    <x v="26"/>
    <n v="25"/>
    <x v="19"/>
    <n v="20.912695613427786"/>
    <n v="2025"/>
    <n v="2025"/>
  </r>
  <r>
    <s v="DEFINICIÓN"/>
    <d v="2025-06-02T08:58:01"/>
    <d v="2025-06-12T09:23:18"/>
    <x v="1"/>
    <n v="23"/>
    <x v="27"/>
    <n v="24"/>
    <x v="25"/>
    <n v="10.017551909724716"/>
    <n v="2025"/>
    <n v="2025"/>
  </r>
  <r>
    <s v="ORIGEN"/>
    <d v="2025-06-02T15:53:01"/>
    <d v="2025-06-03T15:26:02"/>
    <x v="1"/>
    <n v="23"/>
    <x v="27"/>
    <n v="23"/>
    <x v="24"/>
    <n v="0.98125313656782964"/>
    <n v="2025"/>
    <n v="2025"/>
  </r>
  <r>
    <s v="DESARROLLO"/>
    <d v="2025-06-09T11:33:26"/>
    <d v="2025-07-30T10:13:58"/>
    <x v="0"/>
    <n v="24"/>
    <x v="28"/>
    <n v="31"/>
    <x v="20"/>
    <n v="50.94481307870592"/>
    <n v="2025"/>
    <n v="2025"/>
  </r>
  <r>
    <s v="FUNCIONAL"/>
    <d v="2025-06-09T16:51:28"/>
    <d v="2025-06-17T10:04:26"/>
    <x v="0"/>
    <n v="24"/>
    <x v="28"/>
    <n v="25"/>
    <x v="19"/>
    <n v="7.7173420486069517"/>
    <n v="2025"/>
    <n v="2025"/>
  </r>
  <r>
    <s v="DESARROLLO"/>
    <d v="2025-06-10T09:18:23"/>
    <d v="2025-06-11T13:11:53"/>
    <x v="0"/>
    <n v="24"/>
    <x v="28"/>
    <n v="24"/>
    <x v="25"/>
    <n v="1.1621597685152665"/>
    <n v="2025"/>
    <n v="2025"/>
  </r>
  <r>
    <s v="REPROCESO"/>
    <d v="2025-06-10T09:45:17"/>
    <d v="2025-06-10T09:46:13"/>
    <x v="0"/>
    <n v="24"/>
    <x v="28"/>
    <n v="24"/>
    <x v="25"/>
    <n v="6.5137731144204736E-4"/>
    <n v="2025"/>
    <n v="2025"/>
  </r>
  <r>
    <s v="ORIGEN"/>
    <d v="2025-06-10T16:00:41"/>
    <d v="2025-06-16T08:57:41"/>
    <x v="1"/>
    <n v="24"/>
    <x v="28"/>
    <n v="25"/>
    <x v="19"/>
    <n v="5.706250555558654"/>
    <n v="2025"/>
    <n v="2025"/>
  </r>
  <r>
    <s v="FUNCIONAL"/>
    <d v="2025-06-11T15:25:57"/>
    <d v="2025-06-20T11:43:15"/>
    <x v="0"/>
    <n v="24"/>
    <x v="28"/>
    <n v="25"/>
    <x v="19"/>
    <n v="8.845343680557562"/>
    <n v="2025"/>
    <n v="2025"/>
  </r>
  <r>
    <s v="SOPORTE"/>
    <d v="2025-06-18T15:50:53"/>
    <d v="2025-07-10T10:36:28"/>
    <x v="1"/>
    <n v="25"/>
    <x v="29"/>
    <n v="28"/>
    <x v="23"/>
    <n v="21.781655046295782"/>
    <n v="2025"/>
    <n v="2025"/>
  </r>
  <r>
    <s v="DEFINICIÓN"/>
    <d v="2025-06-19T14:07:01"/>
    <d v="2025-06-20T14:29:24"/>
    <x v="1"/>
    <n v="25"/>
    <x v="29"/>
    <n v="25"/>
    <x v="19"/>
    <n v="1.0155427314821281"/>
    <n v="2025"/>
    <n v="2025"/>
  </r>
  <r>
    <s v="FUNCIONAL"/>
    <d v="2025-06-20T13:31:27"/>
    <d v="2025-06-23T10:25:08"/>
    <x v="0"/>
    <n v="25"/>
    <x v="29"/>
    <n v="26"/>
    <x v="26"/>
    <n v="2.8706157638880541"/>
    <n v="2025"/>
    <n v="2025"/>
  </r>
  <r>
    <s v="REPROCESO"/>
    <d v="2025-06-20T13:43:00"/>
    <d v="2025-06-24T16:45:37"/>
    <x v="0"/>
    <n v="25"/>
    <x v="29"/>
    <n v="26"/>
    <x v="26"/>
    <n v="4.1268114699123544"/>
    <n v="2025"/>
    <n v="2025"/>
  </r>
  <r>
    <s v="DEFINICIÓN"/>
    <d v="2025-06-23T11:10:01"/>
    <d v="2025-06-24T08:38:32"/>
    <x v="1"/>
    <n v="26"/>
    <x v="30"/>
    <n v="26"/>
    <x v="26"/>
    <n v="0.8947953124952619"/>
    <n v="2025"/>
    <n v="2025"/>
  </r>
  <r>
    <s v="DEFINICIÓN"/>
    <d v="2025-06-23T11:13:12"/>
    <d v="2025-07-10T10:38:08"/>
    <x v="1"/>
    <n v="26"/>
    <x v="30"/>
    <n v="28"/>
    <x v="23"/>
    <n v="16.975644062498759"/>
    <n v="2025"/>
    <n v="2025"/>
  </r>
  <r>
    <s v="DEFINICIÓN"/>
    <d v="2025-06-25T13:14:33"/>
    <d v="2025-07-11T09:25:51"/>
    <x v="1"/>
    <n v="26"/>
    <x v="30"/>
    <n v="28"/>
    <x v="23"/>
    <n v="15.841176111112873"/>
    <n v="2025"/>
    <n v="2025"/>
  </r>
  <r>
    <s v="ORIGEN"/>
    <d v="2025-06-30T10:27:39"/>
    <d v="2025-07-01T14:17:39"/>
    <x v="1"/>
    <n v="27"/>
    <x v="31"/>
    <n v="27"/>
    <x v="22"/>
    <n v="1.1597202083357843"/>
    <n v="2025"/>
    <n v="2025"/>
  </r>
  <r>
    <s v="DEFINICIÓN"/>
    <d v="2025-06-30T14:47:17"/>
    <d v="2025-07-14T11:10:17"/>
    <x v="1"/>
    <n v="27"/>
    <x v="31"/>
    <n v="29"/>
    <x v="27"/>
    <n v="13.849305972224101"/>
    <n v="2025"/>
    <n v="2025"/>
  </r>
  <r>
    <s v="SOPORTE"/>
    <d v="2025-07-01T09:09:10"/>
    <d v="2025-07-30T12:17:15"/>
    <x v="1"/>
    <n v="27"/>
    <x v="31"/>
    <n v="31"/>
    <x v="20"/>
    <n v="29.130604062498605"/>
    <n v="2025"/>
    <n v="2025"/>
  </r>
  <r>
    <s v="SOPORTE"/>
    <d v="2025-07-03T11:18:23"/>
    <d v="2025-07-16T10:04:17"/>
    <x v="1"/>
    <n v="27"/>
    <x v="31"/>
    <n v="29"/>
    <x v="27"/>
    <n v="12.94854424767982"/>
    <n v="2025"/>
    <n v="2025"/>
  </r>
  <r>
    <s v="DEFINICIÓN"/>
    <d v="2025-07-03T11:21:16"/>
    <d v="2025-08-19T10:16:22"/>
    <x v="1"/>
    <n v="27"/>
    <x v="31"/>
    <n v="34"/>
    <x v="28"/>
    <n v="46.954928090279282"/>
    <n v="2025"/>
    <n v="2025"/>
  </r>
  <r>
    <s v="ORIGEN"/>
    <d v="2025-07-11T09:55:26"/>
    <d v="2025-07-15T13:02:21"/>
    <x v="1"/>
    <n v="28"/>
    <x v="32"/>
    <n v="29"/>
    <x v="27"/>
    <n v="4.1298084953668877"/>
    <n v="2025"/>
    <n v="2025"/>
  </r>
  <r>
    <s v="DESARROLLO"/>
    <d v="2025-07-16T13:22:34"/>
    <d v="2025-07-25T10:16:50"/>
    <x v="0"/>
    <n v="29"/>
    <x v="33"/>
    <n v="30"/>
    <x v="29"/>
    <n v="8.8710184027804644"/>
    <n v="2025"/>
    <n v="2025"/>
  </r>
  <r>
    <s v="DEFINICIÓN"/>
    <d v="2025-07-18T08:54:21"/>
    <d v="2025-08-22T11:12:26"/>
    <x v="1"/>
    <n v="29"/>
    <x v="33"/>
    <n v="34"/>
    <x v="28"/>
    <n v="35.095893124998838"/>
    <n v="2025"/>
    <n v="2025"/>
  </r>
  <r>
    <s v="FUNCIONAL"/>
    <d v="2025-07-22T09:09:55"/>
    <d v="9999-12-31T10:56:12"/>
    <x v="0"/>
    <n v="30"/>
    <x v="34"/>
    <n v="53"/>
    <x v="21"/>
    <n v="2912605.0738075115"/>
    <n v="2025"/>
    <n v="9999"/>
  </r>
  <r>
    <s v="DEFINICIÓN"/>
    <d v="2025-07-22T09:11:41"/>
    <d v="2025-08-05T14:05:28"/>
    <x v="1"/>
    <n v="30"/>
    <x v="34"/>
    <n v="32"/>
    <x v="30"/>
    <n v="14.204007384258148"/>
    <n v="2025"/>
    <n v="2025"/>
  </r>
  <r>
    <s v="DESARROLLO"/>
    <d v="2025-07-22T09:13:29"/>
    <d v="2025-07-24T12:57:30"/>
    <x v="0"/>
    <n v="30"/>
    <x v="34"/>
    <n v="30"/>
    <x v="29"/>
    <n v="2.1555579050909728"/>
    <n v="2025"/>
    <n v="2025"/>
  </r>
  <r>
    <s v="SOPORTE"/>
    <d v="2025-07-25T08:58:29"/>
    <d v="2025-09-18T12:08:11"/>
    <x v="1"/>
    <n v="30"/>
    <x v="34"/>
    <n v="38"/>
    <x v="31"/>
    <n v="55.131738171301549"/>
    <n v="2025"/>
    <n v="2025"/>
  </r>
  <r>
    <s v="FUNCIONAL"/>
    <d v="2025-07-30T11:27:54"/>
    <d v="2025-07-31T10:11:59"/>
    <x v="0"/>
    <n v="31"/>
    <x v="35"/>
    <n v="31"/>
    <x v="20"/>
    <n v="0.94728634259081446"/>
    <n v="2025"/>
    <n v="2025"/>
  </r>
  <r>
    <s v="DESARROLLO"/>
    <d v="2025-08-01T11:05:50"/>
    <d v="2025-09-10T11:04:29"/>
    <x v="0"/>
    <n v="31"/>
    <x v="35"/>
    <n v="37"/>
    <x v="32"/>
    <n v="39.999058472218167"/>
    <n v="2025"/>
    <n v="2025"/>
  </r>
  <r>
    <s v="DESARROLLO"/>
    <d v="2025-08-01T11:07:19"/>
    <d v="2025-09-10T11:04:31"/>
    <x v="0"/>
    <n v="31"/>
    <x v="35"/>
    <n v="37"/>
    <x v="32"/>
    <n v="39.998050115740625"/>
    <n v="2025"/>
    <n v="2025"/>
  </r>
  <r>
    <s v="ORIGEN"/>
    <d v="2025-08-01T12:00:47"/>
    <d v="2025-08-04T12:12:17"/>
    <x v="1"/>
    <n v="31"/>
    <x v="35"/>
    <n v="32"/>
    <x v="30"/>
    <n v="3.0079881134297466"/>
    <n v="2025"/>
    <n v="2025"/>
  </r>
  <r>
    <s v="ORIGEN"/>
    <d v="2025-08-01T12:16:15"/>
    <d v="2025-08-04T12:12:23"/>
    <x v="1"/>
    <n v="31"/>
    <x v="35"/>
    <n v="32"/>
    <x v="30"/>
    <n v="2.9973157523199916"/>
    <n v="2025"/>
    <n v="2025"/>
  </r>
  <r>
    <s v="REPROCESO"/>
    <d v="2025-08-04T10:55:00"/>
    <d v="2025-09-03T12:22:29"/>
    <x v="0"/>
    <n v="32"/>
    <x v="36"/>
    <n v="36"/>
    <x v="33"/>
    <n v="30.060754513884604"/>
    <n v="2025"/>
    <n v="2025"/>
  </r>
  <r>
    <s v="DESARROLLO"/>
    <d v="2025-08-04T13:40:24"/>
    <d v="2025-09-10T11:18:47"/>
    <x v="0"/>
    <n v="32"/>
    <x v="36"/>
    <n v="37"/>
    <x v="32"/>
    <n v="36.901659907402063"/>
    <n v="2025"/>
    <n v="2025"/>
  </r>
  <r>
    <s v="DESARROLLO"/>
    <d v="2025-08-13T16:29:00"/>
    <d v="2025-08-22T09:28:55"/>
    <x v="0"/>
    <n v="33"/>
    <x v="37"/>
    <n v="34"/>
    <x v="28"/>
    <n v="8.7082784490776248"/>
    <n v="2025"/>
    <n v="2025"/>
  </r>
  <r>
    <s v="REPROCESO"/>
    <d v="2025-08-13T16:35:10"/>
    <d v="2025-08-14T15:42:59"/>
    <x v="0"/>
    <n v="33"/>
    <x v="37"/>
    <n v="33"/>
    <x v="34"/>
    <n v="0.96376054397842381"/>
    <n v="2025"/>
    <n v="2025"/>
  </r>
  <r>
    <s v="ORIGEN"/>
    <d v="2025-08-22T09:15:36"/>
    <d v="2025-10-14T09:23:04"/>
    <x v="1"/>
    <n v="34"/>
    <x v="38"/>
    <n v="42"/>
    <x v="35"/>
    <n v="53.005184999994526"/>
    <n v="2025"/>
    <n v="2025"/>
  </r>
  <r>
    <s v="SOPORTE"/>
    <d v="2025-08-22T11:14:04"/>
    <d v="2025-08-25T09:29:01"/>
    <x v="1"/>
    <n v="34"/>
    <x v="38"/>
    <n v="35"/>
    <x v="36"/>
    <n v="2.9270506249958999"/>
    <n v="2025"/>
    <n v="2025"/>
  </r>
  <r>
    <s v="REPROCESO"/>
    <d v="2025-08-27T09:42:27"/>
    <d v="2025-09-01T12:20:48"/>
    <x v="0"/>
    <n v="35"/>
    <x v="39"/>
    <n v="36"/>
    <x v="33"/>
    <n v="5.1099554745378555"/>
    <n v="2025"/>
    <n v="2025"/>
  </r>
  <r>
    <s v="REPROCESO"/>
    <d v="2025-08-29T10:31:02"/>
    <d v="2025-08-29T14:39:19"/>
    <x v="0"/>
    <n v="35"/>
    <x v="39"/>
    <n v="35"/>
    <x v="36"/>
    <n v="0.17242212963174097"/>
    <n v="2025"/>
    <n v="2025"/>
  </r>
  <r>
    <s v="SOPORTE"/>
    <d v="2025-09-03T08:59:48"/>
    <d v="2025-09-04T10:25:32"/>
    <x v="1"/>
    <n v="36"/>
    <x v="40"/>
    <n v="36"/>
    <x v="33"/>
    <n v="1.0595310416683787"/>
    <n v="2025"/>
    <n v="2025"/>
  </r>
  <r>
    <s v="SOPORTE"/>
    <d v="2025-09-03T09:02:34"/>
    <d v="2025-09-03T09:54:09"/>
    <x v="1"/>
    <n v="36"/>
    <x v="40"/>
    <n v="36"/>
    <x v="33"/>
    <n v="3.5815150462440215E-2"/>
    <n v="2025"/>
    <n v="2025"/>
  </r>
  <r>
    <s v="SOPORTE"/>
    <d v="2025-09-03T11:51:02"/>
    <d v="2025-09-04T11:33:46"/>
    <x v="1"/>
    <n v="36"/>
    <x v="40"/>
    <n v="36"/>
    <x v="33"/>
    <n v="0.98800172453775303"/>
    <n v="2025"/>
    <n v="2025"/>
  </r>
  <r>
    <s v="ORIGEN"/>
    <d v="2025-09-05T11:04:01"/>
    <d v="2025-09-05T14:16:05"/>
    <x v="1"/>
    <n v="36"/>
    <x v="40"/>
    <n v="36"/>
    <x v="33"/>
    <n v="0.13338431713054888"/>
    <n v="2025"/>
    <n v="2025"/>
  </r>
  <r>
    <s v="SOPORTE"/>
    <d v="2025-09-11T09:08:02"/>
    <d v="2025-09-11T12:54:35"/>
    <x v="1"/>
    <n v="37"/>
    <x v="41"/>
    <n v="37"/>
    <x v="32"/>
    <n v="0.1573297800932778"/>
    <n v="2025"/>
    <n v="2025"/>
  </r>
  <r>
    <s v="DESARROLLO"/>
    <d v="2025-09-11T12:55:31"/>
    <d v="2025-09-11T14:02:07"/>
    <x v="0"/>
    <n v="37"/>
    <x v="41"/>
    <n v="37"/>
    <x v="32"/>
    <n v="4.6250335646618623E-2"/>
    <n v="2025"/>
    <n v="2025"/>
  </r>
  <r>
    <s v="SOPORTE"/>
    <d v="2025-09-12T08:58:48"/>
    <d v="2025-09-15T10:34:55"/>
    <x v="1"/>
    <n v="37"/>
    <x v="41"/>
    <n v="38"/>
    <x v="31"/>
    <n v="3.0667459837932256"/>
    <n v="2025"/>
    <n v="2025"/>
  </r>
  <r>
    <s v="FUNCIONAL"/>
    <d v="2025-09-12T10:06:28"/>
    <d v="2025-09-25T11:18:42"/>
    <x v="0"/>
    <n v="37"/>
    <x v="41"/>
    <n v="39"/>
    <x v="37"/>
    <n v="13.05016131944285"/>
    <n v="2025"/>
    <n v="2025"/>
  </r>
  <r>
    <s v="DEFINICIÓN"/>
    <d v="2025-09-12T10:30:12"/>
    <d v="2025-10-23T10:07:57"/>
    <x v="1"/>
    <n v="37"/>
    <x v="41"/>
    <n v="43"/>
    <x v="38"/>
    <n v="40.984551782406925"/>
    <n v="2025"/>
    <n v="2025"/>
  </r>
  <r>
    <s v="SOPORTE"/>
    <d v="2025-09-15T09:34:51"/>
    <d v="2025-10-07T14:36:35"/>
    <x v="1"/>
    <n v="38"/>
    <x v="42"/>
    <n v="41"/>
    <x v="39"/>
    <n v="22.209536446760467"/>
    <n v="2025"/>
    <n v="2025"/>
  </r>
  <r>
    <s v="SOPORTE"/>
    <d v="2025-09-16T14:11:31"/>
    <d v="2025-09-17T09:16:09"/>
    <x v="1"/>
    <n v="38"/>
    <x v="42"/>
    <n v="38"/>
    <x v="31"/>
    <n v="0.79488406249583932"/>
    <n v="2025"/>
    <n v="2025"/>
  </r>
  <r>
    <s v="FUNCIONAL"/>
    <d v="2025-09-17T16:55:57"/>
    <d v="2025-10-22T12:12:19"/>
    <x v="0"/>
    <n v="38"/>
    <x v="42"/>
    <n v="43"/>
    <x v="38"/>
    <n v="34.803034456017485"/>
    <n v="2025"/>
    <n v="2025"/>
  </r>
  <r>
    <s v="REPROCESO"/>
    <d v="2025-09-17T17:21:46"/>
    <d v="2025-09-18T10:58:20"/>
    <x v="0"/>
    <n v="38"/>
    <x v="42"/>
    <n v="38"/>
    <x v="31"/>
    <n v="0.73372700231266208"/>
    <n v="2025"/>
    <n v="2025"/>
  </r>
  <r>
    <s v="FUNCIONAL"/>
    <d v="2025-09-19T13:30:34"/>
    <d v="2025-09-24T12:09:55"/>
    <x v="0"/>
    <n v="38"/>
    <x v="42"/>
    <n v="39"/>
    <x v="37"/>
    <n v="4.9439980787064997"/>
    <n v="2025"/>
    <n v="2025"/>
  </r>
  <r>
    <s v="Selecciona (ORIGEN/PLANIFICACIÓN/RELANZADO PROCESO/DEFINICIÓN/FUNCIONAL/TÉCNICO/DESARROLLO/PENDIENTE REPROCESO)"/>
    <d v="2025-09-22T13:10:37"/>
    <d v="2025-10-23T16:54:53"/>
    <x v="2"/>
    <n v="39"/>
    <x v="43"/>
    <n v="43"/>
    <x v="38"/>
    <n v="31.155741481481527"/>
    <n v="2025"/>
    <n v="2025"/>
  </r>
  <r>
    <s v="ORIGEN"/>
    <d v="2025-09-23T11:51:38"/>
    <d v="2025-09-26T11:52:50"/>
    <x v="1"/>
    <n v="39"/>
    <x v="43"/>
    <n v="39"/>
    <x v="37"/>
    <n v="3.0008339699052158"/>
    <n v="2025"/>
    <n v="2025"/>
  </r>
  <r>
    <s v="REPROCESO"/>
    <d v="2025-09-24T12:22:31"/>
    <d v="2025-09-26T11:09:49"/>
    <x v="0"/>
    <n v="39"/>
    <x v="43"/>
    <n v="39"/>
    <x v="37"/>
    <n v="1.9495131597213913"/>
    <n v="2025"/>
    <n v="2025"/>
  </r>
  <r>
    <s v="REPROCESO"/>
    <d v="2025-09-26T13:57:00"/>
    <d v="2025-09-29T13:33:25"/>
    <x v="0"/>
    <n v="39"/>
    <x v="43"/>
    <n v="40"/>
    <x v="40"/>
    <n v="2.983622372688842"/>
    <n v="2025"/>
    <n v="2025"/>
  </r>
  <r>
    <s v="REPROCESO"/>
    <d v="2025-09-29T14:18:07"/>
    <d v="2025-09-29T16:57:39"/>
    <x v="0"/>
    <n v="40"/>
    <x v="44"/>
    <n v="40"/>
    <x v="40"/>
    <n v="0.11078892360819736"/>
    <n v="2025"/>
    <n v="2025"/>
  </r>
  <r>
    <s v="ORIGEN"/>
    <d v="2025-09-29T15:24:43"/>
    <d v="2025-09-30T12:54:11"/>
    <x v="1"/>
    <n v="40"/>
    <x v="44"/>
    <n v="40"/>
    <x v="40"/>
    <n v="0.89546293981402414"/>
    <n v="2025"/>
    <n v="2025"/>
  </r>
  <r>
    <s v=""/>
    <d v="2025-09-30T12:39:43"/>
    <d v="2025-09-30T13:25:54"/>
    <x v="2"/>
    <n v="40"/>
    <x v="44"/>
    <n v="40"/>
    <x v="40"/>
    <n v="3.2066828702227212E-2"/>
    <n v="2025"/>
    <n v="2025"/>
  </r>
  <r>
    <s v="DEFINICIÓN"/>
    <d v="2025-09-30T12:39:45"/>
    <d v="2025-10-01T16:27:59"/>
    <x v="1"/>
    <n v="40"/>
    <x v="44"/>
    <n v="40"/>
    <x v="40"/>
    <n v="1.1584874421314453"/>
    <n v="2025"/>
    <n v="2025"/>
  </r>
  <r>
    <s v="SOPORTE"/>
    <d v="2025-09-30T14:17:21"/>
    <d v="2025-09-30T16:19:30"/>
    <x v="1"/>
    <n v="40"/>
    <x v="44"/>
    <n v="40"/>
    <x v="40"/>
    <n v="8.4827407408738509E-2"/>
    <n v="2025"/>
    <n v="2025"/>
  </r>
  <r>
    <s v="DEFINICIÓN"/>
    <d v="2025-10-03T08:22:56"/>
    <d v="2025-10-07T13:10:39"/>
    <x v="1"/>
    <n v="40"/>
    <x v="44"/>
    <n v="41"/>
    <x v="39"/>
    <n v="4.1998052199123777"/>
    <n v="2025"/>
    <n v="2025"/>
  </r>
  <r>
    <s v="SOPORTE"/>
    <d v="2025-10-03T09:28:52"/>
    <d v="2025-10-16T13:41:53"/>
    <x v="1"/>
    <n v="40"/>
    <x v="44"/>
    <n v="42"/>
    <x v="35"/>
    <n v="13.175714780089038"/>
    <n v="2025"/>
    <n v="2025"/>
  </r>
  <r>
    <s v="SOPORTE"/>
    <d v="2025-10-03T09:37:47"/>
    <d v="2025-10-08T09:36:49"/>
    <x v="1"/>
    <n v="40"/>
    <x v="44"/>
    <n v="41"/>
    <x v="39"/>
    <n v="4.9993293981460738"/>
    <n v="2025"/>
    <n v="2025"/>
  </r>
  <r>
    <s v="DEFINICIÓN"/>
    <d v="2025-10-06T14:54:06"/>
    <d v="2025-10-29T13:05:25"/>
    <x v="1"/>
    <n v="41"/>
    <x v="45"/>
    <n v="44"/>
    <x v="41"/>
    <n v="22.924535277779796"/>
    <n v="2025"/>
    <n v="2025"/>
  </r>
  <r>
    <s v="DESARROLLO"/>
    <d v="2025-10-08T08:55:59"/>
    <d v="9999-12-31T10:56:12"/>
    <x v="0"/>
    <n v="41"/>
    <x v="45"/>
    <n v="53"/>
    <x v="21"/>
    <n v="2912527.0834847917"/>
    <n v="2025"/>
    <n v="9999"/>
  </r>
  <r>
    <s v="SOPORTE"/>
    <d v="2025-10-08T11:09:50"/>
    <d v="2025-10-08T16:53:16"/>
    <x v="1"/>
    <n v="41"/>
    <x v="45"/>
    <n v="41"/>
    <x v="39"/>
    <n v="0.23849473379959818"/>
    <n v="2025"/>
    <n v="2025"/>
  </r>
  <r>
    <s v="SOPORTE"/>
    <d v="2025-10-14T10:07:28"/>
    <d v="2025-10-14T19:06:43"/>
    <x v="1"/>
    <n v="42"/>
    <x v="46"/>
    <n v="42"/>
    <x v="35"/>
    <n v="0.37447965277533513"/>
    <n v="2025"/>
    <n v="2025"/>
  </r>
  <r>
    <s v="SOPORTE"/>
    <d v="2025-10-15T17:47:52"/>
    <d v="2025-10-22T16:38:37"/>
    <x v="1"/>
    <n v="42"/>
    <x v="46"/>
    <n v="43"/>
    <x v="38"/>
    <n v="6.9519111111076199"/>
    <n v="2025"/>
    <n v="2025"/>
  </r>
  <r>
    <s v="ORIGEN"/>
    <d v="2025-10-16T13:10:10"/>
    <d v="2025-10-22T12:11:59"/>
    <x v="1"/>
    <n v="42"/>
    <x v="46"/>
    <n v="43"/>
    <x v="38"/>
    <n v="5.9596011226822156"/>
    <n v="2025"/>
    <n v="2025"/>
  </r>
  <r>
    <s v="SOPORTE"/>
    <d v="2025-10-20T15:36:45"/>
    <d v="2025-10-21T13:35:51"/>
    <x v="1"/>
    <n v="43"/>
    <x v="47"/>
    <n v="43"/>
    <x v="38"/>
    <n v="0.9160419791660388"/>
    <n v="2025"/>
    <n v="2025"/>
  </r>
  <r>
    <s v="DEFINICIÓN"/>
    <d v="2025-10-20T15:46:07"/>
    <d v="2025-10-29T13:06:22"/>
    <x v="1"/>
    <n v="43"/>
    <x v="47"/>
    <n v="44"/>
    <x v="41"/>
    <n v="8.8890717245376436"/>
    <n v="2025"/>
    <n v="2025"/>
  </r>
  <r>
    <s v="SOPORTE"/>
    <d v="2025-10-21T14:05:25"/>
    <d v="2025-10-22T10:17:02"/>
    <x v="1"/>
    <n v="43"/>
    <x v="47"/>
    <n v="43"/>
    <x v="38"/>
    <n v="0.84139228009735234"/>
    <n v="2025"/>
    <n v="2025"/>
  </r>
  <r>
    <s v="SOPORTE"/>
    <d v="2025-10-27T09:07:20"/>
    <d v="2025-10-27T15:50:12"/>
    <x v="1"/>
    <n v="44"/>
    <x v="48"/>
    <n v="44"/>
    <x v="41"/>
    <n v="0.27977121527510462"/>
    <n v="2025"/>
    <n v="2025"/>
  </r>
  <r>
    <s v="ORIGEN"/>
    <d v="2025-10-27T09:09:07"/>
    <d v="9999-12-31T10:56:12"/>
    <x v="1"/>
    <n v="44"/>
    <x v="48"/>
    <n v="53"/>
    <x v="21"/>
    <n v="2912508.0743673728"/>
    <n v="2025"/>
    <n v="9999"/>
  </r>
  <r>
    <s v="ORIGEN"/>
    <d v="2025-10-27T10:29:22"/>
    <d v="2025-10-27T15:51:02"/>
    <x v="1"/>
    <n v="44"/>
    <x v="48"/>
    <n v="44"/>
    <x v="41"/>
    <n v="0.22337795139173977"/>
    <n v="2025"/>
    <n v="2025"/>
  </r>
  <r>
    <s v="SOPORTE"/>
    <d v="2025-10-27T11:13:42"/>
    <d v="2025-10-27T17:33:00"/>
    <x v="1"/>
    <n v="44"/>
    <x v="48"/>
    <n v="44"/>
    <x v="41"/>
    <n v="0.26339571759308456"/>
    <n v="2025"/>
    <n v="2025"/>
  </r>
  <r>
    <s v="DEFINICIÓN"/>
    <d v="2025-10-28T13:25:53"/>
    <d v="9999-12-31T10:56:12"/>
    <x v="1"/>
    <n v="44"/>
    <x v="48"/>
    <n v="53"/>
    <x v="21"/>
    <n v="2912506.896056192"/>
    <n v="2025"/>
    <n v="9999"/>
  </r>
  <r>
    <s v="Selecciona (ORIGEN/PLANIFICACIÓN/RELANZADO PROCESO/DEFINICIÓN/FUNCIONAL/TÉCNICO/DESARROLLO/PENDIENTE REPROCESO)"/>
    <d v="2025-10-30T15:04:03"/>
    <d v="9999-12-31T10:56:12"/>
    <x v="2"/>
    <n v="44"/>
    <x v="48"/>
    <n v="53"/>
    <x v="21"/>
    <n v="2912504.8278804515"/>
    <n v="2025"/>
    <n v="9999"/>
  </r>
  <r>
    <m/>
    <m/>
    <m/>
    <x v="3"/>
    <m/>
    <x v="49"/>
    <m/>
    <x v="42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488285-EAC0-461F-82AA-FF0D37B6F065}" name="TablaDinámica3" cacheId="83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:F47" firstHeaderRow="1" firstDataRow="2" firstDataCol="1"/>
  <pivotFields count="11">
    <pivotField dataField="1" showAll="0"/>
    <pivotField numFmtId="22" showAll="0"/>
    <pivotField showAll="0"/>
    <pivotField axis="axisCol" showAll="0">
      <items count="6">
        <item m="1" x="4"/>
        <item x="1"/>
        <item x="0"/>
        <item x="2"/>
        <item x="3"/>
        <item t="default"/>
      </items>
    </pivotField>
    <pivotField showAll="0"/>
    <pivotField numFmtId="14" showAll="0"/>
    <pivotField showAll="0"/>
    <pivotField axis="axisRow" showAll="0">
      <items count="45">
        <item x="8"/>
        <item x="0"/>
        <item x="1"/>
        <item x="9"/>
        <item x="3"/>
        <item x="5"/>
        <item x="4"/>
        <item x="11"/>
        <item x="2"/>
        <item x="12"/>
        <item x="10"/>
        <item x="6"/>
        <item x="7"/>
        <item x="15"/>
        <item x="16"/>
        <item x="13"/>
        <item x="14"/>
        <item x="17"/>
        <item x="18"/>
        <item x="24"/>
        <item x="25"/>
        <item x="19"/>
        <item x="26"/>
        <item x="22"/>
        <item x="23"/>
        <item x="27"/>
        <item x="29"/>
        <item x="20"/>
        <item x="30"/>
        <item x="34"/>
        <item x="28"/>
        <item x="36"/>
        <item x="33"/>
        <item x="32"/>
        <item x="31"/>
        <item x="37"/>
        <item x="40"/>
        <item x="42"/>
        <item x="39"/>
        <item x="35"/>
        <item m="1" x="43"/>
        <item x="38"/>
        <item x="21"/>
        <item x="41"/>
        <item t="default"/>
      </items>
    </pivotField>
    <pivotField showAll="0"/>
    <pivotField showAll="0"/>
    <pivotField showAll="0"/>
  </pivotFields>
  <rowFields count="1">
    <field x="7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1"/>
    </i>
    <i>
      <x v="42"/>
    </i>
    <i>
      <x v="43"/>
    </i>
    <i t="grand">
      <x/>
    </i>
  </rowItems>
  <colFields count="1">
    <field x="3"/>
  </colFields>
  <colItems count="5">
    <i>
      <x v="1"/>
    </i>
    <i>
      <x v="2"/>
    </i>
    <i>
      <x v="3"/>
    </i>
    <i>
      <x v="4"/>
    </i>
    <i t="grand">
      <x/>
    </i>
  </colItems>
  <dataFields count="1">
    <dataField name="Cuenta de Tipologia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F26535-7615-44DF-A169-5D4F36B44B20}" name="TablaDinámica5" cacheId="83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64:F116" firstHeaderRow="1" firstDataRow="2" firstDataCol="1"/>
  <pivotFields count="11">
    <pivotField dataField="1" showAll="0"/>
    <pivotField numFmtId="22" showAll="0"/>
    <pivotField showAll="0"/>
    <pivotField axis="axisCol" showAll="0">
      <items count="6">
        <item m="1" x="4"/>
        <item x="1"/>
        <item x="0"/>
        <item x="2"/>
        <item x="3"/>
        <item t="default"/>
      </items>
    </pivotField>
    <pivotField showAll="0"/>
    <pivotField axis="axisRow"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9"/>
        <item x="45"/>
        <item x="46"/>
        <item x="47"/>
        <item x="48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3"/>
  </colFields>
  <colItems count="5">
    <i>
      <x v="1"/>
    </i>
    <i>
      <x v="2"/>
    </i>
    <i>
      <x v="3"/>
    </i>
    <i>
      <x v="4"/>
    </i>
    <i t="grand">
      <x/>
    </i>
  </colItems>
  <dataFields count="1">
    <dataField name="Cuenta de Tipologia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D43F88-6C87-4CE6-AD21-E084F5CE6E6F}" name="TablaDinámica2" cacheId="82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4:J37" firstHeaderRow="1" firstDataRow="2" firstDataCol="1"/>
  <pivotFields count="2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0">
        <item x="3"/>
        <item x="0"/>
        <item x="4"/>
        <item x="1"/>
        <item x="2"/>
        <item x="5"/>
        <item x="6"/>
        <item x="7"/>
        <item m="1" x="8"/>
        <item t="default"/>
      </items>
    </pivotField>
    <pivotField numFmtId="22" showAll="0"/>
    <pivotField numFmtId="22" showAll="0"/>
    <pivotField showAll="0"/>
    <pivotField showAll="0"/>
    <pivotField numFmtId="14" showAll="0"/>
    <pivotField showAll="0"/>
    <pivotField numFmtId="14" showAll="0"/>
    <pivotField showAll="0"/>
    <pivotField showAll="0"/>
    <pivotField showAll="0"/>
    <pivotField showAll="0"/>
    <pivotField axis="axisRow" showAll="0">
      <items count="12">
        <item x="0"/>
        <item x="2"/>
        <item x="1"/>
        <item x="3"/>
        <item x="4"/>
        <item x="5"/>
        <item x="6"/>
        <item x="8"/>
        <item x="9"/>
        <item x="10"/>
        <item x="7"/>
        <item t="default"/>
      </items>
    </pivotField>
  </pivotFields>
  <rowFields count="1">
    <field x="2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3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uenta de Clave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F5B1C7-2BB2-4247-9F51-044A519C5BF7}" name="TablaDinámica1" cacheId="82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1:J16" firstHeaderRow="1" firstDataRow="2" firstDataCol="1"/>
  <pivotFields count="2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0">
        <item x="3"/>
        <item x="0"/>
        <item x="4"/>
        <item x="1"/>
        <item x="2"/>
        <item x="5"/>
        <item x="6"/>
        <item x="7"/>
        <item m="1" x="8"/>
        <item t="default"/>
      </items>
    </pivotField>
    <pivotField numFmtId="22" showAll="0"/>
    <pivotField numFmtId="22" showAll="0"/>
    <pivotField showAll="0"/>
    <pivotField showAll="0"/>
    <pivotField numFmtId="14" showAll="0"/>
    <pivotField showAll="0"/>
    <pivotField numFmtId="14" showAll="0"/>
    <pivotField showAll="0"/>
    <pivotField showAll="0"/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</pivotFields>
  <rowFields count="1">
    <field x="24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3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uenta de Clave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A7F156-DF0D-4009-89DC-0D178A890CEB}" name="TablaDinámica33" cacheId="83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D11" firstHeaderRow="1" firstDataRow="2" firstDataCol="1"/>
  <pivotFields count="2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axis="axisRow" showAll="0">
      <items count="11">
        <item x="7"/>
        <item x="3"/>
        <item x="0"/>
        <item x="4"/>
        <item m="1" x="8"/>
        <item x="1"/>
        <item x="2"/>
        <item x="6"/>
        <item x="5"/>
        <item m="1"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9">
    <i>
      <x/>
    </i>
    <i>
      <x v="1"/>
    </i>
    <i>
      <x v="2"/>
    </i>
    <i>
      <x v="3"/>
    </i>
    <i>
      <x v="5"/>
    </i>
    <i>
      <x v="6"/>
    </i>
    <i>
      <x v="7"/>
    </i>
    <i>
      <x v="8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uenta de Clave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f76232d-21a6-4463-9d19-0518ac5aab5d}">
  <we:reference id="WA200000556" version="1.0.0.0" store="en-us" storeType="OMEX"/>
  <we:alternateReferences>
    <we:reference id="df76232d-21a6-4463-9d19-0518ac5aab5d" version="1.0.0.0" store="en-us" storeType="OMEX"/>
  </we:alternateReferences>
  <we:properties>
    <we:property name="Office.AutoShowTaskpaneWithDocument" value="true"/>
    <we:property name="JiraExcel.FileToken" value="&quot;eyJhbGciOiJIUzI1NiIsImtpZCI6ImtpZCIsInR5cCI6IkpXVCJ9.eyJpc3MiOiJodHRwczovL2ppcmEtc3ByZWFkc2hlZXRzLnNlcnZpY2VzLmF0bGFzc2lhbi5jb20iLCJzdWIiOiI3YjZjYzIzNC0zYTUyLTQ2YTYtOWE0Ny1hNzZhZDRhYjNhM2YiLCJhdWQiOiJkZXNrdG9wIiwiZXhwIjoxNzU4NzM0Mzc2LCJuYmYiOjE3NTg3MzI1NzYsImlhdCI6MTc1ODczMjU3NiwianRpIjoiZmNiYzY5MzUtNWNlOS00N2E0LTlhYTktOTQ2OGVkZTkzYzk3IiwiYWFpZCI6IjYwMTE2MTg1ZGMyOWI0MDA2YTRlNjI3OCIsImV4dHVpZCI6ImE5MTAzZWU0LTg1YTEtNGFkNC1hNDE5LTZmNGVmNjkwNDJkZSIsImV4dHVuYW1lIjoidW51c2VkIiwiamNpZCI6ImM5YmE4NjliLWE0M2UtNGQ0MC1iN2JmLTU5ZWQ0MzhhOThlNSIsImpjbGllbnRrZXkiOiJhNmNlMDRlMy1lZWNiLTM0N2EtOGI3OC1jY2IwNDk4Yzg0NTkiLCJqbmFtZSI6Imh0dHBzOi8vc2FuZXMuYXRsYXNzaWFuLm5ldCIsImpxbCI6ImNISnZhbVZqZENBOUlDSkZVMUJETXpZd0lpQkJUa1FnYVhOemRXVjBlWEJsSUQwZ1FuVm5JRUZPUkNBb2NtVnpiMngxZEdsdmJtUmhkR1VnUGlBaU1qQXlOUzh3TVM4d01TSWdUMUlnY21WemIyeDFkR2x2Ym1SaGRHVWdTVk1nUlUxUVZGa3BJRUZPUkNBaVJWTXRUM0IwYVc5dVlXd2dNVnRUYUc5eWRDQjBaWGgwWFNJZ2ZpQkJUa0ZNdzQxVVNVTlBJRTlTUkVWU0lFSlpJR055WldGMFpXUWdRVk5EIiwiZmlsdGVyIjoiMjU4ODUiLCJ0aW1lem9uZSI6IkV1cm9wZS9NYWRyaWQifQ.QRFBeMA1uD5B6P1ecRoBoUJ_4ddIlDO9I4ZlewVQcm8&quot;"/>
    <we:property name="JiraExcel.AutoStartImport" value="&quot;false&quot;"/>
    <we:property name="JiraExcel.GSideToken" value="&quot;eyJhbGciOiJIUzI1NiIsInR5cCI6IkpXVCJ9.eyJpc3MiOiJleGNlbC1qaXJhIiwic3ViIjoiYTkxMDNlZTQtODVhMS00YWQ0LWE0MTktNmY0ZWY2OTA0MmRlIiwiYXVkIjoic2hlZXRzLWppcmEtdjIiLCJleHAiOjE3NTg3MzI3NTYsIm5iZiI6MTc1ODczMjU3NiwiaWF0IjoxNzU4NzMyNTc2LCJqdGkiOiIwMTQzMWE5NS1jMDM4LTRjMDQtYjgyMy0zNzQyMjc5MTJlNjgiLCJuYW1lIjoidW51c2VkIiwic2oiOnsiZCI6IjY5OGI5NGU1LWE4MDgtNGZlNC05NGMxLWIwZjk0OTNmZGM1YyIsInYiOiJ2IiwiYyI6ImMiLCJvIjoiZCJ9LCJldHYiOjJ9.Dtxkexok5F8rMU7MRr58Vb5xP3BD3-_TmuON_mHCnfw&quot;"/>
    <we:property name="documentId" value="&quot;698b94e5-a808-4fe4-94c1-b0f9493fdc5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sanes.atlassian.net/browse/ESPC360-19375?atlOrigin=eyJpIjoiMjBhNWIzMmFjMjdiNGE1YzhhZTE4YmM0ZjA0MDM4ZWYiLCJwIjoiZXhjZWwtamlyYSJ9" TargetMode="External"/><Relationship Id="rId21" Type="http://schemas.openxmlformats.org/officeDocument/2006/relationships/hyperlink" Target="https://sanes.atlassian.net/browse/ESPC360-14124?atlOrigin=eyJpIjoiMjBhNWIzMmFjMjdiNGE1YzhhZTE4YmM0ZjA0MDM4ZWYiLCJwIjoiZXhjZWwtamlyYSJ9" TargetMode="External"/><Relationship Id="rId42" Type="http://schemas.openxmlformats.org/officeDocument/2006/relationships/hyperlink" Target="https://sanes.atlassian.net/browse/ESPC360-16145?atlOrigin=eyJpIjoiMjBhNWIzMmFjMjdiNGE1YzhhZTE4YmM0ZjA0MDM4ZWYiLCJwIjoiZXhjZWwtamlyYSJ9" TargetMode="External"/><Relationship Id="rId63" Type="http://schemas.openxmlformats.org/officeDocument/2006/relationships/hyperlink" Target="https://sanes.atlassian.net/browse/ESPC360-17102?atlOrigin=eyJpIjoiMjBhNWIzMmFjMjdiNGE1YzhhZTE4YmM0ZjA0MDM4ZWYiLCJwIjoiZXhjZWwtamlyYSJ9" TargetMode="External"/><Relationship Id="rId84" Type="http://schemas.openxmlformats.org/officeDocument/2006/relationships/hyperlink" Target="https://sanes.atlassian.net/browse/ESPC360-18024?atlOrigin=eyJpIjoiMjBhNWIzMmFjMjdiNGE1YzhhZTE4YmM0ZjA0MDM4ZWYiLCJwIjoiZXhjZWwtamlyYSJ9" TargetMode="External"/><Relationship Id="rId138" Type="http://schemas.openxmlformats.org/officeDocument/2006/relationships/hyperlink" Target="https://sanes.atlassian.net/browse/ESPC360-20190?atlOrigin=eyJpIjoiMjBhNWIzMmFjMjdiNGE1YzhhZTE4YmM0ZjA0MDM4ZWYiLCJwIjoiZXhjZWwtamlyYSJ9" TargetMode="External"/><Relationship Id="rId159" Type="http://schemas.openxmlformats.org/officeDocument/2006/relationships/hyperlink" Target="https://sanes.atlassian.net/browse/ESPC360-21068?atlOrigin=eyJpIjoiMjBhNWIzMmFjMjdiNGE1YzhhZTE4YmM0ZjA0MDM4ZWYiLCJwIjoiZXhjZWwtamlyYSJ9" TargetMode="External"/><Relationship Id="rId107" Type="http://schemas.openxmlformats.org/officeDocument/2006/relationships/hyperlink" Target="https://sanes.atlassian.net/browse/ESPC360-19124?atlOrigin=eyJpIjoiMjBhNWIzMmFjMjdiNGE1YzhhZTE4YmM0ZjA0MDM4ZWYiLCJwIjoiZXhjZWwtamlyYSJ9" TargetMode="External"/><Relationship Id="rId11" Type="http://schemas.openxmlformats.org/officeDocument/2006/relationships/hyperlink" Target="https://sanes.atlassian.net/browse/ESPC360-13804?atlOrigin=eyJpIjoiMjBhNWIzMmFjMjdiNGE1YzhhZTE4YmM0ZjA0MDM4ZWYiLCJwIjoiZXhjZWwtamlyYSJ9" TargetMode="External"/><Relationship Id="rId32" Type="http://schemas.openxmlformats.org/officeDocument/2006/relationships/hyperlink" Target="https://sanes.atlassian.net/browse/ESPC360-15447?atlOrigin=eyJpIjoiMjBhNWIzMmFjMjdiNGE1YzhhZTE4YmM0ZjA0MDM4ZWYiLCJwIjoiZXhjZWwtamlyYSJ9" TargetMode="External"/><Relationship Id="rId53" Type="http://schemas.openxmlformats.org/officeDocument/2006/relationships/hyperlink" Target="https://sanes.atlassian.net/browse/ESPC360-16711?atlOrigin=eyJpIjoiMjBhNWIzMmFjMjdiNGE1YzhhZTE4YmM0ZjA0MDM4ZWYiLCJwIjoiZXhjZWwtamlyYSJ9" TargetMode="External"/><Relationship Id="rId74" Type="http://schemas.openxmlformats.org/officeDocument/2006/relationships/hyperlink" Target="https://sanes.atlassian.net/browse/ESPC360-17564?atlOrigin=eyJpIjoiMjBhNWIzMmFjMjdiNGE1YzhhZTE4YmM0ZjA0MDM4ZWYiLCJwIjoiZXhjZWwtamlyYSJ9" TargetMode="External"/><Relationship Id="rId128" Type="http://schemas.openxmlformats.org/officeDocument/2006/relationships/hyperlink" Target="https://sanes.atlassian.net/browse/ESPC360-19924?atlOrigin=eyJpIjoiMjBhNWIzMmFjMjdiNGE1YzhhZTE4YmM0ZjA0MDM4ZWYiLCJwIjoiZXhjZWwtamlyYSJ9" TargetMode="External"/><Relationship Id="rId149" Type="http://schemas.openxmlformats.org/officeDocument/2006/relationships/hyperlink" Target="https://sanes.atlassian.net/browse/ESPC360-20809?atlOrigin=eyJpIjoiMjBhNWIzMmFjMjdiNGE1YzhhZTE4YmM0ZjA0MDM4ZWYiLCJwIjoiZXhjZWwtamlyYSJ9" TargetMode="External"/><Relationship Id="rId5" Type="http://schemas.openxmlformats.org/officeDocument/2006/relationships/hyperlink" Target="https://sanes.atlassian.net/browse/ESPC360-13375?atlOrigin=eyJpIjoiMjBhNWIzMmFjMjdiNGE1YzhhZTE4YmM0ZjA0MDM4ZWYiLCJwIjoiZXhjZWwtamlyYSJ9" TargetMode="External"/><Relationship Id="rId95" Type="http://schemas.openxmlformats.org/officeDocument/2006/relationships/hyperlink" Target="https://sanes.atlassian.net/browse/ESPC360-18788?atlOrigin=eyJpIjoiMjBhNWIzMmFjMjdiNGE1YzhhZTE4YmM0ZjA0MDM4ZWYiLCJwIjoiZXhjZWwtamlyYSJ9" TargetMode="External"/><Relationship Id="rId22" Type="http://schemas.openxmlformats.org/officeDocument/2006/relationships/hyperlink" Target="https://sanes.atlassian.net/browse/ESPC360-14158?atlOrigin=eyJpIjoiMjBhNWIzMmFjMjdiNGE1YzhhZTE4YmM0ZjA0MDM4ZWYiLCJwIjoiZXhjZWwtamlyYSJ9" TargetMode="External"/><Relationship Id="rId43" Type="http://schemas.openxmlformats.org/officeDocument/2006/relationships/hyperlink" Target="https://sanes.atlassian.net/browse/ESPC360-16211?atlOrigin=eyJpIjoiMjBhNWIzMmFjMjdiNGE1YzhhZTE4YmM0ZjA0MDM4ZWYiLCJwIjoiZXhjZWwtamlyYSJ9" TargetMode="External"/><Relationship Id="rId64" Type="http://schemas.openxmlformats.org/officeDocument/2006/relationships/hyperlink" Target="https://sanes.atlassian.net/browse/ESPC360-17171?atlOrigin=eyJpIjoiMjBhNWIzMmFjMjdiNGE1YzhhZTE4YmM0ZjA0MDM4ZWYiLCJwIjoiZXhjZWwtamlyYSJ9" TargetMode="External"/><Relationship Id="rId118" Type="http://schemas.openxmlformats.org/officeDocument/2006/relationships/hyperlink" Target="https://sanes.atlassian.net/browse/ESPC360-19376?atlOrigin=eyJpIjoiMjBhNWIzMmFjMjdiNGE1YzhhZTE4YmM0ZjA0MDM4ZWYiLCJwIjoiZXhjZWwtamlyYSJ9" TargetMode="External"/><Relationship Id="rId139" Type="http://schemas.openxmlformats.org/officeDocument/2006/relationships/hyperlink" Target="https://sanes.atlassian.net/browse/ESPC360-20328?atlOrigin=eyJpIjoiMjBhNWIzMmFjMjdiNGE1YzhhZTE4YmM0ZjA0MDM4ZWYiLCJwIjoiZXhjZWwtamlyYSJ9" TargetMode="External"/><Relationship Id="rId80" Type="http://schemas.openxmlformats.org/officeDocument/2006/relationships/hyperlink" Target="https://sanes.atlassian.net/browse/ESPC360-17811?atlOrigin=eyJpIjoiMjBhNWIzMmFjMjdiNGE1YzhhZTE4YmM0ZjA0MDM4ZWYiLCJwIjoiZXhjZWwtamlyYSJ9" TargetMode="External"/><Relationship Id="rId85" Type="http://schemas.openxmlformats.org/officeDocument/2006/relationships/hyperlink" Target="https://sanes.atlassian.net/browse/ESPC360-18047?atlOrigin=eyJpIjoiMjBhNWIzMmFjMjdiNGE1YzhhZTE4YmM0ZjA0MDM4ZWYiLCJwIjoiZXhjZWwtamlyYSJ9" TargetMode="External"/><Relationship Id="rId150" Type="http://schemas.openxmlformats.org/officeDocument/2006/relationships/hyperlink" Target="https://sanes.atlassian.net/browse/ESPC360-20867?atlOrigin=eyJpIjoiMjBhNWIzMmFjMjdiNGE1YzhhZTE4YmM0ZjA0MDM4ZWYiLCJwIjoiZXhjZWwtamlyYSJ9" TargetMode="External"/><Relationship Id="rId155" Type="http://schemas.openxmlformats.org/officeDocument/2006/relationships/hyperlink" Target="https://sanes.atlassian.net/browse/ESPC360-20930?atlOrigin=eyJpIjoiMjBhNWIzMmFjMjdiNGE1YzhhZTE4YmM0ZjA0MDM4ZWYiLCJwIjoiZXhjZWwtamlyYSJ9" TargetMode="External"/><Relationship Id="rId12" Type="http://schemas.openxmlformats.org/officeDocument/2006/relationships/hyperlink" Target="https://sanes.atlassian.net/browse/ESPC360-13805?atlOrigin=eyJpIjoiMjBhNWIzMmFjMjdiNGE1YzhhZTE4YmM0ZjA0MDM4ZWYiLCJwIjoiZXhjZWwtamlyYSJ9" TargetMode="External"/><Relationship Id="rId17" Type="http://schemas.openxmlformats.org/officeDocument/2006/relationships/hyperlink" Target="https://sanes.atlassian.net/browse/ESPC360-14089?atlOrigin=eyJpIjoiMjBhNWIzMmFjMjdiNGE1YzhhZTE4YmM0ZjA0MDM4ZWYiLCJwIjoiZXhjZWwtamlyYSJ9" TargetMode="External"/><Relationship Id="rId33" Type="http://schemas.openxmlformats.org/officeDocument/2006/relationships/hyperlink" Target="https://sanes.atlassian.net/browse/ESPC360-15628?atlOrigin=eyJpIjoiMjBhNWIzMmFjMjdiNGE1YzhhZTE4YmM0ZjA0MDM4ZWYiLCJwIjoiZXhjZWwtamlyYSJ9" TargetMode="External"/><Relationship Id="rId38" Type="http://schemas.openxmlformats.org/officeDocument/2006/relationships/hyperlink" Target="https://sanes.atlassian.net/browse/ESPC360-16141?atlOrigin=eyJpIjoiMjBhNWIzMmFjMjdiNGE1YzhhZTE4YmM0ZjA0MDM4ZWYiLCJwIjoiZXhjZWwtamlyYSJ9" TargetMode="External"/><Relationship Id="rId59" Type="http://schemas.openxmlformats.org/officeDocument/2006/relationships/hyperlink" Target="https://sanes.atlassian.net/browse/ESPC360-16935?atlOrigin=eyJpIjoiMjBhNWIzMmFjMjdiNGE1YzhhZTE4YmM0ZjA0MDM4ZWYiLCJwIjoiZXhjZWwtamlyYSJ9" TargetMode="External"/><Relationship Id="rId103" Type="http://schemas.openxmlformats.org/officeDocument/2006/relationships/hyperlink" Target="https://sanes.atlassian.net/browse/ESPC360-18942?atlOrigin=eyJpIjoiMjBhNWIzMmFjMjdiNGE1YzhhZTE4YmM0ZjA0MDM4ZWYiLCJwIjoiZXhjZWwtamlyYSJ9" TargetMode="External"/><Relationship Id="rId108" Type="http://schemas.openxmlformats.org/officeDocument/2006/relationships/hyperlink" Target="https://sanes.atlassian.net/browse/ESPC360-19132?atlOrigin=eyJpIjoiMjBhNWIzMmFjMjdiNGE1YzhhZTE4YmM0ZjA0MDM4ZWYiLCJwIjoiZXhjZWwtamlyYSJ9" TargetMode="External"/><Relationship Id="rId124" Type="http://schemas.openxmlformats.org/officeDocument/2006/relationships/hyperlink" Target="https://sanes.atlassian.net/browse/ESPC360-19558?atlOrigin=eyJpIjoiMjBhNWIzMmFjMjdiNGE1YzhhZTE4YmM0ZjA0MDM4ZWYiLCJwIjoiZXhjZWwtamlyYSJ9" TargetMode="External"/><Relationship Id="rId129" Type="http://schemas.openxmlformats.org/officeDocument/2006/relationships/hyperlink" Target="https://sanes.atlassian.net/browse/ESPC360-19925?atlOrigin=eyJpIjoiMjBhNWIzMmFjMjdiNGE1YzhhZTE4YmM0ZjA0MDM4ZWYiLCJwIjoiZXhjZWwtamlyYSJ9" TargetMode="External"/><Relationship Id="rId54" Type="http://schemas.openxmlformats.org/officeDocument/2006/relationships/hyperlink" Target="https://sanes.atlassian.net/browse/ESPC360-16758?atlOrigin=eyJpIjoiMjBhNWIzMmFjMjdiNGE1YzhhZTE4YmM0ZjA0MDM4ZWYiLCJwIjoiZXhjZWwtamlyYSJ9" TargetMode="External"/><Relationship Id="rId70" Type="http://schemas.openxmlformats.org/officeDocument/2006/relationships/hyperlink" Target="https://sanes.atlassian.net/browse/ESPC360-17366?atlOrigin=eyJpIjoiMjBhNWIzMmFjMjdiNGE1YzhhZTE4YmM0ZjA0MDM4ZWYiLCJwIjoiZXhjZWwtamlyYSJ9" TargetMode="External"/><Relationship Id="rId75" Type="http://schemas.openxmlformats.org/officeDocument/2006/relationships/hyperlink" Target="https://sanes.atlassian.net/browse/ESPC360-17657?atlOrigin=eyJpIjoiMjBhNWIzMmFjMjdiNGE1YzhhZTE4YmM0ZjA0MDM4ZWYiLCJwIjoiZXhjZWwtamlyYSJ9" TargetMode="External"/><Relationship Id="rId91" Type="http://schemas.openxmlformats.org/officeDocument/2006/relationships/hyperlink" Target="https://sanes.atlassian.net/browse/ESPC360-18332?atlOrigin=eyJpIjoiMjBhNWIzMmFjMjdiNGE1YzhhZTE4YmM0ZjA0MDM4ZWYiLCJwIjoiZXhjZWwtamlyYSJ9" TargetMode="External"/><Relationship Id="rId96" Type="http://schemas.openxmlformats.org/officeDocument/2006/relationships/hyperlink" Target="https://sanes.atlassian.net/browse/ESPC360-18789?atlOrigin=eyJpIjoiMjBhNWIzMmFjMjdiNGE1YzhhZTE4YmM0ZjA0MDM4ZWYiLCJwIjoiZXhjZWwtamlyYSJ9" TargetMode="External"/><Relationship Id="rId140" Type="http://schemas.openxmlformats.org/officeDocument/2006/relationships/hyperlink" Target="https://sanes.atlassian.net/browse/ESPC360-20329?atlOrigin=eyJpIjoiMjBhNWIzMmFjMjdiNGE1YzhhZTE4YmM0ZjA0MDM4ZWYiLCJwIjoiZXhjZWwtamlyYSJ9" TargetMode="External"/><Relationship Id="rId145" Type="http://schemas.openxmlformats.org/officeDocument/2006/relationships/hyperlink" Target="https://sanes.atlassian.net/browse/ESPC360-20639?atlOrigin=eyJpIjoiMjBhNWIzMmFjMjdiNGE1YzhhZTE4YmM0ZjA0MDM4ZWYiLCJwIjoiZXhjZWwtamlyYSJ9" TargetMode="External"/><Relationship Id="rId1" Type="http://schemas.openxmlformats.org/officeDocument/2006/relationships/hyperlink" Target="https://sanes.atlassian.net/browse/ESPC360-12632?atlOrigin=eyJpIjoiMjBhNWIzMmFjMjdiNGE1YzhhZTE4YmM0ZjA0MDM4ZWYiLCJwIjoiZXhjZWwtamlyYSJ9" TargetMode="External"/><Relationship Id="rId6" Type="http://schemas.openxmlformats.org/officeDocument/2006/relationships/hyperlink" Target="https://sanes.atlassian.net/browse/ESPC360-13377?atlOrigin=eyJpIjoiMjBhNWIzMmFjMjdiNGE1YzhhZTE4YmM0ZjA0MDM4ZWYiLCJwIjoiZXhjZWwtamlyYSJ9" TargetMode="External"/><Relationship Id="rId23" Type="http://schemas.openxmlformats.org/officeDocument/2006/relationships/hyperlink" Target="https://sanes.atlassian.net/browse/ESPC360-14160?atlOrigin=eyJpIjoiMjBhNWIzMmFjMjdiNGE1YzhhZTE4YmM0ZjA0MDM4ZWYiLCJwIjoiZXhjZWwtamlyYSJ9" TargetMode="External"/><Relationship Id="rId28" Type="http://schemas.openxmlformats.org/officeDocument/2006/relationships/hyperlink" Target="https://sanes.atlassian.net/browse/ESPC360-14884?atlOrigin=eyJpIjoiMjBhNWIzMmFjMjdiNGE1YzhhZTE4YmM0ZjA0MDM4ZWYiLCJwIjoiZXhjZWwtamlyYSJ9" TargetMode="External"/><Relationship Id="rId49" Type="http://schemas.openxmlformats.org/officeDocument/2006/relationships/hyperlink" Target="https://sanes.atlassian.net/browse/ESPC360-16537?atlOrigin=eyJpIjoiMjBhNWIzMmFjMjdiNGE1YzhhZTE4YmM0ZjA0MDM4ZWYiLCJwIjoiZXhjZWwtamlyYSJ9" TargetMode="External"/><Relationship Id="rId114" Type="http://schemas.openxmlformats.org/officeDocument/2006/relationships/hyperlink" Target="https://sanes.atlassian.net/browse/ESPC360-19358?atlOrigin=eyJpIjoiMjBhNWIzMmFjMjdiNGE1YzhhZTE4YmM0ZjA0MDM4ZWYiLCJwIjoiZXhjZWwtamlyYSJ9" TargetMode="External"/><Relationship Id="rId119" Type="http://schemas.openxmlformats.org/officeDocument/2006/relationships/hyperlink" Target="https://sanes.atlassian.net/browse/ESPC360-19394?atlOrigin=eyJpIjoiMjBhNWIzMmFjMjdiNGE1YzhhZTE4YmM0ZjA0MDM4ZWYiLCJwIjoiZXhjZWwtamlyYSJ9" TargetMode="External"/><Relationship Id="rId44" Type="http://schemas.openxmlformats.org/officeDocument/2006/relationships/hyperlink" Target="https://sanes.atlassian.net/browse/ESPC360-16216?atlOrigin=eyJpIjoiMjBhNWIzMmFjMjdiNGE1YzhhZTE4YmM0ZjA0MDM4ZWYiLCJwIjoiZXhjZWwtamlyYSJ9" TargetMode="External"/><Relationship Id="rId60" Type="http://schemas.openxmlformats.org/officeDocument/2006/relationships/hyperlink" Target="https://sanes.atlassian.net/browse/ESPC360-16969?atlOrigin=eyJpIjoiMjBhNWIzMmFjMjdiNGE1YzhhZTE4YmM0ZjA0MDM4ZWYiLCJwIjoiZXhjZWwtamlyYSJ9" TargetMode="External"/><Relationship Id="rId65" Type="http://schemas.openxmlformats.org/officeDocument/2006/relationships/hyperlink" Target="https://sanes.atlassian.net/browse/ESPC360-17172?atlOrigin=eyJpIjoiMjBhNWIzMmFjMjdiNGE1YzhhZTE4YmM0ZjA0MDM4ZWYiLCJwIjoiZXhjZWwtamlyYSJ9" TargetMode="External"/><Relationship Id="rId81" Type="http://schemas.openxmlformats.org/officeDocument/2006/relationships/hyperlink" Target="https://sanes.atlassian.net/browse/ESPC360-17812?atlOrigin=eyJpIjoiMjBhNWIzMmFjMjdiNGE1YzhhZTE4YmM0ZjA0MDM4ZWYiLCJwIjoiZXhjZWwtamlyYSJ9" TargetMode="External"/><Relationship Id="rId86" Type="http://schemas.openxmlformats.org/officeDocument/2006/relationships/hyperlink" Target="https://sanes.atlassian.net/browse/ESPC360-18145?atlOrigin=eyJpIjoiMjBhNWIzMmFjMjdiNGE1YzhhZTE4YmM0ZjA0MDM4ZWYiLCJwIjoiZXhjZWwtamlyYSJ9" TargetMode="External"/><Relationship Id="rId130" Type="http://schemas.openxmlformats.org/officeDocument/2006/relationships/hyperlink" Target="https://sanes.atlassian.net/browse/ESPC360-19926?atlOrigin=eyJpIjoiMjBhNWIzMmFjMjdiNGE1YzhhZTE4YmM0ZjA0MDM4ZWYiLCJwIjoiZXhjZWwtamlyYSJ9" TargetMode="External"/><Relationship Id="rId135" Type="http://schemas.openxmlformats.org/officeDocument/2006/relationships/hyperlink" Target="https://sanes.atlassian.net/browse/ESPC360-20167?atlOrigin=eyJpIjoiMjBhNWIzMmFjMjdiNGE1YzhhZTE4YmM0ZjA0MDM4ZWYiLCJwIjoiZXhjZWwtamlyYSJ9" TargetMode="External"/><Relationship Id="rId151" Type="http://schemas.openxmlformats.org/officeDocument/2006/relationships/hyperlink" Target="https://sanes.atlassian.net/browse/ESPC360-20873?atlOrigin=eyJpIjoiMjBhNWIzMmFjMjdiNGE1YzhhZTE4YmM0ZjA0MDM4ZWYiLCJwIjoiZXhjZWwtamlyYSJ9" TargetMode="External"/><Relationship Id="rId156" Type="http://schemas.openxmlformats.org/officeDocument/2006/relationships/hyperlink" Target="https://sanes.atlassian.net/browse/ESPC360-20931?atlOrigin=eyJpIjoiMjBhNWIzMmFjMjdiNGE1YzhhZTE4YmM0ZjA0MDM4ZWYiLCJwIjoiZXhjZWwtamlyYSJ9" TargetMode="External"/><Relationship Id="rId13" Type="http://schemas.openxmlformats.org/officeDocument/2006/relationships/hyperlink" Target="https://sanes.atlassian.net/browse/ESPC360-13825?atlOrigin=eyJpIjoiMjBhNWIzMmFjMjdiNGE1YzhhZTE4YmM0ZjA0MDM4ZWYiLCJwIjoiZXhjZWwtamlyYSJ9" TargetMode="External"/><Relationship Id="rId18" Type="http://schemas.openxmlformats.org/officeDocument/2006/relationships/hyperlink" Target="https://sanes.atlassian.net/browse/ESPC360-14097?atlOrigin=eyJpIjoiMjBhNWIzMmFjMjdiNGE1YzhhZTE4YmM0ZjA0MDM4ZWYiLCJwIjoiZXhjZWwtamlyYSJ9" TargetMode="External"/><Relationship Id="rId39" Type="http://schemas.openxmlformats.org/officeDocument/2006/relationships/hyperlink" Target="https://sanes.atlassian.net/browse/ESPC360-16142?atlOrigin=eyJpIjoiMjBhNWIzMmFjMjdiNGE1YzhhZTE4YmM0ZjA0MDM4ZWYiLCJwIjoiZXhjZWwtamlyYSJ9" TargetMode="External"/><Relationship Id="rId109" Type="http://schemas.openxmlformats.org/officeDocument/2006/relationships/hyperlink" Target="https://sanes.atlassian.net/browse/ESPC360-19136?atlOrigin=eyJpIjoiMjBhNWIzMmFjMjdiNGE1YzhhZTE4YmM0ZjA0MDM4ZWYiLCJwIjoiZXhjZWwtamlyYSJ9" TargetMode="External"/><Relationship Id="rId34" Type="http://schemas.openxmlformats.org/officeDocument/2006/relationships/hyperlink" Target="https://sanes.atlassian.net/browse/ESPC360-15697?atlOrigin=eyJpIjoiMjBhNWIzMmFjMjdiNGE1YzhhZTE4YmM0ZjA0MDM4ZWYiLCJwIjoiZXhjZWwtamlyYSJ9" TargetMode="External"/><Relationship Id="rId50" Type="http://schemas.openxmlformats.org/officeDocument/2006/relationships/hyperlink" Target="https://sanes.atlassian.net/browse/ESPC360-16551?atlOrigin=eyJpIjoiMjBhNWIzMmFjMjdiNGE1YzhhZTE4YmM0ZjA0MDM4ZWYiLCJwIjoiZXhjZWwtamlyYSJ9" TargetMode="External"/><Relationship Id="rId55" Type="http://schemas.openxmlformats.org/officeDocument/2006/relationships/hyperlink" Target="https://sanes.atlassian.net/browse/ESPC360-16766?atlOrigin=eyJpIjoiMjBhNWIzMmFjMjdiNGE1YzhhZTE4YmM0ZjA0MDM4ZWYiLCJwIjoiZXhjZWwtamlyYSJ9" TargetMode="External"/><Relationship Id="rId76" Type="http://schemas.openxmlformats.org/officeDocument/2006/relationships/hyperlink" Target="https://sanes.atlassian.net/browse/ESPC360-17710?atlOrigin=eyJpIjoiMjBhNWIzMmFjMjdiNGE1YzhhZTE4YmM0ZjA0MDM4ZWYiLCJwIjoiZXhjZWwtamlyYSJ9" TargetMode="External"/><Relationship Id="rId97" Type="http://schemas.openxmlformats.org/officeDocument/2006/relationships/hyperlink" Target="https://sanes.atlassian.net/browse/ESPC360-18794?atlOrigin=eyJpIjoiMjBhNWIzMmFjMjdiNGE1YzhhZTE4YmM0ZjA0MDM4ZWYiLCJwIjoiZXhjZWwtamlyYSJ9" TargetMode="External"/><Relationship Id="rId104" Type="http://schemas.openxmlformats.org/officeDocument/2006/relationships/hyperlink" Target="https://sanes.atlassian.net/browse/ESPC360-18948?atlOrigin=eyJpIjoiMjBhNWIzMmFjMjdiNGE1YzhhZTE4YmM0ZjA0MDM4ZWYiLCJwIjoiZXhjZWwtamlyYSJ9" TargetMode="External"/><Relationship Id="rId120" Type="http://schemas.openxmlformats.org/officeDocument/2006/relationships/hyperlink" Target="https://sanes.atlassian.net/browse/ESPC360-19500?atlOrigin=eyJpIjoiMjBhNWIzMmFjMjdiNGE1YzhhZTE4YmM0ZjA0MDM4ZWYiLCJwIjoiZXhjZWwtamlyYSJ9" TargetMode="External"/><Relationship Id="rId125" Type="http://schemas.openxmlformats.org/officeDocument/2006/relationships/hyperlink" Target="https://sanes.atlassian.net/browse/ESPC360-19765?atlOrigin=eyJpIjoiMjBhNWIzMmFjMjdiNGE1YzhhZTE4YmM0ZjA0MDM4ZWYiLCJwIjoiZXhjZWwtamlyYSJ9" TargetMode="External"/><Relationship Id="rId141" Type="http://schemas.openxmlformats.org/officeDocument/2006/relationships/hyperlink" Target="https://sanes.atlassian.net/browse/ESPC360-20474?atlOrigin=eyJpIjoiMjBhNWIzMmFjMjdiNGE1YzhhZTE4YmM0ZjA0MDM4ZWYiLCJwIjoiZXhjZWwtamlyYSJ9" TargetMode="External"/><Relationship Id="rId146" Type="http://schemas.openxmlformats.org/officeDocument/2006/relationships/hyperlink" Target="https://sanes.atlassian.net/browse/ESPC360-20640?atlOrigin=eyJpIjoiMjBhNWIzMmFjMjdiNGE1YzhhZTE4YmM0ZjA0MDM4ZWYiLCJwIjoiZXhjZWwtamlyYSJ9" TargetMode="External"/><Relationship Id="rId7" Type="http://schemas.openxmlformats.org/officeDocument/2006/relationships/hyperlink" Target="https://sanes.atlassian.net/browse/ESPC360-13482?atlOrigin=eyJpIjoiMjBhNWIzMmFjMjdiNGE1YzhhZTE4YmM0ZjA0MDM4ZWYiLCJwIjoiZXhjZWwtamlyYSJ9" TargetMode="External"/><Relationship Id="rId71" Type="http://schemas.openxmlformats.org/officeDocument/2006/relationships/hyperlink" Target="https://sanes.atlassian.net/browse/ESPC360-17383?atlOrigin=eyJpIjoiMjBhNWIzMmFjMjdiNGE1YzhhZTE4YmM0ZjA0MDM4ZWYiLCJwIjoiZXhjZWwtamlyYSJ9" TargetMode="External"/><Relationship Id="rId92" Type="http://schemas.openxmlformats.org/officeDocument/2006/relationships/hyperlink" Target="https://sanes.atlassian.net/browse/ESPC360-18400?atlOrigin=eyJpIjoiMjBhNWIzMmFjMjdiNGE1YzhhZTE4YmM0ZjA0MDM4ZWYiLCJwIjoiZXhjZWwtamlyYSJ9" TargetMode="External"/><Relationship Id="rId2" Type="http://schemas.openxmlformats.org/officeDocument/2006/relationships/hyperlink" Target="https://sanes.atlassian.net/browse/ESPC360-13131?atlOrigin=eyJpIjoiMjBhNWIzMmFjMjdiNGE1YzhhZTE4YmM0ZjA0MDM4ZWYiLCJwIjoiZXhjZWwtamlyYSJ9" TargetMode="External"/><Relationship Id="rId29" Type="http://schemas.openxmlformats.org/officeDocument/2006/relationships/hyperlink" Target="https://sanes.atlassian.net/browse/ESPC360-15046?atlOrigin=eyJpIjoiMjBhNWIzMmFjMjdiNGE1YzhhZTE4YmM0ZjA0MDM4ZWYiLCJwIjoiZXhjZWwtamlyYSJ9" TargetMode="External"/><Relationship Id="rId24" Type="http://schemas.openxmlformats.org/officeDocument/2006/relationships/hyperlink" Target="https://sanes.atlassian.net/browse/ESPC360-14172?atlOrigin=eyJpIjoiMjBhNWIzMmFjMjdiNGE1YzhhZTE4YmM0ZjA0MDM4ZWYiLCJwIjoiZXhjZWwtamlyYSJ9" TargetMode="External"/><Relationship Id="rId40" Type="http://schemas.openxmlformats.org/officeDocument/2006/relationships/hyperlink" Target="https://sanes.atlassian.net/browse/ESPC360-16143?atlOrigin=eyJpIjoiMjBhNWIzMmFjMjdiNGE1YzhhZTE4YmM0ZjA0MDM4ZWYiLCJwIjoiZXhjZWwtamlyYSJ9" TargetMode="External"/><Relationship Id="rId45" Type="http://schemas.openxmlformats.org/officeDocument/2006/relationships/hyperlink" Target="https://sanes.atlassian.net/browse/ESPC360-16227?atlOrigin=eyJpIjoiMjBhNWIzMmFjMjdiNGE1YzhhZTE4YmM0ZjA0MDM4ZWYiLCJwIjoiZXhjZWwtamlyYSJ9" TargetMode="External"/><Relationship Id="rId66" Type="http://schemas.openxmlformats.org/officeDocument/2006/relationships/hyperlink" Target="https://sanes.atlassian.net/browse/ESPC360-17303?atlOrigin=eyJpIjoiMjBhNWIzMmFjMjdiNGE1YzhhZTE4YmM0ZjA0MDM4ZWYiLCJwIjoiZXhjZWwtamlyYSJ9" TargetMode="External"/><Relationship Id="rId87" Type="http://schemas.openxmlformats.org/officeDocument/2006/relationships/hyperlink" Target="https://sanes.atlassian.net/browse/ESPC360-18156?atlOrigin=eyJpIjoiMjBhNWIzMmFjMjdiNGE1YzhhZTE4YmM0ZjA0MDM4ZWYiLCJwIjoiZXhjZWwtamlyYSJ9" TargetMode="External"/><Relationship Id="rId110" Type="http://schemas.openxmlformats.org/officeDocument/2006/relationships/hyperlink" Target="https://sanes.atlassian.net/browse/ESPC360-19137?atlOrigin=eyJpIjoiMjBhNWIzMmFjMjdiNGE1YzhhZTE4YmM0ZjA0MDM4ZWYiLCJwIjoiZXhjZWwtamlyYSJ9" TargetMode="External"/><Relationship Id="rId115" Type="http://schemas.openxmlformats.org/officeDocument/2006/relationships/hyperlink" Target="https://sanes.atlassian.net/browse/ESPC360-19367?atlOrigin=eyJpIjoiMjBhNWIzMmFjMjdiNGE1YzhhZTE4YmM0ZjA0MDM4ZWYiLCJwIjoiZXhjZWwtamlyYSJ9" TargetMode="External"/><Relationship Id="rId131" Type="http://schemas.openxmlformats.org/officeDocument/2006/relationships/hyperlink" Target="https://sanes.atlassian.net/browse/ESPC360-20026?atlOrigin=eyJpIjoiMjBhNWIzMmFjMjdiNGE1YzhhZTE4YmM0ZjA0MDM4ZWYiLCJwIjoiZXhjZWwtamlyYSJ9" TargetMode="External"/><Relationship Id="rId136" Type="http://schemas.openxmlformats.org/officeDocument/2006/relationships/hyperlink" Target="https://sanes.atlassian.net/browse/ESPC360-20168?atlOrigin=eyJpIjoiMjBhNWIzMmFjMjdiNGE1YzhhZTE4YmM0ZjA0MDM4ZWYiLCJwIjoiZXhjZWwtamlyYSJ9" TargetMode="External"/><Relationship Id="rId157" Type="http://schemas.openxmlformats.org/officeDocument/2006/relationships/hyperlink" Target="https://sanes.atlassian.net/browse/ESPC360-21027?atlOrigin=eyJpIjoiMjBhNWIzMmFjMjdiNGE1YzhhZTE4YmM0ZjA0MDM4ZWYiLCJwIjoiZXhjZWwtamlyYSJ9" TargetMode="External"/><Relationship Id="rId61" Type="http://schemas.openxmlformats.org/officeDocument/2006/relationships/hyperlink" Target="https://sanes.atlassian.net/browse/ESPC360-17089?atlOrigin=eyJpIjoiMjBhNWIzMmFjMjdiNGE1YzhhZTE4YmM0ZjA0MDM4ZWYiLCJwIjoiZXhjZWwtamlyYSJ9" TargetMode="External"/><Relationship Id="rId82" Type="http://schemas.openxmlformats.org/officeDocument/2006/relationships/hyperlink" Target="https://sanes.atlassian.net/browse/ESPC360-17819?atlOrigin=eyJpIjoiMjBhNWIzMmFjMjdiNGE1YzhhZTE4YmM0ZjA0MDM4ZWYiLCJwIjoiZXhjZWwtamlyYSJ9" TargetMode="External"/><Relationship Id="rId152" Type="http://schemas.openxmlformats.org/officeDocument/2006/relationships/hyperlink" Target="https://sanes.atlassian.net/browse/ESPC360-20875?atlOrigin=eyJpIjoiMjBhNWIzMmFjMjdiNGE1YzhhZTE4YmM0ZjA0MDM4ZWYiLCJwIjoiZXhjZWwtamlyYSJ9" TargetMode="External"/><Relationship Id="rId19" Type="http://schemas.openxmlformats.org/officeDocument/2006/relationships/hyperlink" Target="https://sanes.atlassian.net/browse/ESPC360-14103?atlOrigin=eyJpIjoiMjBhNWIzMmFjMjdiNGE1YzhhZTE4YmM0ZjA0MDM4ZWYiLCJwIjoiZXhjZWwtamlyYSJ9" TargetMode="External"/><Relationship Id="rId14" Type="http://schemas.openxmlformats.org/officeDocument/2006/relationships/hyperlink" Target="https://sanes.atlassian.net/browse/ESPC360-13831?atlOrigin=eyJpIjoiMjBhNWIzMmFjMjdiNGE1YzhhZTE4YmM0ZjA0MDM4ZWYiLCJwIjoiZXhjZWwtamlyYSJ9" TargetMode="External"/><Relationship Id="rId30" Type="http://schemas.openxmlformats.org/officeDocument/2006/relationships/hyperlink" Target="https://sanes.atlassian.net/browse/ESPC360-15069?atlOrigin=eyJpIjoiMjBhNWIzMmFjMjdiNGE1YzhhZTE4YmM0ZjA0MDM4ZWYiLCJwIjoiZXhjZWwtamlyYSJ9" TargetMode="External"/><Relationship Id="rId35" Type="http://schemas.openxmlformats.org/officeDocument/2006/relationships/hyperlink" Target="https://sanes.atlassian.net/browse/ESPC360-15716?atlOrigin=eyJpIjoiMjBhNWIzMmFjMjdiNGE1YzhhZTE4YmM0ZjA0MDM4ZWYiLCJwIjoiZXhjZWwtamlyYSJ9" TargetMode="External"/><Relationship Id="rId56" Type="http://schemas.openxmlformats.org/officeDocument/2006/relationships/hyperlink" Target="https://sanes.atlassian.net/browse/ESPC360-16875?atlOrigin=eyJpIjoiMjBhNWIzMmFjMjdiNGE1YzhhZTE4YmM0ZjA0MDM4ZWYiLCJwIjoiZXhjZWwtamlyYSJ9" TargetMode="External"/><Relationship Id="rId77" Type="http://schemas.openxmlformats.org/officeDocument/2006/relationships/hyperlink" Target="https://sanes.atlassian.net/browse/ESPC360-17777?atlOrigin=eyJpIjoiMjBhNWIzMmFjMjdiNGE1YzhhZTE4YmM0ZjA0MDM4ZWYiLCJwIjoiZXhjZWwtamlyYSJ9" TargetMode="External"/><Relationship Id="rId100" Type="http://schemas.openxmlformats.org/officeDocument/2006/relationships/hyperlink" Target="https://sanes.atlassian.net/browse/ESPC360-18815?atlOrigin=eyJpIjoiMjBhNWIzMmFjMjdiNGE1YzhhZTE4YmM0ZjA0MDM4ZWYiLCJwIjoiZXhjZWwtamlyYSJ9" TargetMode="External"/><Relationship Id="rId105" Type="http://schemas.openxmlformats.org/officeDocument/2006/relationships/hyperlink" Target="https://sanes.atlassian.net/browse/ESPC360-18951?atlOrigin=eyJpIjoiMjBhNWIzMmFjMjdiNGE1YzhhZTE4YmM0ZjA0MDM4ZWYiLCJwIjoiZXhjZWwtamlyYSJ9" TargetMode="External"/><Relationship Id="rId126" Type="http://schemas.openxmlformats.org/officeDocument/2006/relationships/hyperlink" Target="https://sanes.atlassian.net/browse/ESPC360-19825?atlOrigin=eyJpIjoiMjBhNWIzMmFjMjdiNGE1YzhhZTE4YmM0ZjA0MDM4ZWYiLCJwIjoiZXhjZWwtamlyYSJ9" TargetMode="External"/><Relationship Id="rId147" Type="http://schemas.openxmlformats.org/officeDocument/2006/relationships/hyperlink" Target="https://sanes.atlassian.net/browse/ESPC360-20642?atlOrigin=eyJpIjoiMjBhNWIzMmFjMjdiNGE1YzhhZTE4YmM0ZjA0MDM4ZWYiLCJwIjoiZXhjZWwtamlyYSJ9" TargetMode="External"/><Relationship Id="rId8" Type="http://schemas.openxmlformats.org/officeDocument/2006/relationships/hyperlink" Target="https://sanes.atlassian.net/browse/ESPC360-13540?atlOrigin=eyJpIjoiMjBhNWIzMmFjMjdiNGE1YzhhZTE4YmM0ZjA0MDM4ZWYiLCJwIjoiZXhjZWwtamlyYSJ9" TargetMode="External"/><Relationship Id="rId51" Type="http://schemas.openxmlformats.org/officeDocument/2006/relationships/hyperlink" Target="https://sanes.atlassian.net/browse/ESPC360-16682?atlOrigin=eyJpIjoiMjBhNWIzMmFjMjdiNGE1YzhhZTE4YmM0ZjA0MDM4ZWYiLCJwIjoiZXhjZWwtamlyYSJ9" TargetMode="External"/><Relationship Id="rId72" Type="http://schemas.openxmlformats.org/officeDocument/2006/relationships/hyperlink" Target="https://sanes.atlassian.net/browse/ESPC360-17544?atlOrigin=eyJpIjoiMjBhNWIzMmFjMjdiNGE1YzhhZTE4YmM0ZjA0MDM4ZWYiLCJwIjoiZXhjZWwtamlyYSJ9" TargetMode="External"/><Relationship Id="rId93" Type="http://schemas.openxmlformats.org/officeDocument/2006/relationships/hyperlink" Target="https://sanes.atlassian.net/browse/ESPC360-18649?atlOrigin=eyJpIjoiMjBhNWIzMmFjMjdiNGE1YzhhZTE4YmM0ZjA0MDM4ZWYiLCJwIjoiZXhjZWwtamlyYSJ9" TargetMode="External"/><Relationship Id="rId98" Type="http://schemas.openxmlformats.org/officeDocument/2006/relationships/hyperlink" Target="https://sanes.atlassian.net/browse/ESPC360-18798?atlOrigin=eyJpIjoiMjBhNWIzMmFjMjdiNGE1YzhhZTE4YmM0ZjA0MDM4ZWYiLCJwIjoiZXhjZWwtamlyYSJ9" TargetMode="External"/><Relationship Id="rId121" Type="http://schemas.openxmlformats.org/officeDocument/2006/relationships/hyperlink" Target="https://sanes.atlassian.net/browse/ESPC360-19525?atlOrigin=eyJpIjoiMjBhNWIzMmFjMjdiNGE1YzhhZTE4YmM0ZjA0MDM4ZWYiLCJwIjoiZXhjZWwtamlyYSJ9" TargetMode="External"/><Relationship Id="rId142" Type="http://schemas.openxmlformats.org/officeDocument/2006/relationships/hyperlink" Target="https://sanes.atlassian.net/browse/ESPC360-20476?atlOrigin=eyJpIjoiMjBhNWIzMmFjMjdiNGE1YzhhZTE4YmM0ZjA0MDM4ZWYiLCJwIjoiZXhjZWwtamlyYSJ9" TargetMode="External"/><Relationship Id="rId3" Type="http://schemas.openxmlformats.org/officeDocument/2006/relationships/hyperlink" Target="https://sanes.atlassian.net/browse/ESPC360-13309?atlOrigin=eyJpIjoiMjBhNWIzMmFjMjdiNGE1YzhhZTE4YmM0ZjA0MDM4ZWYiLCJwIjoiZXhjZWwtamlyYSJ9" TargetMode="External"/><Relationship Id="rId25" Type="http://schemas.openxmlformats.org/officeDocument/2006/relationships/hyperlink" Target="https://sanes.atlassian.net/browse/ESPC360-14862?atlOrigin=eyJpIjoiMjBhNWIzMmFjMjdiNGE1YzhhZTE4YmM0ZjA0MDM4ZWYiLCJwIjoiZXhjZWwtamlyYSJ9" TargetMode="External"/><Relationship Id="rId46" Type="http://schemas.openxmlformats.org/officeDocument/2006/relationships/hyperlink" Target="https://sanes.atlassian.net/browse/ESPC360-16493?atlOrigin=eyJpIjoiMjBhNWIzMmFjMjdiNGE1YzhhZTE4YmM0ZjA0MDM4ZWYiLCJwIjoiZXhjZWwtamlyYSJ9" TargetMode="External"/><Relationship Id="rId67" Type="http://schemas.openxmlformats.org/officeDocument/2006/relationships/hyperlink" Target="https://sanes.atlassian.net/browse/ESPC360-17351?atlOrigin=eyJpIjoiMjBhNWIzMmFjMjdiNGE1YzhhZTE4YmM0ZjA0MDM4ZWYiLCJwIjoiZXhjZWwtamlyYSJ9" TargetMode="External"/><Relationship Id="rId116" Type="http://schemas.openxmlformats.org/officeDocument/2006/relationships/hyperlink" Target="https://sanes.atlassian.net/browse/ESPC360-19368?atlOrigin=eyJpIjoiMjBhNWIzMmFjMjdiNGE1YzhhZTE4YmM0ZjA0MDM4ZWYiLCJwIjoiZXhjZWwtamlyYSJ9" TargetMode="External"/><Relationship Id="rId137" Type="http://schemas.openxmlformats.org/officeDocument/2006/relationships/hyperlink" Target="https://sanes.atlassian.net/browse/ESPC360-20185?atlOrigin=eyJpIjoiMjBhNWIzMmFjMjdiNGE1YzhhZTE4YmM0ZjA0MDM4ZWYiLCJwIjoiZXhjZWwtamlyYSJ9" TargetMode="External"/><Relationship Id="rId158" Type="http://schemas.openxmlformats.org/officeDocument/2006/relationships/hyperlink" Target="https://sanes.atlassian.net/browse/ESPC360-21051?atlOrigin=eyJpIjoiMjBhNWIzMmFjMjdiNGE1YzhhZTE4YmM0ZjA0MDM4ZWYiLCJwIjoiZXhjZWwtamlyYSJ9" TargetMode="External"/><Relationship Id="rId20" Type="http://schemas.openxmlformats.org/officeDocument/2006/relationships/hyperlink" Target="https://sanes.atlassian.net/browse/ESPC360-14106?atlOrigin=eyJpIjoiMjBhNWIzMmFjMjdiNGE1YzhhZTE4YmM0ZjA0MDM4ZWYiLCJwIjoiZXhjZWwtamlyYSJ9" TargetMode="External"/><Relationship Id="rId41" Type="http://schemas.openxmlformats.org/officeDocument/2006/relationships/hyperlink" Target="https://sanes.atlassian.net/browse/ESPC360-16144?atlOrigin=eyJpIjoiMjBhNWIzMmFjMjdiNGE1YzhhZTE4YmM0ZjA0MDM4ZWYiLCJwIjoiZXhjZWwtamlyYSJ9" TargetMode="External"/><Relationship Id="rId62" Type="http://schemas.openxmlformats.org/officeDocument/2006/relationships/hyperlink" Target="https://sanes.atlassian.net/browse/ESPC360-17101?atlOrigin=eyJpIjoiMjBhNWIzMmFjMjdiNGE1YzhhZTE4YmM0ZjA0MDM4ZWYiLCJwIjoiZXhjZWwtamlyYSJ9" TargetMode="External"/><Relationship Id="rId83" Type="http://schemas.openxmlformats.org/officeDocument/2006/relationships/hyperlink" Target="https://sanes.atlassian.net/browse/ESPC360-18007?atlOrigin=eyJpIjoiMjBhNWIzMmFjMjdiNGE1YzhhZTE4YmM0ZjA0MDM4ZWYiLCJwIjoiZXhjZWwtamlyYSJ9" TargetMode="External"/><Relationship Id="rId88" Type="http://schemas.openxmlformats.org/officeDocument/2006/relationships/hyperlink" Target="https://sanes.atlassian.net/browse/ESPC360-18174?atlOrigin=eyJpIjoiMjBhNWIzMmFjMjdiNGE1YzhhZTE4YmM0ZjA0MDM4ZWYiLCJwIjoiZXhjZWwtamlyYSJ9" TargetMode="External"/><Relationship Id="rId111" Type="http://schemas.openxmlformats.org/officeDocument/2006/relationships/hyperlink" Target="https://sanes.atlassian.net/browse/ESPC360-19143?atlOrigin=eyJpIjoiMjBhNWIzMmFjMjdiNGE1YzhhZTE4YmM0ZjA0MDM4ZWYiLCJwIjoiZXhjZWwtamlyYSJ9" TargetMode="External"/><Relationship Id="rId132" Type="http://schemas.openxmlformats.org/officeDocument/2006/relationships/hyperlink" Target="https://sanes.atlassian.net/browse/ESPC360-20082?atlOrigin=eyJpIjoiMjBhNWIzMmFjMjdiNGE1YzhhZTE4YmM0ZjA0MDM4ZWYiLCJwIjoiZXhjZWwtamlyYSJ9" TargetMode="External"/><Relationship Id="rId153" Type="http://schemas.openxmlformats.org/officeDocument/2006/relationships/hyperlink" Target="https://sanes.atlassian.net/browse/ESPC360-20876?atlOrigin=eyJpIjoiMjBhNWIzMmFjMjdiNGE1YzhhZTE4YmM0ZjA0MDM4ZWYiLCJwIjoiZXhjZWwtamlyYSJ9" TargetMode="External"/><Relationship Id="rId15" Type="http://schemas.openxmlformats.org/officeDocument/2006/relationships/hyperlink" Target="https://sanes.atlassian.net/browse/ESPC360-13965?atlOrigin=eyJpIjoiMjBhNWIzMmFjMjdiNGE1YzhhZTE4YmM0ZjA0MDM4ZWYiLCJwIjoiZXhjZWwtamlyYSJ9" TargetMode="External"/><Relationship Id="rId36" Type="http://schemas.openxmlformats.org/officeDocument/2006/relationships/hyperlink" Target="https://sanes.atlassian.net/browse/ESPC360-15961?atlOrigin=eyJpIjoiMjBhNWIzMmFjMjdiNGE1YzhhZTE4YmM0ZjA0MDM4ZWYiLCJwIjoiZXhjZWwtamlyYSJ9" TargetMode="External"/><Relationship Id="rId57" Type="http://schemas.openxmlformats.org/officeDocument/2006/relationships/hyperlink" Target="https://sanes.atlassian.net/browse/ESPC360-16919?atlOrigin=eyJpIjoiMjBhNWIzMmFjMjdiNGE1YzhhZTE4YmM0ZjA0MDM4ZWYiLCJwIjoiZXhjZWwtamlyYSJ9" TargetMode="External"/><Relationship Id="rId106" Type="http://schemas.openxmlformats.org/officeDocument/2006/relationships/hyperlink" Target="https://sanes.atlassian.net/browse/ESPC360-18962?atlOrigin=eyJpIjoiMjBhNWIzMmFjMjdiNGE1YzhhZTE4YmM0ZjA0MDM4ZWYiLCJwIjoiZXhjZWwtamlyYSJ9" TargetMode="External"/><Relationship Id="rId127" Type="http://schemas.openxmlformats.org/officeDocument/2006/relationships/hyperlink" Target="https://sanes.atlassian.net/browse/ESPC360-19892?atlOrigin=eyJpIjoiMjBhNWIzMmFjMjdiNGE1YzhhZTE4YmM0ZjA0MDM4ZWYiLCJwIjoiZXhjZWwtamlyYSJ9" TargetMode="External"/><Relationship Id="rId10" Type="http://schemas.openxmlformats.org/officeDocument/2006/relationships/hyperlink" Target="https://sanes.atlassian.net/browse/ESPC360-13803?atlOrigin=eyJpIjoiMjBhNWIzMmFjMjdiNGE1YzhhZTE4YmM0ZjA0MDM4ZWYiLCJwIjoiZXhjZWwtamlyYSJ9" TargetMode="External"/><Relationship Id="rId31" Type="http://schemas.openxmlformats.org/officeDocument/2006/relationships/hyperlink" Target="https://sanes.atlassian.net/browse/ESPC360-15408?atlOrigin=eyJpIjoiMjBhNWIzMmFjMjdiNGE1YzhhZTE4YmM0ZjA0MDM4ZWYiLCJwIjoiZXhjZWwtamlyYSJ9" TargetMode="External"/><Relationship Id="rId52" Type="http://schemas.openxmlformats.org/officeDocument/2006/relationships/hyperlink" Target="https://sanes.atlassian.net/browse/ESPC360-16702?atlOrigin=eyJpIjoiMjBhNWIzMmFjMjdiNGE1YzhhZTE4YmM0ZjA0MDM4ZWYiLCJwIjoiZXhjZWwtamlyYSJ9" TargetMode="External"/><Relationship Id="rId73" Type="http://schemas.openxmlformats.org/officeDocument/2006/relationships/hyperlink" Target="https://sanes.atlassian.net/browse/ESPC360-17563?atlOrigin=eyJpIjoiMjBhNWIzMmFjMjdiNGE1YzhhZTE4YmM0ZjA0MDM4ZWYiLCJwIjoiZXhjZWwtamlyYSJ9" TargetMode="External"/><Relationship Id="rId78" Type="http://schemas.openxmlformats.org/officeDocument/2006/relationships/hyperlink" Target="https://sanes.atlassian.net/browse/ESPC360-17793?atlOrigin=eyJpIjoiMjBhNWIzMmFjMjdiNGE1YzhhZTE4YmM0ZjA0MDM4ZWYiLCJwIjoiZXhjZWwtamlyYSJ9" TargetMode="External"/><Relationship Id="rId94" Type="http://schemas.openxmlformats.org/officeDocument/2006/relationships/hyperlink" Target="https://sanes.atlassian.net/browse/ESPC360-18758?atlOrigin=eyJpIjoiMjBhNWIzMmFjMjdiNGE1YzhhZTE4YmM0ZjA0MDM4ZWYiLCJwIjoiZXhjZWwtamlyYSJ9" TargetMode="External"/><Relationship Id="rId99" Type="http://schemas.openxmlformats.org/officeDocument/2006/relationships/hyperlink" Target="https://sanes.atlassian.net/browse/ESPC360-18811?atlOrigin=eyJpIjoiMjBhNWIzMmFjMjdiNGE1YzhhZTE4YmM0ZjA0MDM4ZWYiLCJwIjoiZXhjZWwtamlyYSJ9" TargetMode="External"/><Relationship Id="rId101" Type="http://schemas.openxmlformats.org/officeDocument/2006/relationships/hyperlink" Target="https://sanes.atlassian.net/browse/ESPC360-18816?atlOrigin=eyJpIjoiMjBhNWIzMmFjMjdiNGE1YzhhZTE4YmM0ZjA0MDM4ZWYiLCJwIjoiZXhjZWwtamlyYSJ9" TargetMode="External"/><Relationship Id="rId122" Type="http://schemas.openxmlformats.org/officeDocument/2006/relationships/hyperlink" Target="https://sanes.atlassian.net/browse/ESPC360-19534?atlOrigin=eyJpIjoiMjBhNWIzMmFjMjdiNGE1YzhhZTE4YmM0ZjA0MDM4ZWYiLCJwIjoiZXhjZWwtamlyYSJ9" TargetMode="External"/><Relationship Id="rId143" Type="http://schemas.openxmlformats.org/officeDocument/2006/relationships/hyperlink" Target="https://sanes.atlassian.net/browse/ESPC360-20526?atlOrigin=eyJpIjoiMjBhNWIzMmFjMjdiNGE1YzhhZTE4YmM0ZjA0MDM4ZWYiLCJwIjoiZXhjZWwtamlyYSJ9" TargetMode="External"/><Relationship Id="rId148" Type="http://schemas.openxmlformats.org/officeDocument/2006/relationships/hyperlink" Target="https://sanes.atlassian.net/browse/ESPC360-20754?atlOrigin=eyJpIjoiMjBhNWIzMmFjMjdiNGE1YzhhZTE4YmM0ZjA0MDM4ZWYiLCJwIjoiZXhjZWwtamlyYSJ9" TargetMode="External"/><Relationship Id="rId4" Type="http://schemas.openxmlformats.org/officeDocument/2006/relationships/hyperlink" Target="https://sanes.atlassian.net/browse/ESPC360-13363?atlOrigin=eyJpIjoiMjBhNWIzMmFjMjdiNGE1YzhhZTE4YmM0ZjA0MDM4ZWYiLCJwIjoiZXhjZWwtamlyYSJ9" TargetMode="External"/><Relationship Id="rId9" Type="http://schemas.openxmlformats.org/officeDocument/2006/relationships/hyperlink" Target="https://sanes.atlassian.net/browse/ESPC360-13557?atlOrigin=eyJpIjoiMjBhNWIzMmFjMjdiNGE1YzhhZTE4YmM0ZjA0MDM4ZWYiLCJwIjoiZXhjZWwtamlyYSJ9" TargetMode="External"/><Relationship Id="rId26" Type="http://schemas.openxmlformats.org/officeDocument/2006/relationships/hyperlink" Target="https://sanes.atlassian.net/browse/ESPC360-14863?atlOrigin=eyJpIjoiMjBhNWIzMmFjMjdiNGE1YzhhZTE4YmM0ZjA0MDM4ZWYiLCJwIjoiZXhjZWwtamlyYSJ9" TargetMode="External"/><Relationship Id="rId47" Type="http://schemas.openxmlformats.org/officeDocument/2006/relationships/hyperlink" Target="https://sanes.atlassian.net/browse/ESPC360-16515?atlOrigin=eyJpIjoiMjBhNWIzMmFjMjdiNGE1YzhhZTE4YmM0ZjA0MDM4ZWYiLCJwIjoiZXhjZWwtamlyYSJ9" TargetMode="External"/><Relationship Id="rId68" Type="http://schemas.openxmlformats.org/officeDocument/2006/relationships/hyperlink" Target="https://sanes.atlassian.net/browse/ESPC360-17352?atlOrigin=eyJpIjoiMjBhNWIzMmFjMjdiNGE1YzhhZTE4YmM0ZjA0MDM4ZWYiLCJwIjoiZXhjZWwtamlyYSJ9" TargetMode="External"/><Relationship Id="rId89" Type="http://schemas.openxmlformats.org/officeDocument/2006/relationships/hyperlink" Target="https://sanes.atlassian.net/browse/ESPC360-18188?atlOrigin=eyJpIjoiMjBhNWIzMmFjMjdiNGE1YzhhZTE4YmM0ZjA0MDM4ZWYiLCJwIjoiZXhjZWwtamlyYSJ9" TargetMode="External"/><Relationship Id="rId112" Type="http://schemas.openxmlformats.org/officeDocument/2006/relationships/hyperlink" Target="https://sanes.atlassian.net/browse/ESPC360-19155?atlOrigin=eyJpIjoiMjBhNWIzMmFjMjdiNGE1YzhhZTE4YmM0ZjA0MDM4ZWYiLCJwIjoiZXhjZWwtamlyYSJ9" TargetMode="External"/><Relationship Id="rId133" Type="http://schemas.openxmlformats.org/officeDocument/2006/relationships/hyperlink" Target="https://sanes.atlassian.net/browse/ESPC360-20164?atlOrigin=eyJpIjoiMjBhNWIzMmFjMjdiNGE1YzhhZTE4YmM0ZjA0MDM4ZWYiLCJwIjoiZXhjZWwtamlyYSJ9" TargetMode="External"/><Relationship Id="rId154" Type="http://schemas.openxmlformats.org/officeDocument/2006/relationships/hyperlink" Target="https://sanes.atlassian.net/browse/ESPC360-20914?atlOrigin=eyJpIjoiMjBhNWIzMmFjMjdiNGE1YzhhZTE4YmM0ZjA0MDM4ZWYiLCJwIjoiZXhjZWwtamlyYSJ9" TargetMode="External"/><Relationship Id="rId16" Type="http://schemas.openxmlformats.org/officeDocument/2006/relationships/hyperlink" Target="https://sanes.atlassian.net/browse/ESPC360-14082?atlOrigin=eyJpIjoiMjBhNWIzMmFjMjdiNGE1YzhhZTE4YmM0ZjA0MDM4ZWYiLCJwIjoiZXhjZWwtamlyYSJ9" TargetMode="External"/><Relationship Id="rId37" Type="http://schemas.openxmlformats.org/officeDocument/2006/relationships/hyperlink" Target="https://sanes.atlassian.net/browse/ESPC360-16140?atlOrigin=eyJpIjoiMjBhNWIzMmFjMjdiNGE1YzhhZTE4YmM0ZjA0MDM4ZWYiLCJwIjoiZXhjZWwtamlyYSJ9" TargetMode="External"/><Relationship Id="rId58" Type="http://schemas.openxmlformats.org/officeDocument/2006/relationships/hyperlink" Target="https://sanes.atlassian.net/browse/ESPC360-16920?atlOrigin=eyJpIjoiMjBhNWIzMmFjMjdiNGE1YzhhZTE4YmM0ZjA0MDM4ZWYiLCJwIjoiZXhjZWwtamlyYSJ9" TargetMode="External"/><Relationship Id="rId79" Type="http://schemas.openxmlformats.org/officeDocument/2006/relationships/hyperlink" Target="https://sanes.atlassian.net/browse/ESPC360-17798?atlOrigin=eyJpIjoiMjBhNWIzMmFjMjdiNGE1YzhhZTE4YmM0ZjA0MDM4ZWYiLCJwIjoiZXhjZWwtamlyYSJ9" TargetMode="External"/><Relationship Id="rId102" Type="http://schemas.openxmlformats.org/officeDocument/2006/relationships/hyperlink" Target="https://sanes.atlassian.net/browse/ESPC360-18818?atlOrigin=eyJpIjoiMjBhNWIzMmFjMjdiNGE1YzhhZTE4YmM0ZjA0MDM4ZWYiLCJwIjoiZXhjZWwtamlyYSJ9" TargetMode="External"/><Relationship Id="rId123" Type="http://schemas.openxmlformats.org/officeDocument/2006/relationships/hyperlink" Target="https://sanes.atlassian.net/browse/ESPC360-19557?atlOrigin=eyJpIjoiMjBhNWIzMmFjMjdiNGE1YzhhZTE4YmM0ZjA0MDM4ZWYiLCJwIjoiZXhjZWwtamlyYSJ9" TargetMode="External"/><Relationship Id="rId144" Type="http://schemas.openxmlformats.org/officeDocument/2006/relationships/hyperlink" Target="https://sanes.atlassian.net/browse/ESPC360-20616?atlOrigin=eyJpIjoiMjBhNWIzMmFjMjdiNGE1YzhhZTE4YmM0ZjA0MDM4ZWYiLCJwIjoiZXhjZWwtamlyYSJ9" TargetMode="External"/><Relationship Id="rId90" Type="http://schemas.openxmlformats.org/officeDocument/2006/relationships/hyperlink" Target="https://sanes.atlassian.net/browse/ESPC360-18189?atlOrigin=eyJpIjoiMjBhNWIzMmFjMjdiNGE1YzhhZTE4YmM0ZjA0MDM4ZWYiLCJwIjoiZXhjZWwtamlyYSJ9" TargetMode="External"/><Relationship Id="rId27" Type="http://schemas.openxmlformats.org/officeDocument/2006/relationships/hyperlink" Target="https://sanes.atlassian.net/browse/ESPC360-14883?atlOrigin=eyJpIjoiMjBhNWIzMmFjMjdiNGE1YzhhZTE4YmM0ZjA0MDM4ZWYiLCJwIjoiZXhjZWwtamlyYSJ9" TargetMode="External"/><Relationship Id="rId48" Type="http://schemas.openxmlformats.org/officeDocument/2006/relationships/hyperlink" Target="https://sanes.atlassian.net/browse/ESPC360-16536?atlOrigin=eyJpIjoiMjBhNWIzMmFjMjdiNGE1YzhhZTE4YmM0ZjA0MDM4ZWYiLCJwIjoiZXhjZWwtamlyYSJ9" TargetMode="External"/><Relationship Id="rId69" Type="http://schemas.openxmlformats.org/officeDocument/2006/relationships/hyperlink" Target="https://sanes.atlassian.net/browse/ESPC360-17355?atlOrigin=eyJpIjoiMjBhNWIzMmFjMjdiNGE1YzhhZTE4YmM0ZjA0MDM4ZWYiLCJwIjoiZXhjZWwtamlyYSJ9" TargetMode="External"/><Relationship Id="rId113" Type="http://schemas.openxmlformats.org/officeDocument/2006/relationships/hyperlink" Target="https://sanes.atlassian.net/browse/ESPC360-19305?atlOrigin=eyJpIjoiMjBhNWIzMmFjMjdiNGE1YzhhZTE4YmM0ZjA0MDM4ZWYiLCJwIjoiZXhjZWwtamlyYSJ9" TargetMode="External"/><Relationship Id="rId134" Type="http://schemas.openxmlformats.org/officeDocument/2006/relationships/hyperlink" Target="https://sanes.atlassian.net/browse/ESPC360-20165?atlOrigin=eyJpIjoiMjBhNWIzMmFjMjdiNGE1YzhhZTE4YmM0ZjA0MDM4ZWYiLCJwIjoiZXhjZWwtamlyYSJ9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5364D-5106-4014-9B90-FC8F9439E5D5}">
  <dimension ref="L1:M3"/>
  <sheetViews>
    <sheetView topLeftCell="A10" workbookViewId="0"/>
  </sheetViews>
  <sheetFormatPr baseColWidth="10" defaultColWidth="9.140625" defaultRowHeight="15" x14ac:dyDescent="0.25"/>
  <sheetData>
    <row r="1" spans="12:13" x14ac:dyDescent="0.25">
      <c r="L1" t="s">
        <v>0</v>
      </c>
      <c r="M1" t="s">
        <v>1</v>
      </c>
    </row>
    <row r="2" spans="12:13" x14ac:dyDescent="0.25">
      <c r="L2" t="s">
        <v>2</v>
      </c>
      <c r="M2" t="s">
        <v>3</v>
      </c>
    </row>
    <row r="3" spans="12:13" x14ac:dyDescent="0.25">
      <c r="L3" t="s">
        <v>4</v>
      </c>
      <c r="M3" t="s">
        <v>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86"/>
  <sheetViews>
    <sheetView topLeftCell="B1" workbookViewId="0">
      <selection activeCell="M2" sqref="M2"/>
    </sheetView>
  </sheetViews>
  <sheetFormatPr baseColWidth="10" defaultColWidth="9.140625" defaultRowHeight="12" x14ac:dyDescent="0.2"/>
  <cols>
    <col min="1" max="1" width="13.28515625" style="1" customWidth="1"/>
    <col min="2" max="2" width="60.28515625" style="1" customWidth="1"/>
    <col min="3" max="3" width="9.140625" style="1"/>
    <col min="4" max="5" width="16" style="1" customWidth="1"/>
    <col min="6" max="6" width="9.140625" style="1"/>
    <col min="7" max="7" width="33.5703125" style="1" customWidth="1"/>
    <col min="8" max="14" width="9.140625" style="1"/>
    <col min="15" max="16" width="13.5703125" style="1" bestFit="1" customWidth="1"/>
    <col min="17" max="17" width="9.140625" style="1"/>
    <col min="18" max="18" width="10.140625" style="1" bestFit="1" customWidth="1"/>
    <col min="19" max="19" width="9.140625" style="6"/>
    <col min="20" max="20" width="9.140625" style="1"/>
    <col min="21" max="21" width="9.140625" style="6"/>
    <col min="22" max="22" width="10.42578125" style="1" bestFit="1" customWidth="1"/>
    <col min="23" max="24" width="9.140625" style="1"/>
    <col min="25" max="25" width="14.85546875" style="1" customWidth="1"/>
    <col min="26" max="16384" width="9.140625" style="1"/>
  </cols>
  <sheetData>
    <row r="1" spans="1:2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538</v>
      </c>
      <c r="N1" s="5" t="s">
        <v>414</v>
      </c>
      <c r="O1" s="5" t="s">
        <v>415</v>
      </c>
      <c r="P1" s="5" t="s">
        <v>416</v>
      </c>
      <c r="Q1" s="5" t="s">
        <v>417</v>
      </c>
      <c r="R1" s="5" t="s">
        <v>418</v>
      </c>
      <c r="S1" s="5" t="s">
        <v>419</v>
      </c>
      <c r="T1" s="5" t="s">
        <v>420</v>
      </c>
      <c r="U1" s="5" t="s">
        <v>421</v>
      </c>
      <c r="V1" s="5" t="s">
        <v>424</v>
      </c>
      <c r="W1" s="5" t="s">
        <v>422</v>
      </c>
      <c r="X1" s="5" t="s">
        <v>423</v>
      </c>
      <c r="Y1" s="5" t="s">
        <v>450</v>
      </c>
      <c r="Z1" s="5" t="s">
        <v>451</v>
      </c>
    </row>
    <row r="2" spans="1:26" x14ac:dyDescent="0.2">
      <c r="A2" s="2" t="s">
        <v>18</v>
      </c>
      <c r="B2" s="1" t="s">
        <v>19</v>
      </c>
      <c r="C2" s="1" t="s">
        <v>20</v>
      </c>
      <c r="D2" s="3">
        <v>45587.532058773148</v>
      </c>
      <c r="E2" s="3">
        <v>45679.710065046296</v>
      </c>
      <c r="F2" s="1" t="s">
        <v>21</v>
      </c>
      <c r="G2" s="1" t="s">
        <v>22</v>
      </c>
      <c r="H2" s="1" t="s">
        <v>23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528</v>
      </c>
      <c r="N2" s="1" t="str">
        <f>G2</f>
        <v>DESARROLLO</v>
      </c>
      <c r="O2" s="3">
        <f>D2</f>
        <v>45587.532058773148</v>
      </c>
      <c r="P2" s="3">
        <f>E2</f>
        <v>45679.710065046296</v>
      </c>
      <c r="Q2" s="1" t="str">
        <f>IF(OR(N2="Soporte",N2="Definición",N2="Origen"),"Externo",
IF(OR(N2="Funcional",N2="Técnico",N2="Desarrollo",N2="Reproceso"),"Interno",
IF(OR(N2="",N2="Selecciona (ORIGEN/PLANIFICACIÓN/RELANZADO PROCESO/DEFINICIÓN/FUNCIONAL/TÉCNICO/DESARROLLO/PENDIENTE REPROCESO)"),"Pendiente clasificar","")))</f>
        <v>Interno</v>
      </c>
      <c r="R2" s="1">
        <f>WEEKNUM(O2,1)</f>
        <v>43</v>
      </c>
      <c r="S2" s="6">
        <f>DATE(W2,1,4) + (R2-1)*7 - WEEKDAY(DATE(W2,1,4),2) +1</f>
        <v>45586</v>
      </c>
      <c r="T2" s="1">
        <f>WEEKNUM(P2,1)</f>
        <v>4</v>
      </c>
      <c r="U2" s="6">
        <f>DATE(X2,1,4) + (T2-1)*7 - WEEKDAY(DATE(X2,1,4),2) +1</f>
        <v>45677</v>
      </c>
      <c r="V2" s="1">
        <f>ABS(P2-O2)</f>
        <v>92.17800627314864</v>
      </c>
      <c r="W2" s="1">
        <f>YEAR(O2)</f>
        <v>2024</v>
      </c>
      <c r="X2" s="1">
        <f>YEAR(P2)</f>
        <v>2025</v>
      </c>
      <c r="Y2" s="1" t="str">
        <f>(TEXT(S2,"aaaa-mm"))</f>
        <v>2024-10</v>
      </c>
      <c r="Z2" s="1" t="str">
        <f>(TEXT(U2,"aaaa-mm"))</f>
        <v>2025-01</v>
      </c>
    </row>
    <row r="3" spans="1:26" x14ac:dyDescent="0.2">
      <c r="A3" s="2" t="s">
        <v>27</v>
      </c>
      <c r="B3" s="1" t="s">
        <v>28</v>
      </c>
      <c r="C3" s="1" t="s">
        <v>29</v>
      </c>
      <c r="D3" s="3">
        <v>45609.549556886574</v>
      </c>
      <c r="E3" s="3">
        <v>45680.408843043981</v>
      </c>
      <c r="F3" s="1" t="s">
        <v>21</v>
      </c>
      <c r="G3" s="1" t="s">
        <v>22</v>
      </c>
      <c r="H3" s="1" t="s">
        <v>29</v>
      </c>
      <c r="I3" s="1" t="s">
        <v>30</v>
      </c>
      <c r="J3" s="1" t="s">
        <v>31</v>
      </c>
      <c r="K3" s="1" t="s">
        <v>25</v>
      </c>
      <c r="L3" s="1" t="s">
        <v>32</v>
      </c>
      <c r="M3" s="1" t="s">
        <v>23</v>
      </c>
      <c r="N3" s="1" t="str">
        <f t="shared" ref="N3:N66" si="0">G3</f>
        <v>DESARROLLO</v>
      </c>
      <c r="O3" s="3">
        <f t="shared" ref="O3:O66" si="1">D3</f>
        <v>45609.549556886574</v>
      </c>
      <c r="P3" s="3">
        <f t="shared" ref="P3:P66" si="2">E3</f>
        <v>45680.408843043981</v>
      </c>
      <c r="Q3" s="1" t="str">
        <f t="shared" ref="Q3:Q66" si="3">IF(OR(N3="Soporte",N3="Definición",N3="Origen"),"Externo",
IF(OR(N3="Funcional",N3="Técnico",N3="Desarrollo",N3="Reproceso"),"Interno",
IF(OR(N3="",N3="Selecciona (ORIGEN/PLANIFICACIÓN/RELANZADO PROCESO/DEFINICIÓN/FUNCIONAL/TÉCNICO/DESARROLLO/PENDIENTE REPROCESO)"),"Pendiente clasificar","")))</f>
        <v>Interno</v>
      </c>
      <c r="R3" s="1">
        <f t="shared" ref="R3:R66" si="4">WEEKNUM(O3,1)</f>
        <v>46</v>
      </c>
      <c r="S3" s="6">
        <f t="shared" ref="S3:S66" si="5">DATE(W3,1,4) + (R3-1)*7 - WEEKDAY(DATE(W3,1,4),2) +1</f>
        <v>45607</v>
      </c>
      <c r="T3" s="1">
        <f t="shared" ref="T3:T66" si="6">WEEKNUM(P3,1)</f>
        <v>4</v>
      </c>
      <c r="U3" s="6">
        <f t="shared" ref="U3:U66" si="7">DATE(X3,1,4) + (T3-1)*7 - WEEKDAY(DATE(X3,1,4),2) +1</f>
        <v>45677</v>
      </c>
      <c r="V3" s="1">
        <f t="shared" ref="V3:V66" si="8">ABS(P3-O3)</f>
        <v>70.859286157407041</v>
      </c>
      <c r="W3" s="1">
        <f t="shared" ref="W3:W66" si="9">YEAR(O3)</f>
        <v>2024</v>
      </c>
      <c r="X3" s="1">
        <f t="shared" ref="X3:X66" si="10">YEAR(P3)</f>
        <v>2025</v>
      </c>
      <c r="Y3" s="1" t="str">
        <f t="shared" ref="Y3:Y66" si="11">(TEXT(S3,"aaaa-mm"))</f>
        <v>2024-11</v>
      </c>
      <c r="Z3" s="1" t="str">
        <f t="shared" ref="Z3:Z66" si="12">(TEXT(U3,"aaaa-mm"))</f>
        <v>2025-01</v>
      </c>
    </row>
    <row r="4" spans="1:26" x14ac:dyDescent="0.2">
      <c r="A4" s="2" t="s">
        <v>33</v>
      </c>
      <c r="B4" s="1" t="s">
        <v>34</v>
      </c>
      <c r="C4" s="1" t="s">
        <v>35</v>
      </c>
      <c r="D4" s="3">
        <v>45614.479256724539</v>
      </c>
      <c r="E4" s="3">
        <v>45685.400120590275</v>
      </c>
      <c r="F4" s="1" t="s">
        <v>21</v>
      </c>
      <c r="G4" s="1" t="s">
        <v>36</v>
      </c>
      <c r="H4" s="1" t="s">
        <v>23</v>
      </c>
      <c r="I4" s="1" t="s">
        <v>23</v>
      </c>
      <c r="J4" s="1" t="s">
        <v>31</v>
      </c>
      <c r="K4" s="1" t="s">
        <v>37</v>
      </c>
      <c r="L4" s="1" t="s">
        <v>23</v>
      </c>
      <c r="M4" s="1" t="s">
        <v>23</v>
      </c>
      <c r="N4" s="1" t="str">
        <f t="shared" si="0"/>
        <v>ORIGEN</v>
      </c>
      <c r="O4" s="3">
        <f t="shared" si="1"/>
        <v>45614.479256724539</v>
      </c>
      <c r="P4" s="3">
        <f t="shared" si="2"/>
        <v>45685.400120590275</v>
      </c>
      <c r="Q4" s="1" t="str">
        <f t="shared" si="3"/>
        <v>Externo</v>
      </c>
      <c r="R4" s="1">
        <f t="shared" si="4"/>
        <v>47</v>
      </c>
      <c r="S4" s="6">
        <f t="shared" si="5"/>
        <v>45614</v>
      </c>
      <c r="T4" s="1">
        <f t="shared" si="6"/>
        <v>5</v>
      </c>
      <c r="U4" s="6">
        <f t="shared" si="7"/>
        <v>45684</v>
      </c>
      <c r="V4" s="1">
        <f t="shared" si="8"/>
        <v>70.920863865736465</v>
      </c>
      <c r="W4" s="1">
        <f t="shared" si="9"/>
        <v>2024</v>
      </c>
      <c r="X4" s="1">
        <f t="shared" si="10"/>
        <v>2025</v>
      </c>
      <c r="Y4" s="1" t="str">
        <f t="shared" si="11"/>
        <v>2024-11</v>
      </c>
      <c r="Z4" s="1" t="str">
        <f t="shared" si="12"/>
        <v>2025-01</v>
      </c>
    </row>
    <row r="5" spans="1:26" x14ac:dyDescent="0.2">
      <c r="A5" s="2" t="s">
        <v>38</v>
      </c>
      <c r="B5" s="1" t="s">
        <v>39</v>
      </c>
      <c r="C5" s="1" t="s">
        <v>40</v>
      </c>
      <c r="D5" s="3">
        <v>45615.424346770837</v>
      </c>
      <c r="E5" s="3">
        <v>45733.450014074071</v>
      </c>
      <c r="F5" s="1" t="s">
        <v>21</v>
      </c>
      <c r="G5" s="1" t="s">
        <v>36</v>
      </c>
      <c r="H5" s="1" t="s">
        <v>40</v>
      </c>
      <c r="I5" s="1" t="s">
        <v>30</v>
      </c>
      <c r="J5" s="1" t="s">
        <v>31</v>
      </c>
      <c r="K5" s="1" t="s">
        <v>25</v>
      </c>
      <c r="L5" s="1" t="s">
        <v>41</v>
      </c>
      <c r="M5" s="1" t="s">
        <v>528</v>
      </c>
      <c r="N5" s="1" t="str">
        <f t="shared" si="0"/>
        <v>ORIGEN</v>
      </c>
      <c r="O5" s="3">
        <f t="shared" si="1"/>
        <v>45615.424346770837</v>
      </c>
      <c r="P5" s="3">
        <f t="shared" si="2"/>
        <v>45733.450014074071</v>
      </c>
      <c r="Q5" s="1" t="str">
        <f t="shared" si="3"/>
        <v>Externo</v>
      </c>
      <c r="R5" s="1">
        <f t="shared" si="4"/>
        <v>47</v>
      </c>
      <c r="S5" s="6">
        <f t="shared" si="5"/>
        <v>45614</v>
      </c>
      <c r="T5" s="1">
        <f t="shared" si="6"/>
        <v>12</v>
      </c>
      <c r="U5" s="6">
        <f t="shared" si="7"/>
        <v>45733</v>
      </c>
      <c r="V5" s="1">
        <f t="shared" si="8"/>
        <v>118.02566730323451</v>
      </c>
      <c r="W5" s="1">
        <f t="shared" si="9"/>
        <v>2024</v>
      </c>
      <c r="X5" s="1">
        <f t="shared" si="10"/>
        <v>2025</v>
      </c>
      <c r="Y5" s="1" t="str">
        <f t="shared" si="11"/>
        <v>2024-11</v>
      </c>
      <c r="Z5" s="1" t="str">
        <f t="shared" si="12"/>
        <v>2025-03</v>
      </c>
    </row>
    <row r="6" spans="1:26" x14ac:dyDescent="0.2">
      <c r="A6" s="2" t="s">
        <v>42</v>
      </c>
      <c r="B6" s="1" t="s">
        <v>43</v>
      </c>
      <c r="C6" s="1" t="s">
        <v>44</v>
      </c>
      <c r="D6" s="3">
        <v>45615.636020590275</v>
      </c>
      <c r="E6" s="3">
        <v>45705.682704305553</v>
      </c>
      <c r="F6" s="1" t="s">
        <v>21</v>
      </c>
      <c r="G6" s="1" t="s">
        <v>167</v>
      </c>
      <c r="H6" s="1" t="s">
        <v>23</v>
      </c>
      <c r="I6" s="1" t="s">
        <v>23</v>
      </c>
      <c r="J6" s="1" t="s">
        <v>31</v>
      </c>
      <c r="K6" s="1" t="s">
        <v>25</v>
      </c>
      <c r="L6" s="1" t="s">
        <v>23</v>
      </c>
      <c r="M6" s="1" t="s">
        <v>528</v>
      </c>
      <c r="N6" s="1" t="str">
        <f t="shared" si="0"/>
        <v>REPROCESO</v>
      </c>
      <c r="O6" s="3">
        <f t="shared" si="1"/>
        <v>45615.636020590275</v>
      </c>
      <c r="P6" s="3">
        <f t="shared" si="2"/>
        <v>45705.682704305553</v>
      </c>
      <c r="Q6" s="1" t="str">
        <f t="shared" si="3"/>
        <v>Interno</v>
      </c>
      <c r="R6" s="1">
        <f t="shared" si="4"/>
        <v>47</v>
      </c>
      <c r="S6" s="6">
        <f t="shared" si="5"/>
        <v>45614</v>
      </c>
      <c r="T6" s="1">
        <f t="shared" si="6"/>
        <v>8</v>
      </c>
      <c r="U6" s="6">
        <f t="shared" si="7"/>
        <v>45705</v>
      </c>
      <c r="V6" s="1">
        <f t="shared" si="8"/>
        <v>90.04668371527805</v>
      </c>
      <c r="W6" s="1">
        <f t="shared" si="9"/>
        <v>2024</v>
      </c>
      <c r="X6" s="1">
        <f t="shared" si="10"/>
        <v>2025</v>
      </c>
      <c r="Y6" s="1" t="str">
        <f t="shared" si="11"/>
        <v>2024-11</v>
      </c>
      <c r="Z6" s="1" t="str">
        <f t="shared" si="12"/>
        <v>2025-02</v>
      </c>
    </row>
    <row r="7" spans="1:26" x14ac:dyDescent="0.2">
      <c r="A7" s="2" t="s">
        <v>45</v>
      </c>
      <c r="B7" s="1" t="s">
        <v>46</v>
      </c>
      <c r="C7" s="1" t="s">
        <v>20</v>
      </c>
      <c r="D7" s="3">
        <v>45615.654042083333</v>
      </c>
      <c r="E7" s="3">
        <v>45679.710259444444</v>
      </c>
      <c r="F7" s="1" t="s">
        <v>21</v>
      </c>
      <c r="G7" s="1" t="s">
        <v>167</v>
      </c>
      <c r="H7" s="1" t="s">
        <v>23</v>
      </c>
      <c r="I7" s="1" t="s">
        <v>23</v>
      </c>
      <c r="J7" s="1" t="s">
        <v>31</v>
      </c>
      <c r="K7" s="1" t="s">
        <v>25</v>
      </c>
      <c r="L7" s="1" t="s">
        <v>26</v>
      </c>
      <c r="M7" s="1" t="s">
        <v>528</v>
      </c>
      <c r="N7" s="1" t="str">
        <f t="shared" si="0"/>
        <v>REPROCESO</v>
      </c>
      <c r="O7" s="3">
        <f t="shared" si="1"/>
        <v>45615.654042083333</v>
      </c>
      <c r="P7" s="3">
        <f t="shared" si="2"/>
        <v>45679.710259444444</v>
      </c>
      <c r="Q7" s="1" t="str">
        <f t="shared" si="3"/>
        <v>Interno</v>
      </c>
      <c r="R7" s="1">
        <f t="shared" si="4"/>
        <v>47</v>
      </c>
      <c r="S7" s="6">
        <f t="shared" si="5"/>
        <v>45614</v>
      </c>
      <c r="T7" s="1">
        <f t="shared" si="6"/>
        <v>4</v>
      </c>
      <c r="U7" s="6">
        <f t="shared" si="7"/>
        <v>45677</v>
      </c>
      <c r="V7" s="1">
        <f t="shared" si="8"/>
        <v>64.056217361110612</v>
      </c>
      <c r="W7" s="1">
        <f t="shared" si="9"/>
        <v>2024</v>
      </c>
      <c r="X7" s="1">
        <f t="shared" si="10"/>
        <v>2025</v>
      </c>
      <c r="Y7" s="1" t="str">
        <f t="shared" si="11"/>
        <v>2024-11</v>
      </c>
      <c r="Z7" s="1" t="str">
        <f t="shared" si="12"/>
        <v>2025-01</v>
      </c>
    </row>
    <row r="8" spans="1:26" x14ac:dyDescent="0.2">
      <c r="A8" s="2" t="s">
        <v>47</v>
      </c>
      <c r="B8" s="1" t="s">
        <v>48</v>
      </c>
      <c r="C8" s="1" t="s">
        <v>49</v>
      </c>
      <c r="D8" s="3">
        <v>45617.661686574073</v>
      </c>
      <c r="E8" s="3">
        <v>45720.452526944442</v>
      </c>
      <c r="F8" s="1" t="s">
        <v>21</v>
      </c>
      <c r="G8" s="1" t="s">
        <v>22</v>
      </c>
      <c r="H8" s="1" t="s">
        <v>49</v>
      </c>
      <c r="I8" s="1" t="s">
        <v>50</v>
      </c>
      <c r="J8" s="1" t="s">
        <v>31</v>
      </c>
      <c r="K8" s="1" t="s">
        <v>25</v>
      </c>
      <c r="L8" s="1" t="s">
        <v>51</v>
      </c>
      <c r="M8" s="1" t="s">
        <v>23</v>
      </c>
      <c r="N8" s="1" t="str">
        <f t="shared" si="0"/>
        <v>DESARROLLO</v>
      </c>
      <c r="O8" s="3">
        <f t="shared" si="1"/>
        <v>45617.661686574073</v>
      </c>
      <c r="P8" s="3">
        <f t="shared" si="2"/>
        <v>45720.452526944442</v>
      </c>
      <c r="Q8" s="1" t="str">
        <f t="shared" si="3"/>
        <v>Interno</v>
      </c>
      <c r="R8" s="1">
        <f t="shared" si="4"/>
        <v>47</v>
      </c>
      <c r="S8" s="6">
        <f t="shared" si="5"/>
        <v>45614</v>
      </c>
      <c r="T8" s="1">
        <f t="shared" si="6"/>
        <v>10</v>
      </c>
      <c r="U8" s="6">
        <f t="shared" si="7"/>
        <v>45719</v>
      </c>
      <c r="V8" s="1">
        <f t="shared" si="8"/>
        <v>102.79084037036955</v>
      </c>
      <c r="W8" s="1">
        <f t="shared" si="9"/>
        <v>2024</v>
      </c>
      <c r="X8" s="1">
        <f t="shared" si="10"/>
        <v>2025</v>
      </c>
      <c r="Y8" s="1" t="str">
        <f t="shared" si="11"/>
        <v>2024-11</v>
      </c>
      <c r="Z8" s="1" t="str">
        <f t="shared" si="12"/>
        <v>2025-03</v>
      </c>
    </row>
    <row r="9" spans="1:26" x14ac:dyDescent="0.2">
      <c r="A9" s="2" t="s">
        <v>52</v>
      </c>
      <c r="B9" s="1" t="s">
        <v>53</v>
      </c>
      <c r="C9" s="1" t="s">
        <v>54</v>
      </c>
      <c r="D9" s="3">
        <v>45622.644863807873</v>
      </c>
      <c r="E9" s="3">
        <v>45680.408842210651</v>
      </c>
      <c r="F9" s="1" t="s">
        <v>21</v>
      </c>
      <c r="G9" s="1" t="s">
        <v>22</v>
      </c>
      <c r="H9" s="1" t="s">
        <v>55</v>
      </c>
      <c r="I9" s="1" t="s">
        <v>30</v>
      </c>
      <c r="J9" s="1" t="s">
        <v>31</v>
      </c>
      <c r="K9" s="1" t="s">
        <v>25</v>
      </c>
      <c r="L9" s="1" t="s">
        <v>32</v>
      </c>
      <c r="M9" s="1" t="s">
        <v>23</v>
      </c>
      <c r="N9" s="1" t="str">
        <f t="shared" si="0"/>
        <v>DESARROLLO</v>
      </c>
      <c r="O9" s="3">
        <f t="shared" si="1"/>
        <v>45622.644863807873</v>
      </c>
      <c r="P9" s="3">
        <f t="shared" si="2"/>
        <v>45680.408842210651</v>
      </c>
      <c r="Q9" s="1" t="str">
        <f t="shared" si="3"/>
        <v>Interno</v>
      </c>
      <c r="R9" s="1">
        <f t="shared" si="4"/>
        <v>48</v>
      </c>
      <c r="S9" s="6">
        <f t="shared" si="5"/>
        <v>45621</v>
      </c>
      <c r="T9" s="1">
        <f t="shared" si="6"/>
        <v>4</v>
      </c>
      <c r="U9" s="6">
        <f t="shared" si="7"/>
        <v>45677</v>
      </c>
      <c r="V9" s="1">
        <f t="shared" si="8"/>
        <v>57.763978402777866</v>
      </c>
      <c r="W9" s="1">
        <f t="shared" si="9"/>
        <v>2024</v>
      </c>
      <c r="X9" s="1">
        <f t="shared" si="10"/>
        <v>2025</v>
      </c>
      <c r="Y9" s="1" t="str">
        <f t="shared" si="11"/>
        <v>2024-11</v>
      </c>
      <c r="Z9" s="1" t="str">
        <f t="shared" si="12"/>
        <v>2025-01</v>
      </c>
    </row>
    <row r="10" spans="1:26" x14ac:dyDescent="0.2">
      <c r="A10" s="2" t="s">
        <v>56</v>
      </c>
      <c r="B10" s="1" t="s">
        <v>57</v>
      </c>
      <c r="C10" s="1" t="s">
        <v>58</v>
      </c>
      <c r="D10" s="3">
        <v>45624.391300439813</v>
      </c>
      <c r="E10" s="3">
        <v>45714.406917569446</v>
      </c>
      <c r="F10" s="1" t="s">
        <v>21</v>
      </c>
      <c r="G10" s="1" t="s">
        <v>22</v>
      </c>
      <c r="H10" s="1" t="s">
        <v>23</v>
      </c>
      <c r="I10" s="1" t="s">
        <v>30</v>
      </c>
      <c r="J10" s="1" t="s">
        <v>31</v>
      </c>
      <c r="K10" s="1" t="s">
        <v>25</v>
      </c>
      <c r="L10" s="1" t="s">
        <v>59</v>
      </c>
      <c r="M10" s="1" t="s">
        <v>528</v>
      </c>
      <c r="N10" s="1" t="str">
        <f t="shared" si="0"/>
        <v>DESARROLLO</v>
      </c>
      <c r="O10" s="3">
        <f t="shared" si="1"/>
        <v>45624.391300439813</v>
      </c>
      <c r="P10" s="3">
        <f t="shared" si="2"/>
        <v>45714.406917569446</v>
      </c>
      <c r="Q10" s="1" t="str">
        <f t="shared" si="3"/>
        <v>Interno</v>
      </c>
      <c r="R10" s="1">
        <f t="shared" si="4"/>
        <v>48</v>
      </c>
      <c r="S10" s="6">
        <f t="shared" si="5"/>
        <v>45621</v>
      </c>
      <c r="T10" s="1">
        <f t="shared" si="6"/>
        <v>9</v>
      </c>
      <c r="U10" s="6">
        <f t="shared" si="7"/>
        <v>45712</v>
      </c>
      <c r="V10" s="1">
        <f t="shared" si="8"/>
        <v>90.015617129633029</v>
      </c>
      <c r="W10" s="1">
        <f t="shared" si="9"/>
        <v>2024</v>
      </c>
      <c r="X10" s="1">
        <f t="shared" si="10"/>
        <v>2025</v>
      </c>
      <c r="Y10" s="1" t="str">
        <f t="shared" si="11"/>
        <v>2024-11</v>
      </c>
      <c r="Z10" s="1" t="str">
        <f t="shared" si="12"/>
        <v>2025-02</v>
      </c>
    </row>
    <row r="11" spans="1:26" x14ac:dyDescent="0.2">
      <c r="A11" s="2" t="s">
        <v>60</v>
      </c>
      <c r="B11" s="1" t="s">
        <v>61</v>
      </c>
      <c r="C11" s="1" t="s">
        <v>62</v>
      </c>
      <c r="D11" s="3">
        <v>45628.624568171297</v>
      </c>
      <c r="E11" s="3">
        <v>45754.629198784722</v>
      </c>
      <c r="F11" s="1" t="s">
        <v>21</v>
      </c>
      <c r="G11" s="1" t="s">
        <v>167</v>
      </c>
      <c r="H11" s="1" t="s">
        <v>23</v>
      </c>
      <c r="I11" s="1" t="s">
        <v>23</v>
      </c>
      <c r="J11" s="1" t="s">
        <v>31</v>
      </c>
      <c r="K11" s="1" t="s">
        <v>37</v>
      </c>
      <c r="L11" s="1" t="s">
        <v>23</v>
      </c>
      <c r="M11" s="1" t="s">
        <v>23</v>
      </c>
      <c r="N11" s="1" t="str">
        <f t="shared" si="0"/>
        <v>REPROCESO</v>
      </c>
      <c r="O11" s="3">
        <f t="shared" si="1"/>
        <v>45628.624568171297</v>
      </c>
      <c r="P11" s="3">
        <f t="shared" si="2"/>
        <v>45754.629198784722</v>
      </c>
      <c r="Q11" s="1" t="str">
        <f t="shared" si="3"/>
        <v>Interno</v>
      </c>
      <c r="R11" s="1">
        <f t="shared" si="4"/>
        <v>49</v>
      </c>
      <c r="S11" s="6">
        <f t="shared" si="5"/>
        <v>45628</v>
      </c>
      <c r="T11" s="1">
        <f t="shared" si="6"/>
        <v>15</v>
      </c>
      <c r="U11" s="6">
        <f t="shared" si="7"/>
        <v>45754</v>
      </c>
      <c r="V11" s="1">
        <f t="shared" si="8"/>
        <v>126.00463061342452</v>
      </c>
      <c r="W11" s="1">
        <f t="shared" si="9"/>
        <v>2024</v>
      </c>
      <c r="X11" s="1">
        <f t="shared" si="10"/>
        <v>2025</v>
      </c>
      <c r="Y11" s="1" t="str">
        <f t="shared" si="11"/>
        <v>2024-12</v>
      </c>
      <c r="Z11" s="1" t="str">
        <f t="shared" si="12"/>
        <v>2025-04</v>
      </c>
    </row>
    <row r="12" spans="1:26" x14ac:dyDescent="0.2">
      <c r="A12" s="2" t="s">
        <v>63</v>
      </c>
      <c r="B12" s="1" t="s">
        <v>64</v>
      </c>
      <c r="C12" s="1" t="s">
        <v>62</v>
      </c>
      <c r="D12" s="3">
        <v>45628.62934324074</v>
      </c>
      <c r="E12" s="3">
        <v>45754.630161689813</v>
      </c>
      <c r="F12" s="1" t="s">
        <v>21</v>
      </c>
      <c r="G12" s="1" t="s">
        <v>167</v>
      </c>
      <c r="H12" s="1" t="s">
        <v>23</v>
      </c>
      <c r="I12" s="1" t="s">
        <v>23</v>
      </c>
      <c r="J12" s="1" t="s">
        <v>31</v>
      </c>
      <c r="K12" s="1" t="s">
        <v>25</v>
      </c>
      <c r="L12" s="1" t="s">
        <v>23</v>
      </c>
      <c r="M12" s="1" t="s">
        <v>23</v>
      </c>
      <c r="N12" s="1" t="str">
        <f t="shared" si="0"/>
        <v>REPROCESO</v>
      </c>
      <c r="O12" s="3">
        <f t="shared" si="1"/>
        <v>45628.62934324074</v>
      </c>
      <c r="P12" s="3">
        <f t="shared" si="2"/>
        <v>45754.630161689813</v>
      </c>
      <c r="Q12" s="1" t="str">
        <f t="shared" si="3"/>
        <v>Interno</v>
      </c>
      <c r="R12" s="1">
        <f t="shared" si="4"/>
        <v>49</v>
      </c>
      <c r="S12" s="6">
        <f t="shared" si="5"/>
        <v>45628</v>
      </c>
      <c r="T12" s="1">
        <f t="shared" si="6"/>
        <v>15</v>
      </c>
      <c r="U12" s="6">
        <f t="shared" si="7"/>
        <v>45754</v>
      </c>
      <c r="V12" s="1">
        <f t="shared" si="8"/>
        <v>126.00081844907254</v>
      </c>
      <c r="W12" s="1">
        <f t="shared" si="9"/>
        <v>2024</v>
      </c>
      <c r="X12" s="1">
        <f t="shared" si="10"/>
        <v>2025</v>
      </c>
      <c r="Y12" s="1" t="str">
        <f t="shared" si="11"/>
        <v>2024-12</v>
      </c>
      <c r="Z12" s="1" t="str">
        <f t="shared" si="12"/>
        <v>2025-04</v>
      </c>
    </row>
    <row r="13" spans="1:26" x14ac:dyDescent="0.2">
      <c r="A13" s="2" t="s">
        <v>65</v>
      </c>
      <c r="B13" s="1" t="s">
        <v>66</v>
      </c>
      <c r="C13" s="1" t="s">
        <v>67</v>
      </c>
      <c r="D13" s="3">
        <v>45628.634629120374</v>
      </c>
      <c r="E13" s="3">
        <v>45762.401570127317</v>
      </c>
      <c r="F13" s="1" t="s">
        <v>21</v>
      </c>
      <c r="G13" s="1" t="s">
        <v>167</v>
      </c>
      <c r="H13" s="1" t="s">
        <v>23</v>
      </c>
      <c r="I13" s="1" t="s">
        <v>68</v>
      </c>
      <c r="J13" s="1" t="s">
        <v>31</v>
      </c>
      <c r="K13" s="1" t="s">
        <v>25</v>
      </c>
      <c r="L13" s="1" t="s">
        <v>23</v>
      </c>
      <c r="M13" s="1" t="s">
        <v>23</v>
      </c>
      <c r="N13" s="1" t="str">
        <f t="shared" si="0"/>
        <v>REPROCESO</v>
      </c>
      <c r="O13" s="3">
        <f t="shared" si="1"/>
        <v>45628.634629120374</v>
      </c>
      <c r="P13" s="3">
        <f t="shared" si="2"/>
        <v>45762.401570127317</v>
      </c>
      <c r="Q13" s="1" t="str">
        <f t="shared" si="3"/>
        <v>Interno</v>
      </c>
      <c r="R13" s="1">
        <f t="shared" si="4"/>
        <v>49</v>
      </c>
      <c r="S13" s="6">
        <f t="shared" si="5"/>
        <v>45628</v>
      </c>
      <c r="T13" s="1">
        <f t="shared" si="6"/>
        <v>16</v>
      </c>
      <c r="U13" s="6">
        <f t="shared" si="7"/>
        <v>45761</v>
      </c>
      <c r="V13" s="1">
        <f t="shared" si="8"/>
        <v>133.76694100694294</v>
      </c>
      <c r="W13" s="1">
        <f t="shared" si="9"/>
        <v>2024</v>
      </c>
      <c r="X13" s="1">
        <f t="shared" si="10"/>
        <v>2025</v>
      </c>
      <c r="Y13" s="1" t="str">
        <f t="shared" si="11"/>
        <v>2024-12</v>
      </c>
      <c r="Z13" s="1" t="str">
        <f t="shared" si="12"/>
        <v>2025-04</v>
      </c>
    </row>
    <row r="14" spans="1:26" x14ac:dyDescent="0.2">
      <c r="A14" s="2" t="s">
        <v>69</v>
      </c>
      <c r="B14" s="1" t="s">
        <v>70</v>
      </c>
      <c r="C14" s="1" t="s">
        <v>71</v>
      </c>
      <c r="D14" s="3">
        <v>45630.546162118058</v>
      </c>
      <c r="E14" s="3">
        <v>45685.40197608796</v>
      </c>
      <c r="F14" s="1" t="s">
        <v>21</v>
      </c>
      <c r="G14" s="1" t="s">
        <v>36</v>
      </c>
      <c r="H14" s="1" t="s">
        <v>23</v>
      </c>
      <c r="I14" s="1" t="s">
        <v>23</v>
      </c>
      <c r="J14" s="1" t="s">
        <v>31</v>
      </c>
      <c r="K14" s="1" t="s">
        <v>37</v>
      </c>
      <c r="L14" s="1" t="s">
        <v>23</v>
      </c>
      <c r="M14" s="1" t="s">
        <v>23</v>
      </c>
      <c r="N14" s="1" t="str">
        <f t="shared" si="0"/>
        <v>ORIGEN</v>
      </c>
      <c r="O14" s="3">
        <f t="shared" si="1"/>
        <v>45630.546162118058</v>
      </c>
      <c r="P14" s="3">
        <f t="shared" si="2"/>
        <v>45685.40197608796</v>
      </c>
      <c r="Q14" s="1" t="str">
        <f t="shared" si="3"/>
        <v>Externo</v>
      </c>
      <c r="R14" s="1">
        <f t="shared" si="4"/>
        <v>49</v>
      </c>
      <c r="S14" s="6">
        <f t="shared" si="5"/>
        <v>45628</v>
      </c>
      <c r="T14" s="1">
        <f t="shared" si="6"/>
        <v>5</v>
      </c>
      <c r="U14" s="6">
        <f t="shared" si="7"/>
        <v>45684</v>
      </c>
      <c r="V14" s="1">
        <f t="shared" si="8"/>
        <v>54.855813969901646</v>
      </c>
      <c r="W14" s="1">
        <f t="shared" si="9"/>
        <v>2024</v>
      </c>
      <c r="X14" s="1">
        <f t="shared" si="10"/>
        <v>2025</v>
      </c>
      <c r="Y14" s="1" t="str">
        <f t="shared" si="11"/>
        <v>2024-12</v>
      </c>
      <c r="Z14" s="1" t="str">
        <f t="shared" si="12"/>
        <v>2025-01</v>
      </c>
    </row>
    <row r="15" spans="1:26" x14ac:dyDescent="0.2">
      <c r="A15" s="2" t="s">
        <v>72</v>
      </c>
      <c r="B15" s="1" t="s">
        <v>73</v>
      </c>
      <c r="C15" s="1" t="s">
        <v>35</v>
      </c>
      <c r="D15" s="3">
        <v>45630.616871666665</v>
      </c>
      <c r="E15" s="3">
        <v>45685.400665590278</v>
      </c>
      <c r="F15" s="1" t="s">
        <v>21</v>
      </c>
      <c r="G15" s="1" t="s">
        <v>36</v>
      </c>
      <c r="H15" s="1" t="s">
        <v>23</v>
      </c>
      <c r="I15" s="1" t="s">
        <v>23</v>
      </c>
      <c r="J15" s="1" t="s">
        <v>31</v>
      </c>
      <c r="K15" s="1" t="s">
        <v>37</v>
      </c>
      <c r="L15" s="1" t="s">
        <v>23</v>
      </c>
      <c r="M15" s="1" t="s">
        <v>23</v>
      </c>
      <c r="N15" s="1" t="str">
        <f t="shared" si="0"/>
        <v>ORIGEN</v>
      </c>
      <c r="O15" s="3">
        <f t="shared" si="1"/>
        <v>45630.616871666665</v>
      </c>
      <c r="P15" s="3">
        <f t="shared" si="2"/>
        <v>45685.400665590278</v>
      </c>
      <c r="Q15" s="1" t="str">
        <f t="shared" si="3"/>
        <v>Externo</v>
      </c>
      <c r="R15" s="1">
        <f t="shared" si="4"/>
        <v>49</v>
      </c>
      <c r="S15" s="6">
        <f t="shared" si="5"/>
        <v>45628</v>
      </c>
      <c r="T15" s="1">
        <f t="shared" si="6"/>
        <v>5</v>
      </c>
      <c r="U15" s="6">
        <f t="shared" si="7"/>
        <v>45684</v>
      </c>
      <c r="V15" s="1">
        <f t="shared" si="8"/>
        <v>54.783793923612393</v>
      </c>
      <c r="W15" s="1">
        <f t="shared" si="9"/>
        <v>2024</v>
      </c>
      <c r="X15" s="1">
        <f t="shared" si="10"/>
        <v>2025</v>
      </c>
      <c r="Y15" s="1" t="str">
        <f t="shared" si="11"/>
        <v>2024-12</v>
      </c>
      <c r="Z15" s="1" t="str">
        <f t="shared" si="12"/>
        <v>2025-01</v>
      </c>
    </row>
    <row r="16" spans="1:26" x14ac:dyDescent="0.2">
      <c r="A16" s="2" t="s">
        <v>74</v>
      </c>
      <c r="B16" s="1" t="s">
        <v>75</v>
      </c>
      <c r="C16" s="1" t="s">
        <v>76</v>
      </c>
      <c r="D16" s="3">
        <v>45637.704778622683</v>
      </c>
      <c r="E16" s="3">
        <v>45673.545358171294</v>
      </c>
      <c r="F16" s="1" t="s">
        <v>21</v>
      </c>
      <c r="G16" s="1" t="s">
        <v>36</v>
      </c>
      <c r="H16" s="1" t="s">
        <v>23</v>
      </c>
      <c r="I16" s="1" t="s">
        <v>30</v>
      </c>
      <c r="J16" s="1" t="s">
        <v>31</v>
      </c>
      <c r="K16" s="1" t="s">
        <v>25</v>
      </c>
      <c r="L16" s="1" t="s">
        <v>32</v>
      </c>
      <c r="M16" s="1" t="s">
        <v>23</v>
      </c>
      <c r="N16" s="1" t="str">
        <f t="shared" si="0"/>
        <v>ORIGEN</v>
      </c>
      <c r="O16" s="3">
        <f t="shared" si="1"/>
        <v>45637.704778622683</v>
      </c>
      <c r="P16" s="3">
        <f t="shared" si="2"/>
        <v>45673.545358171294</v>
      </c>
      <c r="Q16" s="1" t="str">
        <f t="shared" si="3"/>
        <v>Externo</v>
      </c>
      <c r="R16" s="1">
        <f t="shared" si="4"/>
        <v>50</v>
      </c>
      <c r="S16" s="6">
        <f t="shared" si="5"/>
        <v>45635</v>
      </c>
      <c r="T16" s="1">
        <f t="shared" si="6"/>
        <v>3</v>
      </c>
      <c r="U16" s="6">
        <f t="shared" si="7"/>
        <v>45670</v>
      </c>
      <c r="V16" s="1">
        <f t="shared" si="8"/>
        <v>35.840579548610549</v>
      </c>
      <c r="W16" s="1">
        <f t="shared" si="9"/>
        <v>2024</v>
      </c>
      <c r="X16" s="1">
        <f t="shared" si="10"/>
        <v>2025</v>
      </c>
      <c r="Y16" s="1" t="str">
        <f t="shared" si="11"/>
        <v>2024-12</v>
      </c>
      <c r="Z16" s="1" t="str">
        <f t="shared" si="12"/>
        <v>2025-01</v>
      </c>
    </row>
    <row r="17" spans="1:26" x14ac:dyDescent="0.2">
      <c r="A17" s="2" t="s">
        <v>77</v>
      </c>
      <c r="B17" s="1" t="s">
        <v>78</v>
      </c>
      <c r="C17" s="1" t="s">
        <v>79</v>
      </c>
      <c r="D17" s="3">
        <v>45638.703584374998</v>
      </c>
      <c r="E17" s="3">
        <v>45734.572225057869</v>
      </c>
      <c r="F17" s="1" t="s">
        <v>21</v>
      </c>
      <c r="G17" s="1" t="s">
        <v>36</v>
      </c>
      <c r="H17" s="1" t="s">
        <v>23</v>
      </c>
      <c r="I17" s="1" t="s">
        <v>68</v>
      </c>
      <c r="J17" s="1" t="s">
        <v>31</v>
      </c>
      <c r="K17" s="1" t="s">
        <v>25</v>
      </c>
      <c r="L17" s="1" t="s">
        <v>23</v>
      </c>
      <c r="M17" s="1" t="s">
        <v>528</v>
      </c>
      <c r="N17" s="1" t="str">
        <f t="shared" si="0"/>
        <v>ORIGEN</v>
      </c>
      <c r="O17" s="3">
        <f t="shared" si="1"/>
        <v>45638.703584374998</v>
      </c>
      <c r="P17" s="3">
        <f t="shared" si="2"/>
        <v>45734.572225057869</v>
      </c>
      <c r="Q17" s="1" t="str">
        <f t="shared" si="3"/>
        <v>Externo</v>
      </c>
      <c r="R17" s="1">
        <f t="shared" si="4"/>
        <v>50</v>
      </c>
      <c r="S17" s="6">
        <f t="shared" si="5"/>
        <v>45635</v>
      </c>
      <c r="T17" s="1">
        <f t="shared" si="6"/>
        <v>12</v>
      </c>
      <c r="U17" s="6">
        <f t="shared" si="7"/>
        <v>45733</v>
      </c>
      <c r="V17" s="1">
        <f t="shared" si="8"/>
        <v>95.868640682871046</v>
      </c>
      <c r="W17" s="1">
        <f t="shared" si="9"/>
        <v>2024</v>
      </c>
      <c r="X17" s="1">
        <f t="shared" si="10"/>
        <v>2025</v>
      </c>
      <c r="Y17" s="1" t="str">
        <f t="shared" si="11"/>
        <v>2024-12</v>
      </c>
      <c r="Z17" s="1" t="str">
        <f t="shared" si="12"/>
        <v>2025-03</v>
      </c>
    </row>
    <row r="18" spans="1:26" x14ac:dyDescent="0.2">
      <c r="A18" s="2" t="s">
        <v>80</v>
      </c>
      <c r="B18" s="1" t="s">
        <v>81</v>
      </c>
      <c r="C18" s="1" t="s">
        <v>82</v>
      </c>
      <c r="D18" s="3">
        <v>45642.630530925926</v>
      </c>
      <c r="E18" s="3">
        <v>45754.63233310185</v>
      </c>
      <c r="F18" s="1" t="s">
        <v>21</v>
      </c>
      <c r="G18" s="1" t="s">
        <v>167</v>
      </c>
      <c r="H18" s="1" t="s">
        <v>23</v>
      </c>
      <c r="I18" s="1" t="s">
        <v>23</v>
      </c>
      <c r="J18" s="1" t="s">
        <v>24</v>
      </c>
      <c r="K18" s="1" t="s">
        <v>37</v>
      </c>
      <c r="L18" s="1" t="s">
        <v>23</v>
      </c>
      <c r="M18" s="1" t="s">
        <v>23</v>
      </c>
      <c r="N18" s="1" t="str">
        <f t="shared" si="0"/>
        <v>REPROCESO</v>
      </c>
      <c r="O18" s="3">
        <f t="shared" si="1"/>
        <v>45642.630530925926</v>
      </c>
      <c r="P18" s="3">
        <f t="shared" si="2"/>
        <v>45754.63233310185</v>
      </c>
      <c r="Q18" s="1" t="str">
        <f t="shared" si="3"/>
        <v>Interno</v>
      </c>
      <c r="R18" s="1">
        <f t="shared" si="4"/>
        <v>51</v>
      </c>
      <c r="S18" s="6">
        <f t="shared" si="5"/>
        <v>45642</v>
      </c>
      <c r="T18" s="1">
        <f t="shared" si="6"/>
        <v>15</v>
      </c>
      <c r="U18" s="6">
        <f t="shared" si="7"/>
        <v>45754</v>
      </c>
      <c r="V18" s="1">
        <f t="shared" si="8"/>
        <v>112.00180217592424</v>
      </c>
      <c r="W18" s="1">
        <f t="shared" si="9"/>
        <v>2024</v>
      </c>
      <c r="X18" s="1">
        <f t="shared" si="10"/>
        <v>2025</v>
      </c>
      <c r="Y18" s="1" t="str">
        <f t="shared" si="11"/>
        <v>2024-12</v>
      </c>
      <c r="Z18" s="1" t="str">
        <f t="shared" si="12"/>
        <v>2025-04</v>
      </c>
    </row>
    <row r="19" spans="1:26" x14ac:dyDescent="0.2">
      <c r="A19" s="2" t="s">
        <v>83</v>
      </c>
      <c r="B19" s="1" t="s">
        <v>84</v>
      </c>
      <c r="C19" s="1" t="s">
        <v>44</v>
      </c>
      <c r="D19" s="3">
        <v>45644.400304131945</v>
      </c>
      <c r="E19" s="3">
        <v>45681.431204479166</v>
      </c>
      <c r="F19" s="1" t="s">
        <v>21</v>
      </c>
      <c r="G19" s="1" t="s">
        <v>22</v>
      </c>
      <c r="H19" s="1" t="s">
        <v>23</v>
      </c>
      <c r="I19" s="1" t="s">
        <v>85</v>
      </c>
      <c r="J19" s="1" t="s">
        <v>31</v>
      </c>
      <c r="K19" s="1" t="s">
        <v>25</v>
      </c>
      <c r="L19" s="1" t="s">
        <v>23</v>
      </c>
      <c r="M19" s="1" t="s">
        <v>23</v>
      </c>
      <c r="N19" s="1" t="str">
        <f t="shared" si="0"/>
        <v>DESARROLLO</v>
      </c>
      <c r="O19" s="3">
        <f t="shared" si="1"/>
        <v>45644.400304131945</v>
      </c>
      <c r="P19" s="3">
        <f t="shared" si="2"/>
        <v>45681.431204479166</v>
      </c>
      <c r="Q19" s="1" t="str">
        <f t="shared" si="3"/>
        <v>Interno</v>
      </c>
      <c r="R19" s="1">
        <f t="shared" si="4"/>
        <v>51</v>
      </c>
      <c r="S19" s="6">
        <f t="shared" si="5"/>
        <v>45642</v>
      </c>
      <c r="T19" s="1">
        <f t="shared" si="6"/>
        <v>4</v>
      </c>
      <c r="U19" s="6">
        <f t="shared" si="7"/>
        <v>45677</v>
      </c>
      <c r="V19" s="1">
        <f t="shared" si="8"/>
        <v>37.030900347221177</v>
      </c>
      <c r="W19" s="1">
        <f t="shared" si="9"/>
        <v>2024</v>
      </c>
      <c r="X19" s="1">
        <f t="shared" si="10"/>
        <v>2025</v>
      </c>
      <c r="Y19" s="1" t="str">
        <f t="shared" si="11"/>
        <v>2024-12</v>
      </c>
      <c r="Z19" s="1" t="str">
        <f t="shared" si="12"/>
        <v>2025-01</v>
      </c>
    </row>
    <row r="20" spans="1:26" x14ac:dyDescent="0.2">
      <c r="A20" s="2" t="s">
        <v>86</v>
      </c>
      <c r="B20" s="1" t="s">
        <v>87</v>
      </c>
      <c r="C20" s="1" t="s">
        <v>88</v>
      </c>
      <c r="D20" s="3">
        <v>45644.644857824074</v>
      </c>
      <c r="E20" s="3">
        <v>45754.633834259257</v>
      </c>
      <c r="F20" s="1" t="s">
        <v>21</v>
      </c>
      <c r="G20" s="1" t="s">
        <v>167</v>
      </c>
      <c r="H20" s="1" t="s">
        <v>23</v>
      </c>
      <c r="I20" s="1" t="s">
        <v>23</v>
      </c>
      <c r="J20" s="1" t="s">
        <v>31</v>
      </c>
      <c r="K20" s="1" t="s">
        <v>25</v>
      </c>
      <c r="L20" s="1" t="s">
        <v>23</v>
      </c>
      <c r="M20" s="1" t="s">
        <v>23</v>
      </c>
      <c r="N20" s="1" t="str">
        <f t="shared" si="0"/>
        <v>REPROCESO</v>
      </c>
      <c r="O20" s="3">
        <f t="shared" si="1"/>
        <v>45644.644857824074</v>
      </c>
      <c r="P20" s="3">
        <f t="shared" si="2"/>
        <v>45754.633834259257</v>
      </c>
      <c r="Q20" s="1" t="str">
        <f t="shared" si="3"/>
        <v>Interno</v>
      </c>
      <c r="R20" s="1">
        <f t="shared" si="4"/>
        <v>51</v>
      </c>
      <c r="S20" s="6">
        <f t="shared" si="5"/>
        <v>45642</v>
      </c>
      <c r="T20" s="1">
        <f t="shared" si="6"/>
        <v>15</v>
      </c>
      <c r="U20" s="6">
        <f t="shared" si="7"/>
        <v>45754</v>
      </c>
      <c r="V20" s="1">
        <f t="shared" si="8"/>
        <v>109.98897643518285</v>
      </c>
      <c r="W20" s="1">
        <f t="shared" si="9"/>
        <v>2024</v>
      </c>
      <c r="X20" s="1">
        <f t="shared" si="10"/>
        <v>2025</v>
      </c>
      <c r="Y20" s="1" t="str">
        <f t="shared" si="11"/>
        <v>2024-12</v>
      </c>
      <c r="Z20" s="1" t="str">
        <f t="shared" si="12"/>
        <v>2025-04</v>
      </c>
    </row>
    <row r="21" spans="1:26" x14ac:dyDescent="0.2">
      <c r="A21" s="2" t="s">
        <v>89</v>
      </c>
      <c r="B21" s="1" t="s">
        <v>90</v>
      </c>
      <c r="C21" s="1" t="s">
        <v>23</v>
      </c>
      <c r="D21" s="3">
        <v>45645.408604236109</v>
      </c>
      <c r="E21" s="3">
        <v>45698.685757974534</v>
      </c>
      <c r="F21" s="1" t="s">
        <v>21</v>
      </c>
      <c r="G21" s="1" t="s">
        <v>167</v>
      </c>
      <c r="H21" s="1" t="s">
        <v>23</v>
      </c>
      <c r="I21" s="1" t="s">
        <v>23</v>
      </c>
      <c r="J21" s="1" t="s">
        <v>31</v>
      </c>
      <c r="K21" s="1" t="s">
        <v>25</v>
      </c>
      <c r="L21" s="1" t="s">
        <v>23</v>
      </c>
      <c r="M21" s="1" t="s">
        <v>23</v>
      </c>
      <c r="N21" s="1" t="str">
        <f t="shared" si="0"/>
        <v>REPROCESO</v>
      </c>
      <c r="O21" s="3">
        <f t="shared" si="1"/>
        <v>45645.408604236109</v>
      </c>
      <c r="P21" s="3">
        <f t="shared" si="2"/>
        <v>45698.685757974534</v>
      </c>
      <c r="Q21" s="1" t="str">
        <f t="shared" si="3"/>
        <v>Interno</v>
      </c>
      <c r="R21" s="1">
        <f t="shared" si="4"/>
        <v>51</v>
      </c>
      <c r="S21" s="6">
        <f t="shared" si="5"/>
        <v>45642</v>
      </c>
      <c r="T21" s="1">
        <f t="shared" si="6"/>
        <v>7</v>
      </c>
      <c r="U21" s="6">
        <f t="shared" si="7"/>
        <v>45698</v>
      </c>
      <c r="V21" s="1">
        <f t="shared" si="8"/>
        <v>53.277153738425113</v>
      </c>
      <c r="W21" s="1">
        <f t="shared" si="9"/>
        <v>2024</v>
      </c>
      <c r="X21" s="1">
        <f t="shared" si="10"/>
        <v>2025</v>
      </c>
      <c r="Y21" s="1" t="str">
        <f t="shared" si="11"/>
        <v>2024-12</v>
      </c>
      <c r="Z21" s="1" t="str">
        <f t="shared" si="12"/>
        <v>2025-02</v>
      </c>
    </row>
    <row r="22" spans="1:26" x14ac:dyDescent="0.2">
      <c r="A22" s="2" t="s">
        <v>91</v>
      </c>
      <c r="B22" s="1" t="s">
        <v>92</v>
      </c>
      <c r="C22" s="1" t="s">
        <v>93</v>
      </c>
      <c r="D22" s="3">
        <v>45646.384956909722</v>
      </c>
      <c r="E22" s="3">
        <v>45754.634100625</v>
      </c>
      <c r="F22" s="1" t="s">
        <v>21</v>
      </c>
      <c r="G22" s="1" t="s">
        <v>167</v>
      </c>
      <c r="H22" s="1" t="s">
        <v>23</v>
      </c>
      <c r="I22" s="1" t="s">
        <v>23</v>
      </c>
      <c r="J22" s="1" t="s">
        <v>31</v>
      </c>
      <c r="K22" s="1" t="s">
        <v>25</v>
      </c>
      <c r="L22" s="1" t="s">
        <v>23</v>
      </c>
      <c r="M22" s="1" t="s">
        <v>23</v>
      </c>
      <c r="N22" s="1" t="str">
        <f t="shared" si="0"/>
        <v>REPROCESO</v>
      </c>
      <c r="O22" s="3">
        <f t="shared" si="1"/>
        <v>45646.384956909722</v>
      </c>
      <c r="P22" s="3">
        <f t="shared" si="2"/>
        <v>45754.634100625</v>
      </c>
      <c r="Q22" s="1" t="str">
        <f t="shared" si="3"/>
        <v>Interno</v>
      </c>
      <c r="R22" s="1">
        <f t="shared" si="4"/>
        <v>51</v>
      </c>
      <c r="S22" s="6">
        <f t="shared" si="5"/>
        <v>45642</v>
      </c>
      <c r="T22" s="1">
        <f t="shared" si="6"/>
        <v>15</v>
      </c>
      <c r="U22" s="6">
        <f t="shared" si="7"/>
        <v>45754</v>
      </c>
      <c r="V22" s="1">
        <f t="shared" si="8"/>
        <v>108.24914371527848</v>
      </c>
      <c r="W22" s="1">
        <f t="shared" si="9"/>
        <v>2024</v>
      </c>
      <c r="X22" s="1">
        <f t="shared" si="10"/>
        <v>2025</v>
      </c>
      <c r="Y22" s="1" t="str">
        <f t="shared" si="11"/>
        <v>2024-12</v>
      </c>
      <c r="Z22" s="1" t="str">
        <f t="shared" si="12"/>
        <v>2025-04</v>
      </c>
    </row>
    <row r="23" spans="1:26" x14ac:dyDescent="0.2">
      <c r="A23" s="2" t="s">
        <v>94</v>
      </c>
      <c r="B23" s="1" t="s">
        <v>95</v>
      </c>
      <c r="C23" s="1" t="s">
        <v>96</v>
      </c>
      <c r="D23" s="3">
        <v>45650.462023020831</v>
      </c>
      <c r="E23" s="3">
        <v>45757.412479120372</v>
      </c>
      <c r="F23" s="1" t="s">
        <v>21</v>
      </c>
      <c r="G23" s="1" t="s">
        <v>97</v>
      </c>
      <c r="H23" s="1" t="s">
        <v>23</v>
      </c>
      <c r="I23" s="1" t="s">
        <v>50</v>
      </c>
      <c r="J23" s="1" t="s">
        <v>31</v>
      </c>
      <c r="K23" s="1" t="s">
        <v>25</v>
      </c>
      <c r="L23" s="1" t="s">
        <v>98</v>
      </c>
      <c r="M23" s="1" t="s">
        <v>528</v>
      </c>
      <c r="N23" s="1" t="str">
        <f t="shared" si="0"/>
        <v>DEFINICIÓN</v>
      </c>
      <c r="O23" s="3">
        <f t="shared" si="1"/>
        <v>45650.462023020831</v>
      </c>
      <c r="P23" s="3">
        <f t="shared" si="2"/>
        <v>45757.412479120372</v>
      </c>
      <c r="Q23" s="1" t="str">
        <f t="shared" si="3"/>
        <v>Externo</v>
      </c>
      <c r="R23" s="1">
        <f t="shared" si="4"/>
        <v>52</v>
      </c>
      <c r="S23" s="6">
        <f t="shared" si="5"/>
        <v>45649</v>
      </c>
      <c r="T23" s="1">
        <f t="shared" si="6"/>
        <v>15</v>
      </c>
      <c r="U23" s="6">
        <f t="shared" si="7"/>
        <v>45754</v>
      </c>
      <c r="V23" s="1">
        <f t="shared" si="8"/>
        <v>106.95045609954104</v>
      </c>
      <c r="W23" s="1">
        <f t="shared" si="9"/>
        <v>2024</v>
      </c>
      <c r="X23" s="1">
        <f t="shared" si="10"/>
        <v>2025</v>
      </c>
      <c r="Y23" s="1" t="str">
        <f t="shared" si="11"/>
        <v>2024-12</v>
      </c>
      <c r="Z23" s="1" t="str">
        <f t="shared" si="12"/>
        <v>2025-04</v>
      </c>
    </row>
    <row r="24" spans="1:26" x14ac:dyDescent="0.2">
      <c r="A24" s="2" t="s">
        <v>99</v>
      </c>
      <c r="B24" s="1" t="s">
        <v>100</v>
      </c>
      <c r="C24" s="1" t="s">
        <v>96</v>
      </c>
      <c r="D24" s="3">
        <v>45650.494365555554</v>
      </c>
      <c r="E24" s="3">
        <v>45733.411224513889</v>
      </c>
      <c r="F24" s="1" t="s">
        <v>21</v>
      </c>
      <c r="G24" s="1" t="s">
        <v>101</v>
      </c>
      <c r="H24" s="1" t="s">
        <v>23</v>
      </c>
      <c r="I24" s="1" t="s">
        <v>50</v>
      </c>
      <c r="J24" s="1" t="s">
        <v>31</v>
      </c>
      <c r="K24" s="1" t="s">
        <v>37</v>
      </c>
      <c r="L24" s="1" t="s">
        <v>23</v>
      </c>
      <c r="M24" s="1" t="s">
        <v>528</v>
      </c>
      <c r="N24" s="1" t="str">
        <f t="shared" si="0"/>
        <v>FUNCIONAL</v>
      </c>
      <c r="O24" s="3">
        <f t="shared" si="1"/>
        <v>45650.494365555554</v>
      </c>
      <c r="P24" s="3">
        <f t="shared" si="2"/>
        <v>45733.411224513889</v>
      </c>
      <c r="Q24" s="1" t="str">
        <f t="shared" si="3"/>
        <v>Interno</v>
      </c>
      <c r="R24" s="1">
        <f t="shared" si="4"/>
        <v>52</v>
      </c>
      <c r="S24" s="6">
        <f t="shared" si="5"/>
        <v>45649</v>
      </c>
      <c r="T24" s="1">
        <f t="shared" si="6"/>
        <v>12</v>
      </c>
      <c r="U24" s="6">
        <f t="shared" si="7"/>
        <v>45733</v>
      </c>
      <c r="V24" s="1">
        <f t="shared" si="8"/>
        <v>82.916858958335069</v>
      </c>
      <c r="W24" s="1">
        <f t="shared" si="9"/>
        <v>2024</v>
      </c>
      <c r="X24" s="1">
        <f t="shared" si="10"/>
        <v>2025</v>
      </c>
      <c r="Y24" s="1" t="str">
        <f t="shared" si="11"/>
        <v>2024-12</v>
      </c>
      <c r="Z24" s="1" t="str">
        <f t="shared" si="12"/>
        <v>2025-03</v>
      </c>
    </row>
    <row r="25" spans="1:26" x14ac:dyDescent="0.2">
      <c r="A25" s="2" t="s">
        <v>102</v>
      </c>
      <c r="B25" s="1" t="s">
        <v>103</v>
      </c>
      <c r="C25" s="1" t="s">
        <v>96</v>
      </c>
      <c r="D25" s="3">
        <v>45657.532144988429</v>
      </c>
      <c r="E25" s="3">
        <v>45719.681436574072</v>
      </c>
      <c r="F25" s="1" t="s">
        <v>21</v>
      </c>
      <c r="G25" s="1" t="s">
        <v>22</v>
      </c>
      <c r="H25" s="1" t="s">
        <v>96</v>
      </c>
      <c r="I25" s="1" t="s">
        <v>50</v>
      </c>
      <c r="J25" s="1" t="s">
        <v>31</v>
      </c>
      <c r="K25" s="1" t="s">
        <v>25</v>
      </c>
      <c r="L25" s="1" t="s">
        <v>59</v>
      </c>
      <c r="M25" s="1" t="s">
        <v>528</v>
      </c>
      <c r="N25" s="1" t="str">
        <f t="shared" si="0"/>
        <v>DESARROLLO</v>
      </c>
      <c r="O25" s="3">
        <f t="shared" si="1"/>
        <v>45657.532144988429</v>
      </c>
      <c r="P25" s="3">
        <f t="shared" si="2"/>
        <v>45719.681436574072</v>
      </c>
      <c r="Q25" s="1" t="str">
        <f t="shared" si="3"/>
        <v>Interno</v>
      </c>
      <c r="R25" s="1">
        <f t="shared" si="4"/>
        <v>53</v>
      </c>
      <c r="S25" s="6">
        <f t="shared" si="5"/>
        <v>45656</v>
      </c>
      <c r="T25" s="1">
        <f t="shared" si="6"/>
        <v>10</v>
      </c>
      <c r="U25" s="6">
        <f t="shared" si="7"/>
        <v>45719</v>
      </c>
      <c r="V25" s="1">
        <f t="shared" si="8"/>
        <v>62.149291585643368</v>
      </c>
      <c r="W25" s="1">
        <f t="shared" si="9"/>
        <v>2024</v>
      </c>
      <c r="X25" s="1">
        <f t="shared" si="10"/>
        <v>2025</v>
      </c>
      <c r="Y25" s="1" t="str">
        <f t="shared" si="11"/>
        <v>2024-12</v>
      </c>
      <c r="Z25" s="1" t="str">
        <f t="shared" si="12"/>
        <v>2025-03</v>
      </c>
    </row>
    <row r="26" spans="1:26" x14ac:dyDescent="0.2">
      <c r="A26" s="2" t="s">
        <v>104</v>
      </c>
      <c r="B26" s="1" t="s">
        <v>105</v>
      </c>
      <c r="C26" s="1" t="s">
        <v>106</v>
      </c>
      <c r="D26" s="3">
        <v>45679.543918379626</v>
      </c>
      <c r="E26" s="3">
        <v>45684.753473993056</v>
      </c>
      <c r="F26" s="1" t="s">
        <v>21</v>
      </c>
      <c r="G26" s="1" t="s">
        <v>107</v>
      </c>
      <c r="H26" s="1" t="s">
        <v>23</v>
      </c>
      <c r="I26" s="1" t="s">
        <v>23</v>
      </c>
      <c r="J26" s="1" t="s">
        <v>31</v>
      </c>
      <c r="K26" s="1" t="s">
        <v>25</v>
      </c>
      <c r="L26" s="1" t="s">
        <v>23</v>
      </c>
      <c r="M26" s="1" t="s">
        <v>528</v>
      </c>
      <c r="N26" s="1" t="str">
        <f t="shared" si="0"/>
        <v>SOPORTE</v>
      </c>
      <c r="O26" s="3">
        <f t="shared" si="1"/>
        <v>45679.543918379626</v>
      </c>
      <c r="P26" s="3">
        <f t="shared" si="2"/>
        <v>45684.753473993056</v>
      </c>
      <c r="Q26" s="1" t="str">
        <f t="shared" si="3"/>
        <v>Externo</v>
      </c>
      <c r="R26" s="1">
        <f t="shared" si="4"/>
        <v>4</v>
      </c>
      <c r="S26" s="6">
        <f t="shared" si="5"/>
        <v>45677</v>
      </c>
      <c r="T26" s="1">
        <f t="shared" si="6"/>
        <v>5</v>
      </c>
      <c r="U26" s="6">
        <f t="shared" si="7"/>
        <v>45684</v>
      </c>
      <c r="V26" s="1">
        <f t="shared" si="8"/>
        <v>5.2095556134299841</v>
      </c>
      <c r="W26" s="1">
        <f t="shared" si="9"/>
        <v>2025</v>
      </c>
      <c r="X26" s="1">
        <f t="shared" si="10"/>
        <v>2025</v>
      </c>
      <c r="Y26" s="1" t="str">
        <f t="shared" si="11"/>
        <v>2025-01</v>
      </c>
      <c r="Z26" s="1" t="str">
        <f t="shared" si="12"/>
        <v>2025-01</v>
      </c>
    </row>
    <row r="27" spans="1:26" x14ac:dyDescent="0.2">
      <c r="A27" s="2" t="s">
        <v>108</v>
      </c>
      <c r="B27" s="1" t="s">
        <v>109</v>
      </c>
      <c r="C27" s="1" t="s">
        <v>110</v>
      </c>
      <c r="D27" s="3">
        <v>45679.718418449076</v>
      </c>
      <c r="E27" s="3">
        <v>45685.512509490742</v>
      </c>
      <c r="F27" s="1" t="s">
        <v>21</v>
      </c>
      <c r="G27" s="1" t="s">
        <v>107</v>
      </c>
      <c r="H27" s="1" t="s">
        <v>23</v>
      </c>
      <c r="I27" s="1" t="s">
        <v>23</v>
      </c>
      <c r="J27" s="1" t="s">
        <v>31</v>
      </c>
      <c r="K27" s="1" t="s">
        <v>25</v>
      </c>
      <c r="L27" s="1" t="s">
        <v>23</v>
      </c>
      <c r="M27" s="1" t="s">
        <v>528</v>
      </c>
      <c r="N27" s="1" t="str">
        <f t="shared" si="0"/>
        <v>SOPORTE</v>
      </c>
      <c r="O27" s="3">
        <f t="shared" si="1"/>
        <v>45679.718418449076</v>
      </c>
      <c r="P27" s="3">
        <f t="shared" si="2"/>
        <v>45685.512509490742</v>
      </c>
      <c r="Q27" s="1" t="str">
        <f t="shared" si="3"/>
        <v>Externo</v>
      </c>
      <c r="R27" s="1">
        <f t="shared" si="4"/>
        <v>4</v>
      </c>
      <c r="S27" s="6">
        <f t="shared" si="5"/>
        <v>45677</v>
      </c>
      <c r="T27" s="1">
        <f t="shared" si="6"/>
        <v>5</v>
      </c>
      <c r="U27" s="6">
        <f t="shared" si="7"/>
        <v>45684</v>
      </c>
      <c r="V27" s="1">
        <f t="shared" si="8"/>
        <v>5.7940910416655242</v>
      </c>
      <c r="W27" s="1">
        <f t="shared" si="9"/>
        <v>2025</v>
      </c>
      <c r="X27" s="1">
        <f t="shared" si="10"/>
        <v>2025</v>
      </c>
      <c r="Y27" s="1" t="str">
        <f t="shared" si="11"/>
        <v>2025-01</v>
      </c>
      <c r="Z27" s="1" t="str">
        <f t="shared" si="12"/>
        <v>2025-01</v>
      </c>
    </row>
    <row r="28" spans="1:26" x14ac:dyDescent="0.2">
      <c r="A28" s="2" t="s">
        <v>111</v>
      </c>
      <c r="B28" s="1" t="s">
        <v>112</v>
      </c>
      <c r="C28" s="1" t="s">
        <v>113</v>
      </c>
      <c r="D28" s="3">
        <v>45680.460238518521</v>
      </c>
      <c r="E28" s="3">
        <v>45687.497351030092</v>
      </c>
      <c r="F28" s="1" t="s">
        <v>21</v>
      </c>
      <c r="G28" s="1" t="s">
        <v>107</v>
      </c>
      <c r="H28" s="1" t="s">
        <v>23</v>
      </c>
      <c r="I28" s="1" t="s">
        <v>23</v>
      </c>
      <c r="J28" s="1" t="s">
        <v>31</v>
      </c>
      <c r="K28" s="1" t="s">
        <v>25</v>
      </c>
      <c r="L28" s="1" t="s">
        <v>23</v>
      </c>
      <c r="M28" s="1" t="s">
        <v>528</v>
      </c>
      <c r="N28" s="1" t="str">
        <f t="shared" si="0"/>
        <v>SOPORTE</v>
      </c>
      <c r="O28" s="3">
        <f t="shared" si="1"/>
        <v>45680.460238518521</v>
      </c>
      <c r="P28" s="3">
        <f t="shared" si="2"/>
        <v>45687.497351030092</v>
      </c>
      <c r="Q28" s="1" t="str">
        <f t="shared" si="3"/>
        <v>Externo</v>
      </c>
      <c r="R28" s="1">
        <f t="shared" si="4"/>
        <v>4</v>
      </c>
      <c r="S28" s="6">
        <f t="shared" si="5"/>
        <v>45677</v>
      </c>
      <c r="T28" s="1">
        <f t="shared" si="6"/>
        <v>5</v>
      </c>
      <c r="U28" s="6">
        <f t="shared" si="7"/>
        <v>45684</v>
      </c>
      <c r="V28" s="1">
        <f t="shared" si="8"/>
        <v>7.03711251157074</v>
      </c>
      <c r="W28" s="1">
        <f t="shared" si="9"/>
        <v>2025</v>
      </c>
      <c r="X28" s="1">
        <f t="shared" si="10"/>
        <v>2025</v>
      </c>
      <c r="Y28" s="1" t="str">
        <f t="shared" si="11"/>
        <v>2025-01</v>
      </c>
      <c r="Z28" s="1" t="str">
        <f t="shared" si="12"/>
        <v>2025-01</v>
      </c>
    </row>
    <row r="29" spans="1:26" x14ac:dyDescent="0.2">
      <c r="A29" s="2" t="s">
        <v>114</v>
      </c>
      <c r="B29" s="1" t="s">
        <v>115</v>
      </c>
      <c r="C29" s="1" t="s">
        <v>23</v>
      </c>
      <c r="D29" s="3">
        <v>45680.47725246528</v>
      </c>
      <c r="E29" s="3">
        <v>45687.498176655092</v>
      </c>
      <c r="F29" s="1" t="s">
        <v>21</v>
      </c>
      <c r="G29" s="1" t="s">
        <v>107</v>
      </c>
      <c r="H29" s="1" t="s">
        <v>23</v>
      </c>
      <c r="I29" s="1" t="s">
        <v>23</v>
      </c>
      <c r="J29" s="1" t="s">
        <v>31</v>
      </c>
      <c r="K29" s="1" t="s">
        <v>25</v>
      </c>
      <c r="L29" s="1" t="s">
        <v>23</v>
      </c>
      <c r="M29" s="1" t="s">
        <v>528</v>
      </c>
      <c r="N29" s="1" t="str">
        <f t="shared" si="0"/>
        <v>SOPORTE</v>
      </c>
      <c r="O29" s="3">
        <f t="shared" si="1"/>
        <v>45680.47725246528</v>
      </c>
      <c r="P29" s="3">
        <f t="shared" si="2"/>
        <v>45687.498176655092</v>
      </c>
      <c r="Q29" s="1" t="str">
        <f t="shared" si="3"/>
        <v>Externo</v>
      </c>
      <c r="R29" s="1">
        <f t="shared" si="4"/>
        <v>4</v>
      </c>
      <c r="S29" s="6">
        <f t="shared" si="5"/>
        <v>45677</v>
      </c>
      <c r="T29" s="1">
        <f t="shared" si="6"/>
        <v>5</v>
      </c>
      <c r="U29" s="6">
        <f t="shared" si="7"/>
        <v>45684</v>
      </c>
      <c r="V29" s="1">
        <f t="shared" si="8"/>
        <v>7.0209241898119217</v>
      </c>
      <c r="W29" s="1">
        <f t="shared" si="9"/>
        <v>2025</v>
      </c>
      <c r="X29" s="1">
        <f t="shared" si="10"/>
        <v>2025</v>
      </c>
      <c r="Y29" s="1" t="str">
        <f t="shared" si="11"/>
        <v>2025-01</v>
      </c>
      <c r="Z29" s="1" t="str">
        <f t="shared" si="12"/>
        <v>2025-01</v>
      </c>
    </row>
    <row r="30" spans="1:26" x14ac:dyDescent="0.2">
      <c r="A30" s="2" t="s">
        <v>116</v>
      </c>
      <c r="B30" s="1" t="s">
        <v>117</v>
      </c>
      <c r="C30" s="1" t="s">
        <v>79</v>
      </c>
      <c r="D30" s="3">
        <v>45685.430305173613</v>
      </c>
      <c r="E30" s="3">
        <v>45714.695896944446</v>
      </c>
      <c r="F30" s="1" t="s">
        <v>21</v>
      </c>
      <c r="G30" s="1" t="s">
        <v>22</v>
      </c>
      <c r="H30" s="1" t="s">
        <v>23</v>
      </c>
      <c r="I30" s="1" t="s">
        <v>50</v>
      </c>
      <c r="J30" s="1" t="s">
        <v>31</v>
      </c>
      <c r="K30" s="1" t="s">
        <v>25</v>
      </c>
      <c r="L30" s="1" t="s">
        <v>41</v>
      </c>
      <c r="M30" s="1" t="s">
        <v>528</v>
      </c>
      <c r="N30" s="1" t="str">
        <f t="shared" si="0"/>
        <v>DESARROLLO</v>
      </c>
      <c r="O30" s="3">
        <f t="shared" si="1"/>
        <v>45685.430305173613</v>
      </c>
      <c r="P30" s="3">
        <f t="shared" si="2"/>
        <v>45714.695896944446</v>
      </c>
      <c r="Q30" s="1" t="str">
        <f t="shared" si="3"/>
        <v>Interno</v>
      </c>
      <c r="R30" s="1">
        <f t="shared" si="4"/>
        <v>5</v>
      </c>
      <c r="S30" s="6">
        <f t="shared" si="5"/>
        <v>45684</v>
      </c>
      <c r="T30" s="1">
        <f t="shared" si="6"/>
        <v>9</v>
      </c>
      <c r="U30" s="6">
        <f t="shared" si="7"/>
        <v>45712</v>
      </c>
      <c r="V30" s="1">
        <f t="shared" si="8"/>
        <v>29.265591770832543</v>
      </c>
      <c r="W30" s="1">
        <f t="shared" si="9"/>
        <v>2025</v>
      </c>
      <c r="X30" s="1">
        <f t="shared" si="10"/>
        <v>2025</v>
      </c>
      <c r="Y30" s="1" t="str">
        <f t="shared" si="11"/>
        <v>2025-01</v>
      </c>
      <c r="Z30" s="1" t="str">
        <f t="shared" si="12"/>
        <v>2025-02</v>
      </c>
    </row>
    <row r="31" spans="1:26" x14ac:dyDescent="0.2">
      <c r="A31" s="2" t="s">
        <v>118</v>
      </c>
      <c r="B31" s="1" t="s">
        <v>119</v>
      </c>
      <c r="C31" s="1" t="s">
        <v>120</v>
      </c>
      <c r="D31" s="3">
        <v>45686.426534537037</v>
      </c>
      <c r="E31" s="3">
        <v>45706.67390170139</v>
      </c>
      <c r="F31" s="1" t="s">
        <v>21</v>
      </c>
      <c r="G31" s="1" t="s">
        <v>22</v>
      </c>
      <c r="H31" s="1" t="s">
        <v>23</v>
      </c>
      <c r="I31" s="1" t="s">
        <v>50</v>
      </c>
      <c r="J31" s="1" t="s">
        <v>24</v>
      </c>
      <c r="K31" s="1" t="s">
        <v>25</v>
      </c>
      <c r="L31" s="1" t="s">
        <v>59</v>
      </c>
      <c r="M31" s="1" t="s">
        <v>23</v>
      </c>
      <c r="N31" s="1" t="str">
        <f t="shared" si="0"/>
        <v>DESARROLLO</v>
      </c>
      <c r="O31" s="3">
        <f t="shared" si="1"/>
        <v>45686.426534537037</v>
      </c>
      <c r="P31" s="3">
        <f t="shared" si="2"/>
        <v>45706.67390170139</v>
      </c>
      <c r="Q31" s="1" t="str">
        <f t="shared" si="3"/>
        <v>Interno</v>
      </c>
      <c r="R31" s="1">
        <f t="shared" si="4"/>
        <v>5</v>
      </c>
      <c r="S31" s="6">
        <f t="shared" si="5"/>
        <v>45684</v>
      </c>
      <c r="T31" s="1">
        <f t="shared" si="6"/>
        <v>8</v>
      </c>
      <c r="U31" s="6">
        <f t="shared" si="7"/>
        <v>45705</v>
      </c>
      <c r="V31" s="1">
        <f t="shared" si="8"/>
        <v>20.247367164352909</v>
      </c>
      <c r="W31" s="1">
        <f t="shared" si="9"/>
        <v>2025</v>
      </c>
      <c r="X31" s="1">
        <f t="shared" si="10"/>
        <v>2025</v>
      </c>
      <c r="Y31" s="1" t="str">
        <f t="shared" si="11"/>
        <v>2025-01</v>
      </c>
      <c r="Z31" s="1" t="str">
        <f t="shared" si="12"/>
        <v>2025-02</v>
      </c>
    </row>
    <row r="32" spans="1:26" x14ac:dyDescent="0.2">
      <c r="A32" s="2" t="s">
        <v>121</v>
      </c>
      <c r="B32" s="1" t="s">
        <v>122</v>
      </c>
      <c r="C32" s="1" t="s">
        <v>79</v>
      </c>
      <c r="D32" s="3">
        <v>45688.470111793984</v>
      </c>
      <c r="E32" s="3">
        <v>45713.338961701389</v>
      </c>
      <c r="F32" s="1" t="s">
        <v>21</v>
      </c>
      <c r="G32" s="1" t="s">
        <v>22</v>
      </c>
      <c r="H32" s="1" t="s">
        <v>23</v>
      </c>
      <c r="I32" s="1" t="s">
        <v>23</v>
      </c>
      <c r="J32" s="1" t="s">
        <v>31</v>
      </c>
      <c r="K32" s="1" t="s">
        <v>25</v>
      </c>
      <c r="L32" s="1" t="s">
        <v>23</v>
      </c>
      <c r="M32" s="1" t="s">
        <v>23</v>
      </c>
      <c r="N32" s="1" t="str">
        <f t="shared" si="0"/>
        <v>DESARROLLO</v>
      </c>
      <c r="O32" s="3">
        <f t="shared" si="1"/>
        <v>45688.470111793984</v>
      </c>
      <c r="P32" s="3">
        <f t="shared" si="2"/>
        <v>45713.338961701389</v>
      </c>
      <c r="Q32" s="1" t="str">
        <f t="shared" si="3"/>
        <v>Interno</v>
      </c>
      <c r="R32" s="1">
        <f t="shared" si="4"/>
        <v>5</v>
      </c>
      <c r="S32" s="6">
        <f t="shared" si="5"/>
        <v>45684</v>
      </c>
      <c r="T32" s="1">
        <f t="shared" si="6"/>
        <v>9</v>
      </c>
      <c r="U32" s="6">
        <f t="shared" si="7"/>
        <v>45712</v>
      </c>
      <c r="V32" s="1">
        <f t="shared" si="8"/>
        <v>24.868849907405092</v>
      </c>
      <c r="W32" s="1">
        <f t="shared" si="9"/>
        <v>2025</v>
      </c>
      <c r="X32" s="1">
        <f t="shared" si="10"/>
        <v>2025</v>
      </c>
      <c r="Y32" s="1" t="str">
        <f t="shared" si="11"/>
        <v>2025-01</v>
      </c>
      <c r="Z32" s="1" t="str">
        <f t="shared" si="12"/>
        <v>2025-02</v>
      </c>
    </row>
    <row r="33" spans="1:26" x14ac:dyDescent="0.2">
      <c r="A33" s="2" t="s">
        <v>123</v>
      </c>
      <c r="B33" s="1" t="s">
        <v>124</v>
      </c>
      <c r="C33" s="1" t="s">
        <v>79</v>
      </c>
      <c r="D33" s="3">
        <v>45692.672284895831</v>
      </c>
      <c r="E33" s="3">
        <v>45699.730335925924</v>
      </c>
      <c r="F33" s="1" t="s">
        <v>21</v>
      </c>
      <c r="G33" s="1" t="s">
        <v>107</v>
      </c>
      <c r="H33" s="1" t="s">
        <v>23</v>
      </c>
      <c r="I33" s="1" t="s">
        <v>23</v>
      </c>
      <c r="J33" s="1" t="s">
        <v>125</v>
      </c>
      <c r="K33" s="1" t="s">
        <v>25</v>
      </c>
      <c r="L33" s="1" t="s">
        <v>23</v>
      </c>
      <c r="M33" s="1" t="s">
        <v>23</v>
      </c>
      <c r="N33" s="1" t="str">
        <f t="shared" si="0"/>
        <v>SOPORTE</v>
      </c>
      <c r="O33" s="3">
        <f t="shared" si="1"/>
        <v>45692.672284895831</v>
      </c>
      <c r="P33" s="3">
        <f t="shared" si="2"/>
        <v>45699.730335925924</v>
      </c>
      <c r="Q33" s="1" t="str">
        <f t="shared" si="3"/>
        <v>Externo</v>
      </c>
      <c r="R33" s="1">
        <f t="shared" si="4"/>
        <v>6</v>
      </c>
      <c r="S33" s="6">
        <f t="shared" si="5"/>
        <v>45691</v>
      </c>
      <c r="T33" s="1">
        <f t="shared" si="6"/>
        <v>7</v>
      </c>
      <c r="U33" s="6">
        <f t="shared" si="7"/>
        <v>45698</v>
      </c>
      <c r="V33" s="1">
        <f t="shared" si="8"/>
        <v>7.0580510300933383</v>
      </c>
      <c r="W33" s="1">
        <f t="shared" si="9"/>
        <v>2025</v>
      </c>
      <c r="X33" s="1">
        <f t="shared" si="10"/>
        <v>2025</v>
      </c>
      <c r="Y33" s="1" t="str">
        <f t="shared" si="11"/>
        <v>2025-02</v>
      </c>
      <c r="Z33" s="1" t="str">
        <f t="shared" si="12"/>
        <v>2025-02</v>
      </c>
    </row>
    <row r="34" spans="1:26" x14ac:dyDescent="0.2">
      <c r="A34" s="2" t="s">
        <v>126</v>
      </c>
      <c r="B34" s="1" t="s">
        <v>127</v>
      </c>
      <c r="C34" s="1" t="s">
        <v>40</v>
      </c>
      <c r="D34" s="3">
        <v>45698.392261168985</v>
      </c>
      <c r="E34" s="3">
        <v>45715.405431932872</v>
      </c>
      <c r="F34" s="1" t="s">
        <v>21</v>
      </c>
      <c r="G34" s="1" t="s">
        <v>101</v>
      </c>
      <c r="H34" s="1" t="s">
        <v>128</v>
      </c>
      <c r="I34" s="1" t="s">
        <v>23</v>
      </c>
      <c r="J34" s="1" t="s">
        <v>31</v>
      </c>
      <c r="K34" s="1" t="s">
        <v>25</v>
      </c>
      <c r="L34" s="1" t="s">
        <v>23</v>
      </c>
      <c r="M34" s="1" t="s">
        <v>23</v>
      </c>
      <c r="N34" s="1" t="str">
        <f t="shared" si="0"/>
        <v>FUNCIONAL</v>
      </c>
      <c r="O34" s="3">
        <f t="shared" si="1"/>
        <v>45698.392261168985</v>
      </c>
      <c r="P34" s="3">
        <f t="shared" si="2"/>
        <v>45715.405431932872</v>
      </c>
      <c r="Q34" s="1" t="str">
        <f t="shared" si="3"/>
        <v>Interno</v>
      </c>
      <c r="R34" s="1">
        <f t="shared" si="4"/>
        <v>7</v>
      </c>
      <c r="S34" s="6">
        <f t="shared" si="5"/>
        <v>45698</v>
      </c>
      <c r="T34" s="1">
        <f t="shared" si="6"/>
        <v>9</v>
      </c>
      <c r="U34" s="6">
        <f t="shared" si="7"/>
        <v>45712</v>
      </c>
      <c r="V34" s="1">
        <f t="shared" si="8"/>
        <v>17.013170763886592</v>
      </c>
      <c r="W34" s="1">
        <f t="shared" si="9"/>
        <v>2025</v>
      </c>
      <c r="X34" s="1">
        <f t="shared" si="10"/>
        <v>2025</v>
      </c>
      <c r="Y34" s="1" t="str">
        <f t="shared" si="11"/>
        <v>2025-02</v>
      </c>
      <c r="Z34" s="1" t="str">
        <f t="shared" si="12"/>
        <v>2025-02</v>
      </c>
    </row>
    <row r="35" spans="1:26" x14ac:dyDescent="0.2">
      <c r="A35" s="2" t="s">
        <v>129</v>
      </c>
      <c r="B35" s="1" t="s">
        <v>130</v>
      </c>
      <c r="C35" s="1" t="s">
        <v>20</v>
      </c>
      <c r="D35" s="3">
        <v>45699.73411665509</v>
      </c>
      <c r="E35" s="3">
        <v>45705.645069363425</v>
      </c>
      <c r="F35" s="1" t="s">
        <v>21</v>
      </c>
      <c r="G35" s="1" t="s">
        <v>101</v>
      </c>
      <c r="H35" s="1" t="s">
        <v>20</v>
      </c>
      <c r="I35" s="1" t="s">
        <v>23</v>
      </c>
      <c r="J35" s="1" t="s">
        <v>24</v>
      </c>
      <c r="K35" s="1" t="s">
        <v>25</v>
      </c>
      <c r="L35" s="1" t="s">
        <v>23</v>
      </c>
      <c r="M35" s="1" t="s">
        <v>23</v>
      </c>
      <c r="N35" s="1" t="str">
        <f t="shared" si="0"/>
        <v>FUNCIONAL</v>
      </c>
      <c r="O35" s="3">
        <f t="shared" si="1"/>
        <v>45699.73411665509</v>
      </c>
      <c r="P35" s="3">
        <f t="shared" si="2"/>
        <v>45705.645069363425</v>
      </c>
      <c r="Q35" s="1" t="str">
        <f t="shared" si="3"/>
        <v>Interno</v>
      </c>
      <c r="R35" s="1">
        <f t="shared" si="4"/>
        <v>7</v>
      </c>
      <c r="S35" s="6">
        <f t="shared" si="5"/>
        <v>45698</v>
      </c>
      <c r="T35" s="1">
        <f t="shared" si="6"/>
        <v>8</v>
      </c>
      <c r="U35" s="6">
        <f t="shared" si="7"/>
        <v>45705</v>
      </c>
      <c r="V35" s="1">
        <f t="shared" si="8"/>
        <v>5.910952708334662</v>
      </c>
      <c r="W35" s="1">
        <f t="shared" si="9"/>
        <v>2025</v>
      </c>
      <c r="X35" s="1">
        <f t="shared" si="10"/>
        <v>2025</v>
      </c>
      <c r="Y35" s="1" t="str">
        <f t="shared" si="11"/>
        <v>2025-02</v>
      </c>
      <c r="Z35" s="1" t="str">
        <f t="shared" si="12"/>
        <v>2025-02</v>
      </c>
    </row>
    <row r="36" spans="1:26" x14ac:dyDescent="0.2">
      <c r="A36" s="2" t="s">
        <v>131</v>
      </c>
      <c r="B36" s="1" t="s">
        <v>132</v>
      </c>
      <c r="C36" s="1" t="s">
        <v>120</v>
      </c>
      <c r="D36" s="3">
        <v>45700.674560011576</v>
      </c>
      <c r="E36" s="3">
        <v>45722.686069236108</v>
      </c>
      <c r="F36" s="1" t="s">
        <v>21</v>
      </c>
      <c r="G36" s="1" t="s">
        <v>22</v>
      </c>
      <c r="H36" s="1" t="s">
        <v>23</v>
      </c>
      <c r="I36" s="1" t="s">
        <v>50</v>
      </c>
      <c r="J36" s="1" t="s">
        <v>31</v>
      </c>
      <c r="K36" s="1" t="s">
        <v>25</v>
      </c>
      <c r="L36" s="1" t="s">
        <v>41</v>
      </c>
      <c r="M36" s="1" t="s">
        <v>23</v>
      </c>
      <c r="N36" s="1" t="str">
        <f t="shared" si="0"/>
        <v>DESARROLLO</v>
      </c>
      <c r="O36" s="3">
        <f t="shared" si="1"/>
        <v>45700.674560011576</v>
      </c>
      <c r="P36" s="3">
        <f t="shared" si="2"/>
        <v>45722.686069236108</v>
      </c>
      <c r="Q36" s="1" t="str">
        <f t="shared" si="3"/>
        <v>Interno</v>
      </c>
      <c r="R36" s="1">
        <f t="shared" si="4"/>
        <v>7</v>
      </c>
      <c r="S36" s="6">
        <f t="shared" si="5"/>
        <v>45698</v>
      </c>
      <c r="T36" s="1">
        <f t="shared" si="6"/>
        <v>10</v>
      </c>
      <c r="U36" s="6">
        <f t="shared" si="7"/>
        <v>45719</v>
      </c>
      <c r="V36" s="1">
        <f t="shared" si="8"/>
        <v>22.011509224532347</v>
      </c>
      <c r="W36" s="1">
        <f t="shared" si="9"/>
        <v>2025</v>
      </c>
      <c r="X36" s="1">
        <f t="shared" si="10"/>
        <v>2025</v>
      </c>
      <c r="Y36" s="1" t="str">
        <f t="shared" si="11"/>
        <v>2025-02</v>
      </c>
      <c r="Z36" s="1" t="str">
        <f t="shared" si="12"/>
        <v>2025-03</v>
      </c>
    </row>
    <row r="37" spans="1:26" x14ac:dyDescent="0.2">
      <c r="A37" s="2" t="s">
        <v>133</v>
      </c>
      <c r="B37" s="1" t="s">
        <v>134</v>
      </c>
      <c r="C37" s="1" t="s">
        <v>135</v>
      </c>
      <c r="D37" s="3">
        <v>45705.681604999998</v>
      </c>
      <c r="E37" s="3">
        <v>45713.396687789354</v>
      </c>
      <c r="F37" s="1" t="s">
        <v>21</v>
      </c>
      <c r="G37" s="1" t="s">
        <v>167</v>
      </c>
      <c r="H37" s="1" t="s">
        <v>23</v>
      </c>
      <c r="I37" s="1" t="s">
        <v>23</v>
      </c>
      <c r="J37" s="1" t="s">
        <v>24</v>
      </c>
      <c r="K37" s="1" t="s">
        <v>25</v>
      </c>
      <c r="L37" s="1" t="s">
        <v>23</v>
      </c>
      <c r="M37" s="1" t="s">
        <v>528</v>
      </c>
      <c r="N37" s="1" t="str">
        <f t="shared" si="0"/>
        <v>REPROCESO</v>
      </c>
      <c r="O37" s="3">
        <f t="shared" si="1"/>
        <v>45705.681604999998</v>
      </c>
      <c r="P37" s="3">
        <f t="shared" si="2"/>
        <v>45713.396687789354</v>
      </c>
      <c r="Q37" s="1" t="str">
        <f t="shared" si="3"/>
        <v>Interno</v>
      </c>
      <c r="R37" s="1">
        <f t="shared" si="4"/>
        <v>8</v>
      </c>
      <c r="S37" s="6">
        <f t="shared" si="5"/>
        <v>45705</v>
      </c>
      <c r="T37" s="1">
        <f t="shared" si="6"/>
        <v>9</v>
      </c>
      <c r="U37" s="6">
        <f t="shared" si="7"/>
        <v>45712</v>
      </c>
      <c r="V37" s="1">
        <f t="shared" si="8"/>
        <v>7.7150827893565292</v>
      </c>
      <c r="W37" s="1">
        <f t="shared" si="9"/>
        <v>2025</v>
      </c>
      <c r="X37" s="1">
        <f t="shared" si="10"/>
        <v>2025</v>
      </c>
      <c r="Y37" s="1" t="str">
        <f t="shared" si="11"/>
        <v>2025-02</v>
      </c>
      <c r="Z37" s="1" t="str">
        <f t="shared" si="12"/>
        <v>2025-02</v>
      </c>
    </row>
    <row r="38" spans="1:26" x14ac:dyDescent="0.2">
      <c r="A38" s="2" t="s">
        <v>136</v>
      </c>
      <c r="B38" s="1" t="s">
        <v>137</v>
      </c>
      <c r="C38" s="1" t="s">
        <v>120</v>
      </c>
      <c r="D38" s="3">
        <v>45709.308624444442</v>
      </c>
      <c r="E38" s="3">
        <v>45722.686059247688</v>
      </c>
      <c r="F38" s="1" t="s">
        <v>21</v>
      </c>
      <c r="G38" s="1" t="s">
        <v>22</v>
      </c>
      <c r="H38" s="1" t="s">
        <v>23</v>
      </c>
      <c r="I38" s="1" t="s">
        <v>50</v>
      </c>
      <c r="J38" s="1" t="s">
        <v>24</v>
      </c>
      <c r="K38" s="1" t="s">
        <v>25</v>
      </c>
      <c r="L38" s="1" t="s">
        <v>41</v>
      </c>
      <c r="M38" s="1" t="s">
        <v>23</v>
      </c>
      <c r="N38" s="1" t="str">
        <f t="shared" si="0"/>
        <v>DESARROLLO</v>
      </c>
      <c r="O38" s="3">
        <f t="shared" si="1"/>
        <v>45709.308624444442</v>
      </c>
      <c r="P38" s="3">
        <f t="shared" si="2"/>
        <v>45722.686059247688</v>
      </c>
      <c r="Q38" s="1" t="str">
        <f t="shared" si="3"/>
        <v>Interno</v>
      </c>
      <c r="R38" s="1">
        <f t="shared" si="4"/>
        <v>8</v>
      </c>
      <c r="S38" s="6">
        <f t="shared" si="5"/>
        <v>45705</v>
      </c>
      <c r="T38" s="1">
        <f t="shared" si="6"/>
        <v>10</v>
      </c>
      <c r="U38" s="6">
        <f t="shared" si="7"/>
        <v>45719</v>
      </c>
      <c r="V38" s="1">
        <f t="shared" si="8"/>
        <v>13.377434803245706</v>
      </c>
      <c r="W38" s="1">
        <f t="shared" si="9"/>
        <v>2025</v>
      </c>
      <c r="X38" s="1">
        <f t="shared" si="10"/>
        <v>2025</v>
      </c>
      <c r="Y38" s="1" t="str">
        <f t="shared" si="11"/>
        <v>2025-02</v>
      </c>
      <c r="Z38" s="1" t="str">
        <f t="shared" si="12"/>
        <v>2025-03</v>
      </c>
    </row>
    <row r="39" spans="1:26" x14ac:dyDescent="0.2">
      <c r="A39" s="2" t="s">
        <v>138</v>
      </c>
      <c r="B39" s="1" t="s">
        <v>139</v>
      </c>
      <c r="C39" s="1" t="s">
        <v>120</v>
      </c>
      <c r="D39" s="3">
        <v>45709.309179189811</v>
      </c>
      <c r="E39" s="3">
        <v>45722.686064664354</v>
      </c>
      <c r="F39" s="1" t="s">
        <v>21</v>
      </c>
      <c r="G39" s="1" t="s">
        <v>22</v>
      </c>
      <c r="H39" s="1" t="s">
        <v>23</v>
      </c>
      <c r="I39" s="1" t="s">
        <v>50</v>
      </c>
      <c r="J39" s="1" t="s">
        <v>24</v>
      </c>
      <c r="K39" s="1" t="s">
        <v>25</v>
      </c>
      <c r="L39" s="1" t="s">
        <v>41</v>
      </c>
      <c r="M39" s="1" t="s">
        <v>23</v>
      </c>
      <c r="N39" s="1" t="str">
        <f t="shared" si="0"/>
        <v>DESARROLLO</v>
      </c>
      <c r="O39" s="3">
        <f t="shared" si="1"/>
        <v>45709.309179189811</v>
      </c>
      <c r="P39" s="3">
        <f t="shared" si="2"/>
        <v>45722.686064664354</v>
      </c>
      <c r="Q39" s="1" t="str">
        <f t="shared" si="3"/>
        <v>Interno</v>
      </c>
      <c r="R39" s="1">
        <f t="shared" si="4"/>
        <v>8</v>
      </c>
      <c r="S39" s="6">
        <f t="shared" si="5"/>
        <v>45705</v>
      </c>
      <c r="T39" s="1">
        <f t="shared" si="6"/>
        <v>10</v>
      </c>
      <c r="U39" s="6">
        <f t="shared" si="7"/>
        <v>45719</v>
      </c>
      <c r="V39" s="1">
        <f t="shared" si="8"/>
        <v>13.376885474543087</v>
      </c>
      <c r="W39" s="1">
        <f t="shared" si="9"/>
        <v>2025</v>
      </c>
      <c r="X39" s="1">
        <f t="shared" si="10"/>
        <v>2025</v>
      </c>
      <c r="Y39" s="1" t="str">
        <f t="shared" si="11"/>
        <v>2025-02</v>
      </c>
      <c r="Z39" s="1" t="str">
        <f t="shared" si="12"/>
        <v>2025-03</v>
      </c>
    </row>
    <row r="40" spans="1:26" x14ac:dyDescent="0.2">
      <c r="A40" s="2" t="s">
        <v>140</v>
      </c>
      <c r="B40" s="1" t="s">
        <v>141</v>
      </c>
      <c r="C40" s="1" t="s">
        <v>120</v>
      </c>
      <c r="D40" s="3">
        <v>45709.309943518521</v>
      </c>
      <c r="E40" s="3">
        <v>45722.686062060187</v>
      </c>
      <c r="F40" s="1" t="s">
        <v>21</v>
      </c>
      <c r="G40" s="1" t="s">
        <v>22</v>
      </c>
      <c r="H40" s="1" t="s">
        <v>23</v>
      </c>
      <c r="I40" s="1" t="s">
        <v>50</v>
      </c>
      <c r="J40" s="1" t="s">
        <v>24</v>
      </c>
      <c r="K40" s="1" t="s">
        <v>25</v>
      </c>
      <c r="L40" s="1" t="s">
        <v>41</v>
      </c>
      <c r="M40" s="1" t="s">
        <v>23</v>
      </c>
      <c r="N40" s="1" t="str">
        <f t="shared" si="0"/>
        <v>DESARROLLO</v>
      </c>
      <c r="O40" s="3">
        <f t="shared" si="1"/>
        <v>45709.309943518521</v>
      </c>
      <c r="P40" s="3">
        <f t="shared" si="2"/>
        <v>45722.686062060187</v>
      </c>
      <c r="Q40" s="1" t="str">
        <f t="shared" si="3"/>
        <v>Interno</v>
      </c>
      <c r="R40" s="1">
        <f t="shared" si="4"/>
        <v>8</v>
      </c>
      <c r="S40" s="6">
        <f t="shared" si="5"/>
        <v>45705</v>
      </c>
      <c r="T40" s="1">
        <f t="shared" si="6"/>
        <v>10</v>
      </c>
      <c r="U40" s="6">
        <f t="shared" si="7"/>
        <v>45719</v>
      </c>
      <c r="V40" s="1">
        <f t="shared" si="8"/>
        <v>13.376118541666074</v>
      </c>
      <c r="W40" s="1">
        <f t="shared" si="9"/>
        <v>2025</v>
      </c>
      <c r="X40" s="1">
        <f t="shared" si="10"/>
        <v>2025</v>
      </c>
      <c r="Y40" s="1" t="str">
        <f t="shared" si="11"/>
        <v>2025-02</v>
      </c>
      <c r="Z40" s="1" t="str">
        <f t="shared" si="12"/>
        <v>2025-03</v>
      </c>
    </row>
    <row r="41" spans="1:26" x14ac:dyDescent="0.2">
      <c r="A41" s="2" t="s">
        <v>142</v>
      </c>
      <c r="B41" s="1" t="s">
        <v>143</v>
      </c>
      <c r="C41" s="1" t="s">
        <v>120</v>
      </c>
      <c r="D41" s="3">
        <v>45709.310425439813</v>
      </c>
      <c r="E41" s="3">
        <v>45722.686054652775</v>
      </c>
      <c r="F41" s="1" t="s">
        <v>21</v>
      </c>
      <c r="G41" s="1" t="s">
        <v>22</v>
      </c>
      <c r="H41" s="1" t="s">
        <v>23</v>
      </c>
      <c r="I41" s="1" t="s">
        <v>50</v>
      </c>
      <c r="J41" s="1" t="s">
        <v>24</v>
      </c>
      <c r="K41" s="1" t="s">
        <v>25</v>
      </c>
      <c r="L41" s="1" t="s">
        <v>41</v>
      </c>
      <c r="M41" s="1" t="s">
        <v>23</v>
      </c>
      <c r="N41" s="1" t="str">
        <f t="shared" si="0"/>
        <v>DESARROLLO</v>
      </c>
      <c r="O41" s="3">
        <f t="shared" si="1"/>
        <v>45709.310425439813</v>
      </c>
      <c r="P41" s="3">
        <f t="shared" si="2"/>
        <v>45722.686054652775</v>
      </c>
      <c r="Q41" s="1" t="str">
        <f t="shared" si="3"/>
        <v>Interno</v>
      </c>
      <c r="R41" s="1">
        <f t="shared" si="4"/>
        <v>8</v>
      </c>
      <c r="S41" s="6">
        <f t="shared" si="5"/>
        <v>45705</v>
      </c>
      <c r="T41" s="1">
        <f t="shared" si="6"/>
        <v>10</v>
      </c>
      <c r="U41" s="6">
        <f t="shared" si="7"/>
        <v>45719</v>
      </c>
      <c r="V41" s="1">
        <f t="shared" si="8"/>
        <v>13.37562921296194</v>
      </c>
      <c r="W41" s="1">
        <f t="shared" si="9"/>
        <v>2025</v>
      </c>
      <c r="X41" s="1">
        <f t="shared" si="10"/>
        <v>2025</v>
      </c>
      <c r="Y41" s="1" t="str">
        <f t="shared" si="11"/>
        <v>2025-02</v>
      </c>
      <c r="Z41" s="1" t="str">
        <f t="shared" si="12"/>
        <v>2025-03</v>
      </c>
    </row>
    <row r="42" spans="1:26" x14ac:dyDescent="0.2">
      <c r="A42" s="2" t="s">
        <v>144</v>
      </c>
      <c r="B42" s="1" t="s">
        <v>145</v>
      </c>
      <c r="C42" s="1" t="s">
        <v>120</v>
      </c>
      <c r="D42" s="3">
        <v>45709.311318472224</v>
      </c>
      <c r="E42" s="3">
        <v>45722.686056342594</v>
      </c>
      <c r="F42" s="1" t="s">
        <v>21</v>
      </c>
      <c r="G42" s="1" t="s">
        <v>22</v>
      </c>
      <c r="H42" s="1" t="s">
        <v>23</v>
      </c>
      <c r="I42" s="1" t="s">
        <v>50</v>
      </c>
      <c r="J42" s="1" t="s">
        <v>24</v>
      </c>
      <c r="K42" s="1" t="s">
        <v>25</v>
      </c>
      <c r="L42" s="1" t="s">
        <v>41</v>
      </c>
      <c r="M42" s="1" t="s">
        <v>23</v>
      </c>
      <c r="N42" s="1" t="str">
        <f t="shared" si="0"/>
        <v>DESARROLLO</v>
      </c>
      <c r="O42" s="3">
        <f t="shared" si="1"/>
        <v>45709.311318472224</v>
      </c>
      <c r="P42" s="3">
        <f t="shared" si="2"/>
        <v>45722.686056342594</v>
      </c>
      <c r="Q42" s="1" t="str">
        <f t="shared" si="3"/>
        <v>Interno</v>
      </c>
      <c r="R42" s="1">
        <f t="shared" si="4"/>
        <v>8</v>
      </c>
      <c r="S42" s="6">
        <f t="shared" si="5"/>
        <v>45705</v>
      </c>
      <c r="T42" s="1">
        <f t="shared" si="6"/>
        <v>10</v>
      </c>
      <c r="U42" s="6">
        <f t="shared" si="7"/>
        <v>45719</v>
      </c>
      <c r="V42" s="1">
        <f t="shared" si="8"/>
        <v>13.374737870370154</v>
      </c>
      <c r="W42" s="1">
        <f t="shared" si="9"/>
        <v>2025</v>
      </c>
      <c r="X42" s="1">
        <f t="shared" si="10"/>
        <v>2025</v>
      </c>
      <c r="Y42" s="1" t="str">
        <f t="shared" si="11"/>
        <v>2025-02</v>
      </c>
      <c r="Z42" s="1" t="str">
        <f t="shared" si="12"/>
        <v>2025-03</v>
      </c>
    </row>
    <row r="43" spans="1:26" x14ac:dyDescent="0.2">
      <c r="A43" s="2" t="s">
        <v>146</v>
      </c>
      <c r="B43" s="1" t="s">
        <v>147</v>
      </c>
      <c r="C43" s="1" t="s">
        <v>120</v>
      </c>
      <c r="D43" s="3">
        <v>45709.311705370368</v>
      </c>
      <c r="E43" s="3">
        <v>45722.686056493054</v>
      </c>
      <c r="F43" s="1" t="s">
        <v>21</v>
      </c>
      <c r="G43" s="1" t="s">
        <v>22</v>
      </c>
      <c r="H43" s="1" t="s">
        <v>23</v>
      </c>
      <c r="I43" s="1" t="s">
        <v>50</v>
      </c>
      <c r="J43" s="1" t="s">
        <v>24</v>
      </c>
      <c r="K43" s="1" t="s">
        <v>25</v>
      </c>
      <c r="L43" s="1" t="s">
        <v>41</v>
      </c>
      <c r="M43" s="1" t="s">
        <v>23</v>
      </c>
      <c r="N43" s="1" t="str">
        <f t="shared" si="0"/>
        <v>DESARROLLO</v>
      </c>
      <c r="O43" s="3">
        <f t="shared" si="1"/>
        <v>45709.311705370368</v>
      </c>
      <c r="P43" s="3">
        <f t="shared" si="2"/>
        <v>45722.686056493054</v>
      </c>
      <c r="Q43" s="1" t="str">
        <f t="shared" si="3"/>
        <v>Interno</v>
      </c>
      <c r="R43" s="1">
        <f t="shared" si="4"/>
        <v>8</v>
      </c>
      <c r="S43" s="6">
        <f t="shared" si="5"/>
        <v>45705</v>
      </c>
      <c r="T43" s="1">
        <f t="shared" si="6"/>
        <v>10</v>
      </c>
      <c r="U43" s="6">
        <f t="shared" si="7"/>
        <v>45719</v>
      </c>
      <c r="V43" s="1">
        <f t="shared" si="8"/>
        <v>13.374351122685766</v>
      </c>
      <c r="W43" s="1">
        <f t="shared" si="9"/>
        <v>2025</v>
      </c>
      <c r="X43" s="1">
        <f t="shared" si="10"/>
        <v>2025</v>
      </c>
      <c r="Y43" s="1" t="str">
        <f t="shared" si="11"/>
        <v>2025-02</v>
      </c>
      <c r="Z43" s="1" t="str">
        <f t="shared" si="12"/>
        <v>2025-03</v>
      </c>
    </row>
    <row r="44" spans="1:26" x14ac:dyDescent="0.2">
      <c r="A44" s="2" t="s">
        <v>148</v>
      </c>
      <c r="B44" s="1" t="s">
        <v>149</v>
      </c>
      <c r="C44" s="1" t="s">
        <v>150</v>
      </c>
      <c r="D44" s="3">
        <v>45713.400914386577</v>
      </c>
      <c r="E44" s="3">
        <v>45749.442701284723</v>
      </c>
      <c r="F44" s="1" t="s">
        <v>21</v>
      </c>
      <c r="G44" s="1" t="s">
        <v>22</v>
      </c>
      <c r="H44" s="1" t="s">
        <v>23</v>
      </c>
      <c r="I44" s="1" t="s">
        <v>30</v>
      </c>
      <c r="J44" s="1" t="s">
        <v>31</v>
      </c>
      <c r="K44" s="1" t="s">
        <v>25</v>
      </c>
      <c r="L44" s="1" t="s">
        <v>151</v>
      </c>
      <c r="M44" s="1" t="s">
        <v>528</v>
      </c>
      <c r="N44" s="1" t="str">
        <f t="shared" si="0"/>
        <v>DESARROLLO</v>
      </c>
      <c r="O44" s="3">
        <f t="shared" si="1"/>
        <v>45713.400914386577</v>
      </c>
      <c r="P44" s="3">
        <f t="shared" si="2"/>
        <v>45749.442701284723</v>
      </c>
      <c r="Q44" s="1" t="str">
        <f t="shared" si="3"/>
        <v>Interno</v>
      </c>
      <c r="R44" s="1">
        <f t="shared" si="4"/>
        <v>9</v>
      </c>
      <c r="S44" s="6">
        <f t="shared" si="5"/>
        <v>45712</v>
      </c>
      <c r="T44" s="1">
        <f t="shared" si="6"/>
        <v>14</v>
      </c>
      <c r="U44" s="6">
        <f t="shared" si="7"/>
        <v>45747</v>
      </c>
      <c r="V44" s="1">
        <f t="shared" si="8"/>
        <v>36.041786898145801</v>
      </c>
      <c r="W44" s="1">
        <f t="shared" si="9"/>
        <v>2025</v>
      </c>
      <c r="X44" s="1">
        <f t="shared" si="10"/>
        <v>2025</v>
      </c>
      <c r="Y44" s="1" t="str">
        <f t="shared" si="11"/>
        <v>2025-02</v>
      </c>
      <c r="Z44" s="1" t="str">
        <f t="shared" si="12"/>
        <v>2025-03</v>
      </c>
    </row>
    <row r="45" spans="1:26" x14ac:dyDescent="0.2">
      <c r="A45" s="2" t="s">
        <v>152</v>
      </c>
      <c r="B45" s="1" t="s">
        <v>153</v>
      </c>
      <c r="C45" s="1" t="s">
        <v>106</v>
      </c>
      <c r="D45" s="3">
        <v>45713.566283078704</v>
      </c>
      <c r="E45" s="3">
        <v>45714.480508506946</v>
      </c>
      <c r="F45" s="1" t="s">
        <v>21</v>
      </c>
      <c r="G45" s="1" t="s">
        <v>107</v>
      </c>
      <c r="H45" s="1" t="s">
        <v>23</v>
      </c>
      <c r="I45" s="1" t="s">
        <v>85</v>
      </c>
      <c r="J45" s="1" t="s">
        <v>31</v>
      </c>
      <c r="K45" s="1" t="s">
        <v>25</v>
      </c>
      <c r="L45" s="1" t="s">
        <v>23</v>
      </c>
      <c r="M45" s="1" t="s">
        <v>528</v>
      </c>
      <c r="N45" s="1" t="str">
        <f t="shared" si="0"/>
        <v>SOPORTE</v>
      </c>
      <c r="O45" s="3">
        <f t="shared" si="1"/>
        <v>45713.566283078704</v>
      </c>
      <c r="P45" s="3">
        <f t="shared" si="2"/>
        <v>45714.480508506946</v>
      </c>
      <c r="Q45" s="1" t="str">
        <f t="shared" si="3"/>
        <v>Externo</v>
      </c>
      <c r="R45" s="1">
        <f t="shared" si="4"/>
        <v>9</v>
      </c>
      <c r="S45" s="6">
        <f t="shared" si="5"/>
        <v>45712</v>
      </c>
      <c r="T45" s="1">
        <f t="shared" si="6"/>
        <v>9</v>
      </c>
      <c r="U45" s="6">
        <f t="shared" si="7"/>
        <v>45712</v>
      </c>
      <c r="V45" s="1">
        <f t="shared" si="8"/>
        <v>0.91422542824147968</v>
      </c>
      <c r="W45" s="1">
        <f t="shared" si="9"/>
        <v>2025</v>
      </c>
      <c r="X45" s="1">
        <f t="shared" si="10"/>
        <v>2025</v>
      </c>
      <c r="Y45" s="1" t="str">
        <f t="shared" si="11"/>
        <v>2025-02</v>
      </c>
      <c r="Z45" s="1" t="str">
        <f t="shared" si="12"/>
        <v>2025-02</v>
      </c>
    </row>
    <row r="46" spans="1:26" x14ac:dyDescent="0.2">
      <c r="A46" s="2" t="s">
        <v>154</v>
      </c>
      <c r="B46" s="1" t="s">
        <v>155</v>
      </c>
      <c r="C46" s="1" t="s">
        <v>156</v>
      </c>
      <c r="D46" s="3">
        <v>45713.737597557869</v>
      </c>
      <c r="E46" s="3">
        <v>45733.553336921294</v>
      </c>
      <c r="F46" s="1" t="s">
        <v>21</v>
      </c>
      <c r="G46" s="1" t="s">
        <v>22</v>
      </c>
      <c r="H46" s="1" t="s">
        <v>157</v>
      </c>
      <c r="I46" s="1" t="s">
        <v>85</v>
      </c>
      <c r="J46" s="1" t="s">
        <v>31</v>
      </c>
      <c r="K46" s="1" t="s">
        <v>25</v>
      </c>
      <c r="L46" s="1" t="s">
        <v>23</v>
      </c>
      <c r="M46" s="1" t="s">
        <v>528</v>
      </c>
      <c r="N46" s="1" t="str">
        <f t="shared" si="0"/>
        <v>DESARROLLO</v>
      </c>
      <c r="O46" s="3">
        <f t="shared" si="1"/>
        <v>45713.737597557869</v>
      </c>
      <c r="P46" s="3">
        <f t="shared" si="2"/>
        <v>45733.553336921294</v>
      </c>
      <c r="Q46" s="1" t="str">
        <f t="shared" si="3"/>
        <v>Interno</v>
      </c>
      <c r="R46" s="1">
        <f t="shared" si="4"/>
        <v>9</v>
      </c>
      <c r="S46" s="6">
        <f t="shared" si="5"/>
        <v>45712</v>
      </c>
      <c r="T46" s="1">
        <f t="shared" si="6"/>
        <v>12</v>
      </c>
      <c r="U46" s="6">
        <f t="shared" si="7"/>
        <v>45733</v>
      </c>
      <c r="V46" s="1">
        <f t="shared" si="8"/>
        <v>19.815739363424655</v>
      </c>
      <c r="W46" s="1">
        <f t="shared" si="9"/>
        <v>2025</v>
      </c>
      <c r="X46" s="1">
        <f t="shared" si="10"/>
        <v>2025</v>
      </c>
      <c r="Y46" s="1" t="str">
        <f t="shared" si="11"/>
        <v>2025-02</v>
      </c>
      <c r="Z46" s="1" t="str">
        <f t="shared" si="12"/>
        <v>2025-03</v>
      </c>
    </row>
    <row r="47" spans="1:26" x14ac:dyDescent="0.2">
      <c r="A47" s="2" t="s">
        <v>158</v>
      </c>
      <c r="B47" s="1" t="s">
        <v>159</v>
      </c>
      <c r="C47" s="1" t="s">
        <v>35</v>
      </c>
      <c r="D47" s="3">
        <v>45719.690817025461</v>
      </c>
      <c r="E47" s="3">
        <v>45733.390420324075</v>
      </c>
      <c r="F47" s="1" t="s">
        <v>21</v>
      </c>
      <c r="G47" s="1" t="s">
        <v>36</v>
      </c>
      <c r="H47" s="1" t="s">
        <v>35</v>
      </c>
      <c r="I47" s="1" t="s">
        <v>23</v>
      </c>
      <c r="J47" s="1" t="s">
        <v>31</v>
      </c>
      <c r="K47" s="1" t="s">
        <v>25</v>
      </c>
      <c r="L47" s="1" t="s">
        <v>23</v>
      </c>
      <c r="M47" s="1" t="s">
        <v>23</v>
      </c>
      <c r="N47" s="1" t="str">
        <f t="shared" si="0"/>
        <v>ORIGEN</v>
      </c>
      <c r="O47" s="3">
        <f t="shared" si="1"/>
        <v>45719.690817025461</v>
      </c>
      <c r="P47" s="3">
        <f t="shared" si="2"/>
        <v>45733.390420324075</v>
      </c>
      <c r="Q47" s="1" t="str">
        <f t="shared" si="3"/>
        <v>Externo</v>
      </c>
      <c r="R47" s="1">
        <f t="shared" si="4"/>
        <v>10</v>
      </c>
      <c r="S47" s="6">
        <f t="shared" si="5"/>
        <v>45719</v>
      </c>
      <c r="T47" s="1">
        <f t="shared" si="6"/>
        <v>12</v>
      </c>
      <c r="U47" s="6">
        <f t="shared" si="7"/>
        <v>45733</v>
      </c>
      <c r="V47" s="1">
        <f t="shared" si="8"/>
        <v>13.699603298613511</v>
      </c>
      <c r="W47" s="1">
        <f t="shared" si="9"/>
        <v>2025</v>
      </c>
      <c r="X47" s="1">
        <f t="shared" si="10"/>
        <v>2025</v>
      </c>
      <c r="Y47" s="1" t="str">
        <f t="shared" si="11"/>
        <v>2025-03</v>
      </c>
      <c r="Z47" s="1" t="str">
        <f t="shared" si="12"/>
        <v>2025-03</v>
      </c>
    </row>
    <row r="48" spans="1:26" x14ac:dyDescent="0.2">
      <c r="A48" s="2" t="s">
        <v>160</v>
      </c>
      <c r="B48" s="1" t="s">
        <v>161</v>
      </c>
      <c r="C48" s="1" t="s">
        <v>120</v>
      </c>
      <c r="D48" s="3">
        <v>45720.534572986115</v>
      </c>
      <c r="E48" s="3">
        <v>45722.686054282407</v>
      </c>
      <c r="F48" s="1" t="s">
        <v>21</v>
      </c>
      <c r="G48" s="1" t="s">
        <v>101</v>
      </c>
      <c r="H48" s="1" t="s">
        <v>23</v>
      </c>
      <c r="I48" s="1" t="s">
        <v>50</v>
      </c>
      <c r="J48" s="1" t="s">
        <v>24</v>
      </c>
      <c r="K48" s="1" t="s">
        <v>25</v>
      </c>
      <c r="L48" s="1" t="s">
        <v>162</v>
      </c>
      <c r="M48" s="1" t="s">
        <v>23</v>
      </c>
      <c r="N48" s="1" t="str">
        <f t="shared" si="0"/>
        <v>FUNCIONAL</v>
      </c>
      <c r="O48" s="3">
        <f t="shared" si="1"/>
        <v>45720.534572986115</v>
      </c>
      <c r="P48" s="3">
        <f t="shared" si="2"/>
        <v>45722.686054282407</v>
      </c>
      <c r="Q48" s="1" t="str">
        <f t="shared" si="3"/>
        <v>Interno</v>
      </c>
      <c r="R48" s="1">
        <f t="shared" si="4"/>
        <v>10</v>
      </c>
      <c r="S48" s="6">
        <f t="shared" si="5"/>
        <v>45719</v>
      </c>
      <c r="T48" s="1">
        <f t="shared" si="6"/>
        <v>10</v>
      </c>
      <c r="U48" s="6">
        <f t="shared" si="7"/>
        <v>45719</v>
      </c>
      <c r="V48" s="1">
        <f t="shared" si="8"/>
        <v>2.1514812962923315</v>
      </c>
      <c r="W48" s="1">
        <f t="shared" si="9"/>
        <v>2025</v>
      </c>
      <c r="X48" s="1">
        <f t="shared" si="10"/>
        <v>2025</v>
      </c>
      <c r="Y48" s="1" t="str">
        <f t="shared" si="11"/>
        <v>2025-03</v>
      </c>
      <c r="Z48" s="1" t="str">
        <f t="shared" si="12"/>
        <v>2025-03</v>
      </c>
    </row>
    <row r="49" spans="1:26" x14ac:dyDescent="0.2">
      <c r="A49" s="2" t="s">
        <v>163</v>
      </c>
      <c r="B49" s="1" t="s">
        <v>164</v>
      </c>
      <c r="C49" s="1" t="s">
        <v>79</v>
      </c>
      <c r="D49" s="3">
        <v>45721.585899837963</v>
      </c>
      <c r="E49" s="3">
        <v>45726.554224618056</v>
      </c>
      <c r="F49" s="1" t="s">
        <v>21</v>
      </c>
      <c r="G49" s="1" t="s">
        <v>22</v>
      </c>
      <c r="H49" s="1" t="s">
        <v>23</v>
      </c>
      <c r="I49" s="1" t="s">
        <v>85</v>
      </c>
      <c r="J49" s="1" t="s">
        <v>24</v>
      </c>
      <c r="K49" s="1" t="s">
        <v>25</v>
      </c>
      <c r="L49" s="1" t="s">
        <v>23</v>
      </c>
      <c r="M49" s="1" t="s">
        <v>528</v>
      </c>
      <c r="N49" s="1" t="str">
        <f t="shared" si="0"/>
        <v>DESARROLLO</v>
      </c>
      <c r="O49" s="3">
        <f t="shared" si="1"/>
        <v>45721.585899837963</v>
      </c>
      <c r="P49" s="3">
        <f t="shared" si="2"/>
        <v>45726.554224618056</v>
      </c>
      <c r="Q49" s="1" t="str">
        <f t="shared" si="3"/>
        <v>Interno</v>
      </c>
      <c r="R49" s="1">
        <f t="shared" si="4"/>
        <v>10</v>
      </c>
      <c r="S49" s="6">
        <f t="shared" si="5"/>
        <v>45719</v>
      </c>
      <c r="T49" s="1">
        <f t="shared" si="6"/>
        <v>11</v>
      </c>
      <c r="U49" s="6">
        <f t="shared" si="7"/>
        <v>45726</v>
      </c>
      <c r="V49" s="1">
        <f t="shared" si="8"/>
        <v>4.9683247800930985</v>
      </c>
      <c r="W49" s="1">
        <f t="shared" si="9"/>
        <v>2025</v>
      </c>
      <c r="X49" s="1">
        <f t="shared" si="10"/>
        <v>2025</v>
      </c>
      <c r="Y49" s="1" t="str">
        <f t="shared" si="11"/>
        <v>2025-03</v>
      </c>
      <c r="Z49" s="1" t="str">
        <f t="shared" si="12"/>
        <v>2025-03</v>
      </c>
    </row>
    <row r="50" spans="1:26" x14ac:dyDescent="0.2">
      <c r="A50" s="2" t="s">
        <v>165</v>
      </c>
      <c r="B50" s="1" t="s">
        <v>166</v>
      </c>
      <c r="C50" s="1" t="s">
        <v>96</v>
      </c>
      <c r="D50" s="3">
        <v>45721.649745810188</v>
      </c>
      <c r="E50" s="3">
        <v>45723.413497141206</v>
      </c>
      <c r="F50" s="1" t="s">
        <v>21</v>
      </c>
      <c r="G50" s="1" t="s">
        <v>167</v>
      </c>
      <c r="H50" s="1" t="s">
        <v>23</v>
      </c>
      <c r="I50" s="1" t="s">
        <v>85</v>
      </c>
      <c r="J50" s="1" t="s">
        <v>31</v>
      </c>
      <c r="K50" s="1" t="s">
        <v>25</v>
      </c>
      <c r="L50" s="1" t="s">
        <v>23</v>
      </c>
      <c r="M50" s="1" t="s">
        <v>528</v>
      </c>
      <c r="N50" s="1" t="str">
        <f t="shared" si="0"/>
        <v>REPROCESO</v>
      </c>
      <c r="O50" s="3">
        <f t="shared" si="1"/>
        <v>45721.649745810188</v>
      </c>
      <c r="P50" s="3">
        <f t="shared" si="2"/>
        <v>45723.413497141206</v>
      </c>
      <c r="Q50" s="1" t="str">
        <f t="shared" si="3"/>
        <v>Interno</v>
      </c>
      <c r="R50" s="1">
        <f t="shared" si="4"/>
        <v>10</v>
      </c>
      <c r="S50" s="6">
        <f t="shared" si="5"/>
        <v>45719</v>
      </c>
      <c r="T50" s="1">
        <f t="shared" si="6"/>
        <v>10</v>
      </c>
      <c r="U50" s="6">
        <f t="shared" si="7"/>
        <v>45719</v>
      </c>
      <c r="V50" s="1">
        <f t="shared" si="8"/>
        <v>1.763751331018284</v>
      </c>
      <c r="W50" s="1">
        <f t="shared" si="9"/>
        <v>2025</v>
      </c>
      <c r="X50" s="1">
        <f t="shared" si="10"/>
        <v>2025</v>
      </c>
      <c r="Y50" s="1" t="str">
        <f t="shared" si="11"/>
        <v>2025-03</v>
      </c>
      <c r="Z50" s="1" t="str">
        <f t="shared" si="12"/>
        <v>2025-03</v>
      </c>
    </row>
    <row r="51" spans="1:26" x14ac:dyDescent="0.2">
      <c r="A51" s="2" t="s">
        <v>168</v>
      </c>
      <c r="B51" s="1" t="s">
        <v>169</v>
      </c>
      <c r="C51" s="1" t="s">
        <v>120</v>
      </c>
      <c r="D51" s="3">
        <v>45722.413030833333</v>
      </c>
      <c r="E51" s="3">
        <v>45722.686057777777</v>
      </c>
      <c r="F51" s="1" t="s">
        <v>21</v>
      </c>
      <c r="G51" s="1" t="s">
        <v>22</v>
      </c>
      <c r="H51" s="1" t="s">
        <v>23</v>
      </c>
      <c r="I51" s="1" t="s">
        <v>50</v>
      </c>
      <c r="J51" s="1" t="s">
        <v>24</v>
      </c>
      <c r="K51" s="1" t="s">
        <v>25</v>
      </c>
      <c r="L51" s="1" t="s">
        <v>162</v>
      </c>
      <c r="M51" s="1" t="s">
        <v>23</v>
      </c>
      <c r="N51" s="1" t="str">
        <f t="shared" si="0"/>
        <v>DESARROLLO</v>
      </c>
      <c r="O51" s="3">
        <f t="shared" si="1"/>
        <v>45722.413030833333</v>
      </c>
      <c r="P51" s="3">
        <f t="shared" si="2"/>
        <v>45722.686057777777</v>
      </c>
      <c r="Q51" s="1" t="str">
        <f t="shared" si="3"/>
        <v>Interno</v>
      </c>
      <c r="R51" s="1">
        <f t="shared" si="4"/>
        <v>10</v>
      </c>
      <c r="S51" s="6">
        <f t="shared" si="5"/>
        <v>45719</v>
      </c>
      <c r="T51" s="1">
        <f t="shared" si="6"/>
        <v>10</v>
      </c>
      <c r="U51" s="6">
        <f t="shared" si="7"/>
        <v>45719</v>
      </c>
      <c r="V51" s="1">
        <f t="shared" si="8"/>
        <v>0.2730269444436999</v>
      </c>
      <c r="W51" s="1">
        <f t="shared" si="9"/>
        <v>2025</v>
      </c>
      <c r="X51" s="1">
        <f t="shared" si="10"/>
        <v>2025</v>
      </c>
      <c r="Y51" s="1" t="str">
        <f t="shared" si="11"/>
        <v>2025-03</v>
      </c>
      <c r="Z51" s="1" t="str">
        <f t="shared" si="12"/>
        <v>2025-03</v>
      </c>
    </row>
    <row r="52" spans="1:26" x14ac:dyDescent="0.2">
      <c r="A52" s="2" t="s">
        <v>170</v>
      </c>
      <c r="B52" s="1" t="s">
        <v>171</v>
      </c>
      <c r="C52" s="1" t="s">
        <v>172</v>
      </c>
      <c r="D52" s="3">
        <v>45722.7583409375</v>
      </c>
      <c r="E52" s="3">
        <v>45723.414852314818</v>
      </c>
      <c r="F52" s="1" t="s">
        <v>21</v>
      </c>
      <c r="G52" s="1" t="s">
        <v>167</v>
      </c>
      <c r="H52" s="1" t="s">
        <v>23</v>
      </c>
      <c r="I52" s="1" t="s">
        <v>85</v>
      </c>
      <c r="J52" s="1" t="s">
        <v>31</v>
      </c>
      <c r="K52" s="1" t="s">
        <v>25</v>
      </c>
      <c r="L52" s="1" t="s">
        <v>23</v>
      </c>
      <c r="M52" s="1" t="s">
        <v>528</v>
      </c>
      <c r="N52" s="1" t="str">
        <f t="shared" si="0"/>
        <v>REPROCESO</v>
      </c>
      <c r="O52" s="3">
        <f t="shared" si="1"/>
        <v>45722.7583409375</v>
      </c>
      <c r="P52" s="3">
        <f t="shared" si="2"/>
        <v>45723.414852314818</v>
      </c>
      <c r="Q52" s="1" t="str">
        <f t="shared" si="3"/>
        <v>Interno</v>
      </c>
      <c r="R52" s="1">
        <f t="shared" si="4"/>
        <v>10</v>
      </c>
      <c r="S52" s="6">
        <f t="shared" si="5"/>
        <v>45719</v>
      </c>
      <c r="T52" s="1">
        <f t="shared" si="6"/>
        <v>10</v>
      </c>
      <c r="U52" s="6">
        <f t="shared" si="7"/>
        <v>45719</v>
      </c>
      <c r="V52" s="1">
        <f t="shared" si="8"/>
        <v>0.6565113773176563</v>
      </c>
      <c r="W52" s="1">
        <f t="shared" si="9"/>
        <v>2025</v>
      </c>
      <c r="X52" s="1">
        <f t="shared" si="10"/>
        <v>2025</v>
      </c>
      <c r="Y52" s="1" t="str">
        <f t="shared" si="11"/>
        <v>2025-03</v>
      </c>
      <c r="Z52" s="1" t="str">
        <f t="shared" si="12"/>
        <v>2025-03</v>
      </c>
    </row>
    <row r="53" spans="1:26" x14ac:dyDescent="0.2">
      <c r="A53" s="2" t="s">
        <v>173</v>
      </c>
      <c r="B53" s="1" t="s">
        <v>174</v>
      </c>
      <c r="C53" s="1" t="s">
        <v>120</v>
      </c>
      <c r="D53" s="3">
        <v>45726.458885439817</v>
      </c>
      <c r="E53" s="3">
        <v>45733.49982394676</v>
      </c>
      <c r="F53" s="1" t="s">
        <v>21</v>
      </c>
      <c r="G53" s="1" t="s">
        <v>22</v>
      </c>
      <c r="H53" s="1" t="s">
        <v>23</v>
      </c>
      <c r="I53" s="1" t="s">
        <v>50</v>
      </c>
      <c r="J53" s="1" t="s">
        <v>24</v>
      </c>
      <c r="K53" s="1" t="s">
        <v>25</v>
      </c>
      <c r="L53" s="1" t="s">
        <v>162</v>
      </c>
      <c r="M53" s="1" t="s">
        <v>23</v>
      </c>
      <c r="N53" s="1" t="str">
        <f t="shared" si="0"/>
        <v>DESARROLLO</v>
      </c>
      <c r="O53" s="3">
        <f t="shared" si="1"/>
        <v>45726.458885439817</v>
      </c>
      <c r="P53" s="3">
        <f t="shared" si="2"/>
        <v>45733.49982394676</v>
      </c>
      <c r="Q53" s="1" t="str">
        <f t="shared" si="3"/>
        <v>Interno</v>
      </c>
      <c r="R53" s="1">
        <f t="shared" si="4"/>
        <v>11</v>
      </c>
      <c r="S53" s="6">
        <f t="shared" si="5"/>
        <v>45726</v>
      </c>
      <c r="T53" s="1">
        <f t="shared" si="6"/>
        <v>12</v>
      </c>
      <c r="U53" s="6">
        <f t="shared" si="7"/>
        <v>45733</v>
      </c>
      <c r="V53" s="1">
        <f t="shared" si="8"/>
        <v>7.0409385069433483</v>
      </c>
      <c r="W53" s="1">
        <f t="shared" si="9"/>
        <v>2025</v>
      </c>
      <c r="X53" s="1">
        <f t="shared" si="10"/>
        <v>2025</v>
      </c>
      <c r="Y53" s="1" t="str">
        <f t="shared" si="11"/>
        <v>2025-03</v>
      </c>
      <c r="Z53" s="1" t="str">
        <f t="shared" si="12"/>
        <v>2025-03</v>
      </c>
    </row>
    <row r="54" spans="1:26" x14ac:dyDescent="0.2">
      <c r="A54" s="2" t="s">
        <v>175</v>
      </c>
      <c r="B54" s="1" t="s">
        <v>176</v>
      </c>
      <c r="C54" s="1" t="s">
        <v>120</v>
      </c>
      <c r="D54" s="3">
        <v>45726.459578692127</v>
      </c>
      <c r="E54" s="3">
        <v>45733.499729756943</v>
      </c>
      <c r="F54" s="1" t="s">
        <v>21</v>
      </c>
      <c r="G54" s="1" t="s">
        <v>22</v>
      </c>
      <c r="H54" s="1" t="s">
        <v>23</v>
      </c>
      <c r="I54" s="1" t="s">
        <v>50</v>
      </c>
      <c r="J54" s="1" t="s">
        <v>24</v>
      </c>
      <c r="K54" s="1" t="s">
        <v>25</v>
      </c>
      <c r="L54" s="1" t="s">
        <v>162</v>
      </c>
      <c r="M54" s="1" t="s">
        <v>23</v>
      </c>
      <c r="N54" s="1" t="str">
        <f t="shared" si="0"/>
        <v>DESARROLLO</v>
      </c>
      <c r="O54" s="3">
        <f t="shared" si="1"/>
        <v>45726.459578692127</v>
      </c>
      <c r="P54" s="3">
        <f t="shared" si="2"/>
        <v>45733.499729756943</v>
      </c>
      <c r="Q54" s="1" t="str">
        <f t="shared" si="3"/>
        <v>Interno</v>
      </c>
      <c r="R54" s="1">
        <f t="shared" si="4"/>
        <v>11</v>
      </c>
      <c r="S54" s="6">
        <f t="shared" si="5"/>
        <v>45726</v>
      </c>
      <c r="T54" s="1">
        <f t="shared" si="6"/>
        <v>12</v>
      </c>
      <c r="U54" s="6">
        <f t="shared" si="7"/>
        <v>45733</v>
      </c>
      <c r="V54" s="1">
        <f t="shared" si="8"/>
        <v>7.0401510648152907</v>
      </c>
      <c r="W54" s="1">
        <f t="shared" si="9"/>
        <v>2025</v>
      </c>
      <c r="X54" s="1">
        <f t="shared" si="10"/>
        <v>2025</v>
      </c>
      <c r="Y54" s="1" t="str">
        <f t="shared" si="11"/>
        <v>2025-03</v>
      </c>
      <c r="Z54" s="1" t="str">
        <f t="shared" si="12"/>
        <v>2025-03</v>
      </c>
    </row>
    <row r="55" spans="1:26" x14ac:dyDescent="0.2">
      <c r="A55" s="2" t="s">
        <v>177</v>
      </c>
      <c r="B55" s="1" t="s">
        <v>178</v>
      </c>
      <c r="C55" s="1" t="s">
        <v>79</v>
      </c>
      <c r="D55" s="3">
        <v>45728.686425914355</v>
      </c>
      <c r="E55" s="3">
        <v>45747.549723449076</v>
      </c>
      <c r="F55" s="1" t="s">
        <v>21</v>
      </c>
      <c r="G55" s="1" t="s">
        <v>97</v>
      </c>
      <c r="H55" s="1" t="s">
        <v>23</v>
      </c>
      <c r="I55" s="1" t="s">
        <v>68</v>
      </c>
      <c r="J55" s="1" t="s">
        <v>31</v>
      </c>
      <c r="K55" s="1" t="s">
        <v>25</v>
      </c>
      <c r="L55" s="1" t="s">
        <v>23</v>
      </c>
      <c r="M55" s="1" t="s">
        <v>528</v>
      </c>
      <c r="N55" s="1" t="str">
        <f t="shared" si="0"/>
        <v>DEFINICIÓN</v>
      </c>
      <c r="O55" s="3">
        <f t="shared" si="1"/>
        <v>45728.686425914355</v>
      </c>
      <c r="P55" s="3">
        <f t="shared" si="2"/>
        <v>45747.549723449076</v>
      </c>
      <c r="Q55" s="1" t="str">
        <f t="shared" si="3"/>
        <v>Externo</v>
      </c>
      <c r="R55" s="1">
        <f t="shared" si="4"/>
        <v>11</v>
      </c>
      <c r="S55" s="6">
        <f t="shared" si="5"/>
        <v>45726</v>
      </c>
      <c r="T55" s="1">
        <f t="shared" si="6"/>
        <v>14</v>
      </c>
      <c r="U55" s="6">
        <f t="shared" si="7"/>
        <v>45747</v>
      </c>
      <c r="V55" s="1">
        <f t="shared" si="8"/>
        <v>18.863297534720914</v>
      </c>
      <c r="W55" s="1">
        <f t="shared" si="9"/>
        <v>2025</v>
      </c>
      <c r="X55" s="1">
        <f t="shared" si="10"/>
        <v>2025</v>
      </c>
      <c r="Y55" s="1" t="str">
        <f t="shared" si="11"/>
        <v>2025-03</v>
      </c>
      <c r="Z55" s="1" t="str">
        <f t="shared" si="12"/>
        <v>2025-03</v>
      </c>
    </row>
    <row r="56" spans="1:26" x14ac:dyDescent="0.2">
      <c r="A56" s="2" t="s">
        <v>179</v>
      </c>
      <c r="B56" s="1" t="s">
        <v>180</v>
      </c>
      <c r="C56" s="1" t="s">
        <v>106</v>
      </c>
      <c r="D56" s="3">
        <v>45729.444504386571</v>
      </c>
      <c r="E56" s="3">
        <v>45756.522420000001</v>
      </c>
      <c r="F56" s="1" t="s">
        <v>21</v>
      </c>
      <c r="G56" s="1" t="s">
        <v>22</v>
      </c>
      <c r="H56" s="1" t="s">
        <v>23</v>
      </c>
      <c r="I56" s="1" t="s">
        <v>50</v>
      </c>
      <c r="J56" s="1" t="s">
        <v>31</v>
      </c>
      <c r="K56" s="1" t="s">
        <v>25</v>
      </c>
      <c r="L56" s="1" t="s">
        <v>151</v>
      </c>
      <c r="M56" s="1" t="s">
        <v>23</v>
      </c>
      <c r="N56" s="1" t="str">
        <f t="shared" si="0"/>
        <v>DESARROLLO</v>
      </c>
      <c r="O56" s="3">
        <f t="shared" si="1"/>
        <v>45729.444504386571</v>
      </c>
      <c r="P56" s="3">
        <f t="shared" si="2"/>
        <v>45756.522420000001</v>
      </c>
      <c r="Q56" s="1" t="str">
        <f t="shared" si="3"/>
        <v>Interno</v>
      </c>
      <c r="R56" s="1">
        <f t="shared" si="4"/>
        <v>11</v>
      </c>
      <c r="S56" s="6">
        <f t="shared" si="5"/>
        <v>45726</v>
      </c>
      <c r="T56" s="1">
        <f t="shared" si="6"/>
        <v>15</v>
      </c>
      <c r="U56" s="6">
        <f t="shared" si="7"/>
        <v>45754</v>
      </c>
      <c r="V56" s="1">
        <f t="shared" si="8"/>
        <v>27.077915613430378</v>
      </c>
      <c r="W56" s="1">
        <f t="shared" si="9"/>
        <v>2025</v>
      </c>
      <c r="X56" s="1">
        <f t="shared" si="10"/>
        <v>2025</v>
      </c>
      <c r="Y56" s="1" t="str">
        <f t="shared" si="11"/>
        <v>2025-03</v>
      </c>
      <c r="Z56" s="1" t="str">
        <f t="shared" si="12"/>
        <v>2025-04</v>
      </c>
    </row>
    <row r="57" spans="1:26" x14ac:dyDescent="0.2">
      <c r="A57" s="2" t="s">
        <v>181</v>
      </c>
      <c r="B57" s="1" t="s">
        <v>182</v>
      </c>
      <c r="C57" s="1" t="s">
        <v>82</v>
      </c>
      <c r="D57" s="3">
        <v>45733.384057928241</v>
      </c>
      <c r="E57" s="3">
        <v>45760.485956307872</v>
      </c>
      <c r="F57" s="1" t="s">
        <v>21</v>
      </c>
      <c r="G57" s="1" t="s">
        <v>167</v>
      </c>
      <c r="H57" s="1" t="s">
        <v>23</v>
      </c>
      <c r="I57" s="1" t="s">
        <v>183</v>
      </c>
      <c r="J57" s="1" t="s">
        <v>31</v>
      </c>
      <c r="K57" s="1" t="s">
        <v>25</v>
      </c>
      <c r="L57" s="1" t="s">
        <v>23</v>
      </c>
      <c r="M57" s="1" t="s">
        <v>528</v>
      </c>
      <c r="N57" s="1" t="str">
        <f t="shared" si="0"/>
        <v>REPROCESO</v>
      </c>
      <c r="O57" s="3">
        <f t="shared" si="1"/>
        <v>45733.384057928241</v>
      </c>
      <c r="P57" s="3">
        <f t="shared" si="2"/>
        <v>45760.485956307872</v>
      </c>
      <c r="Q57" s="1" t="str">
        <f t="shared" si="3"/>
        <v>Interno</v>
      </c>
      <c r="R57" s="1">
        <f t="shared" si="4"/>
        <v>12</v>
      </c>
      <c r="S57" s="6">
        <f t="shared" si="5"/>
        <v>45733</v>
      </c>
      <c r="T57" s="1">
        <f t="shared" si="6"/>
        <v>16</v>
      </c>
      <c r="U57" s="6">
        <f t="shared" si="7"/>
        <v>45761</v>
      </c>
      <c r="V57" s="1">
        <f t="shared" si="8"/>
        <v>27.101898379631166</v>
      </c>
      <c r="W57" s="1">
        <f t="shared" si="9"/>
        <v>2025</v>
      </c>
      <c r="X57" s="1">
        <f t="shared" si="10"/>
        <v>2025</v>
      </c>
      <c r="Y57" s="1" t="str">
        <f t="shared" si="11"/>
        <v>2025-03</v>
      </c>
      <c r="Z57" s="1" t="str">
        <f t="shared" si="12"/>
        <v>2025-04</v>
      </c>
    </row>
    <row r="58" spans="1:26" x14ac:dyDescent="0.2">
      <c r="A58" s="2" t="s">
        <v>184</v>
      </c>
      <c r="B58" s="1" t="s">
        <v>185</v>
      </c>
      <c r="C58" s="1" t="s">
        <v>120</v>
      </c>
      <c r="D58" s="3">
        <v>45733.500471828702</v>
      </c>
      <c r="E58" s="3">
        <v>45736.419848634258</v>
      </c>
      <c r="F58" s="1" t="s">
        <v>21</v>
      </c>
      <c r="G58" s="1" t="s">
        <v>97</v>
      </c>
      <c r="H58" s="1" t="s">
        <v>23</v>
      </c>
      <c r="I58" s="1" t="s">
        <v>50</v>
      </c>
      <c r="J58" s="1" t="s">
        <v>24</v>
      </c>
      <c r="K58" s="1" t="s">
        <v>37</v>
      </c>
      <c r="L58" s="1" t="s">
        <v>151</v>
      </c>
      <c r="M58" s="1" t="s">
        <v>23</v>
      </c>
      <c r="N58" s="1" t="str">
        <f t="shared" si="0"/>
        <v>DEFINICIÓN</v>
      </c>
      <c r="O58" s="3">
        <f t="shared" si="1"/>
        <v>45733.500471828702</v>
      </c>
      <c r="P58" s="3">
        <f t="shared" si="2"/>
        <v>45736.419848634258</v>
      </c>
      <c r="Q58" s="1" t="str">
        <f t="shared" si="3"/>
        <v>Externo</v>
      </c>
      <c r="R58" s="1">
        <f t="shared" si="4"/>
        <v>12</v>
      </c>
      <c r="S58" s="6">
        <f t="shared" si="5"/>
        <v>45733</v>
      </c>
      <c r="T58" s="1">
        <f t="shared" si="6"/>
        <v>12</v>
      </c>
      <c r="U58" s="6">
        <f t="shared" si="7"/>
        <v>45733</v>
      </c>
      <c r="V58" s="1">
        <f t="shared" si="8"/>
        <v>2.9193768055556575</v>
      </c>
      <c r="W58" s="1">
        <f t="shared" si="9"/>
        <v>2025</v>
      </c>
      <c r="X58" s="1">
        <f t="shared" si="10"/>
        <v>2025</v>
      </c>
      <c r="Y58" s="1" t="str">
        <f t="shared" si="11"/>
        <v>2025-03</v>
      </c>
      <c r="Z58" s="1" t="str">
        <f t="shared" si="12"/>
        <v>2025-03</v>
      </c>
    </row>
    <row r="59" spans="1:26" x14ac:dyDescent="0.2">
      <c r="A59" s="2" t="s">
        <v>186</v>
      </c>
      <c r="B59" s="1" t="s">
        <v>187</v>
      </c>
      <c r="C59" s="1" t="s">
        <v>120</v>
      </c>
      <c r="D59" s="3">
        <v>45733.500829780096</v>
      </c>
      <c r="E59" s="3">
        <v>45749.442734328702</v>
      </c>
      <c r="F59" s="1" t="s">
        <v>21</v>
      </c>
      <c r="G59" s="1" t="s">
        <v>22</v>
      </c>
      <c r="H59" s="1" t="s">
        <v>23</v>
      </c>
      <c r="I59" s="1" t="s">
        <v>50</v>
      </c>
      <c r="J59" s="1" t="s">
        <v>24</v>
      </c>
      <c r="K59" s="1" t="s">
        <v>25</v>
      </c>
      <c r="L59" s="1" t="s">
        <v>151</v>
      </c>
      <c r="M59" s="1" t="s">
        <v>23</v>
      </c>
      <c r="N59" s="1" t="str">
        <f t="shared" si="0"/>
        <v>DESARROLLO</v>
      </c>
      <c r="O59" s="3">
        <f t="shared" si="1"/>
        <v>45733.500829780096</v>
      </c>
      <c r="P59" s="3">
        <f t="shared" si="2"/>
        <v>45749.442734328702</v>
      </c>
      <c r="Q59" s="1" t="str">
        <f t="shared" si="3"/>
        <v>Interno</v>
      </c>
      <c r="R59" s="1">
        <f t="shared" si="4"/>
        <v>12</v>
      </c>
      <c r="S59" s="6">
        <f t="shared" si="5"/>
        <v>45733</v>
      </c>
      <c r="T59" s="1">
        <f t="shared" si="6"/>
        <v>14</v>
      </c>
      <c r="U59" s="6">
        <f t="shared" si="7"/>
        <v>45747</v>
      </c>
      <c r="V59" s="1">
        <f t="shared" si="8"/>
        <v>15.941904548606544</v>
      </c>
      <c r="W59" s="1">
        <f t="shared" si="9"/>
        <v>2025</v>
      </c>
      <c r="X59" s="1">
        <f t="shared" si="10"/>
        <v>2025</v>
      </c>
      <c r="Y59" s="1" t="str">
        <f t="shared" si="11"/>
        <v>2025-03</v>
      </c>
      <c r="Z59" s="1" t="str">
        <f t="shared" si="12"/>
        <v>2025-03</v>
      </c>
    </row>
    <row r="60" spans="1:26" x14ac:dyDescent="0.2">
      <c r="A60" s="2" t="s">
        <v>188</v>
      </c>
      <c r="B60" s="1" t="s">
        <v>189</v>
      </c>
      <c r="C60" s="1" t="s">
        <v>35</v>
      </c>
      <c r="D60" s="3">
        <v>45733.729937928241</v>
      </c>
      <c r="E60" s="4">
        <v>45748.400583171293</v>
      </c>
      <c r="F60" s="1" t="s">
        <v>21</v>
      </c>
      <c r="G60" s="1" t="s">
        <v>36</v>
      </c>
      <c r="H60" s="1" t="s">
        <v>23</v>
      </c>
      <c r="I60" s="1" t="s">
        <v>85</v>
      </c>
      <c r="J60" s="1" t="s">
        <v>31</v>
      </c>
      <c r="K60" s="1" t="s">
        <v>25</v>
      </c>
      <c r="L60" s="1" t="s">
        <v>23</v>
      </c>
      <c r="M60" s="1" t="s">
        <v>528</v>
      </c>
      <c r="N60" s="1" t="str">
        <f t="shared" si="0"/>
        <v>ORIGEN</v>
      </c>
      <c r="O60" s="3">
        <f t="shared" si="1"/>
        <v>45733.729937928241</v>
      </c>
      <c r="P60" s="3">
        <f t="shared" si="2"/>
        <v>45748.400583171293</v>
      </c>
      <c r="Q60" s="1" t="str">
        <f t="shared" si="3"/>
        <v>Externo</v>
      </c>
      <c r="R60" s="1">
        <f t="shared" si="4"/>
        <v>12</v>
      </c>
      <c r="S60" s="6">
        <f t="shared" si="5"/>
        <v>45733</v>
      </c>
      <c r="T60" s="1">
        <f t="shared" si="6"/>
        <v>14</v>
      </c>
      <c r="U60" s="6">
        <f t="shared" si="7"/>
        <v>45747</v>
      </c>
      <c r="V60" s="1">
        <f t="shared" si="8"/>
        <v>14.670645243051695</v>
      </c>
      <c r="W60" s="1">
        <f t="shared" si="9"/>
        <v>2025</v>
      </c>
      <c r="X60" s="1">
        <f t="shared" si="10"/>
        <v>2025</v>
      </c>
      <c r="Y60" s="1" t="str">
        <f t="shared" si="11"/>
        <v>2025-03</v>
      </c>
      <c r="Z60" s="1" t="str">
        <f t="shared" si="12"/>
        <v>2025-03</v>
      </c>
    </row>
    <row r="61" spans="1:26" x14ac:dyDescent="0.2">
      <c r="A61" s="2" t="s">
        <v>190</v>
      </c>
      <c r="B61" s="1" t="s">
        <v>191</v>
      </c>
      <c r="C61" s="1" t="s">
        <v>156</v>
      </c>
      <c r="D61" s="3">
        <v>45735.529599803238</v>
      </c>
      <c r="E61" s="3">
        <v>45747.549552870369</v>
      </c>
      <c r="F61" s="1" t="s">
        <v>21</v>
      </c>
      <c r="G61" s="1" t="s">
        <v>22</v>
      </c>
      <c r="H61" s="1" t="s">
        <v>23</v>
      </c>
      <c r="I61" s="1" t="s">
        <v>68</v>
      </c>
      <c r="J61" s="1" t="s">
        <v>31</v>
      </c>
      <c r="K61" s="1" t="s">
        <v>25</v>
      </c>
      <c r="L61" s="1" t="s">
        <v>23</v>
      </c>
      <c r="M61" s="1" t="s">
        <v>23</v>
      </c>
      <c r="N61" s="1" t="str">
        <f t="shared" si="0"/>
        <v>DESARROLLO</v>
      </c>
      <c r="O61" s="3">
        <f t="shared" si="1"/>
        <v>45735.529599803238</v>
      </c>
      <c r="P61" s="3">
        <f t="shared" si="2"/>
        <v>45747.549552870369</v>
      </c>
      <c r="Q61" s="1" t="str">
        <f t="shared" si="3"/>
        <v>Interno</v>
      </c>
      <c r="R61" s="1">
        <f t="shared" si="4"/>
        <v>12</v>
      </c>
      <c r="S61" s="6">
        <f t="shared" si="5"/>
        <v>45733</v>
      </c>
      <c r="T61" s="1">
        <f t="shared" si="6"/>
        <v>14</v>
      </c>
      <c r="U61" s="6">
        <f t="shared" si="7"/>
        <v>45747</v>
      </c>
      <c r="V61" s="1">
        <f t="shared" si="8"/>
        <v>12.0199530671307</v>
      </c>
      <c r="W61" s="1">
        <f t="shared" si="9"/>
        <v>2025</v>
      </c>
      <c r="X61" s="1">
        <f t="shared" si="10"/>
        <v>2025</v>
      </c>
      <c r="Y61" s="1" t="str">
        <f t="shared" si="11"/>
        <v>2025-03</v>
      </c>
      <c r="Z61" s="1" t="str">
        <f t="shared" si="12"/>
        <v>2025-03</v>
      </c>
    </row>
    <row r="62" spans="1:26" x14ac:dyDescent="0.2">
      <c r="A62" s="2" t="s">
        <v>192</v>
      </c>
      <c r="B62" s="1" t="s">
        <v>193</v>
      </c>
      <c r="C62" s="1" t="s">
        <v>120</v>
      </c>
      <c r="D62" s="3">
        <v>45737.535019212963</v>
      </c>
      <c r="E62" s="4">
        <v>45748.391821238423</v>
      </c>
      <c r="F62" s="1" t="s">
        <v>21</v>
      </c>
      <c r="G62" s="1" t="s">
        <v>22</v>
      </c>
      <c r="H62" s="1" t="s">
        <v>23</v>
      </c>
      <c r="I62" s="1" t="s">
        <v>50</v>
      </c>
      <c r="J62" s="1" t="s">
        <v>24</v>
      </c>
      <c r="K62" s="1" t="s">
        <v>25</v>
      </c>
      <c r="L62" s="1" t="s">
        <v>151</v>
      </c>
      <c r="M62" s="1" t="s">
        <v>23</v>
      </c>
      <c r="N62" s="1" t="str">
        <f t="shared" si="0"/>
        <v>DESARROLLO</v>
      </c>
      <c r="O62" s="3">
        <f t="shared" si="1"/>
        <v>45737.535019212963</v>
      </c>
      <c r="P62" s="3">
        <f t="shared" si="2"/>
        <v>45748.391821238423</v>
      </c>
      <c r="Q62" s="1" t="str">
        <f t="shared" si="3"/>
        <v>Interno</v>
      </c>
      <c r="R62" s="1">
        <f t="shared" si="4"/>
        <v>12</v>
      </c>
      <c r="S62" s="6">
        <f t="shared" si="5"/>
        <v>45733</v>
      </c>
      <c r="T62" s="1">
        <f t="shared" si="6"/>
        <v>14</v>
      </c>
      <c r="U62" s="6">
        <f t="shared" si="7"/>
        <v>45747</v>
      </c>
      <c r="V62" s="1">
        <f t="shared" si="8"/>
        <v>10.856802025460638</v>
      </c>
      <c r="W62" s="1">
        <f t="shared" si="9"/>
        <v>2025</v>
      </c>
      <c r="X62" s="1">
        <f t="shared" si="10"/>
        <v>2025</v>
      </c>
      <c r="Y62" s="1" t="str">
        <f t="shared" si="11"/>
        <v>2025-03</v>
      </c>
      <c r="Z62" s="1" t="str">
        <f t="shared" si="12"/>
        <v>2025-03</v>
      </c>
    </row>
    <row r="63" spans="1:26" x14ac:dyDescent="0.2">
      <c r="A63" s="2" t="s">
        <v>194</v>
      </c>
      <c r="B63" s="1" t="s">
        <v>195</v>
      </c>
      <c r="C63" s="1" t="s">
        <v>120</v>
      </c>
      <c r="D63" s="3">
        <v>45740.510109224539</v>
      </c>
      <c r="E63" s="4">
        <v>45748.39604821759</v>
      </c>
      <c r="F63" s="1" t="s">
        <v>21</v>
      </c>
      <c r="G63" s="1" t="s">
        <v>101</v>
      </c>
      <c r="H63" s="1" t="s">
        <v>23</v>
      </c>
      <c r="I63" s="1" t="s">
        <v>50</v>
      </c>
      <c r="J63" s="1" t="s">
        <v>24</v>
      </c>
      <c r="K63" s="1" t="s">
        <v>25</v>
      </c>
      <c r="L63" s="1" t="s">
        <v>151</v>
      </c>
      <c r="M63" s="1" t="s">
        <v>23</v>
      </c>
      <c r="N63" s="1" t="str">
        <f t="shared" si="0"/>
        <v>FUNCIONAL</v>
      </c>
      <c r="O63" s="3">
        <f t="shared" si="1"/>
        <v>45740.510109224539</v>
      </c>
      <c r="P63" s="3">
        <f t="shared" si="2"/>
        <v>45748.39604821759</v>
      </c>
      <c r="Q63" s="1" t="str">
        <f t="shared" si="3"/>
        <v>Interno</v>
      </c>
      <c r="R63" s="1">
        <f t="shared" si="4"/>
        <v>13</v>
      </c>
      <c r="S63" s="6">
        <f t="shared" si="5"/>
        <v>45740</v>
      </c>
      <c r="T63" s="1">
        <f t="shared" si="6"/>
        <v>14</v>
      </c>
      <c r="U63" s="6">
        <f t="shared" si="7"/>
        <v>45747</v>
      </c>
      <c r="V63" s="1">
        <f t="shared" si="8"/>
        <v>7.8859389930512407</v>
      </c>
      <c r="W63" s="1">
        <f t="shared" si="9"/>
        <v>2025</v>
      </c>
      <c r="X63" s="1">
        <f t="shared" si="10"/>
        <v>2025</v>
      </c>
      <c r="Y63" s="1" t="str">
        <f t="shared" si="11"/>
        <v>2025-03</v>
      </c>
      <c r="Z63" s="1" t="str">
        <f t="shared" si="12"/>
        <v>2025-03</v>
      </c>
    </row>
    <row r="64" spans="1:26" x14ac:dyDescent="0.2">
      <c r="A64" s="2" t="s">
        <v>196</v>
      </c>
      <c r="B64" s="1" t="s">
        <v>197</v>
      </c>
      <c r="C64" s="1" t="s">
        <v>120</v>
      </c>
      <c r="D64" s="3">
        <v>45740.511396620372</v>
      </c>
      <c r="E64" s="4">
        <v>45748.39608770833</v>
      </c>
      <c r="F64" s="1" t="s">
        <v>21</v>
      </c>
      <c r="G64" s="1" t="s">
        <v>22</v>
      </c>
      <c r="H64" s="1" t="s">
        <v>23</v>
      </c>
      <c r="I64" s="1" t="s">
        <v>50</v>
      </c>
      <c r="J64" s="1" t="s">
        <v>24</v>
      </c>
      <c r="K64" s="1" t="s">
        <v>25</v>
      </c>
      <c r="L64" s="1" t="s">
        <v>151</v>
      </c>
      <c r="M64" s="1" t="s">
        <v>23</v>
      </c>
      <c r="N64" s="1" t="str">
        <f t="shared" si="0"/>
        <v>DESARROLLO</v>
      </c>
      <c r="O64" s="3">
        <f t="shared" si="1"/>
        <v>45740.511396620372</v>
      </c>
      <c r="P64" s="3">
        <f t="shared" si="2"/>
        <v>45748.39608770833</v>
      </c>
      <c r="Q64" s="1" t="str">
        <f t="shared" si="3"/>
        <v>Interno</v>
      </c>
      <c r="R64" s="1">
        <f t="shared" si="4"/>
        <v>13</v>
      </c>
      <c r="S64" s="6">
        <f t="shared" si="5"/>
        <v>45740</v>
      </c>
      <c r="T64" s="1">
        <f t="shared" si="6"/>
        <v>14</v>
      </c>
      <c r="U64" s="6">
        <f t="shared" si="7"/>
        <v>45747</v>
      </c>
      <c r="V64" s="1">
        <f t="shared" si="8"/>
        <v>7.8846910879583447</v>
      </c>
      <c r="W64" s="1">
        <f t="shared" si="9"/>
        <v>2025</v>
      </c>
      <c r="X64" s="1">
        <f t="shared" si="10"/>
        <v>2025</v>
      </c>
      <c r="Y64" s="1" t="str">
        <f t="shared" si="11"/>
        <v>2025-03</v>
      </c>
      <c r="Z64" s="1" t="str">
        <f t="shared" si="12"/>
        <v>2025-03</v>
      </c>
    </row>
    <row r="65" spans="1:26" x14ac:dyDescent="0.2">
      <c r="A65" s="2" t="s">
        <v>198</v>
      </c>
      <c r="B65" s="1" t="s">
        <v>199</v>
      </c>
      <c r="C65" s="1" t="s">
        <v>113</v>
      </c>
      <c r="D65" s="3">
        <v>45742.702933622684</v>
      </c>
      <c r="E65" s="3">
        <v>45744.462955937503</v>
      </c>
      <c r="F65" s="1" t="s">
        <v>21</v>
      </c>
      <c r="G65" s="1" t="s">
        <v>36</v>
      </c>
      <c r="H65" s="1" t="s">
        <v>23</v>
      </c>
      <c r="I65" s="1" t="s">
        <v>85</v>
      </c>
      <c r="J65" s="1" t="s">
        <v>31</v>
      </c>
      <c r="K65" s="1" t="s">
        <v>25</v>
      </c>
      <c r="L65" s="1" t="s">
        <v>23</v>
      </c>
      <c r="M65" s="1" t="s">
        <v>528</v>
      </c>
      <c r="N65" s="1" t="str">
        <f t="shared" si="0"/>
        <v>ORIGEN</v>
      </c>
      <c r="O65" s="3">
        <f t="shared" si="1"/>
        <v>45742.702933622684</v>
      </c>
      <c r="P65" s="3">
        <f t="shared" si="2"/>
        <v>45744.462955937503</v>
      </c>
      <c r="Q65" s="1" t="str">
        <f t="shared" si="3"/>
        <v>Externo</v>
      </c>
      <c r="R65" s="1">
        <f t="shared" si="4"/>
        <v>13</v>
      </c>
      <c r="S65" s="6">
        <f t="shared" si="5"/>
        <v>45740</v>
      </c>
      <c r="T65" s="1">
        <f t="shared" si="6"/>
        <v>13</v>
      </c>
      <c r="U65" s="6">
        <f t="shared" si="7"/>
        <v>45740</v>
      </c>
      <c r="V65" s="1">
        <f t="shared" si="8"/>
        <v>1.7600223148183431</v>
      </c>
      <c r="W65" s="1">
        <f t="shared" si="9"/>
        <v>2025</v>
      </c>
      <c r="X65" s="1">
        <f t="shared" si="10"/>
        <v>2025</v>
      </c>
      <c r="Y65" s="1" t="str">
        <f t="shared" si="11"/>
        <v>2025-03</v>
      </c>
      <c r="Z65" s="1" t="str">
        <f t="shared" si="12"/>
        <v>2025-03</v>
      </c>
    </row>
    <row r="66" spans="1:26" x14ac:dyDescent="0.2">
      <c r="A66" s="2" t="s">
        <v>200</v>
      </c>
      <c r="B66" s="1" t="s">
        <v>201</v>
      </c>
      <c r="C66" s="1" t="s">
        <v>202</v>
      </c>
      <c r="D66" s="3">
        <v>45742.705702893516</v>
      </c>
      <c r="E66" s="3">
        <v>45744.471302361111</v>
      </c>
      <c r="F66" s="1" t="s">
        <v>21</v>
      </c>
      <c r="G66" s="1" t="s">
        <v>167</v>
      </c>
      <c r="H66" s="1" t="s">
        <v>202</v>
      </c>
      <c r="I66" s="1" t="s">
        <v>85</v>
      </c>
      <c r="J66" s="1" t="s">
        <v>31</v>
      </c>
      <c r="K66" s="1" t="s">
        <v>25</v>
      </c>
      <c r="L66" s="1" t="s">
        <v>23</v>
      </c>
      <c r="M66" s="1" t="s">
        <v>528</v>
      </c>
      <c r="N66" s="1" t="str">
        <f t="shared" si="0"/>
        <v>REPROCESO</v>
      </c>
      <c r="O66" s="3">
        <f t="shared" si="1"/>
        <v>45742.705702893516</v>
      </c>
      <c r="P66" s="3">
        <f t="shared" si="2"/>
        <v>45744.471302361111</v>
      </c>
      <c r="Q66" s="1" t="str">
        <f t="shared" si="3"/>
        <v>Interno</v>
      </c>
      <c r="R66" s="1">
        <f t="shared" si="4"/>
        <v>13</v>
      </c>
      <c r="S66" s="6">
        <f t="shared" si="5"/>
        <v>45740</v>
      </c>
      <c r="T66" s="1">
        <f t="shared" si="6"/>
        <v>13</v>
      </c>
      <c r="U66" s="6">
        <f t="shared" si="7"/>
        <v>45740</v>
      </c>
      <c r="V66" s="1">
        <f t="shared" si="8"/>
        <v>1.7655994675951661</v>
      </c>
      <c r="W66" s="1">
        <f t="shared" si="9"/>
        <v>2025</v>
      </c>
      <c r="X66" s="1">
        <f t="shared" si="10"/>
        <v>2025</v>
      </c>
      <c r="Y66" s="1" t="str">
        <f t="shared" si="11"/>
        <v>2025-03</v>
      </c>
      <c r="Z66" s="1" t="str">
        <f t="shared" si="12"/>
        <v>2025-03</v>
      </c>
    </row>
    <row r="67" spans="1:26" x14ac:dyDescent="0.2">
      <c r="A67" s="2" t="s">
        <v>203</v>
      </c>
      <c r="B67" s="1" t="s">
        <v>204</v>
      </c>
      <c r="C67" s="1" t="s">
        <v>20</v>
      </c>
      <c r="D67" s="3">
        <v>45747.405591736111</v>
      </c>
      <c r="E67" s="3">
        <v>45782.415182476849</v>
      </c>
      <c r="F67" s="1" t="s">
        <v>21</v>
      </c>
      <c r="G67" s="1" t="s">
        <v>36</v>
      </c>
      <c r="H67" s="1" t="s">
        <v>23</v>
      </c>
      <c r="I67" s="1" t="s">
        <v>183</v>
      </c>
      <c r="J67" s="1" t="s">
        <v>31</v>
      </c>
      <c r="K67" s="1" t="s">
        <v>25</v>
      </c>
      <c r="L67" s="1" t="s">
        <v>23</v>
      </c>
      <c r="M67" s="1" t="s">
        <v>528</v>
      </c>
      <c r="N67" s="1" t="str">
        <f t="shared" ref="N67:N130" si="13">G67</f>
        <v>ORIGEN</v>
      </c>
      <c r="O67" s="3">
        <f t="shared" ref="O67:O130" si="14">D67</f>
        <v>45747.405591736111</v>
      </c>
      <c r="P67" s="3">
        <f t="shared" ref="P67:P130" si="15">E67</f>
        <v>45782.415182476849</v>
      </c>
      <c r="Q67" s="1" t="str">
        <f t="shared" ref="Q67:Q130" si="16">IF(OR(N67="Soporte",N67="Definición",N67="Origen"),"Externo",
IF(OR(N67="Funcional",N67="Técnico",N67="Desarrollo",N67="Reproceso"),"Interno",
IF(OR(N67="",N67="Selecciona (ORIGEN/PLANIFICACIÓN/RELANZADO PROCESO/DEFINICIÓN/FUNCIONAL/TÉCNICO/DESARROLLO/PENDIENTE REPROCESO)"),"Pendiente clasificar","")))</f>
        <v>Externo</v>
      </c>
      <c r="R67" s="1">
        <f t="shared" ref="R67:R130" si="17">WEEKNUM(O67,1)</f>
        <v>14</v>
      </c>
      <c r="S67" s="6">
        <f t="shared" ref="S67:S130" si="18">DATE(W67,1,4) + (R67-1)*7 - WEEKDAY(DATE(W67,1,4),2) +1</f>
        <v>45747</v>
      </c>
      <c r="T67" s="1">
        <f t="shared" ref="T67:T130" si="19">WEEKNUM(P67,1)</f>
        <v>19</v>
      </c>
      <c r="U67" s="6">
        <f t="shared" ref="U67:U130" si="20">DATE(X67,1,4) + (T67-1)*7 - WEEKDAY(DATE(X67,1,4),2) +1</f>
        <v>45782</v>
      </c>
      <c r="V67" s="1">
        <f t="shared" ref="V67:V130" si="21">ABS(P67-O67)</f>
        <v>35.009590740737622</v>
      </c>
      <c r="W67" s="1">
        <f t="shared" ref="W67:W130" si="22">YEAR(O67)</f>
        <v>2025</v>
      </c>
      <c r="X67" s="1">
        <f t="shared" ref="X67:X130" si="23">YEAR(P67)</f>
        <v>2025</v>
      </c>
      <c r="Y67" s="1" t="str">
        <f t="shared" ref="Y67:Y130" si="24">(TEXT(S67,"aaaa-mm"))</f>
        <v>2025-03</v>
      </c>
      <c r="Z67" s="1" t="str">
        <f t="shared" ref="Z67:Z130" si="25">(TEXT(U67,"aaaa-mm"))</f>
        <v>2025-05</v>
      </c>
    </row>
    <row r="68" spans="1:26" x14ac:dyDescent="0.2">
      <c r="A68" s="2" t="s">
        <v>205</v>
      </c>
      <c r="B68" s="1" t="s">
        <v>206</v>
      </c>
      <c r="C68" s="1" t="s">
        <v>49</v>
      </c>
      <c r="D68" s="4">
        <v>45748.527384699075</v>
      </c>
      <c r="E68" s="3">
        <v>45757.412225752312</v>
      </c>
      <c r="F68" s="1" t="s">
        <v>21</v>
      </c>
      <c r="G68" s="1" t="s">
        <v>167</v>
      </c>
      <c r="H68" s="1" t="s">
        <v>23</v>
      </c>
      <c r="I68" s="1" t="s">
        <v>183</v>
      </c>
      <c r="J68" s="1" t="s">
        <v>125</v>
      </c>
      <c r="K68" s="1" t="s">
        <v>25</v>
      </c>
      <c r="L68" s="1" t="s">
        <v>23</v>
      </c>
      <c r="M68" s="1" t="s">
        <v>528</v>
      </c>
      <c r="N68" s="1" t="str">
        <f t="shared" si="13"/>
        <v>REPROCESO</v>
      </c>
      <c r="O68" s="3">
        <f t="shared" si="14"/>
        <v>45748.527384699075</v>
      </c>
      <c r="P68" s="3">
        <f t="shared" si="15"/>
        <v>45757.412225752312</v>
      </c>
      <c r="Q68" s="1" t="str">
        <f t="shared" si="16"/>
        <v>Interno</v>
      </c>
      <c r="R68" s="1">
        <f t="shared" si="17"/>
        <v>14</v>
      </c>
      <c r="S68" s="6">
        <f t="shared" si="18"/>
        <v>45747</v>
      </c>
      <c r="T68" s="1">
        <f t="shared" si="19"/>
        <v>15</v>
      </c>
      <c r="U68" s="6">
        <f t="shared" si="20"/>
        <v>45754</v>
      </c>
      <c r="V68" s="1">
        <f t="shared" si="21"/>
        <v>8.8848410532373236</v>
      </c>
      <c r="W68" s="1">
        <f t="shared" si="22"/>
        <v>2025</v>
      </c>
      <c r="X68" s="1">
        <f t="shared" si="23"/>
        <v>2025</v>
      </c>
      <c r="Y68" s="1" t="str">
        <f t="shared" si="24"/>
        <v>2025-03</v>
      </c>
      <c r="Z68" s="1" t="str">
        <f t="shared" si="25"/>
        <v>2025-04</v>
      </c>
    </row>
    <row r="69" spans="1:26" x14ac:dyDescent="0.2">
      <c r="A69" s="2" t="s">
        <v>207</v>
      </c>
      <c r="B69" s="1" t="s">
        <v>208</v>
      </c>
      <c r="C69" s="1" t="s">
        <v>44</v>
      </c>
      <c r="D69" s="4">
        <v>45748.558477002312</v>
      </c>
      <c r="E69" s="3">
        <v>45790.408965069444</v>
      </c>
      <c r="F69" s="1" t="s">
        <v>21</v>
      </c>
      <c r="G69" s="1" t="s">
        <v>36</v>
      </c>
      <c r="H69" s="1" t="s">
        <v>209</v>
      </c>
      <c r="I69" s="1" t="s">
        <v>183</v>
      </c>
      <c r="J69" s="1" t="s">
        <v>31</v>
      </c>
      <c r="K69" s="1" t="s">
        <v>25</v>
      </c>
      <c r="L69" s="1" t="s">
        <v>23</v>
      </c>
      <c r="M69" s="1" t="s">
        <v>528</v>
      </c>
      <c r="N69" s="1" t="str">
        <f t="shared" si="13"/>
        <v>ORIGEN</v>
      </c>
      <c r="O69" s="3">
        <f t="shared" si="14"/>
        <v>45748.558477002312</v>
      </c>
      <c r="P69" s="3">
        <f t="shared" si="15"/>
        <v>45790.408965069444</v>
      </c>
      <c r="Q69" s="1" t="str">
        <f t="shared" si="16"/>
        <v>Externo</v>
      </c>
      <c r="R69" s="1">
        <f t="shared" si="17"/>
        <v>14</v>
      </c>
      <c r="S69" s="6">
        <f t="shared" si="18"/>
        <v>45747</v>
      </c>
      <c r="T69" s="1">
        <f t="shared" si="19"/>
        <v>20</v>
      </c>
      <c r="U69" s="6">
        <f t="shared" si="20"/>
        <v>45789</v>
      </c>
      <c r="V69" s="1">
        <f t="shared" si="21"/>
        <v>41.850488067131664</v>
      </c>
      <c r="W69" s="1">
        <f t="shared" si="22"/>
        <v>2025</v>
      </c>
      <c r="X69" s="1">
        <f t="shared" si="23"/>
        <v>2025</v>
      </c>
      <c r="Y69" s="1" t="str">
        <f t="shared" si="24"/>
        <v>2025-03</v>
      </c>
      <c r="Z69" s="1" t="str">
        <f t="shared" si="25"/>
        <v>2025-05</v>
      </c>
    </row>
    <row r="70" spans="1:26" x14ac:dyDescent="0.2">
      <c r="A70" s="2" t="s">
        <v>210</v>
      </c>
      <c r="B70" s="1" t="s">
        <v>211</v>
      </c>
      <c r="C70" s="1" t="s">
        <v>120</v>
      </c>
      <c r="D70" s="4">
        <v>45748.666523159722</v>
      </c>
      <c r="E70" s="3">
        <v>45757.41237474537</v>
      </c>
      <c r="F70" s="1" t="s">
        <v>21</v>
      </c>
      <c r="G70" s="1" t="s">
        <v>22</v>
      </c>
      <c r="H70" s="1" t="s">
        <v>23</v>
      </c>
      <c r="I70" s="1" t="s">
        <v>50</v>
      </c>
      <c r="J70" s="1" t="s">
        <v>31</v>
      </c>
      <c r="K70" s="1" t="s">
        <v>25</v>
      </c>
      <c r="L70" s="1" t="s">
        <v>212</v>
      </c>
      <c r="M70" s="1" t="s">
        <v>23</v>
      </c>
      <c r="N70" s="1" t="str">
        <f t="shared" si="13"/>
        <v>DESARROLLO</v>
      </c>
      <c r="O70" s="3">
        <f t="shared" si="14"/>
        <v>45748.666523159722</v>
      </c>
      <c r="P70" s="3">
        <f t="shared" si="15"/>
        <v>45757.41237474537</v>
      </c>
      <c r="Q70" s="1" t="str">
        <f t="shared" si="16"/>
        <v>Interno</v>
      </c>
      <c r="R70" s="1">
        <f t="shared" si="17"/>
        <v>14</v>
      </c>
      <c r="S70" s="6">
        <f t="shared" si="18"/>
        <v>45747</v>
      </c>
      <c r="T70" s="1">
        <f t="shared" si="19"/>
        <v>15</v>
      </c>
      <c r="U70" s="6">
        <f t="shared" si="20"/>
        <v>45754</v>
      </c>
      <c r="V70" s="1">
        <f t="shared" si="21"/>
        <v>8.7458515856487793</v>
      </c>
      <c r="W70" s="1">
        <f t="shared" si="22"/>
        <v>2025</v>
      </c>
      <c r="X70" s="1">
        <f t="shared" si="23"/>
        <v>2025</v>
      </c>
      <c r="Y70" s="1" t="str">
        <f t="shared" si="24"/>
        <v>2025-03</v>
      </c>
      <c r="Z70" s="1" t="str">
        <f t="shared" si="25"/>
        <v>2025-04</v>
      </c>
    </row>
    <row r="71" spans="1:26" x14ac:dyDescent="0.2">
      <c r="A71" s="2" t="s">
        <v>213</v>
      </c>
      <c r="B71" s="1" t="s">
        <v>214</v>
      </c>
      <c r="C71" s="1" t="s">
        <v>215</v>
      </c>
      <c r="D71" s="3">
        <v>45749.577853692128</v>
      </c>
      <c r="E71" s="3">
        <v>45757.413434085647</v>
      </c>
      <c r="F71" s="1" t="s">
        <v>21</v>
      </c>
      <c r="G71" s="1" t="s">
        <v>36</v>
      </c>
      <c r="H71" s="1" t="s">
        <v>23</v>
      </c>
      <c r="I71" s="1" t="s">
        <v>183</v>
      </c>
      <c r="J71" s="1" t="s">
        <v>24</v>
      </c>
      <c r="K71" s="1" t="s">
        <v>25</v>
      </c>
      <c r="L71" s="1" t="s">
        <v>23</v>
      </c>
      <c r="M71" s="1" t="s">
        <v>528</v>
      </c>
      <c r="N71" s="1" t="str">
        <f t="shared" si="13"/>
        <v>ORIGEN</v>
      </c>
      <c r="O71" s="3">
        <f t="shared" si="14"/>
        <v>45749.577853692128</v>
      </c>
      <c r="P71" s="3">
        <f t="shared" si="15"/>
        <v>45757.413434085647</v>
      </c>
      <c r="Q71" s="1" t="str">
        <f t="shared" si="16"/>
        <v>Externo</v>
      </c>
      <c r="R71" s="1">
        <f t="shared" si="17"/>
        <v>14</v>
      </c>
      <c r="S71" s="6">
        <f t="shared" si="18"/>
        <v>45747</v>
      </c>
      <c r="T71" s="1">
        <f t="shared" si="19"/>
        <v>15</v>
      </c>
      <c r="U71" s="6">
        <f t="shared" si="20"/>
        <v>45754</v>
      </c>
      <c r="V71" s="1">
        <f t="shared" si="21"/>
        <v>7.8355803935191943</v>
      </c>
      <c r="W71" s="1">
        <f t="shared" si="22"/>
        <v>2025</v>
      </c>
      <c r="X71" s="1">
        <f t="shared" si="23"/>
        <v>2025</v>
      </c>
      <c r="Y71" s="1" t="str">
        <f t="shared" si="24"/>
        <v>2025-03</v>
      </c>
      <c r="Z71" s="1" t="str">
        <f t="shared" si="25"/>
        <v>2025-04</v>
      </c>
    </row>
    <row r="72" spans="1:26" x14ac:dyDescent="0.2">
      <c r="A72" s="2" t="s">
        <v>216</v>
      </c>
      <c r="B72" s="1" t="s">
        <v>217</v>
      </c>
      <c r="C72" s="1" t="s">
        <v>218</v>
      </c>
      <c r="D72" s="3">
        <v>45750.537268125001</v>
      </c>
      <c r="E72" s="3">
        <v>45757.412292719906</v>
      </c>
      <c r="F72" s="1" t="s">
        <v>21</v>
      </c>
      <c r="G72" s="1" t="s">
        <v>36</v>
      </c>
      <c r="H72" s="1" t="s">
        <v>218</v>
      </c>
      <c r="I72" s="1" t="s">
        <v>183</v>
      </c>
      <c r="J72" s="1" t="s">
        <v>31</v>
      </c>
      <c r="K72" s="1" t="s">
        <v>25</v>
      </c>
      <c r="L72" s="1" t="s">
        <v>23</v>
      </c>
      <c r="M72" s="1" t="s">
        <v>528</v>
      </c>
      <c r="N72" s="1" t="str">
        <f t="shared" si="13"/>
        <v>ORIGEN</v>
      </c>
      <c r="O72" s="3">
        <f t="shared" si="14"/>
        <v>45750.537268125001</v>
      </c>
      <c r="P72" s="3">
        <f t="shared" si="15"/>
        <v>45757.412292719906</v>
      </c>
      <c r="Q72" s="1" t="str">
        <f t="shared" si="16"/>
        <v>Externo</v>
      </c>
      <c r="R72" s="1">
        <f t="shared" si="17"/>
        <v>14</v>
      </c>
      <c r="S72" s="6">
        <f t="shared" si="18"/>
        <v>45747</v>
      </c>
      <c r="T72" s="1">
        <f t="shared" si="19"/>
        <v>15</v>
      </c>
      <c r="U72" s="6">
        <f t="shared" si="20"/>
        <v>45754</v>
      </c>
      <c r="V72" s="1">
        <f t="shared" si="21"/>
        <v>6.8750245949049713</v>
      </c>
      <c r="W72" s="1">
        <f t="shared" si="22"/>
        <v>2025</v>
      </c>
      <c r="X72" s="1">
        <f t="shared" si="23"/>
        <v>2025</v>
      </c>
      <c r="Y72" s="1" t="str">
        <f t="shared" si="24"/>
        <v>2025-03</v>
      </c>
      <c r="Z72" s="1" t="str">
        <f t="shared" si="25"/>
        <v>2025-04</v>
      </c>
    </row>
    <row r="73" spans="1:26" x14ac:dyDescent="0.2">
      <c r="A73" s="2" t="s">
        <v>219</v>
      </c>
      <c r="B73" s="1" t="s">
        <v>220</v>
      </c>
      <c r="C73" s="1" t="s">
        <v>54</v>
      </c>
      <c r="D73" s="3">
        <v>45755.649614259259</v>
      </c>
      <c r="E73" s="3">
        <v>45771.665846701391</v>
      </c>
      <c r="F73" s="1" t="s">
        <v>21</v>
      </c>
      <c r="G73" s="1" t="s">
        <v>22</v>
      </c>
      <c r="H73" s="1" t="s">
        <v>221</v>
      </c>
      <c r="I73" s="1" t="s">
        <v>183</v>
      </c>
      <c r="J73" s="1" t="s">
        <v>31</v>
      </c>
      <c r="K73" s="1" t="s">
        <v>25</v>
      </c>
      <c r="L73" s="1" t="s">
        <v>23</v>
      </c>
      <c r="M73" s="1" t="s">
        <v>528</v>
      </c>
      <c r="N73" s="1" t="str">
        <f t="shared" si="13"/>
        <v>DESARROLLO</v>
      </c>
      <c r="O73" s="3">
        <f t="shared" si="14"/>
        <v>45755.649614259259</v>
      </c>
      <c r="P73" s="3">
        <f t="shared" si="15"/>
        <v>45771.665846701391</v>
      </c>
      <c r="Q73" s="1" t="str">
        <f t="shared" si="16"/>
        <v>Interno</v>
      </c>
      <c r="R73" s="1">
        <f t="shared" si="17"/>
        <v>15</v>
      </c>
      <c r="S73" s="6">
        <f t="shared" si="18"/>
        <v>45754</v>
      </c>
      <c r="T73" s="1">
        <f t="shared" si="19"/>
        <v>17</v>
      </c>
      <c r="U73" s="6">
        <f t="shared" si="20"/>
        <v>45768</v>
      </c>
      <c r="V73" s="1">
        <f t="shared" si="21"/>
        <v>16.016232442132605</v>
      </c>
      <c r="W73" s="1">
        <f t="shared" si="22"/>
        <v>2025</v>
      </c>
      <c r="X73" s="1">
        <f t="shared" si="23"/>
        <v>2025</v>
      </c>
      <c r="Y73" s="1" t="str">
        <f t="shared" si="24"/>
        <v>2025-04</v>
      </c>
      <c r="Z73" s="1" t="str">
        <f t="shared" si="25"/>
        <v>2025-04</v>
      </c>
    </row>
    <row r="74" spans="1:26" x14ac:dyDescent="0.2">
      <c r="A74" s="2" t="s">
        <v>222</v>
      </c>
      <c r="B74" s="1" t="s">
        <v>223</v>
      </c>
      <c r="C74" s="1" t="s">
        <v>113</v>
      </c>
      <c r="D74" s="3">
        <v>45756.413735972223</v>
      </c>
      <c r="E74" s="3">
        <v>45762.399896226852</v>
      </c>
      <c r="F74" s="1" t="s">
        <v>21</v>
      </c>
      <c r="G74" s="1" t="s">
        <v>167</v>
      </c>
      <c r="H74" s="1" t="s">
        <v>113</v>
      </c>
      <c r="I74" s="1" t="s">
        <v>183</v>
      </c>
      <c r="J74" s="1" t="s">
        <v>31</v>
      </c>
      <c r="K74" s="1" t="s">
        <v>25</v>
      </c>
      <c r="L74" s="1" t="s">
        <v>23</v>
      </c>
      <c r="M74" s="1" t="s">
        <v>528</v>
      </c>
      <c r="N74" s="1" t="str">
        <f t="shared" si="13"/>
        <v>REPROCESO</v>
      </c>
      <c r="O74" s="3">
        <f t="shared" si="14"/>
        <v>45756.413735972223</v>
      </c>
      <c r="P74" s="3">
        <f t="shared" si="15"/>
        <v>45762.399896226852</v>
      </c>
      <c r="Q74" s="1" t="str">
        <f t="shared" si="16"/>
        <v>Interno</v>
      </c>
      <c r="R74" s="1">
        <f t="shared" si="17"/>
        <v>15</v>
      </c>
      <c r="S74" s="6">
        <f t="shared" si="18"/>
        <v>45754</v>
      </c>
      <c r="T74" s="1">
        <f t="shared" si="19"/>
        <v>16</v>
      </c>
      <c r="U74" s="6">
        <f t="shared" si="20"/>
        <v>45761</v>
      </c>
      <c r="V74" s="1">
        <f t="shared" si="21"/>
        <v>5.9861602546297945</v>
      </c>
      <c r="W74" s="1">
        <f t="shared" si="22"/>
        <v>2025</v>
      </c>
      <c r="X74" s="1">
        <f t="shared" si="23"/>
        <v>2025</v>
      </c>
      <c r="Y74" s="1" t="str">
        <f t="shared" si="24"/>
        <v>2025-04</v>
      </c>
      <c r="Z74" s="1" t="str">
        <f t="shared" si="25"/>
        <v>2025-04</v>
      </c>
    </row>
    <row r="75" spans="1:26" x14ac:dyDescent="0.2">
      <c r="A75" s="2" t="s">
        <v>224</v>
      </c>
      <c r="B75" s="1" t="s">
        <v>225</v>
      </c>
      <c r="C75" s="1" t="s">
        <v>58</v>
      </c>
      <c r="D75" s="3">
        <v>45756.420068148145</v>
      </c>
      <c r="E75" s="3">
        <v>45757.42289559028</v>
      </c>
      <c r="F75" s="1" t="s">
        <v>21</v>
      </c>
      <c r="G75" s="1" t="s">
        <v>107</v>
      </c>
      <c r="H75" s="1" t="s">
        <v>58</v>
      </c>
      <c r="I75" s="1" t="s">
        <v>183</v>
      </c>
      <c r="J75" s="1" t="s">
        <v>31</v>
      </c>
      <c r="K75" s="1" t="s">
        <v>37</v>
      </c>
      <c r="L75" s="1" t="s">
        <v>23</v>
      </c>
      <c r="M75" s="1" t="s">
        <v>528</v>
      </c>
      <c r="N75" s="1" t="str">
        <f t="shared" si="13"/>
        <v>SOPORTE</v>
      </c>
      <c r="O75" s="3">
        <f t="shared" si="14"/>
        <v>45756.420068148145</v>
      </c>
      <c r="P75" s="3">
        <f t="shared" si="15"/>
        <v>45757.42289559028</v>
      </c>
      <c r="Q75" s="1" t="str">
        <f t="shared" si="16"/>
        <v>Externo</v>
      </c>
      <c r="R75" s="1">
        <f t="shared" si="17"/>
        <v>15</v>
      </c>
      <c r="S75" s="6">
        <f t="shared" si="18"/>
        <v>45754</v>
      </c>
      <c r="T75" s="1">
        <f t="shared" si="19"/>
        <v>15</v>
      </c>
      <c r="U75" s="6">
        <f t="shared" si="20"/>
        <v>45754</v>
      </c>
      <c r="V75" s="1">
        <f t="shared" si="21"/>
        <v>1.0028274421347305</v>
      </c>
      <c r="W75" s="1">
        <f t="shared" si="22"/>
        <v>2025</v>
      </c>
      <c r="X75" s="1">
        <f t="shared" si="23"/>
        <v>2025</v>
      </c>
      <c r="Y75" s="1" t="str">
        <f t="shared" si="24"/>
        <v>2025-04</v>
      </c>
      <c r="Z75" s="1" t="str">
        <f t="shared" si="25"/>
        <v>2025-04</v>
      </c>
    </row>
    <row r="76" spans="1:26" x14ac:dyDescent="0.2">
      <c r="A76" s="2" t="s">
        <v>226</v>
      </c>
      <c r="B76" s="1" t="s">
        <v>227</v>
      </c>
      <c r="C76" s="1" t="s">
        <v>228</v>
      </c>
      <c r="D76" s="3">
        <v>45758.389338032408</v>
      </c>
      <c r="E76" s="3">
        <v>45763.398203935183</v>
      </c>
      <c r="F76" s="1" t="s">
        <v>21</v>
      </c>
      <c r="G76" s="1" t="s">
        <v>167</v>
      </c>
      <c r="H76" s="1" t="s">
        <v>228</v>
      </c>
      <c r="I76" s="1" t="s">
        <v>183</v>
      </c>
      <c r="J76" s="1" t="s">
        <v>31</v>
      </c>
      <c r="K76" s="1" t="s">
        <v>25</v>
      </c>
      <c r="L76" s="1" t="s">
        <v>23</v>
      </c>
      <c r="M76" s="1" t="s">
        <v>528</v>
      </c>
      <c r="N76" s="1" t="str">
        <f t="shared" si="13"/>
        <v>REPROCESO</v>
      </c>
      <c r="O76" s="3">
        <f t="shared" si="14"/>
        <v>45758.389338032408</v>
      </c>
      <c r="P76" s="3">
        <f t="shared" si="15"/>
        <v>45763.398203935183</v>
      </c>
      <c r="Q76" s="1" t="str">
        <f t="shared" si="16"/>
        <v>Interno</v>
      </c>
      <c r="R76" s="1">
        <f t="shared" si="17"/>
        <v>15</v>
      </c>
      <c r="S76" s="6">
        <f t="shared" si="18"/>
        <v>45754</v>
      </c>
      <c r="T76" s="1">
        <f t="shared" si="19"/>
        <v>16</v>
      </c>
      <c r="U76" s="6">
        <f t="shared" si="20"/>
        <v>45761</v>
      </c>
      <c r="V76" s="1">
        <f t="shared" si="21"/>
        <v>5.0088659027751419</v>
      </c>
      <c r="W76" s="1">
        <f t="shared" si="22"/>
        <v>2025</v>
      </c>
      <c r="X76" s="1">
        <f t="shared" si="23"/>
        <v>2025</v>
      </c>
      <c r="Y76" s="1" t="str">
        <f t="shared" si="24"/>
        <v>2025-04</v>
      </c>
      <c r="Z76" s="1" t="str">
        <f t="shared" si="25"/>
        <v>2025-04</v>
      </c>
    </row>
    <row r="77" spans="1:26" x14ac:dyDescent="0.2">
      <c r="A77" s="2" t="s">
        <v>229</v>
      </c>
      <c r="B77" s="1" t="s">
        <v>230</v>
      </c>
      <c r="C77" s="1" t="s">
        <v>231</v>
      </c>
      <c r="D77" s="3">
        <v>45768.540424363426</v>
      </c>
      <c r="E77" s="3">
        <v>45775.383219780095</v>
      </c>
      <c r="F77" s="1" t="s">
        <v>21</v>
      </c>
      <c r="G77" s="1" t="s">
        <v>36</v>
      </c>
      <c r="H77" s="1" t="s">
        <v>23</v>
      </c>
      <c r="I77" s="1" t="s">
        <v>183</v>
      </c>
      <c r="J77" s="1" t="s">
        <v>31</v>
      </c>
      <c r="K77" s="1" t="s">
        <v>25</v>
      </c>
      <c r="L77" s="1" t="s">
        <v>23</v>
      </c>
      <c r="M77" s="1" t="s">
        <v>528</v>
      </c>
      <c r="N77" s="1" t="str">
        <f t="shared" si="13"/>
        <v>ORIGEN</v>
      </c>
      <c r="O77" s="3">
        <f t="shared" si="14"/>
        <v>45768.540424363426</v>
      </c>
      <c r="P77" s="3">
        <f t="shared" si="15"/>
        <v>45775.383219780095</v>
      </c>
      <c r="Q77" s="1" t="str">
        <f t="shared" si="16"/>
        <v>Externo</v>
      </c>
      <c r="R77" s="1">
        <f t="shared" si="17"/>
        <v>17</v>
      </c>
      <c r="S77" s="6">
        <f t="shared" si="18"/>
        <v>45768</v>
      </c>
      <c r="T77" s="1">
        <f t="shared" si="19"/>
        <v>18</v>
      </c>
      <c r="U77" s="6">
        <f t="shared" si="20"/>
        <v>45775</v>
      </c>
      <c r="V77" s="1">
        <f t="shared" si="21"/>
        <v>6.8427954166691052</v>
      </c>
      <c r="W77" s="1">
        <f t="shared" si="22"/>
        <v>2025</v>
      </c>
      <c r="X77" s="1">
        <f t="shared" si="23"/>
        <v>2025</v>
      </c>
      <c r="Y77" s="1" t="str">
        <f t="shared" si="24"/>
        <v>2025-04</v>
      </c>
      <c r="Z77" s="1" t="str">
        <f t="shared" si="25"/>
        <v>2025-04</v>
      </c>
    </row>
    <row r="78" spans="1:26" x14ac:dyDescent="0.2">
      <c r="A78" s="2" t="s">
        <v>232</v>
      </c>
      <c r="B78" s="1" t="s">
        <v>233</v>
      </c>
      <c r="C78" s="1" t="s">
        <v>234</v>
      </c>
      <c r="D78" s="3">
        <v>45769.392578298612</v>
      </c>
      <c r="E78" s="3">
        <v>45769.683012604168</v>
      </c>
      <c r="F78" s="1" t="s">
        <v>21</v>
      </c>
      <c r="G78" s="1" t="s">
        <v>167</v>
      </c>
      <c r="H78" s="1" t="s">
        <v>234</v>
      </c>
      <c r="I78" s="1" t="s">
        <v>183</v>
      </c>
      <c r="J78" s="1" t="s">
        <v>125</v>
      </c>
      <c r="K78" s="1" t="s">
        <v>25</v>
      </c>
      <c r="L78" s="1" t="s">
        <v>23</v>
      </c>
      <c r="M78" s="1" t="s">
        <v>528</v>
      </c>
      <c r="N78" s="1" t="str">
        <f t="shared" si="13"/>
        <v>REPROCESO</v>
      </c>
      <c r="O78" s="3">
        <f t="shared" si="14"/>
        <v>45769.392578298612</v>
      </c>
      <c r="P78" s="3">
        <f t="shared" si="15"/>
        <v>45769.683012604168</v>
      </c>
      <c r="Q78" s="1" t="str">
        <f t="shared" si="16"/>
        <v>Interno</v>
      </c>
      <c r="R78" s="1">
        <f t="shared" si="17"/>
        <v>17</v>
      </c>
      <c r="S78" s="6">
        <f t="shared" si="18"/>
        <v>45768</v>
      </c>
      <c r="T78" s="1">
        <f t="shared" si="19"/>
        <v>17</v>
      </c>
      <c r="U78" s="6">
        <f t="shared" si="20"/>
        <v>45768</v>
      </c>
      <c r="V78" s="1">
        <f t="shared" si="21"/>
        <v>0.29043430555611849</v>
      </c>
      <c r="W78" s="1">
        <f t="shared" si="22"/>
        <v>2025</v>
      </c>
      <c r="X78" s="1">
        <f t="shared" si="23"/>
        <v>2025</v>
      </c>
      <c r="Y78" s="1" t="str">
        <f t="shared" si="24"/>
        <v>2025-04</v>
      </c>
      <c r="Z78" s="1" t="str">
        <f t="shared" si="25"/>
        <v>2025-04</v>
      </c>
    </row>
    <row r="79" spans="1:26" x14ac:dyDescent="0.2">
      <c r="A79" s="2" t="s">
        <v>235</v>
      </c>
      <c r="B79" s="1" t="s">
        <v>236</v>
      </c>
      <c r="C79" s="1" t="s">
        <v>120</v>
      </c>
      <c r="D79" s="3">
        <v>45769.70666935185</v>
      </c>
      <c r="E79" s="3">
        <v>45771.665620185187</v>
      </c>
      <c r="F79" s="1" t="s">
        <v>21</v>
      </c>
      <c r="G79" s="1" t="s">
        <v>101</v>
      </c>
      <c r="H79" s="1" t="s">
        <v>23</v>
      </c>
      <c r="I79" s="1" t="s">
        <v>50</v>
      </c>
      <c r="J79" s="1" t="s">
        <v>24</v>
      </c>
      <c r="K79" s="1" t="s">
        <v>25</v>
      </c>
      <c r="L79" s="1" t="s">
        <v>237</v>
      </c>
      <c r="M79" s="1" t="s">
        <v>23</v>
      </c>
      <c r="N79" s="1" t="str">
        <f t="shared" si="13"/>
        <v>FUNCIONAL</v>
      </c>
      <c r="O79" s="3">
        <f t="shared" si="14"/>
        <v>45769.70666935185</v>
      </c>
      <c r="P79" s="3">
        <f t="shared" si="15"/>
        <v>45771.665620185187</v>
      </c>
      <c r="Q79" s="1" t="str">
        <f t="shared" si="16"/>
        <v>Interno</v>
      </c>
      <c r="R79" s="1">
        <f t="shared" si="17"/>
        <v>17</v>
      </c>
      <c r="S79" s="6">
        <f t="shared" si="18"/>
        <v>45768</v>
      </c>
      <c r="T79" s="1">
        <f t="shared" si="19"/>
        <v>17</v>
      </c>
      <c r="U79" s="6">
        <f t="shared" si="20"/>
        <v>45768</v>
      </c>
      <c r="V79" s="1">
        <f t="shared" si="21"/>
        <v>1.9589508333374397</v>
      </c>
      <c r="W79" s="1">
        <f t="shared" si="22"/>
        <v>2025</v>
      </c>
      <c r="X79" s="1">
        <f t="shared" si="23"/>
        <v>2025</v>
      </c>
      <c r="Y79" s="1" t="str">
        <f t="shared" si="24"/>
        <v>2025-04</v>
      </c>
      <c r="Z79" s="1" t="str">
        <f t="shared" si="25"/>
        <v>2025-04</v>
      </c>
    </row>
    <row r="80" spans="1:26" x14ac:dyDescent="0.2">
      <c r="A80" s="2" t="s">
        <v>238</v>
      </c>
      <c r="B80" s="1" t="s">
        <v>239</v>
      </c>
      <c r="C80" s="1" t="s">
        <v>23</v>
      </c>
      <c r="D80" s="3">
        <v>45770.394954618052</v>
      </c>
      <c r="E80" s="3">
        <v>45791.631611898149</v>
      </c>
      <c r="F80" s="1" t="s">
        <v>21</v>
      </c>
      <c r="G80" s="1" t="s">
        <v>97</v>
      </c>
      <c r="H80" s="1" t="s">
        <v>23</v>
      </c>
      <c r="I80" s="1" t="s">
        <v>30</v>
      </c>
      <c r="J80" s="1" t="s">
        <v>31</v>
      </c>
      <c r="K80" s="1" t="s">
        <v>25</v>
      </c>
      <c r="L80" s="1" t="s">
        <v>240</v>
      </c>
      <c r="M80" s="1" t="s">
        <v>23</v>
      </c>
      <c r="N80" s="1" t="str">
        <f t="shared" si="13"/>
        <v>DEFINICIÓN</v>
      </c>
      <c r="O80" s="3">
        <f t="shared" si="14"/>
        <v>45770.394954618052</v>
      </c>
      <c r="P80" s="3">
        <f t="shared" si="15"/>
        <v>45791.631611898149</v>
      </c>
      <c r="Q80" s="1" t="str">
        <f t="shared" si="16"/>
        <v>Externo</v>
      </c>
      <c r="R80" s="1">
        <f t="shared" si="17"/>
        <v>17</v>
      </c>
      <c r="S80" s="6">
        <f t="shared" si="18"/>
        <v>45768</v>
      </c>
      <c r="T80" s="1">
        <f t="shared" si="19"/>
        <v>20</v>
      </c>
      <c r="U80" s="6">
        <f t="shared" si="20"/>
        <v>45789</v>
      </c>
      <c r="V80" s="1">
        <f t="shared" si="21"/>
        <v>21.236657280096551</v>
      </c>
      <c r="W80" s="1">
        <f t="shared" si="22"/>
        <v>2025</v>
      </c>
      <c r="X80" s="1">
        <f t="shared" si="23"/>
        <v>2025</v>
      </c>
      <c r="Y80" s="1" t="str">
        <f t="shared" si="24"/>
        <v>2025-04</v>
      </c>
      <c r="Z80" s="1" t="str">
        <f t="shared" si="25"/>
        <v>2025-05</v>
      </c>
    </row>
    <row r="81" spans="1:26" x14ac:dyDescent="0.2">
      <c r="A81" s="2" t="s">
        <v>241</v>
      </c>
      <c r="B81" s="1" t="s">
        <v>242</v>
      </c>
      <c r="C81" s="1" t="s">
        <v>35</v>
      </c>
      <c r="D81" s="3">
        <v>45770.550397361112</v>
      </c>
      <c r="E81" s="3">
        <v>45797.402898576387</v>
      </c>
      <c r="F81" s="1" t="s">
        <v>21</v>
      </c>
      <c r="G81" s="1" t="s">
        <v>36</v>
      </c>
      <c r="H81" s="1" t="s">
        <v>35</v>
      </c>
      <c r="I81" s="1" t="s">
        <v>183</v>
      </c>
      <c r="J81" s="1" t="s">
        <v>31</v>
      </c>
      <c r="K81" s="1" t="s">
        <v>25</v>
      </c>
      <c r="L81" s="1" t="s">
        <v>23</v>
      </c>
      <c r="M81" s="1" t="s">
        <v>528</v>
      </c>
      <c r="N81" s="1" t="str">
        <f t="shared" si="13"/>
        <v>ORIGEN</v>
      </c>
      <c r="O81" s="3">
        <f t="shared" si="14"/>
        <v>45770.550397361112</v>
      </c>
      <c r="P81" s="3">
        <f t="shared" si="15"/>
        <v>45797.402898576387</v>
      </c>
      <c r="Q81" s="1" t="str">
        <f t="shared" si="16"/>
        <v>Externo</v>
      </c>
      <c r="R81" s="1">
        <f t="shared" si="17"/>
        <v>17</v>
      </c>
      <c r="S81" s="6">
        <f t="shared" si="18"/>
        <v>45768</v>
      </c>
      <c r="T81" s="1">
        <f t="shared" si="19"/>
        <v>21</v>
      </c>
      <c r="U81" s="6">
        <f t="shared" si="20"/>
        <v>45796</v>
      </c>
      <c r="V81" s="1">
        <f t="shared" si="21"/>
        <v>26.85250121527497</v>
      </c>
      <c r="W81" s="1">
        <f t="shared" si="22"/>
        <v>2025</v>
      </c>
      <c r="X81" s="1">
        <f t="shared" si="23"/>
        <v>2025</v>
      </c>
      <c r="Y81" s="1" t="str">
        <f t="shared" si="24"/>
        <v>2025-04</v>
      </c>
      <c r="Z81" s="1" t="str">
        <f t="shared" si="25"/>
        <v>2025-05</v>
      </c>
    </row>
    <row r="82" spans="1:26" x14ac:dyDescent="0.2">
      <c r="A82" s="2" t="s">
        <v>243</v>
      </c>
      <c r="B82" s="1" t="s">
        <v>244</v>
      </c>
      <c r="C82" s="1" t="s">
        <v>88</v>
      </c>
      <c r="D82" s="3">
        <v>45770.552389780096</v>
      </c>
      <c r="E82" s="3">
        <v>45782.405642986108</v>
      </c>
      <c r="F82" s="1" t="s">
        <v>21</v>
      </c>
      <c r="G82" s="1" t="s">
        <v>22</v>
      </c>
      <c r="H82" s="1" t="s">
        <v>88</v>
      </c>
      <c r="I82" s="1" t="s">
        <v>183</v>
      </c>
      <c r="J82" s="1" t="s">
        <v>31</v>
      </c>
      <c r="K82" s="1" t="s">
        <v>25</v>
      </c>
      <c r="L82" s="1" t="s">
        <v>23</v>
      </c>
      <c r="M82" s="1" t="s">
        <v>528</v>
      </c>
      <c r="N82" s="1" t="str">
        <f t="shared" si="13"/>
        <v>DESARROLLO</v>
      </c>
      <c r="O82" s="3">
        <f t="shared" si="14"/>
        <v>45770.552389780096</v>
      </c>
      <c r="P82" s="3">
        <f t="shared" si="15"/>
        <v>45782.405642986108</v>
      </c>
      <c r="Q82" s="1" t="str">
        <f t="shared" si="16"/>
        <v>Interno</v>
      </c>
      <c r="R82" s="1">
        <f t="shared" si="17"/>
        <v>17</v>
      </c>
      <c r="S82" s="6">
        <f t="shared" si="18"/>
        <v>45768</v>
      </c>
      <c r="T82" s="1">
        <f t="shared" si="19"/>
        <v>19</v>
      </c>
      <c r="U82" s="6">
        <f t="shared" si="20"/>
        <v>45782</v>
      </c>
      <c r="V82" s="1">
        <f t="shared" si="21"/>
        <v>11.853253206012596</v>
      </c>
      <c r="W82" s="1">
        <f t="shared" si="22"/>
        <v>2025</v>
      </c>
      <c r="X82" s="1">
        <f t="shared" si="23"/>
        <v>2025</v>
      </c>
      <c r="Y82" s="1" t="str">
        <f t="shared" si="24"/>
        <v>2025-04</v>
      </c>
      <c r="Z82" s="1" t="str">
        <f t="shared" si="25"/>
        <v>2025-05</v>
      </c>
    </row>
    <row r="83" spans="1:26" x14ac:dyDescent="0.2">
      <c r="A83" s="2" t="s">
        <v>245</v>
      </c>
      <c r="B83" s="1" t="s">
        <v>246</v>
      </c>
      <c r="C83" s="1" t="s">
        <v>247</v>
      </c>
      <c r="D83" s="3">
        <v>45770.71188978009</v>
      </c>
      <c r="E83" s="3">
        <v>45782.553583773151</v>
      </c>
      <c r="F83" s="1" t="s">
        <v>21</v>
      </c>
      <c r="G83" s="1" t="s">
        <v>22</v>
      </c>
      <c r="H83" s="1" t="s">
        <v>247</v>
      </c>
      <c r="I83" s="1" t="s">
        <v>23</v>
      </c>
      <c r="J83" s="1" t="s">
        <v>31</v>
      </c>
      <c r="K83" s="1" t="s">
        <v>25</v>
      </c>
      <c r="L83" s="1" t="s">
        <v>23</v>
      </c>
      <c r="M83" s="1" t="s">
        <v>528</v>
      </c>
      <c r="N83" s="1" t="str">
        <f t="shared" si="13"/>
        <v>DESARROLLO</v>
      </c>
      <c r="O83" s="3">
        <f t="shared" si="14"/>
        <v>45770.71188978009</v>
      </c>
      <c r="P83" s="3">
        <f t="shared" si="15"/>
        <v>45782.553583773151</v>
      </c>
      <c r="Q83" s="1" t="str">
        <f t="shared" si="16"/>
        <v>Interno</v>
      </c>
      <c r="R83" s="1">
        <f t="shared" si="17"/>
        <v>17</v>
      </c>
      <c r="S83" s="6">
        <f t="shared" si="18"/>
        <v>45768</v>
      </c>
      <c r="T83" s="1">
        <f t="shared" si="19"/>
        <v>19</v>
      </c>
      <c r="U83" s="6">
        <f t="shared" si="20"/>
        <v>45782</v>
      </c>
      <c r="V83" s="1">
        <f t="shared" si="21"/>
        <v>11.841693993061199</v>
      </c>
      <c r="W83" s="1">
        <f t="shared" si="22"/>
        <v>2025</v>
      </c>
      <c r="X83" s="1">
        <f t="shared" si="23"/>
        <v>2025</v>
      </c>
      <c r="Y83" s="1" t="str">
        <f t="shared" si="24"/>
        <v>2025-04</v>
      </c>
      <c r="Z83" s="1" t="str">
        <f t="shared" si="25"/>
        <v>2025-05</v>
      </c>
    </row>
    <row r="84" spans="1:26" x14ac:dyDescent="0.2">
      <c r="A84" s="2" t="s">
        <v>248</v>
      </c>
      <c r="B84" s="1" t="s">
        <v>249</v>
      </c>
      <c r="C84" s="1" t="s">
        <v>23</v>
      </c>
      <c r="D84" s="3">
        <v>45775.411356932869</v>
      </c>
      <c r="E84" s="3">
        <v>45777.77317832176</v>
      </c>
      <c r="F84" s="1" t="s">
        <v>21</v>
      </c>
      <c r="G84" s="1" t="s">
        <v>167</v>
      </c>
      <c r="H84" s="1" t="s">
        <v>23</v>
      </c>
      <c r="I84" s="1" t="s">
        <v>23</v>
      </c>
      <c r="J84" s="1" t="s">
        <v>31</v>
      </c>
      <c r="K84" s="1" t="s">
        <v>25</v>
      </c>
      <c r="L84" s="1" t="s">
        <v>23</v>
      </c>
      <c r="M84" s="1" t="s">
        <v>23</v>
      </c>
      <c r="N84" s="1" t="str">
        <f t="shared" si="13"/>
        <v>REPROCESO</v>
      </c>
      <c r="O84" s="3">
        <f t="shared" si="14"/>
        <v>45775.411356932869</v>
      </c>
      <c r="P84" s="3">
        <f t="shared" si="15"/>
        <v>45777.77317832176</v>
      </c>
      <c r="Q84" s="1" t="str">
        <f t="shared" si="16"/>
        <v>Interno</v>
      </c>
      <c r="R84" s="1">
        <f t="shared" si="17"/>
        <v>18</v>
      </c>
      <c r="S84" s="6">
        <f t="shared" si="18"/>
        <v>45775</v>
      </c>
      <c r="T84" s="1">
        <f t="shared" si="19"/>
        <v>18</v>
      </c>
      <c r="U84" s="6">
        <f t="shared" si="20"/>
        <v>45775</v>
      </c>
      <c r="V84" s="1">
        <f t="shared" si="21"/>
        <v>2.3618213888912578</v>
      </c>
      <c r="W84" s="1">
        <f t="shared" si="22"/>
        <v>2025</v>
      </c>
      <c r="X84" s="1">
        <f t="shared" si="23"/>
        <v>2025</v>
      </c>
      <c r="Y84" s="1" t="str">
        <f t="shared" si="24"/>
        <v>2025-04</v>
      </c>
      <c r="Z84" s="1" t="str">
        <f t="shared" si="25"/>
        <v>2025-04</v>
      </c>
    </row>
    <row r="85" spans="1:26" x14ac:dyDescent="0.2">
      <c r="A85" s="2" t="s">
        <v>250</v>
      </c>
      <c r="B85" s="1" t="s">
        <v>251</v>
      </c>
      <c r="C85" s="1" t="s">
        <v>82</v>
      </c>
      <c r="D85" s="3">
        <v>45776.623699201387</v>
      </c>
      <c r="E85" s="3">
        <v>45786.462951967595</v>
      </c>
      <c r="F85" s="1" t="s">
        <v>21</v>
      </c>
      <c r="G85" s="1" t="s">
        <v>22</v>
      </c>
      <c r="H85" s="1" t="s">
        <v>82</v>
      </c>
      <c r="I85" s="1" t="s">
        <v>23</v>
      </c>
      <c r="J85" s="1" t="s">
        <v>31</v>
      </c>
      <c r="K85" s="1" t="s">
        <v>25</v>
      </c>
      <c r="L85" s="1" t="s">
        <v>23</v>
      </c>
      <c r="M85" s="1" t="s">
        <v>528</v>
      </c>
      <c r="N85" s="1" t="str">
        <f t="shared" si="13"/>
        <v>DESARROLLO</v>
      </c>
      <c r="O85" s="3">
        <f t="shared" si="14"/>
        <v>45776.623699201387</v>
      </c>
      <c r="P85" s="3">
        <f t="shared" si="15"/>
        <v>45786.462951967595</v>
      </c>
      <c r="Q85" s="1" t="str">
        <f t="shared" si="16"/>
        <v>Interno</v>
      </c>
      <c r="R85" s="1">
        <f t="shared" si="17"/>
        <v>18</v>
      </c>
      <c r="S85" s="6">
        <f t="shared" si="18"/>
        <v>45775</v>
      </c>
      <c r="T85" s="1">
        <f t="shared" si="19"/>
        <v>19</v>
      </c>
      <c r="U85" s="6">
        <f t="shared" si="20"/>
        <v>45782</v>
      </c>
      <c r="V85" s="1">
        <f t="shared" si="21"/>
        <v>9.8392527662072098</v>
      </c>
      <c r="W85" s="1">
        <f t="shared" si="22"/>
        <v>2025</v>
      </c>
      <c r="X85" s="1">
        <f t="shared" si="23"/>
        <v>2025</v>
      </c>
      <c r="Y85" s="1" t="str">
        <f t="shared" si="24"/>
        <v>2025-04</v>
      </c>
      <c r="Z85" s="1" t="str">
        <f t="shared" si="25"/>
        <v>2025-05</v>
      </c>
    </row>
    <row r="86" spans="1:26" x14ac:dyDescent="0.2">
      <c r="A86" s="2" t="s">
        <v>252</v>
      </c>
      <c r="B86" s="1" t="s">
        <v>253</v>
      </c>
      <c r="C86" s="1" t="s">
        <v>23</v>
      </c>
      <c r="D86" s="3">
        <v>45777.662400069443</v>
      </c>
      <c r="E86" s="3">
        <v>45798.426438263887</v>
      </c>
      <c r="F86" s="1" t="s">
        <v>21</v>
      </c>
      <c r="G86" s="1" t="s">
        <v>97</v>
      </c>
      <c r="H86" s="1" t="s">
        <v>23</v>
      </c>
      <c r="I86" s="1" t="s">
        <v>23</v>
      </c>
      <c r="J86" s="1" t="s">
        <v>31</v>
      </c>
      <c r="K86" s="1" t="s">
        <v>25</v>
      </c>
      <c r="L86" s="1" t="s">
        <v>23</v>
      </c>
      <c r="M86" s="1" t="s">
        <v>23</v>
      </c>
      <c r="N86" s="1" t="str">
        <f t="shared" si="13"/>
        <v>DEFINICIÓN</v>
      </c>
      <c r="O86" s="3">
        <f t="shared" si="14"/>
        <v>45777.662400069443</v>
      </c>
      <c r="P86" s="3">
        <f t="shared" si="15"/>
        <v>45798.426438263887</v>
      </c>
      <c r="Q86" s="1" t="str">
        <f t="shared" si="16"/>
        <v>Externo</v>
      </c>
      <c r="R86" s="1">
        <f t="shared" si="17"/>
        <v>18</v>
      </c>
      <c r="S86" s="6">
        <f t="shared" si="18"/>
        <v>45775</v>
      </c>
      <c r="T86" s="1">
        <f t="shared" si="19"/>
        <v>21</v>
      </c>
      <c r="U86" s="6">
        <f t="shared" si="20"/>
        <v>45796</v>
      </c>
      <c r="V86" s="1">
        <f t="shared" si="21"/>
        <v>20.764038194443856</v>
      </c>
      <c r="W86" s="1">
        <f t="shared" si="22"/>
        <v>2025</v>
      </c>
      <c r="X86" s="1">
        <f t="shared" si="23"/>
        <v>2025</v>
      </c>
      <c r="Y86" s="1" t="str">
        <f t="shared" si="24"/>
        <v>2025-04</v>
      </c>
      <c r="Z86" s="1" t="str">
        <f t="shared" si="25"/>
        <v>2025-05</v>
      </c>
    </row>
    <row r="87" spans="1:26" x14ac:dyDescent="0.2">
      <c r="A87" s="2" t="s">
        <v>254</v>
      </c>
      <c r="B87" s="1" t="s">
        <v>255</v>
      </c>
      <c r="C87" s="1" t="s">
        <v>202</v>
      </c>
      <c r="D87" s="3">
        <v>45782.537217557867</v>
      </c>
      <c r="E87" s="3">
        <v>45783.421071296296</v>
      </c>
      <c r="F87" s="1" t="s">
        <v>21</v>
      </c>
      <c r="G87" s="1" t="s">
        <v>22</v>
      </c>
      <c r="H87" s="1" t="s">
        <v>23</v>
      </c>
      <c r="I87" s="1" t="s">
        <v>68</v>
      </c>
      <c r="J87" s="1" t="s">
        <v>31</v>
      </c>
      <c r="K87" s="1" t="s">
        <v>25</v>
      </c>
      <c r="L87" s="1" t="s">
        <v>23</v>
      </c>
      <c r="M87" s="1" t="s">
        <v>23</v>
      </c>
      <c r="N87" s="1" t="str">
        <f t="shared" si="13"/>
        <v>DESARROLLO</v>
      </c>
      <c r="O87" s="3">
        <f t="shared" si="14"/>
        <v>45782.537217557867</v>
      </c>
      <c r="P87" s="3">
        <f t="shared" si="15"/>
        <v>45783.421071296296</v>
      </c>
      <c r="Q87" s="1" t="str">
        <f t="shared" si="16"/>
        <v>Interno</v>
      </c>
      <c r="R87" s="1">
        <f t="shared" si="17"/>
        <v>19</v>
      </c>
      <c r="S87" s="6">
        <f t="shared" si="18"/>
        <v>45782</v>
      </c>
      <c r="T87" s="1">
        <f t="shared" si="19"/>
        <v>19</v>
      </c>
      <c r="U87" s="6">
        <f t="shared" si="20"/>
        <v>45782</v>
      </c>
      <c r="V87" s="1">
        <f t="shared" si="21"/>
        <v>0.88385373842902482</v>
      </c>
      <c r="W87" s="1">
        <f t="shared" si="22"/>
        <v>2025</v>
      </c>
      <c r="X87" s="1">
        <f t="shared" si="23"/>
        <v>2025</v>
      </c>
      <c r="Y87" s="1" t="str">
        <f t="shared" si="24"/>
        <v>2025-05</v>
      </c>
      <c r="Z87" s="1" t="str">
        <f t="shared" si="25"/>
        <v>2025-05</v>
      </c>
    </row>
    <row r="88" spans="1:26" x14ac:dyDescent="0.2">
      <c r="A88" s="2" t="s">
        <v>256</v>
      </c>
      <c r="B88" s="1" t="s">
        <v>257</v>
      </c>
      <c r="C88" s="1" t="s">
        <v>49</v>
      </c>
      <c r="D88" s="3">
        <v>45783.418689999999</v>
      </c>
      <c r="E88" s="3">
        <v>45793.412841608799</v>
      </c>
      <c r="F88" s="1" t="s">
        <v>21</v>
      </c>
      <c r="G88" s="1" t="s">
        <v>22</v>
      </c>
      <c r="H88" s="1" t="s">
        <v>23</v>
      </c>
      <c r="I88" s="1" t="s">
        <v>68</v>
      </c>
      <c r="J88" s="1" t="s">
        <v>24</v>
      </c>
      <c r="K88" s="1" t="s">
        <v>25</v>
      </c>
      <c r="L88" s="1" t="s">
        <v>23</v>
      </c>
      <c r="M88" s="1" t="s">
        <v>23</v>
      </c>
      <c r="N88" s="1" t="str">
        <f t="shared" si="13"/>
        <v>DESARROLLO</v>
      </c>
      <c r="O88" s="3">
        <f t="shared" si="14"/>
        <v>45783.418689999999</v>
      </c>
      <c r="P88" s="3">
        <f t="shared" si="15"/>
        <v>45793.412841608799</v>
      </c>
      <c r="Q88" s="1" t="str">
        <f t="shared" si="16"/>
        <v>Interno</v>
      </c>
      <c r="R88" s="1">
        <f t="shared" si="17"/>
        <v>19</v>
      </c>
      <c r="S88" s="6">
        <f t="shared" si="18"/>
        <v>45782</v>
      </c>
      <c r="T88" s="1">
        <f t="shared" si="19"/>
        <v>20</v>
      </c>
      <c r="U88" s="6">
        <f t="shared" si="20"/>
        <v>45789</v>
      </c>
      <c r="V88" s="1">
        <f t="shared" si="21"/>
        <v>9.9941516088001663</v>
      </c>
      <c r="W88" s="1">
        <f t="shared" si="22"/>
        <v>2025</v>
      </c>
      <c r="X88" s="1">
        <f t="shared" si="23"/>
        <v>2025</v>
      </c>
      <c r="Y88" s="1" t="str">
        <f t="shared" si="24"/>
        <v>2025-05</v>
      </c>
      <c r="Z88" s="1" t="str">
        <f t="shared" si="25"/>
        <v>2025-05</v>
      </c>
    </row>
    <row r="89" spans="1:26" x14ac:dyDescent="0.2">
      <c r="A89" s="2" t="s">
        <v>258</v>
      </c>
      <c r="B89" s="1" t="s">
        <v>259</v>
      </c>
      <c r="C89" s="1" t="s">
        <v>23</v>
      </c>
      <c r="D89" s="3">
        <v>45784.365727638891</v>
      </c>
      <c r="E89" s="3">
        <v>45807.424556030091</v>
      </c>
      <c r="F89" s="1" t="s">
        <v>21</v>
      </c>
      <c r="G89" s="1" t="s">
        <v>36</v>
      </c>
      <c r="H89" s="1" t="s">
        <v>23</v>
      </c>
      <c r="I89" s="1" t="s">
        <v>23</v>
      </c>
      <c r="J89" s="1" t="s">
        <v>31</v>
      </c>
      <c r="K89" s="1" t="s">
        <v>25</v>
      </c>
      <c r="L89" s="1" t="s">
        <v>23</v>
      </c>
      <c r="M89" s="1" t="s">
        <v>23</v>
      </c>
      <c r="N89" s="1" t="str">
        <f t="shared" si="13"/>
        <v>ORIGEN</v>
      </c>
      <c r="O89" s="3">
        <f t="shared" si="14"/>
        <v>45784.365727638891</v>
      </c>
      <c r="P89" s="3">
        <f t="shared" si="15"/>
        <v>45807.424556030091</v>
      </c>
      <c r="Q89" s="1" t="str">
        <f t="shared" si="16"/>
        <v>Externo</v>
      </c>
      <c r="R89" s="1">
        <f t="shared" si="17"/>
        <v>19</v>
      </c>
      <c r="S89" s="6">
        <f t="shared" si="18"/>
        <v>45782</v>
      </c>
      <c r="T89" s="1">
        <f t="shared" si="19"/>
        <v>22</v>
      </c>
      <c r="U89" s="6">
        <f t="shared" si="20"/>
        <v>45803</v>
      </c>
      <c r="V89" s="1">
        <f t="shared" si="21"/>
        <v>23.058828391200223</v>
      </c>
      <c r="W89" s="1">
        <f t="shared" si="22"/>
        <v>2025</v>
      </c>
      <c r="X89" s="1">
        <f t="shared" si="23"/>
        <v>2025</v>
      </c>
      <c r="Y89" s="1" t="str">
        <f t="shared" si="24"/>
        <v>2025-05</v>
      </c>
      <c r="Z89" s="1" t="str">
        <f t="shared" si="25"/>
        <v>2025-05</v>
      </c>
    </row>
    <row r="90" spans="1:26" x14ac:dyDescent="0.2">
      <c r="A90" s="2" t="s">
        <v>260</v>
      </c>
      <c r="B90" s="1" t="s">
        <v>261</v>
      </c>
      <c r="C90" s="1" t="s">
        <v>23</v>
      </c>
      <c r="D90" s="3">
        <v>45785.488228657407</v>
      </c>
      <c r="E90" s="3">
        <v>45804.42132533565</v>
      </c>
      <c r="F90" s="1" t="s">
        <v>21</v>
      </c>
      <c r="G90" s="1" t="s">
        <v>22</v>
      </c>
      <c r="H90" s="1" t="s">
        <v>23</v>
      </c>
      <c r="I90" s="1" t="s">
        <v>23</v>
      </c>
      <c r="J90" s="1" t="s">
        <v>31</v>
      </c>
      <c r="K90" s="1" t="s">
        <v>25</v>
      </c>
      <c r="L90" s="1" t="s">
        <v>23</v>
      </c>
      <c r="M90" s="1" t="s">
        <v>23</v>
      </c>
      <c r="N90" s="1" t="str">
        <f t="shared" si="13"/>
        <v>DESARROLLO</v>
      </c>
      <c r="O90" s="3">
        <f t="shared" si="14"/>
        <v>45785.488228657407</v>
      </c>
      <c r="P90" s="3">
        <f t="shared" si="15"/>
        <v>45804.42132533565</v>
      </c>
      <c r="Q90" s="1" t="str">
        <f t="shared" si="16"/>
        <v>Interno</v>
      </c>
      <c r="R90" s="1">
        <f t="shared" si="17"/>
        <v>19</v>
      </c>
      <c r="S90" s="6">
        <f t="shared" si="18"/>
        <v>45782</v>
      </c>
      <c r="T90" s="1">
        <f t="shared" si="19"/>
        <v>22</v>
      </c>
      <c r="U90" s="6">
        <f t="shared" si="20"/>
        <v>45803</v>
      </c>
      <c r="V90" s="1">
        <f t="shared" si="21"/>
        <v>18.933096678243601</v>
      </c>
      <c r="W90" s="1">
        <f t="shared" si="22"/>
        <v>2025</v>
      </c>
      <c r="X90" s="1">
        <f t="shared" si="23"/>
        <v>2025</v>
      </c>
      <c r="Y90" s="1" t="str">
        <f t="shared" si="24"/>
        <v>2025-05</v>
      </c>
      <c r="Z90" s="1" t="str">
        <f t="shared" si="25"/>
        <v>2025-05</v>
      </c>
    </row>
    <row r="91" spans="1:26" x14ac:dyDescent="0.2">
      <c r="A91" s="2" t="s">
        <v>262</v>
      </c>
      <c r="B91" s="1" t="s">
        <v>263</v>
      </c>
      <c r="C91" s="1" t="s">
        <v>23</v>
      </c>
      <c r="D91" s="3">
        <v>45785.488838784724</v>
      </c>
      <c r="E91" s="3">
        <v>45827.490906041668</v>
      </c>
      <c r="F91" s="1" t="s">
        <v>21</v>
      </c>
      <c r="G91" s="1" t="s">
        <v>36</v>
      </c>
      <c r="H91" s="1" t="s">
        <v>23</v>
      </c>
      <c r="I91" s="1" t="s">
        <v>23</v>
      </c>
      <c r="J91" s="1" t="s">
        <v>31</v>
      </c>
      <c r="K91" s="1" t="s">
        <v>25</v>
      </c>
      <c r="L91" s="1" t="s">
        <v>23</v>
      </c>
      <c r="M91" s="1" t="s">
        <v>23</v>
      </c>
      <c r="N91" s="1" t="str">
        <f t="shared" si="13"/>
        <v>ORIGEN</v>
      </c>
      <c r="O91" s="3">
        <f t="shared" si="14"/>
        <v>45785.488838784724</v>
      </c>
      <c r="P91" s="3">
        <f t="shared" si="15"/>
        <v>45827.490906041668</v>
      </c>
      <c r="Q91" s="1" t="str">
        <f t="shared" si="16"/>
        <v>Externo</v>
      </c>
      <c r="R91" s="1">
        <f t="shared" si="17"/>
        <v>19</v>
      </c>
      <c r="S91" s="6">
        <f t="shared" si="18"/>
        <v>45782</v>
      </c>
      <c r="T91" s="1">
        <f t="shared" si="19"/>
        <v>25</v>
      </c>
      <c r="U91" s="6">
        <f t="shared" si="20"/>
        <v>45824</v>
      </c>
      <c r="V91" s="1">
        <f t="shared" si="21"/>
        <v>42.002067256944429</v>
      </c>
      <c r="W91" s="1">
        <f t="shared" si="22"/>
        <v>2025</v>
      </c>
      <c r="X91" s="1">
        <f t="shared" si="23"/>
        <v>2025</v>
      </c>
      <c r="Y91" s="1" t="str">
        <f t="shared" si="24"/>
        <v>2025-05</v>
      </c>
      <c r="Z91" s="1" t="str">
        <f t="shared" si="25"/>
        <v>2025-06</v>
      </c>
    </row>
    <row r="92" spans="1:26" x14ac:dyDescent="0.2">
      <c r="A92" s="2" t="s">
        <v>264</v>
      </c>
      <c r="B92" s="1" t="s">
        <v>265</v>
      </c>
      <c r="C92" s="1" t="s">
        <v>23</v>
      </c>
      <c r="D92" s="3">
        <v>45785.670034710645</v>
      </c>
      <c r="E92" s="3">
        <v>45796.410550266206</v>
      </c>
      <c r="F92" s="1" t="s">
        <v>21</v>
      </c>
      <c r="G92" s="1" t="s">
        <v>167</v>
      </c>
      <c r="H92" s="1" t="s">
        <v>23</v>
      </c>
      <c r="I92" s="1" t="s">
        <v>23</v>
      </c>
      <c r="J92" s="1" t="s">
        <v>31</v>
      </c>
      <c r="K92" s="1" t="s">
        <v>25</v>
      </c>
      <c r="L92" s="1" t="s">
        <v>23</v>
      </c>
      <c r="M92" s="1" t="s">
        <v>23</v>
      </c>
      <c r="N92" s="1" t="str">
        <f t="shared" si="13"/>
        <v>REPROCESO</v>
      </c>
      <c r="O92" s="3">
        <f t="shared" si="14"/>
        <v>45785.670034710645</v>
      </c>
      <c r="P92" s="3">
        <f t="shared" si="15"/>
        <v>45796.410550266206</v>
      </c>
      <c r="Q92" s="1" t="str">
        <f t="shared" si="16"/>
        <v>Interno</v>
      </c>
      <c r="R92" s="1">
        <f t="shared" si="17"/>
        <v>19</v>
      </c>
      <c r="S92" s="6">
        <f t="shared" si="18"/>
        <v>45782</v>
      </c>
      <c r="T92" s="1">
        <f t="shared" si="19"/>
        <v>21</v>
      </c>
      <c r="U92" s="6">
        <f t="shared" si="20"/>
        <v>45796</v>
      </c>
      <c r="V92" s="1">
        <f t="shared" si="21"/>
        <v>10.740515555560705</v>
      </c>
      <c r="W92" s="1">
        <f t="shared" si="22"/>
        <v>2025</v>
      </c>
      <c r="X92" s="1">
        <f t="shared" si="23"/>
        <v>2025</v>
      </c>
      <c r="Y92" s="1" t="str">
        <f t="shared" si="24"/>
        <v>2025-05</v>
      </c>
      <c r="Z92" s="1" t="str">
        <f t="shared" si="25"/>
        <v>2025-05</v>
      </c>
    </row>
    <row r="93" spans="1:26" x14ac:dyDescent="0.2">
      <c r="A93" s="2" t="s">
        <v>266</v>
      </c>
      <c r="B93" s="1" t="s">
        <v>267</v>
      </c>
      <c r="C93" s="1" t="s">
        <v>23</v>
      </c>
      <c r="D93" s="3">
        <v>45790.650213020832</v>
      </c>
      <c r="E93" s="3">
        <v>45866.407836990744</v>
      </c>
      <c r="F93" s="1" t="s">
        <v>21</v>
      </c>
      <c r="G93" s="1" t="s">
        <v>97</v>
      </c>
      <c r="H93" s="1" t="s">
        <v>202</v>
      </c>
      <c r="I93" s="1" t="s">
        <v>23</v>
      </c>
      <c r="J93" s="1" t="s">
        <v>31</v>
      </c>
      <c r="K93" s="1" t="s">
        <v>25</v>
      </c>
      <c r="L93" s="1" t="s">
        <v>23</v>
      </c>
      <c r="M93" s="1" t="s">
        <v>23</v>
      </c>
      <c r="N93" s="1" t="str">
        <f t="shared" si="13"/>
        <v>DEFINICIÓN</v>
      </c>
      <c r="O93" s="3">
        <f t="shared" si="14"/>
        <v>45790.650213020832</v>
      </c>
      <c r="P93" s="3">
        <f t="shared" si="15"/>
        <v>45866.407836990744</v>
      </c>
      <c r="Q93" s="1" t="str">
        <f t="shared" si="16"/>
        <v>Externo</v>
      </c>
      <c r="R93" s="1">
        <f t="shared" si="17"/>
        <v>20</v>
      </c>
      <c r="S93" s="6">
        <f t="shared" si="18"/>
        <v>45789</v>
      </c>
      <c r="T93" s="1">
        <f t="shared" si="19"/>
        <v>31</v>
      </c>
      <c r="U93" s="6">
        <f t="shared" si="20"/>
        <v>45866</v>
      </c>
      <c r="V93" s="1">
        <f t="shared" si="21"/>
        <v>75.757623969911947</v>
      </c>
      <c r="W93" s="1">
        <f t="shared" si="22"/>
        <v>2025</v>
      </c>
      <c r="X93" s="1">
        <f t="shared" si="23"/>
        <v>2025</v>
      </c>
      <c r="Y93" s="1" t="str">
        <f t="shared" si="24"/>
        <v>2025-05</v>
      </c>
      <c r="Z93" s="1" t="str">
        <f t="shared" si="25"/>
        <v>2025-07</v>
      </c>
    </row>
    <row r="94" spans="1:26" x14ac:dyDescent="0.2">
      <c r="A94" s="2" t="s">
        <v>268</v>
      </c>
      <c r="B94" s="1" t="s">
        <v>269</v>
      </c>
      <c r="C94" s="1" t="s">
        <v>270</v>
      </c>
      <c r="D94" s="3">
        <v>45799.508342048612</v>
      </c>
      <c r="E94" s="3">
        <v>45805.536220995367</v>
      </c>
      <c r="F94" s="1" t="s">
        <v>21</v>
      </c>
      <c r="G94" s="1" t="s">
        <v>97</v>
      </c>
      <c r="H94" s="1" t="s">
        <v>270</v>
      </c>
      <c r="I94" s="1" t="s">
        <v>183</v>
      </c>
      <c r="J94" s="1" t="s">
        <v>31</v>
      </c>
      <c r="K94" s="1" t="s">
        <v>25</v>
      </c>
      <c r="L94" s="1" t="s">
        <v>23</v>
      </c>
      <c r="M94" s="1" t="s">
        <v>23</v>
      </c>
      <c r="N94" s="1" t="str">
        <f t="shared" si="13"/>
        <v>DEFINICIÓN</v>
      </c>
      <c r="O94" s="3">
        <f t="shared" si="14"/>
        <v>45799.508342048612</v>
      </c>
      <c r="P94" s="3">
        <f t="shared" si="15"/>
        <v>45805.536220995367</v>
      </c>
      <c r="Q94" s="1" t="str">
        <f t="shared" si="16"/>
        <v>Externo</v>
      </c>
      <c r="R94" s="1">
        <f t="shared" si="17"/>
        <v>21</v>
      </c>
      <c r="S94" s="6">
        <f t="shared" si="18"/>
        <v>45796</v>
      </c>
      <c r="T94" s="1">
        <f t="shared" si="19"/>
        <v>22</v>
      </c>
      <c r="U94" s="6">
        <f t="shared" si="20"/>
        <v>45803</v>
      </c>
      <c r="V94" s="1">
        <f t="shared" si="21"/>
        <v>6.0278789467556635</v>
      </c>
      <c r="W94" s="1">
        <f t="shared" si="22"/>
        <v>2025</v>
      </c>
      <c r="X94" s="1">
        <f t="shared" si="23"/>
        <v>2025</v>
      </c>
      <c r="Y94" s="1" t="str">
        <f t="shared" si="24"/>
        <v>2025-05</v>
      </c>
      <c r="Z94" s="1" t="str">
        <f t="shared" si="25"/>
        <v>2025-05</v>
      </c>
    </row>
    <row r="95" spans="1:26" x14ac:dyDescent="0.2">
      <c r="A95" s="2" t="s">
        <v>271</v>
      </c>
      <c r="B95" s="1" t="s">
        <v>272</v>
      </c>
      <c r="C95" s="1" t="s">
        <v>120</v>
      </c>
      <c r="D95" s="3">
        <v>45800.572518715278</v>
      </c>
      <c r="E95" s="3">
        <v>45828.487796678244</v>
      </c>
      <c r="F95" s="1" t="s">
        <v>21</v>
      </c>
      <c r="G95" s="1" t="s">
        <v>97</v>
      </c>
      <c r="H95" s="1" t="s">
        <v>23</v>
      </c>
      <c r="I95" s="1" t="s">
        <v>273</v>
      </c>
      <c r="J95" s="1" t="s">
        <v>31</v>
      </c>
      <c r="K95" s="1" t="s">
        <v>25</v>
      </c>
      <c r="L95" s="1" t="s">
        <v>274</v>
      </c>
      <c r="M95" s="1" t="s">
        <v>528</v>
      </c>
      <c r="N95" s="1" t="str">
        <f t="shared" si="13"/>
        <v>DEFINICIÓN</v>
      </c>
      <c r="O95" s="3">
        <f t="shared" si="14"/>
        <v>45800.572518715278</v>
      </c>
      <c r="P95" s="3">
        <f t="shared" si="15"/>
        <v>45828.487796678244</v>
      </c>
      <c r="Q95" s="1" t="str">
        <f t="shared" si="16"/>
        <v>Externo</v>
      </c>
      <c r="R95" s="1">
        <f t="shared" si="17"/>
        <v>21</v>
      </c>
      <c r="S95" s="6">
        <f t="shared" si="18"/>
        <v>45796</v>
      </c>
      <c r="T95" s="1">
        <f t="shared" si="19"/>
        <v>25</v>
      </c>
      <c r="U95" s="6">
        <f t="shared" si="20"/>
        <v>45824</v>
      </c>
      <c r="V95" s="1">
        <f t="shared" si="21"/>
        <v>27.915277962965774</v>
      </c>
      <c r="W95" s="1">
        <f t="shared" si="22"/>
        <v>2025</v>
      </c>
      <c r="X95" s="1">
        <f t="shared" si="23"/>
        <v>2025</v>
      </c>
      <c r="Y95" s="1" t="str">
        <f t="shared" si="24"/>
        <v>2025-05</v>
      </c>
      <c r="Z95" s="1" t="str">
        <f t="shared" si="25"/>
        <v>2025-06</v>
      </c>
    </row>
    <row r="96" spans="1:26" x14ac:dyDescent="0.2">
      <c r="A96" s="2" t="s">
        <v>275</v>
      </c>
      <c r="B96" s="1" t="s">
        <v>276</v>
      </c>
      <c r="C96" s="1" t="s">
        <v>106</v>
      </c>
      <c r="D96" s="3">
        <v>45805.388613391202</v>
      </c>
      <c r="E96" s="3">
        <v>45807.450522141204</v>
      </c>
      <c r="F96" s="1" t="s">
        <v>21</v>
      </c>
      <c r="G96" s="1" t="s">
        <v>97</v>
      </c>
      <c r="H96" s="1" t="s">
        <v>23</v>
      </c>
      <c r="I96" s="1" t="s">
        <v>183</v>
      </c>
      <c r="J96" s="1" t="s">
        <v>31</v>
      </c>
      <c r="K96" s="1" t="s">
        <v>25</v>
      </c>
      <c r="L96" s="1" t="s">
        <v>23</v>
      </c>
      <c r="M96" s="1" t="s">
        <v>528</v>
      </c>
      <c r="N96" s="1" t="str">
        <f t="shared" si="13"/>
        <v>DEFINICIÓN</v>
      </c>
      <c r="O96" s="3">
        <f t="shared" si="14"/>
        <v>45805.388613391202</v>
      </c>
      <c r="P96" s="3">
        <f t="shared" si="15"/>
        <v>45807.450522141204</v>
      </c>
      <c r="Q96" s="1" t="str">
        <f t="shared" si="16"/>
        <v>Externo</v>
      </c>
      <c r="R96" s="1">
        <f t="shared" si="17"/>
        <v>22</v>
      </c>
      <c r="S96" s="6">
        <f t="shared" si="18"/>
        <v>45803</v>
      </c>
      <c r="T96" s="1">
        <f t="shared" si="19"/>
        <v>22</v>
      </c>
      <c r="U96" s="6">
        <f t="shared" si="20"/>
        <v>45803</v>
      </c>
      <c r="V96" s="1">
        <f t="shared" si="21"/>
        <v>2.0619087500017486</v>
      </c>
      <c r="W96" s="1">
        <f t="shared" si="22"/>
        <v>2025</v>
      </c>
      <c r="X96" s="1">
        <f t="shared" si="23"/>
        <v>2025</v>
      </c>
      <c r="Y96" s="1" t="str">
        <f t="shared" si="24"/>
        <v>2025-05</v>
      </c>
      <c r="Z96" s="1" t="str">
        <f t="shared" si="25"/>
        <v>2025-05</v>
      </c>
    </row>
    <row r="97" spans="1:26" x14ac:dyDescent="0.2">
      <c r="A97" s="2" t="s">
        <v>277</v>
      </c>
      <c r="B97" s="1" t="s">
        <v>278</v>
      </c>
      <c r="C97" s="1" t="s">
        <v>106</v>
      </c>
      <c r="D97" s="3">
        <v>45805.421084953705</v>
      </c>
      <c r="E97" s="3">
        <v>45805.421970717594</v>
      </c>
      <c r="F97" s="1" t="s">
        <v>21</v>
      </c>
      <c r="G97" s="1" t="s">
        <v>167</v>
      </c>
      <c r="H97" s="1" t="s">
        <v>23</v>
      </c>
      <c r="I97" s="1" t="s">
        <v>183</v>
      </c>
      <c r="J97" s="1" t="s">
        <v>31</v>
      </c>
      <c r="K97" s="1" t="s">
        <v>25</v>
      </c>
      <c r="L97" s="1" t="s">
        <v>23</v>
      </c>
      <c r="M97" s="1" t="s">
        <v>528</v>
      </c>
      <c r="N97" s="1" t="str">
        <f t="shared" si="13"/>
        <v>REPROCESO</v>
      </c>
      <c r="O97" s="3">
        <f t="shared" si="14"/>
        <v>45805.421084953705</v>
      </c>
      <c r="P97" s="3">
        <f t="shared" si="15"/>
        <v>45805.421970717594</v>
      </c>
      <c r="Q97" s="1" t="str">
        <f t="shared" si="16"/>
        <v>Interno</v>
      </c>
      <c r="R97" s="1">
        <f t="shared" si="17"/>
        <v>22</v>
      </c>
      <c r="S97" s="6">
        <f t="shared" si="18"/>
        <v>45803</v>
      </c>
      <c r="T97" s="1">
        <f t="shared" si="19"/>
        <v>22</v>
      </c>
      <c r="U97" s="6">
        <f t="shared" si="20"/>
        <v>45803</v>
      </c>
      <c r="V97" s="1">
        <f t="shared" si="21"/>
        <v>8.8576388952787966E-4</v>
      </c>
      <c r="W97" s="1">
        <f t="shared" si="22"/>
        <v>2025</v>
      </c>
      <c r="X97" s="1">
        <f t="shared" si="23"/>
        <v>2025</v>
      </c>
      <c r="Y97" s="1" t="str">
        <f t="shared" si="24"/>
        <v>2025-05</v>
      </c>
      <c r="Z97" s="1" t="str">
        <f t="shared" si="25"/>
        <v>2025-05</v>
      </c>
    </row>
    <row r="98" spans="1:26" s="25" customFormat="1" x14ac:dyDescent="0.2">
      <c r="A98" s="24" t="s">
        <v>279</v>
      </c>
      <c r="B98" s="25" t="s">
        <v>280</v>
      </c>
      <c r="C98" s="25" t="s">
        <v>270</v>
      </c>
      <c r="D98" s="26">
        <v>45805.455694444441</v>
      </c>
      <c r="E98" s="26">
        <v>2958465.4556944445</v>
      </c>
      <c r="F98" s="25" t="s">
        <v>21</v>
      </c>
      <c r="G98" s="25" t="s">
        <v>97</v>
      </c>
      <c r="H98" s="25" t="s">
        <v>270</v>
      </c>
      <c r="I98" s="25" t="s">
        <v>68</v>
      </c>
      <c r="J98" s="25" t="s">
        <v>31</v>
      </c>
      <c r="K98" s="25" t="s">
        <v>348</v>
      </c>
      <c r="L98" s="25" t="s">
        <v>23</v>
      </c>
      <c r="M98" s="25" t="s">
        <v>23</v>
      </c>
      <c r="N98" s="1" t="str">
        <f t="shared" si="13"/>
        <v>DEFINICIÓN</v>
      </c>
      <c r="O98" s="26">
        <f t="shared" si="14"/>
        <v>45805.455694444441</v>
      </c>
      <c r="P98" s="26">
        <f t="shared" si="15"/>
        <v>2958465.4556944445</v>
      </c>
      <c r="Q98" s="1" t="str">
        <f t="shared" si="16"/>
        <v>Externo</v>
      </c>
      <c r="R98" s="25">
        <f t="shared" si="17"/>
        <v>22</v>
      </c>
      <c r="S98" s="27">
        <f t="shared" si="18"/>
        <v>45803</v>
      </c>
      <c r="T98" s="25">
        <f t="shared" si="19"/>
        <v>53</v>
      </c>
      <c r="U98" s="27">
        <f t="shared" si="20"/>
        <v>2958468</v>
      </c>
      <c r="V98" s="25">
        <f t="shared" si="21"/>
        <v>2912660</v>
      </c>
      <c r="W98" s="25">
        <f t="shared" si="22"/>
        <v>2025</v>
      </c>
      <c r="X98" s="25">
        <f t="shared" si="23"/>
        <v>9999</v>
      </c>
      <c r="Y98" s="25" t="str">
        <f t="shared" si="24"/>
        <v>2025-05</v>
      </c>
      <c r="Z98" s="25" t="e">
        <f t="shared" si="25"/>
        <v>#VALUE!</v>
      </c>
    </row>
    <row r="99" spans="1:26" x14ac:dyDescent="0.2">
      <c r="A99" s="2" t="s">
        <v>281</v>
      </c>
      <c r="B99" s="1" t="s">
        <v>282</v>
      </c>
      <c r="C99" s="1" t="s">
        <v>270</v>
      </c>
      <c r="D99" s="3">
        <v>45805.541293472219</v>
      </c>
      <c r="E99" s="3">
        <v>45805.543720543981</v>
      </c>
      <c r="F99" s="1" t="s">
        <v>21</v>
      </c>
      <c r="G99" s="1" t="s">
        <v>167</v>
      </c>
      <c r="H99" s="1" t="s">
        <v>23</v>
      </c>
      <c r="I99" s="1" t="s">
        <v>183</v>
      </c>
      <c r="J99" s="1" t="s">
        <v>31</v>
      </c>
      <c r="K99" s="1" t="s">
        <v>25</v>
      </c>
      <c r="L99" s="1" t="s">
        <v>23</v>
      </c>
      <c r="M99" s="1" t="s">
        <v>23</v>
      </c>
      <c r="N99" s="1" t="str">
        <f t="shared" si="13"/>
        <v>REPROCESO</v>
      </c>
      <c r="O99" s="3">
        <f t="shared" si="14"/>
        <v>45805.541293472219</v>
      </c>
      <c r="P99" s="3">
        <f t="shared" si="15"/>
        <v>45805.543720543981</v>
      </c>
      <c r="Q99" s="1" t="str">
        <f t="shared" si="16"/>
        <v>Interno</v>
      </c>
      <c r="R99" s="1">
        <f t="shared" si="17"/>
        <v>22</v>
      </c>
      <c r="S99" s="6">
        <f t="shared" si="18"/>
        <v>45803</v>
      </c>
      <c r="T99" s="1">
        <f t="shared" si="19"/>
        <v>22</v>
      </c>
      <c r="U99" s="6">
        <f t="shared" si="20"/>
        <v>45803</v>
      </c>
      <c r="V99" s="1">
        <f t="shared" si="21"/>
        <v>2.4270717622130178E-3</v>
      </c>
      <c r="W99" s="1">
        <f t="shared" si="22"/>
        <v>2025</v>
      </c>
      <c r="X99" s="1">
        <f t="shared" si="23"/>
        <v>2025</v>
      </c>
      <c r="Y99" s="1" t="str">
        <f t="shared" si="24"/>
        <v>2025-05</v>
      </c>
      <c r="Z99" s="1" t="str">
        <f t="shared" si="25"/>
        <v>2025-05</v>
      </c>
    </row>
    <row r="100" spans="1:26" x14ac:dyDescent="0.2">
      <c r="A100" s="2" t="s">
        <v>283</v>
      </c>
      <c r="B100" s="1" t="s">
        <v>284</v>
      </c>
      <c r="C100" s="1" t="s">
        <v>44</v>
      </c>
      <c r="D100" s="3">
        <v>45806.379149756947</v>
      </c>
      <c r="E100" s="3">
        <v>45806.573962662034</v>
      </c>
      <c r="F100" s="1" t="s">
        <v>21</v>
      </c>
      <c r="G100" s="1" t="s">
        <v>101</v>
      </c>
      <c r="H100" s="1" t="s">
        <v>23</v>
      </c>
      <c r="I100" s="1" t="s">
        <v>183</v>
      </c>
      <c r="J100" s="1" t="s">
        <v>31</v>
      </c>
      <c r="K100" s="1" t="s">
        <v>25</v>
      </c>
      <c r="L100" s="1" t="s">
        <v>23</v>
      </c>
      <c r="M100" s="1" t="s">
        <v>528</v>
      </c>
      <c r="N100" s="1" t="str">
        <f t="shared" si="13"/>
        <v>FUNCIONAL</v>
      </c>
      <c r="O100" s="3">
        <f t="shared" si="14"/>
        <v>45806.379149756947</v>
      </c>
      <c r="P100" s="3">
        <f t="shared" si="15"/>
        <v>45806.573962662034</v>
      </c>
      <c r="Q100" s="1" t="str">
        <f t="shared" si="16"/>
        <v>Interno</v>
      </c>
      <c r="R100" s="1">
        <f t="shared" si="17"/>
        <v>22</v>
      </c>
      <c r="S100" s="6">
        <f t="shared" si="18"/>
        <v>45803</v>
      </c>
      <c r="T100" s="1">
        <f t="shared" si="19"/>
        <v>22</v>
      </c>
      <c r="U100" s="6">
        <f t="shared" si="20"/>
        <v>45803</v>
      </c>
      <c r="V100" s="1">
        <f t="shared" si="21"/>
        <v>0.19481290508701932</v>
      </c>
      <c r="W100" s="1">
        <f t="shared" si="22"/>
        <v>2025</v>
      </c>
      <c r="X100" s="1">
        <f t="shared" si="23"/>
        <v>2025</v>
      </c>
      <c r="Y100" s="1" t="str">
        <f t="shared" si="24"/>
        <v>2025-05</v>
      </c>
      <c r="Z100" s="1" t="str">
        <f t="shared" si="25"/>
        <v>2025-05</v>
      </c>
    </row>
    <row r="101" spans="1:26" x14ac:dyDescent="0.2">
      <c r="A101" s="2" t="s">
        <v>285</v>
      </c>
      <c r="B101" s="1" t="s">
        <v>286</v>
      </c>
      <c r="C101" s="1" t="s">
        <v>23</v>
      </c>
      <c r="D101" s="3">
        <v>45806.491209490741</v>
      </c>
      <c r="E101" s="3">
        <v>45842.362421631944</v>
      </c>
      <c r="F101" s="1" t="s">
        <v>21</v>
      </c>
      <c r="G101" s="1" t="s">
        <v>101</v>
      </c>
      <c r="H101" s="1" t="s">
        <v>23</v>
      </c>
      <c r="I101" s="1" t="s">
        <v>23</v>
      </c>
      <c r="J101" s="1" t="s">
        <v>31</v>
      </c>
      <c r="K101" s="1" t="s">
        <v>25</v>
      </c>
      <c r="L101" s="1" t="s">
        <v>23</v>
      </c>
      <c r="M101" s="1" t="s">
        <v>528</v>
      </c>
      <c r="N101" s="1" t="str">
        <f t="shared" si="13"/>
        <v>FUNCIONAL</v>
      </c>
      <c r="O101" s="3">
        <f t="shared" si="14"/>
        <v>45806.491209490741</v>
      </c>
      <c r="P101" s="3">
        <f t="shared" si="15"/>
        <v>45842.362421631944</v>
      </c>
      <c r="Q101" s="1" t="str">
        <f t="shared" si="16"/>
        <v>Interno</v>
      </c>
      <c r="R101" s="1">
        <f t="shared" si="17"/>
        <v>22</v>
      </c>
      <c r="S101" s="6">
        <f t="shared" si="18"/>
        <v>45803</v>
      </c>
      <c r="T101" s="1">
        <f t="shared" si="19"/>
        <v>27</v>
      </c>
      <c r="U101" s="6">
        <f t="shared" si="20"/>
        <v>45838</v>
      </c>
      <c r="V101" s="1">
        <f t="shared" si="21"/>
        <v>35.871212141202705</v>
      </c>
      <c r="W101" s="1">
        <f t="shared" si="22"/>
        <v>2025</v>
      </c>
      <c r="X101" s="1">
        <f t="shared" si="23"/>
        <v>2025</v>
      </c>
      <c r="Y101" s="1" t="str">
        <f t="shared" si="24"/>
        <v>2025-05</v>
      </c>
      <c r="Z101" s="1" t="str">
        <f t="shared" si="25"/>
        <v>2025-06</v>
      </c>
    </row>
    <row r="102" spans="1:26" x14ac:dyDescent="0.2">
      <c r="A102" s="2" t="s">
        <v>287</v>
      </c>
      <c r="B102" s="1" t="s">
        <v>288</v>
      </c>
      <c r="C102" s="1" t="s">
        <v>270</v>
      </c>
      <c r="D102" s="3">
        <v>45806.542585960648</v>
      </c>
      <c r="E102" s="3">
        <v>45807.36817603009</v>
      </c>
      <c r="F102" s="1" t="s">
        <v>21</v>
      </c>
      <c r="G102" s="1" t="s">
        <v>167</v>
      </c>
      <c r="H102" s="1" t="s">
        <v>23</v>
      </c>
      <c r="I102" s="1" t="s">
        <v>183</v>
      </c>
      <c r="J102" s="1" t="s">
        <v>31</v>
      </c>
      <c r="K102" s="1" t="s">
        <v>25</v>
      </c>
      <c r="L102" s="1" t="s">
        <v>23</v>
      </c>
      <c r="M102" s="1" t="s">
        <v>23</v>
      </c>
      <c r="N102" s="1" t="str">
        <f t="shared" si="13"/>
        <v>REPROCESO</v>
      </c>
      <c r="O102" s="3">
        <f t="shared" si="14"/>
        <v>45806.542585960648</v>
      </c>
      <c r="P102" s="3">
        <f t="shared" si="15"/>
        <v>45807.36817603009</v>
      </c>
      <c r="Q102" s="1" t="str">
        <f t="shared" si="16"/>
        <v>Interno</v>
      </c>
      <c r="R102" s="1">
        <f t="shared" si="17"/>
        <v>22</v>
      </c>
      <c r="S102" s="6">
        <f t="shared" si="18"/>
        <v>45803</v>
      </c>
      <c r="T102" s="1">
        <f t="shared" si="19"/>
        <v>22</v>
      </c>
      <c r="U102" s="6">
        <f t="shared" si="20"/>
        <v>45803</v>
      </c>
      <c r="V102" s="1">
        <f t="shared" si="21"/>
        <v>0.82559006944211433</v>
      </c>
      <c r="W102" s="1">
        <f t="shared" si="22"/>
        <v>2025</v>
      </c>
      <c r="X102" s="1">
        <f t="shared" si="23"/>
        <v>2025</v>
      </c>
      <c r="Y102" s="1" t="str">
        <f t="shared" si="24"/>
        <v>2025-05</v>
      </c>
      <c r="Z102" s="1" t="str">
        <f t="shared" si="25"/>
        <v>2025-05</v>
      </c>
    </row>
    <row r="103" spans="1:26" x14ac:dyDescent="0.2">
      <c r="A103" s="2" t="s">
        <v>289</v>
      </c>
      <c r="B103" s="1" t="s">
        <v>290</v>
      </c>
      <c r="C103" s="1" t="s">
        <v>58</v>
      </c>
      <c r="D103" s="3">
        <v>45806.708980254632</v>
      </c>
      <c r="E103" s="3">
        <v>45849.419252766202</v>
      </c>
      <c r="F103" s="1" t="s">
        <v>21</v>
      </c>
      <c r="G103" s="1" t="s">
        <v>36</v>
      </c>
      <c r="H103" s="1" t="s">
        <v>291</v>
      </c>
      <c r="I103" s="1" t="s">
        <v>183</v>
      </c>
      <c r="J103" s="1" t="s">
        <v>31</v>
      </c>
      <c r="K103" s="1" t="s">
        <v>37</v>
      </c>
      <c r="L103" s="1" t="s">
        <v>23</v>
      </c>
      <c r="M103" s="1" t="s">
        <v>528</v>
      </c>
      <c r="N103" s="1" t="str">
        <f t="shared" si="13"/>
        <v>ORIGEN</v>
      </c>
      <c r="O103" s="3">
        <f t="shared" si="14"/>
        <v>45806.708980254632</v>
      </c>
      <c r="P103" s="3">
        <f t="shared" si="15"/>
        <v>45849.419252766202</v>
      </c>
      <c r="Q103" s="1" t="str">
        <f t="shared" si="16"/>
        <v>Externo</v>
      </c>
      <c r="R103" s="1">
        <f t="shared" si="17"/>
        <v>22</v>
      </c>
      <c r="S103" s="6">
        <f t="shared" si="18"/>
        <v>45803</v>
      </c>
      <c r="T103" s="1">
        <f t="shared" si="19"/>
        <v>28</v>
      </c>
      <c r="U103" s="6">
        <f t="shared" si="20"/>
        <v>45845</v>
      </c>
      <c r="V103" s="1">
        <f t="shared" si="21"/>
        <v>42.710272511569201</v>
      </c>
      <c r="W103" s="1">
        <f t="shared" si="22"/>
        <v>2025</v>
      </c>
      <c r="X103" s="1">
        <f t="shared" si="23"/>
        <v>2025</v>
      </c>
      <c r="Y103" s="1" t="str">
        <f t="shared" si="24"/>
        <v>2025-05</v>
      </c>
      <c r="Z103" s="1" t="str">
        <f t="shared" si="25"/>
        <v>2025-07</v>
      </c>
    </row>
    <row r="104" spans="1:26" x14ac:dyDescent="0.2">
      <c r="A104" s="2" t="s">
        <v>292</v>
      </c>
      <c r="B104" s="1" t="s">
        <v>293</v>
      </c>
      <c r="C104" s="1" t="s">
        <v>23</v>
      </c>
      <c r="D104" s="3">
        <v>45807.545930578701</v>
      </c>
      <c r="E104" s="3">
        <v>45811.643080995367</v>
      </c>
      <c r="F104" s="1" t="s">
        <v>21</v>
      </c>
      <c r="G104" s="1" t="s">
        <v>101</v>
      </c>
      <c r="H104" s="1" t="s">
        <v>23</v>
      </c>
      <c r="I104" s="1" t="s">
        <v>23</v>
      </c>
      <c r="J104" s="1" t="s">
        <v>31</v>
      </c>
      <c r="K104" s="1" t="s">
        <v>25</v>
      </c>
      <c r="L104" s="1" t="s">
        <v>23</v>
      </c>
      <c r="M104" s="1" t="s">
        <v>528</v>
      </c>
      <c r="N104" s="1" t="str">
        <f t="shared" si="13"/>
        <v>FUNCIONAL</v>
      </c>
      <c r="O104" s="3">
        <f t="shared" si="14"/>
        <v>45807.545930578701</v>
      </c>
      <c r="P104" s="3">
        <f t="shared" si="15"/>
        <v>45811.643080995367</v>
      </c>
      <c r="Q104" s="1" t="str">
        <f t="shared" si="16"/>
        <v>Interno</v>
      </c>
      <c r="R104" s="1">
        <f t="shared" si="17"/>
        <v>22</v>
      </c>
      <c r="S104" s="6">
        <f t="shared" si="18"/>
        <v>45803</v>
      </c>
      <c r="T104" s="1">
        <f t="shared" si="19"/>
        <v>23</v>
      </c>
      <c r="U104" s="6">
        <f t="shared" si="20"/>
        <v>45810</v>
      </c>
      <c r="V104" s="1">
        <f t="shared" si="21"/>
        <v>4.097150416666409</v>
      </c>
      <c r="W104" s="1">
        <f t="shared" si="22"/>
        <v>2025</v>
      </c>
      <c r="X104" s="1">
        <f t="shared" si="23"/>
        <v>2025</v>
      </c>
      <c r="Y104" s="1" t="str">
        <f t="shared" si="24"/>
        <v>2025-05</v>
      </c>
      <c r="Z104" s="1" t="str">
        <f t="shared" si="25"/>
        <v>2025-06</v>
      </c>
    </row>
    <row r="105" spans="1:26" x14ac:dyDescent="0.2">
      <c r="A105" s="2" t="s">
        <v>294</v>
      </c>
      <c r="B105" s="1" t="s">
        <v>295</v>
      </c>
      <c r="C105" s="1" t="s">
        <v>23</v>
      </c>
      <c r="D105" s="3">
        <v>45807.575639976851</v>
      </c>
      <c r="E105" s="3">
        <v>45828.488335590278</v>
      </c>
      <c r="F105" s="1" t="s">
        <v>21</v>
      </c>
      <c r="G105" s="1" t="s">
        <v>97</v>
      </c>
      <c r="H105" s="1" t="s">
        <v>23</v>
      </c>
      <c r="I105" s="1" t="s">
        <v>296</v>
      </c>
      <c r="J105" s="1" t="s">
        <v>31</v>
      </c>
      <c r="K105" s="1" t="s">
        <v>25</v>
      </c>
      <c r="L105" s="1" t="s">
        <v>274</v>
      </c>
      <c r="M105" s="1" t="s">
        <v>528</v>
      </c>
      <c r="N105" s="1" t="str">
        <f t="shared" si="13"/>
        <v>DEFINICIÓN</v>
      </c>
      <c r="O105" s="3">
        <f t="shared" si="14"/>
        <v>45807.575639976851</v>
      </c>
      <c r="P105" s="3">
        <f t="shared" si="15"/>
        <v>45828.488335590278</v>
      </c>
      <c r="Q105" s="1" t="str">
        <f t="shared" si="16"/>
        <v>Externo</v>
      </c>
      <c r="R105" s="1">
        <f t="shared" si="17"/>
        <v>22</v>
      </c>
      <c r="S105" s="6">
        <f t="shared" si="18"/>
        <v>45803</v>
      </c>
      <c r="T105" s="1">
        <f t="shared" si="19"/>
        <v>25</v>
      </c>
      <c r="U105" s="6">
        <f t="shared" si="20"/>
        <v>45824</v>
      </c>
      <c r="V105" s="1">
        <f t="shared" si="21"/>
        <v>20.912695613427786</v>
      </c>
      <c r="W105" s="1">
        <f t="shared" si="22"/>
        <v>2025</v>
      </c>
      <c r="X105" s="1">
        <f t="shared" si="23"/>
        <v>2025</v>
      </c>
      <c r="Y105" s="1" t="str">
        <f t="shared" si="24"/>
        <v>2025-05</v>
      </c>
      <c r="Z105" s="1" t="str">
        <f t="shared" si="25"/>
        <v>2025-06</v>
      </c>
    </row>
    <row r="106" spans="1:26" x14ac:dyDescent="0.2">
      <c r="A106" s="2" t="s">
        <v>297</v>
      </c>
      <c r="B106" s="1" t="s">
        <v>298</v>
      </c>
      <c r="C106" s="1" t="s">
        <v>113</v>
      </c>
      <c r="D106" s="3">
        <v>45810.373626400462</v>
      </c>
      <c r="E106" s="3">
        <v>45820.391178310187</v>
      </c>
      <c r="F106" s="1" t="s">
        <v>21</v>
      </c>
      <c r="G106" s="1" t="s">
        <v>97</v>
      </c>
      <c r="H106" s="1" t="s">
        <v>113</v>
      </c>
      <c r="I106" s="1" t="s">
        <v>183</v>
      </c>
      <c r="J106" s="1" t="s">
        <v>31</v>
      </c>
      <c r="K106" s="1" t="s">
        <v>25</v>
      </c>
      <c r="L106" s="1" t="s">
        <v>23</v>
      </c>
      <c r="M106" s="1" t="s">
        <v>528</v>
      </c>
      <c r="N106" s="1" t="str">
        <f t="shared" si="13"/>
        <v>DEFINICIÓN</v>
      </c>
      <c r="O106" s="3">
        <f t="shared" si="14"/>
        <v>45810.373626400462</v>
      </c>
      <c r="P106" s="3">
        <f t="shared" si="15"/>
        <v>45820.391178310187</v>
      </c>
      <c r="Q106" s="1" t="str">
        <f t="shared" si="16"/>
        <v>Externo</v>
      </c>
      <c r="R106" s="1">
        <f t="shared" si="17"/>
        <v>23</v>
      </c>
      <c r="S106" s="6">
        <f t="shared" si="18"/>
        <v>45810</v>
      </c>
      <c r="T106" s="1">
        <f t="shared" si="19"/>
        <v>24</v>
      </c>
      <c r="U106" s="6">
        <f t="shared" si="20"/>
        <v>45817</v>
      </c>
      <c r="V106" s="1">
        <f t="shared" si="21"/>
        <v>10.017551909724716</v>
      </c>
      <c r="W106" s="1">
        <f t="shared" si="22"/>
        <v>2025</v>
      </c>
      <c r="X106" s="1">
        <f t="shared" si="23"/>
        <v>2025</v>
      </c>
      <c r="Y106" s="1" t="str">
        <f t="shared" si="24"/>
        <v>2025-06</v>
      </c>
      <c r="Z106" s="1" t="str">
        <f t="shared" si="25"/>
        <v>2025-06</v>
      </c>
    </row>
    <row r="107" spans="1:26" x14ac:dyDescent="0.2">
      <c r="A107" s="2" t="s">
        <v>299</v>
      </c>
      <c r="B107" s="1" t="s">
        <v>300</v>
      </c>
      <c r="C107" s="1" t="s">
        <v>44</v>
      </c>
      <c r="D107" s="3">
        <v>45810.661820439818</v>
      </c>
      <c r="E107" s="3">
        <v>45811.643073576386</v>
      </c>
      <c r="F107" s="1" t="s">
        <v>21</v>
      </c>
      <c r="G107" s="1" t="s">
        <v>36</v>
      </c>
      <c r="H107" s="1" t="s">
        <v>23</v>
      </c>
      <c r="I107" s="1" t="s">
        <v>183</v>
      </c>
      <c r="J107" s="1" t="s">
        <v>31</v>
      </c>
      <c r="K107" s="1" t="s">
        <v>25</v>
      </c>
      <c r="L107" s="1" t="s">
        <v>23</v>
      </c>
      <c r="M107" s="1" t="s">
        <v>528</v>
      </c>
      <c r="N107" s="1" t="str">
        <f t="shared" si="13"/>
        <v>ORIGEN</v>
      </c>
      <c r="O107" s="3">
        <f t="shared" si="14"/>
        <v>45810.661820439818</v>
      </c>
      <c r="P107" s="3">
        <f t="shared" si="15"/>
        <v>45811.643073576386</v>
      </c>
      <c r="Q107" s="1" t="str">
        <f t="shared" si="16"/>
        <v>Externo</v>
      </c>
      <c r="R107" s="1">
        <f t="shared" si="17"/>
        <v>23</v>
      </c>
      <c r="S107" s="6">
        <f t="shared" si="18"/>
        <v>45810</v>
      </c>
      <c r="T107" s="1">
        <f t="shared" si="19"/>
        <v>23</v>
      </c>
      <c r="U107" s="6">
        <f t="shared" si="20"/>
        <v>45810</v>
      </c>
      <c r="V107" s="1">
        <f t="shared" si="21"/>
        <v>0.98125313656782964</v>
      </c>
      <c r="W107" s="1">
        <f t="shared" si="22"/>
        <v>2025</v>
      </c>
      <c r="X107" s="1">
        <f t="shared" si="23"/>
        <v>2025</v>
      </c>
      <c r="Y107" s="1" t="str">
        <f t="shared" si="24"/>
        <v>2025-06</v>
      </c>
      <c r="Z107" s="1" t="str">
        <f t="shared" si="25"/>
        <v>2025-06</v>
      </c>
    </row>
    <row r="108" spans="1:26" x14ac:dyDescent="0.2">
      <c r="A108" s="2" t="s">
        <v>301</v>
      </c>
      <c r="B108" s="1" t="s">
        <v>302</v>
      </c>
      <c r="C108" s="1" t="s">
        <v>23</v>
      </c>
      <c r="D108" s="3">
        <v>45817.481549548611</v>
      </c>
      <c r="E108" s="3">
        <v>45868.426362627317</v>
      </c>
      <c r="F108" s="1" t="s">
        <v>21</v>
      </c>
      <c r="G108" s="1" t="s">
        <v>22</v>
      </c>
      <c r="H108" s="1" t="s">
        <v>23</v>
      </c>
      <c r="I108" s="1" t="s">
        <v>23</v>
      </c>
      <c r="J108" s="1" t="s">
        <v>31</v>
      </c>
      <c r="K108" s="1" t="s">
        <v>25</v>
      </c>
      <c r="L108" s="1" t="s">
        <v>23</v>
      </c>
      <c r="M108" s="1" t="s">
        <v>528</v>
      </c>
      <c r="N108" s="1" t="str">
        <f t="shared" si="13"/>
        <v>DESARROLLO</v>
      </c>
      <c r="O108" s="3">
        <f t="shared" si="14"/>
        <v>45817.481549548611</v>
      </c>
      <c r="P108" s="3">
        <f t="shared" si="15"/>
        <v>45868.426362627317</v>
      </c>
      <c r="Q108" s="1" t="str">
        <f t="shared" si="16"/>
        <v>Interno</v>
      </c>
      <c r="R108" s="1">
        <f t="shared" si="17"/>
        <v>24</v>
      </c>
      <c r="S108" s="6">
        <f t="shared" si="18"/>
        <v>45817</v>
      </c>
      <c r="T108" s="1">
        <f t="shared" si="19"/>
        <v>31</v>
      </c>
      <c r="U108" s="6">
        <f t="shared" si="20"/>
        <v>45866</v>
      </c>
      <c r="V108" s="1">
        <f t="shared" si="21"/>
        <v>50.94481307870592</v>
      </c>
      <c r="W108" s="1">
        <f t="shared" si="22"/>
        <v>2025</v>
      </c>
      <c r="X108" s="1">
        <f t="shared" si="23"/>
        <v>2025</v>
      </c>
      <c r="Y108" s="1" t="str">
        <f t="shared" si="24"/>
        <v>2025-06</v>
      </c>
      <c r="Z108" s="1" t="str">
        <f t="shared" si="25"/>
        <v>2025-07</v>
      </c>
    </row>
    <row r="109" spans="1:26" x14ac:dyDescent="0.2">
      <c r="A109" s="2" t="s">
        <v>303</v>
      </c>
      <c r="B109" s="1" t="s">
        <v>304</v>
      </c>
      <c r="C109" s="1" t="s">
        <v>23</v>
      </c>
      <c r="D109" s="3">
        <v>45817.702408564815</v>
      </c>
      <c r="E109" s="3">
        <v>45825.419750613422</v>
      </c>
      <c r="F109" s="1" t="s">
        <v>21</v>
      </c>
      <c r="G109" s="1" t="s">
        <v>101</v>
      </c>
      <c r="H109" s="1" t="s">
        <v>23</v>
      </c>
      <c r="I109" s="1" t="s">
        <v>23</v>
      </c>
      <c r="J109" s="1" t="s">
        <v>31</v>
      </c>
      <c r="K109" s="1" t="s">
        <v>25</v>
      </c>
      <c r="L109" s="1" t="s">
        <v>23</v>
      </c>
      <c r="M109" s="1" t="s">
        <v>528</v>
      </c>
      <c r="N109" s="1" t="str">
        <f t="shared" si="13"/>
        <v>FUNCIONAL</v>
      </c>
      <c r="O109" s="3">
        <f t="shared" si="14"/>
        <v>45817.702408564815</v>
      </c>
      <c r="P109" s="3">
        <f t="shared" si="15"/>
        <v>45825.419750613422</v>
      </c>
      <c r="Q109" s="1" t="str">
        <f t="shared" si="16"/>
        <v>Interno</v>
      </c>
      <c r="R109" s="1">
        <f t="shared" si="17"/>
        <v>24</v>
      </c>
      <c r="S109" s="6">
        <f t="shared" si="18"/>
        <v>45817</v>
      </c>
      <c r="T109" s="1">
        <f t="shared" si="19"/>
        <v>25</v>
      </c>
      <c r="U109" s="6">
        <f t="shared" si="20"/>
        <v>45824</v>
      </c>
      <c r="V109" s="1">
        <f t="shared" si="21"/>
        <v>7.7173420486069517</v>
      </c>
      <c r="W109" s="1">
        <f t="shared" si="22"/>
        <v>2025</v>
      </c>
      <c r="X109" s="1">
        <f t="shared" si="23"/>
        <v>2025</v>
      </c>
      <c r="Y109" s="1" t="str">
        <f t="shared" si="24"/>
        <v>2025-06</v>
      </c>
      <c r="Z109" s="1" t="str">
        <f t="shared" si="25"/>
        <v>2025-06</v>
      </c>
    </row>
    <row r="110" spans="1:26" x14ac:dyDescent="0.2">
      <c r="A110" s="2" t="s">
        <v>305</v>
      </c>
      <c r="B110" s="1" t="s">
        <v>306</v>
      </c>
      <c r="C110" s="1" t="s">
        <v>20</v>
      </c>
      <c r="D110" s="3">
        <v>45818.387760740741</v>
      </c>
      <c r="E110" s="3">
        <v>45819.549920509256</v>
      </c>
      <c r="F110" s="1" t="s">
        <v>21</v>
      </c>
      <c r="G110" s="1" t="s">
        <v>22</v>
      </c>
      <c r="H110" s="1" t="s">
        <v>23</v>
      </c>
      <c r="I110" s="1" t="s">
        <v>183</v>
      </c>
      <c r="J110" s="1" t="s">
        <v>31</v>
      </c>
      <c r="K110" s="1" t="s">
        <v>25</v>
      </c>
      <c r="L110" s="1" t="s">
        <v>23</v>
      </c>
      <c r="M110" s="1" t="s">
        <v>528</v>
      </c>
      <c r="N110" s="1" t="str">
        <f t="shared" si="13"/>
        <v>DESARROLLO</v>
      </c>
      <c r="O110" s="3">
        <f t="shared" si="14"/>
        <v>45818.387760740741</v>
      </c>
      <c r="P110" s="3">
        <f t="shared" si="15"/>
        <v>45819.549920509256</v>
      </c>
      <c r="Q110" s="1" t="str">
        <f t="shared" si="16"/>
        <v>Interno</v>
      </c>
      <c r="R110" s="1">
        <f t="shared" si="17"/>
        <v>24</v>
      </c>
      <c r="S110" s="6">
        <f t="shared" si="18"/>
        <v>45817</v>
      </c>
      <c r="T110" s="1">
        <f t="shared" si="19"/>
        <v>24</v>
      </c>
      <c r="U110" s="6">
        <f t="shared" si="20"/>
        <v>45817</v>
      </c>
      <c r="V110" s="1">
        <f t="shared" si="21"/>
        <v>1.1621597685152665</v>
      </c>
      <c r="W110" s="1">
        <f t="shared" si="22"/>
        <v>2025</v>
      </c>
      <c r="X110" s="1">
        <f t="shared" si="23"/>
        <v>2025</v>
      </c>
      <c r="Y110" s="1" t="str">
        <f t="shared" si="24"/>
        <v>2025-06</v>
      </c>
      <c r="Z110" s="1" t="str">
        <f t="shared" si="25"/>
        <v>2025-06</v>
      </c>
    </row>
    <row r="111" spans="1:26" x14ac:dyDescent="0.2">
      <c r="A111" s="2" t="s">
        <v>307</v>
      </c>
      <c r="B111" s="1" t="s">
        <v>308</v>
      </c>
      <c r="C111" s="1" t="s">
        <v>23</v>
      </c>
      <c r="D111" s="3">
        <v>45818.406444062501</v>
      </c>
      <c r="E111" s="3">
        <v>45818.407095439812</v>
      </c>
      <c r="F111" s="1" t="s">
        <v>21</v>
      </c>
      <c r="G111" s="1" t="s">
        <v>167</v>
      </c>
      <c r="H111" s="1" t="s">
        <v>23</v>
      </c>
      <c r="I111" s="1" t="s">
        <v>23</v>
      </c>
      <c r="J111" s="1" t="s">
        <v>31</v>
      </c>
      <c r="K111" s="1" t="s">
        <v>25</v>
      </c>
      <c r="L111" s="1" t="s">
        <v>23</v>
      </c>
      <c r="M111" s="1" t="s">
        <v>528</v>
      </c>
      <c r="N111" s="1" t="str">
        <f t="shared" si="13"/>
        <v>REPROCESO</v>
      </c>
      <c r="O111" s="3">
        <f t="shared" si="14"/>
        <v>45818.406444062501</v>
      </c>
      <c r="P111" s="3">
        <f t="shared" si="15"/>
        <v>45818.407095439812</v>
      </c>
      <c r="Q111" s="1" t="str">
        <f t="shared" si="16"/>
        <v>Interno</v>
      </c>
      <c r="R111" s="1">
        <f t="shared" si="17"/>
        <v>24</v>
      </c>
      <c r="S111" s="6">
        <f t="shared" si="18"/>
        <v>45817</v>
      </c>
      <c r="T111" s="1">
        <f t="shared" si="19"/>
        <v>24</v>
      </c>
      <c r="U111" s="6">
        <f t="shared" si="20"/>
        <v>45817</v>
      </c>
      <c r="V111" s="1">
        <f t="shared" si="21"/>
        <v>6.5137731144204736E-4</v>
      </c>
      <c r="W111" s="1">
        <f t="shared" si="22"/>
        <v>2025</v>
      </c>
      <c r="X111" s="1">
        <f t="shared" si="23"/>
        <v>2025</v>
      </c>
      <c r="Y111" s="1" t="str">
        <f t="shared" si="24"/>
        <v>2025-06</v>
      </c>
      <c r="Z111" s="1" t="str">
        <f t="shared" si="25"/>
        <v>2025-06</v>
      </c>
    </row>
    <row r="112" spans="1:26" x14ac:dyDescent="0.2">
      <c r="A112" s="2" t="s">
        <v>309</v>
      </c>
      <c r="B112" s="1" t="s">
        <v>310</v>
      </c>
      <c r="C112" s="1" t="s">
        <v>96</v>
      </c>
      <c r="D112" s="3">
        <v>45818.667136793978</v>
      </c>
      <c r="E112" s="3">
        <v>45824.373387349537</v>
      </c>
      <c r="F112" s="1" t="s">
        <v>21</v>
      </c>
      <c r="G112" s="1" t="s">
        <v>36</v>
      </c>
      <c r="H112" s="1" t="s">
        <v>96</v>
      </c>
      <c r="I112" s="1" t="s">
        <v>183</v>
      </c>
      <c r="J112" s="1" t="s">
        <v>31</v>
      </c>
      <c r="K112" s="1" t="s">
        <v>25</v>
      </c>
      <c r="L112" s="1" t="s">
        <v>23</v>
      </c>
      <c r="M112" s="1" t="s">
        <v>528</v>
      </c>
      <c r="N112" s="1" t="str">
        <f t="shared" si="13"/>
        <v>ORIGEN</v>
      </c>
      <c r="O112" s="3">
        <f t="shared" si="14"/>
        <v>45818.667136793978</v>
      </c>
      <c r="P112" s="3">
        <f t="shared" si="15"/>
        <v>45824.373387349537</v>
      </c>
      <c r="Q112" s="1" t="str">
        <f t="shared" si="16"/>
        <v>Externo</v>
      </c>
      <c r="R112" s="1">
        <f t="shared" si="17"/>
        <v>24</v>
      </c>
      <c r="S112" s="6">
        <f t="shared" si="18"/>
        <v>45817</v>
      </c>
      <c r="T112" s="1">
        <f t="shared" si="19"/>
        <v>25</v>
      </c>
      <c r="U112" s="6">
        <f t="shared" si="20"/>
        <v>45824</v>
      </c>
      <c r="V112" s="1">
        <f t="shared" si="21"/>
        <v>5.706250555558654</v>
      </c>
      <c r="W112" s="1">
        <f t="shared" si="22"/>
        <v>2025</v>
      </c>
      <c r="X112" s="1">
        <f t="shared" si="23"/>
        <v>2025</v>
      </c>
      <c r="Y112" s="1" t="str">
        <f t="shared" si="24"/>
        <v>2025-06</v>
      </c>
      <c r="Z112" s="1" t="str">
        <f t="shared" si="25"/>
        <v>2025-06</v>
      </c>
    </row>
    <row r="113" spans="1:26" x14ac:dyDescent="0.2">
      <c r="A113" s="2" t="s">
        <v>311</v>
      </c>
      <c r="B113" s="1" t="s">
        <v>312</v>
      </c>
      <c r="C113" s="1" t="s">
        <v>23</v>
      </c>
      <c r="D113" s="3">
        <v>45819.643024027777</v>
      </c>
      <c r="E113" s="3">
        <v>45828.488367708334</v>
      </c>
      <c r="F113" s="1" t="s">
        <v>21</v>
      </c>
      <c r="G113" s="1" t="s">
        <v>101</v>
      </c>
      <c r="H113" s="1" t="s">
        <v>23</v>
      </c>
      <c r="I113" s="1" t="s">
        <v>273</v>
      </c>
      <c r="J113" s="1" t="s">
        <v>31</v>
      </c>
      <c r="K113" s="1" t="s">
        <v>25</v>
      </c>
      <c r="L113" s="1" t="s">
        <v>274</v>
      </c>
      <c r="M113" s="1" t="s">
        <v>528</v>
      </c>
      <c r="N113" s="1" t="str">
        <f t="shared" si="13"/>
        <v>FUNCIONAL</v>
      </c>
      <c r="O113" s="3">
        <f t="shared" si="14"/>
        <v>45819.643024027777</v>
      </c>
      <c r="P113" s="3">
        <f t="shared" si="15"/>
        <v>45828.488367708334</v>
      </c>
      <c r="Q113" s="1" t="str">
        <f t="shared" si="16"/>
        <v>Interno</v>
      </c>
      <c r="R113" s="1">
        <f t="shared" si="17"/>
        <v>24</v>
      </c>
      <c r="S113" s="6">
        <f t="shared" si="18"/>
        <v>45817</v>
      </c>
      <c r="T113" s="1">
        <f t="shared" si="19"/>
        <v>25</v>
      </c>
      <c r="U113" s="6">
        <f t="shared" si="20"/>
        <v>45824</v>
      </c>
      <c r="V113" s="1">
        <f t="shared" si="21"/>
        <v>8.845343680557562</v>
      </c>
      <c r="W113" s="1">
        <f t="shared" si="22"/>
        <v>2025</v>
      </c>
      <c r="X113" s="1">
        <f t="shared" si="23"/>
        <v>2025</v>
      </c>
      <c r="Y113" s="1" t="str">
        <f t="shared" si="24"/>
        <v>2025-06</v>
      </c>
      <c r="Z113" s="1" t="str">
        <f t="shared" si="25"/>
        <v>2025-06</v>
      </c>
    </row>
    <row r="114" spans="1:26" x14ac:dyDescent="0.2">
      <c r="A114" s="2" t="s">
        <v>313</v>
      </c>
      <c r="B114" s="1" t="s">
        <v>314</v>
      </c>
      <c r="C114" s="1" t="s">
        <v>23</v>
      </c>
      <c r="D114" s="3">
        <v>45826.660339444446</v>
      </c>
      <c r="E114" s="3">
        <v>45848.441994490742</v>
      </c>
      <c r="F114" s="1" t="s">
        <v>21</v>
      </c>
      <c r="G114" s="1" t="s">
        <v>107</v>
      </c>
      <c r="H114" s="1" t="s">
        <v>23</v>
      </c>
      <c r="I114" s="1" t="s">
        <v>183</v>
      </c>
      <c r="J114" s="1" t="s">
        <v>31</v>
      </c>
      <c r="K114" s="1" t="s">
        <v>37</v>
      </c>
      <c r="L114" s="1" t="s">
        <v>23</v>
      </c>
      <c r="M114" s="1" t="s">
        <v>528</v>
      </c>
      <c r="N114" s="1" t="str">
        <f t="shared" si="13"/>
        <v>SOPORTE</v>
      </c>
      <c r="O114" s="3">
        <f t="shared" si="14"/>
        <v>45826.660339444446</v>
      </c>
      <c r="P114" s="3">
        <f t="shared" si="15"/>
        <v>45848.441994490742</v>
      </c>
      <c r="Q114" s="1" t="str">
        <f t="shared" si="16"/>
        <v>Externo</v>
      </c>
      <c r="R114" s="1">
        <f t="shared" si="17"/>
        <v>25</v>
      </c>
      <c r="S114" s="6">
        <f t="shared" si="18"/>
        <v>45824</v>
      </c>
      <c r="T114" s="1">
        <f t="shared" si="19"/>
        <v>28</v>
      </c>
      <c r="U114" s="6">
        <f t="shared" si="20"/>
        <v>45845</v>
      </c>
      <c r="V114" s="1">
        <f t="shared" si="21"/>
        <v>21.781655046295782</v>
      </c>
      <c r="W114" s="1">
        <f t="shared" si="22"/>
        <v>2025</v>
      </c>
      <c r="X114" s="1">
        <f t="shared" si="23"/>
        <v>2025</v>
      </c>
      <c r="Y114" s="1" t="str">
        <f t="shared" si="24"/>
        <v>2025-06</v>
      </c>
      <c r="Z114" s="1" t="str">
        <f t="shared" si="25"/>
        <v>2025-07</v>
      </c>
    </row>
    <row r="115" spans="1:26" x14ac:dyDescent="0.2">
      <c r="A115" s="2" t="s">
        <v>315</v>
      </c>
      <c r="B115" s="1" t="s">
        <v>316</v>
      </c>
      <c r="C115" s="1" t="s">
        <v>113</v>
      </c>
      <c r="D115" s="3">
        <v>45827.588209363428</v>
      </c>
      <c r="E115" s="3">
        <v>45828.60375209491</v>
      </c>
      <c r="F115" s="1" t="s">
        <v>21</v>
      </c>
      <c r="G115" s="1" t="s">
        <v>97</v>
      </c>
      <c r="H115" s="1" t="s">
        <v>23</v>
      </c>
      <c r="I115" s="1" t="s">
        <v>183</v>
      </c>
      <c r="J115" s="1" t="s">
        <v>31</v>
      </c>
      <c r="K115" s="1" t="s">
        <v>25</v>
      </c>
      <c r="L115" s="1" t="s">
        <v>23</v>
      </c>
      <c r="M115" s="1" t="s">
        <v>528</v>
      </c>
      <c r="N115" s="1" t="str">
        <f t="shared" si="13"/>
        <v>DEFINICIÓN</v>
      </c>
      <c r="O115" s="3">
        <f t="shared" si="14"/>
        <v>45827.588209363428</v>
      </c>
      <c r="P115" s="3">
        <f t="shared" si="15"/>
        <v>45828.60375209491</v>
      </c>
      <c r="Q115" s="1" t="str">
        <f t="shared" si="16"/>
        <v>Externo</v>
      </c>
      <c r="R115" s="1">
        <f t="shared" si="17"/>
        <v>25</v>
      </c>
      <c r="S115" s="6">
        <f t="shared" si="18"/>
        <v>45824</v>
      </c>
      <c r="T115" s="1">
        <f t="shared" si="19"/>
        <v>25</v>
      </c>
      <c r="U115" s="6">
        <f t="shared" si="20"/>
        <v>45824</v>
      </c>
      <c r="V115" s="1">
        <f t="shared" si="21"/>
        <v>1.0155427314821281</v>
      </c>
      <c r="W115" s="1">
        <f t="shared" si="22"/>
        <v>2025</v>
      </c>
      <c r="X115" s="1">
        <f t="shared" si="23"/>
        <v>2025</v>
      </c>
      <c r="Y115" s="1" t="str">
        <f t="shared" si="24"/>
        <v>2025-06</v>
      </c>
      <c r="Z115" s="1" t="str">
        <f t="shared" si="25"/>
        <v>2025-06</v>
      </c>
    </row>
    <row r="116" spans="1:26" x14ac:dyDescent="0.2">
      <c r="A116" s="2" t="s">
        <v>317</v>
      </c>
      <c r="B116" s="1" t="s">
        <v>318</v>
      </c>
      <c r="C116" s="1" t="s">
        <v>319</v>
      </c>
      <c r="D116" s="3">
        <v>45828.563505625003</v>
      </c>
      <c r="E116" s="3">
        <v>45831.434121388891</v>
      </c>
      <c r="F116" s="1" t="s">
        <v>21</v>
      </c>
      <c r="G116" s="1" t="s">
        <v>101</v>
      </c>
      <c r="H116" s="1" t="s">
        <v>23</v>
      </c>
      <c r="I116" s="1" t="s">
        <v>183</v>
      </c>
      <c r="J116" s="1" t="s">
        <v>31</v>
      </c>
      <c r="K116" s="1" t="s">
        <v>25</v>
      </c>
      <c r="L116" s="1" t="s">
        <v>23</v>
      </c>
      <c r="M116" s="1" t="s">
        <v>528</v>
      </c>
      <c r="N116" s="1" t="str">
        <f t="shared" si="13"/>
        <v>FUNCIONAL</v>
      </c>
      <c r="O116" s="3">
        <f t="shared" si="14"/>
        <v>45828.563505625003</v>
      </c>
      <c r="P116" s="3">
        <f t="shared" si="15"/>
        <v>45831.434121388891</v>
      </c>
      <c r="Q116" s="1" t="str">
        <f t="shared" si="16"/>
        <v>Interno</v>
      </c>
      <c r="R116" s="1">
        <f t="shared" si="17"/>
        <v>25</v>
      </c>
      <c r="S116" s="6">
        <f t="shared" si="18"/>
        <v>45824</v>
      </c>
      <c r="T116" s="1">
        <f t="shared" si="19"/>
        <v>26</v>
      </c>
      <c r="U116" s="6">
        <f t="shared" si="20"/>
        <v>45831</v>
      </c>
      <c r="V116" s="1">
        <f t="shared" si="21"/>
        <v>2.8706157638880541</v>
      </c>
      <c r="W116" s="1">
        <f t="shared" si="22"/>
        <v>2025</v>
      </c>
      <c r="X116" s="1">
        <f t="shared" si="23"/>
        <v>2025</v>
      </c>
      <c r="Y116" s="1" t="str">
        <f t="shared" si="24"/>
        <v>2025-06</v>
      </c>
      <c r="Z116" s="1" t="str">
        <f t="shared" si="25"/>
        <v>2025-06</v>
      </c>
    </row>
    <row r="117" spans="1:26" x14ac:dyDescent="0.2">
      <c r="A117" s="2" t="s">
        <v>320</v>
      </c>
      <c r="B117" s="1" t="s">
        <v>321</v>
      </c>
      <c r="C117" s="1" t="s">
        <v>23</v>
      </c>
      <c r="D117" s="3">
        <v>45828.571529421293</v>
      </c>
      <c r="E117" s="3">
        <v>45832.698340891206</v>
      </c>
      <c r="F117" s="1" t="s">
        <v>21</v>
      </c>
      <c r="G117" s="1" t="s">
        <v>167</v>
      </c>
      <c r="H117" s="1" t="s">
        <v>23</v>
      </c>
      <c r="I117" s="1" t="s">
        <v>183</v>
      </c>
      <c r="J117" s="1" t="s">
        <v>31</v>
      </c>
      <c r="K117" s="1" t="s">
        <v>25</v>
      </c>
      <c r="L117" s="1" t="s">
        <v>23</v>
      </c>
      <c r="M117" s="1" t="s">
        <v>528</v>
      </c>
      <c r="N117" s="1" t="str">
        <f t="shared" si="13"/>
        <v>REPROCESO</v>
      </c>
      <c r="O117" s="3">
        <f t="shared" si="14"/>
        <v>45828.571529421293</v>
      </c>
      <c r="P117" s="3">
        <f t="shared" si="15"/>
        <v>45832.698340891206</v>
      </c>
      <c r="Q117" s="1" t="str">
        <f t="shared" si="16"/>
        <v>Interno</v>
      </c>
      <c r="R117" s="1">
        <f t="shared" si="17"/>
        <v>25</v>
      </c>
      <c r="S117" s="6">
        <f t="shared" si="18"/>
        <v>45824</v>
      </c>
      <c r="T117" s="1">
        <f t="shared" si="19"/>
        <v>26</v>
      </c>
      <c r="U117" s="6">
        <f t="shared" si="20"/>
        <v>45831</v>
      </c>
      <c r="V117" s="1">
        <f t="shared" si="21"/>
        <v>4.1268114699123544</v>
      </c>
      <c r="W117" s="1">
        <f t="shared" si="22"/>
        <v>2025</v>
      </c>
      <c r="X117" s="1">
        <f t="shared" si="23"/>
        <v>2025</v>
      </c>
      <c r="Y117" s="1" t="str">
        <f t="shared" si="24"/>
        <v>2025-06</v>
      </c>
      <c r="Z117" s="1" t="str">
        <f t="shared" si="25"/>
        <v>2025-06</v>
      </c>
    </row>
    <row r="118" spans="1:26" x14ac:dyDescent="0.2">
      <c r="A118" s="2" t="s">
        <v>322</v>
      </c>
      <c r="B118" s="1" t="s">
        <v>323</v>
      </c>
      <c r="C118" s="1" t="s">
        <v>23</v>
      </c>
      <c r="D118" s="3">
        <v>45831.465294490743</v>
      </c>
      <c r="E118" s="3">
        <v>45832.360089803238</v>
      </c>
      <c r="F118" s="1" t="s">
        <v>21</v>
      </c>
      <c r="G118" s="1" t="s">
        <v>97</v>
      </c>
      <c r="H118" s="1" t="s">
        <v>23</v>
      </c>
      <c r="I118" s="1" t="s">
        <v>23</v>
      </c>
      <c r="J118" s="1" t="s">
        <v>31</v>
      </c>
      <c r="K118" s="1" t="s">
        <v>25</v>
      </c>
      <c r="L118" s="1" t="s">
        <v>23</v>
      </c>
      <c r="M118" s="1" t="s">
        <v>528</v>
      </c>
      <c r="N118" s="1" t="str">
        <f t="shared" si="13"/>
        <v>DEFINICIÓN</v>
      </c>
      <c r="O118" s="3">
        <f t="shared" si="14"/>
        <v>45831.465294490743</v>
      </c>
      <c r="P118" s="3">
        <f t="shared" si="15"/>
        <v>45832.360089803238</v>
      </c>
      <c r="Q118" s="1" t="str">
        <f t="shared" si="16"/>
        <v>Externo</v>
      </c>
      <c r="R118" s="1">
        <f t="shared" si="17"/>
        <v>26</v>
      </c>
      <c r="S118" s="6">
        <f t="shared" si="18"/>
        <v>45831</v>
      </c>
      <c r="T118" s="1">
        <f t="shared" si="19"/>
        <v>26</v>
      </c>
      <c r="U118" s="6">
        <f t="shared" si="20"/>
        <v>45831</v>
      </c>
      <c r="V118" s="1">
        <f t="shared" si="21"/>
        <v>0.8947953124952619</v>
      </c>
      <c r="W118" s="1">
        <f t="shared" si="22"/>
        <v>2025</v>
      </c>
      <c r="X118" s="1">
        <f t="shared" si="23"/>
        <v>2025</v>
      </c>
      <c r="Y118" s="1" t="str">
        <f t="shared" si="24"/>
        <v>2025-06</v>
      </c>
      <c r="Z118" s="1" t="str">
        <f t="shared" si="25"/>
        <v>2025-06</v>
      </c>
    </row>
    <row r="119" spans="1:26" x14ac:dyDescent="0.2">
      <c r="A119" s="2" t="s">
        <v>324</v>
      </c>
      <c r="B119" s="1" t="s">
        <v>325</v>
      </c>
      <c r="C119" s="1" t="s">
        <v>120</v>
      </c>
      <c r="D119" s="3">
        <v>45831.46750027778</v>
      </c>
      <c r="E119" s="3">
        <v>45848.443144340279</v>
      </c>
      <c r="F119" s="1" t="s">
        <v>21</v>
      </c>
      <c r="G119" s="1" t="s">
        <v>97</v>
      </c>
      <c r="H119" s="1" t="s">
        <v>23</v>
      </c>
      <c r="I119" s="1" t="s">
        <v>183</v>
      </c>
      <c r="J119" s="1" t="s">
        <v>31</v>
      </c>
      <c r="K119" s="1" t="s">
        <v>25</v>
      </c>
      <c r="L119" s="1" t="s">
        <v>23</v>
      </c>
      <c r="M119" s="1" t="s">
        <v>528</v>
      </c>
      <c r="N119" s="1" t="str">
        <f t="shared" si="13"/>
        <v>DEFINICIÓN</v>
      </c>
      <c r="O119" s="3">
        <f t="shared" si="14"/>
        <v>45831.46750027778</v>
      </c>
      <c r="P119" s="3">
        <f t="shared" si="15"/>
        <v>45848.443144340279</v>
      </c>
      <c r="Q119" s="1" t="str">
        <f t="shared" si="16"/>
        <v>Externo</v>
      </c>
      <c r="R119" s="1">
        <f t="shared" si="17"/>
        <v>26</v>
      </c>
      <c r="S119" s="6">
        <f t="shared" si="18"/>
        <v>45831</v>
      </c>
      <c r="T119" s="1">
        <f t="shared" si="19"/>
        <v>28</v>
      </c>
      <c r="U119" s="6">
        <f t="shared" si="20"/>
        <v>45845</v>
      </c>
      <c r="V119" s="1">
        <f t="shared" si="21"/>
        <v>16.975644062498759</v>
      </c>
      <c r="W119" s="1">
        <f t="shared" si="22"/>
        <v>2025</v>
      </c>
      <c r="X119" s="1">
        <f t="shared" si="23"/>
        <v>2025</v>
      </c>
      <c r="Y119" s="1" t="str">
        <f t="shared" si="24"/>
        <v>2025-06</v>
      </c>
      <c r="Z119" s="1" t="str">
        <f t="shared" si="25"/>
        <v>2025-07</v>
      </c>
    </row>
    <row r="120" spans="1:26" x14ac:dyDescent="0.2">
      <c r="A120" s="2" t="s">
        <v>326</v>
      </c>
      <c r="B120" s="1" t="s">
        <v>327</v>
      </c>
      <c r="C120" s="1" t="s">
        <v>110</v>
      </c>
      <c r="D120" s="3">
        <v>45833.551774687498</v>
      </c>
      <c r="E120" s="3">
        <v>45849.39295079861</v>
      </c>
      <c r="F120" s="1" t="s">
        <v>21</v>
      </c>
      <c r="G120" s="1" t="s">
        <v>97</v>
      </c>
      <c r="H120" s="1" t="s">
        <v>23</v>
      </c>
      <c r="I120" s="1" t="s">
        <v>183</v>
      </c>
      <c r="J120" s="1" t="s">
        <v>31</v>
      </c>
      <c r="K120" s="1" t="s">
        <v>25</v>
      </c>
      <c r="L120" s="1" t="s">
        <v>23</v>
      </c>
      <c r="M120" s="1" t="s">
        <v>528</v>
      </c>
      <c r="N120" s="1" t="str">
        <f t="shared" si="13"/>
        <v>DEFINICIÓN</v>
      </c>
      <c r="O120" s="3">
        <f t="shared" si="14"/>
        <v>45833.551774687498</v>
      </c>
      <c r="P120" s="3">
        <f t="shared" si="15"/>
        <v>45849.39295079861</v>
      </c>
      <c r="Q120" s="1" t="str">
        <f t="shared" si="16"/>
        <v>Externo</v>
      </c>
      <c r="R120" s="1">
        <f t="shared" si="17"/>
        <v>26</v>
      </c>
      <c r="S120" s="6">
        <f t="shared" si="18"/>
        <v>45831</v>
      </c>
      <c r="T120" s="1">
        <f t="shared" si="19"/>
        <v>28</v>
      </c>
      <c r="U120" s="6">
        <f t="shared" si="20"/>
        <v>45845</v>
      </c>
      <c r="V120" s="1">
        <f t="shared" si="21"/>
        <v>15.841176111112873</v>
      </c>
      <c r="W120" s="1">
        <f t="shared" si="22"/>
        <v>2025</v>
      </c>
      <c r="X120" s="1">
        <f t="shared" si="23"/>
        <v>2025</v>
      </c>
      <c r="Y120" s="1" t="str">
        <f t="shared" si="24"/>
        <v>2025-06</v>
      </c>
      <c r="Z120" s="1" t="str">
        <f t="shared" si="25"/>
        <v>2025-07</v>
      </c>
    </row>
    <row r="121" spans="1:26" x14ac:dyDescent="0.2">
      <c r="A121" s="2" t="s">
        <v>328</v>
      </c>
      <c r="B121" s="1" t="s">
        <v>329</v>
      </c>
      <c r="C121" s="1" t="s">
        <v>71</v>
      </c>
      <c r="D121" s="3">
        <v>45838.435871701389</v>
      </c>
      <c r="E121" s="4">
        <v>45839.595591909725</v>
      </c>
      <c r="F121" s="1" t="s">
        <v>21</v>
      </c>
      <c r="G121" s="1" t="s">
        <v>36</v>
      </c>
      <c r="H121" s="1" t="s">
        <v>23</v>
      </c>
      <c r="I121" s="1" t="s">
        <v>183</v>
      </c>
      <c r="J121" s="1" t="s">
        <v>31</v>
      </c>
      <c r="K121" s="1" t="s">
        <v>25</v>
      </c>
      <c r="L121" s="1" t="s">
        <v>23</v>
      </c>
      <c r="M121" s="1" t="s">
        <v>528</v>
      </c>
      <c r="N121" s="1" t="str">
        <f t="shared" si="13"/>
        <v>ORIGEN</v>
      </c>
      <c r="O121" s="3">
        <f t="shared" si="14"/>
        <v>45838.435871701389</v>
      </c>
      <c r="P121" s="3">
        <f t="shared" si="15"/>
        <v>45839.595591909725</v>
      </c>
      <c r="Q121" s="1" t="str">
        <f t="shared" si="16"/>
        <v>Externo</v>
      </c>
      <c r="R121" s="1">
        <f t="shared" si="17"/>
        <v>27</v>
      </c>
      <c r="S121" s="6">
        <f t="shared" si="18"/>
        <v>45838</v>
      </c>
      <c r="T121" s="1">
        <f t="shared" si="19"/>
        <v>27</v>
      </c>
      <c r="U121" s="6">
        <f t="shared" si="20"/>
        <v>45838</v>
      </c>
      <c r="V121" s="1">
        <f t="shared" si="21"/>
        <v>1.1597202083357843</v>
      </c>
      <c r="W121" s="1">
        <f t="shared" si="22"/>
        <v>2025</v>
      </c>
      <c r="X121" s="1">
        <f t="shared" si="23"/>
        <v>2025</v>
      </c>
      <c r="Y121" s="1" t="str">
        <f t="shared" si="24"/>
        <v>2025-06</v>
      </c>
      <c r="Z121" s="1" t="str">
        <f t="shared" si="25"/>
        <v>2025-06</v>
      </c>
    </row>
    <row r="122" spans="1:26" x14ac:dyDescent="0.2">
      <c r="A122" s="2" t="s">
        <v>330</v>
      </c>
      <c r="B122" s="1" t="s">
        <v>331</v>
      </c>
      <c r="C122" s="1" t="s">
        <v>332</v>
      </c>
      <c r="D122" s="3">
        <v>45838.616165937499</v>
      </c>
      <c r="E122" s="3">
        <v>45852.465471909723</v>
      </c>
      <c r="F122" s="1" t="s">
        <v>21</v>
      </c>
      <c r="G122" s="1" t="s">
        <v>97</v>
      </c>
      <c r="H122" s="1" t="s">
        <v>23</v>
      </c>
      <c r="I122" s="1" t="s">
        <v>183</v>
      </c>
      <c r="J122" s="1" t="s">
        <v>31</v>
      </c>
      <c r="K122" s="1" t="s">
        <v>25</v>
      </c>
      <c r="L122" s="1" t="s">
        <v>23</v>
      </c>
      <c r="M122" s="1" t="s">
        <v>528</v>
      </c>
      <c r="N122" s="1" t="str">
        <f t="shared" si="13"/>
        <v>DEFINICIÓN</v>
      </c>
      <c r="O122" s="3">
        <f t="shared" si="14"/>
        <v>45838.616165937499</v>
      </c>
      <c r="P122" s="3">
        <f t="shared" si="15"/>
        <v>45852.465471909723</v>
      </c>
      <c r="Q122" s="1" t="str">
        <f t="shared" si="16"/>
        <v>Externo</v>
      </c>
      <c r="R122" s="1">
        <f t="shared" si="17"/>
        <v>27</v>
      </c>
      <c r="S122" s="6">
        <f t="shared" si="18"/>
        <v>45838</v>
      </c>
      <c r="T122" s="1">
        <f t="shared" si="19"/>
        <v>29</v>
      </c>
      <c r="U122" s="6">
        <f t="shared" si="20"/>
        <v>45852</v>
      </c>
      <c r="V122" s="1">
        <f t="shared" si="21"/>
        <v>13.849305972224101</v>
      </c>
      <c r="W122" s="1">
        <f t="shared" si="22"/>
        <v>2025</v>
      </c>
      <c r="X122" s="1">
        <f t="shared" si="23"/>
        <v>2025</v>
      </c>
      <c r="Y122" s="1" t="str">
        <f t="shared" si="24"/>
        <v>2025-06</v>
      </c>
      <c r="Z122" s="1" t="str">
        <f t="shared" si="25"/>
        <v>2025-07</v>
      </c>
    </row>
    <row r="123" spans="1:26" x14ac:dyDescent="0.2">
      <c r="A123" s="2" t="s">
        <v>333</v>
      </c>
      <c r="B123" s="1" t="s">
        <v>334</v>
      </c>
      <c r="C123" s="1" t="s">
        <v>23</v>
      </c>
      <c r="D123" s="4">
        <v>45839.381370439813</v>
      </c>
      <c r="E123" s="3">
        <v>45868.511974502311</v>
      </c>
      <c r="F123" s="1" t="s">
        <v>21</v>
      </c>
      <c r="G123" s="1" t="s">
        <v>107</v>
      </c>
      <c r="H123" s="1" t="s">
        <v>23</v>
      </c>
      <c r="I123" s="1" t="s">
        <v>23</v>
      </c>
      <c r="J123" s="1" t="s">
        <v>31</v>
      </c>
      <c r="K123" s="1" t="s">
        <v>25</v>
      </c>
      <c r="L123" s="1" t="s">
        <v>23</v>
      </c>
      <c r="M123" s="1" t="s">
        <v>528</v>
      </c>
      <c r="N123" s="1" t="str">
        <f t="shared" si="13"/>
        <v>SOPORTE</v>
      </c>
      <c r="O123" s="3">
        <f t="shared" si="14"/>
        <v>45839.381370439813</v>
      </c>
      <c r="P123" s="3">
        <f t="shared" si="15"/>
        <v>45868.511974502311</v>
      </c>
      <c r="Q123" s="1" t="str">
        <f t="shared" si="16"/>
        <v>Externo</v>
      </c>
      <c r="R123" s="1">
        <f t="shared" si="17"/>
        <v>27</v>
      </c>
      <c r="S123" s="6">
        <f t="shared" si="18"/>
        <v>45838</v>
      </c>
      <c r="T123" s="1">
        <f t="shared" si="19"/>
        <v>31</v>
      </c>
      <c r="U123" s="6">
        <f t="shared" si="20"/>
        <v>45866</v>
      </c>
      <c r="V123" s="1">
        <f t="shared" si="21"/>
        <v>29.130604062498605</v>
      </c>
      <c r="W123" s="1">
        <f t="shared" si="22"/>
        <v>2025</v>
      </c>
      <c r="X123" s="1">
        <f t="shared" si="23"/>
        <v>2025</v>
      </c>
      <c r="Y123" s="1" t="str">
        <f t="shared" si="24"/>
        <v>2025-06</v>
      </c>
      <c r="Z123" s="1" t="str">
        <f t="shared" si="25"/>
        <v>2025-07</v>
      </c>
    </row>
    <row r="124" spans="1:26" x14ac:dyDescent="0.2">
      <c r="A124" s="2" t="s">
        <v>335</v>
      </c>
      <c r="B124" s="1" t="s">
        <v>336</v>
      </c>
      <c r="C124" s="1" t="s">
        <v>23</v>
      </c>
      <c r="D124" s="3">
        <v>45841.471096122688</v>
      </c>
      <c r="E124" s="3">
        <v>45854.419640370368</v>
      </c>
      <c r="F124" s="1" t="s">
        <v>21</v>
      </c>
      <c r="G124" s="1" t="s">
        <v>107</v>
      </c>
      <c r="H124" s="1" t="s">
        <v>23</v>
      </c>
      <c r="I124" s="1" t="s">
        <v>23</v>
      </c>
      <c r="J124" s="1" t="s">
        <v>31</v>
      </c>
      <c r="K124" s="1" t="s">
        <v>25</v>
      </c>
      <c r="L124" s="1" t="s">
        <v>23</v>
      </c>
      <c r="M124" s="1" t="s">
        <v>528</v>
      </c>
      <c r="N124" s="1" t="str">
        <f t="shared" si="13"/>
        <v>SOPORTE</v>
      </c>
      <c r="O124" s="3">
        <f t="shared" si="14"/>
        <v>45841.471096122688</v>
      </c>
      <c r="P124" s="3">
        <f t="shared" si="15"/>
        <v>45854.419640370368</v>
      </c>
      <c r="Q124" s="1" t="str">
        <f t="shared" si="16"/>
        <v>Externo</v>
      </c>
      <c r="R124" s="1">
        <f t="shared" si="17"/>
        <v>27</v>
      </c>
      <c r="S124" s="6">
        <f t="shared" si="18"/>
        <v>45838</v>
      </c>
      <c r="T124" s="1">
        <f t="shared" si="19"/>
        <v>29</v>
      </c>
      <c r="U124" s="6">
        <f t="shared" si="20"/>
        <v>45852</v>
      </c>
      <c r="V124" s="1">
        <f t="shared" si="21"/>
        <v>12.94854424767982</v>
      </c>
      <c r="W124" s="1">
        <f t="shared" si="22"/>
        <v>2025</v>
      </c>
      <c r="X124" s="1">
        <f t="shared" si="23"/>
        <v>2025</v>
      </c>
      <c r="Y124" s="1" t="str">
        <f t="shared" si="24"/>
        <v>2025-06</v>
      </c>
      <c r="Z124" s="1" t="str">
        <f t="shared" si="25"/>
        <v>2025-07</v>
      </c>
    </row>
    <row r="125" spans="1:26" x14ac:dyDescent="0.2">
      <c r="A125" s="2" t="s">
        <v>337</v>
      </c>
      <c r="B125" s="1" t="s">
        <v>338</v>
      </c>
      <c r="C125" s="1" t="s">
        <v>23</v>
      </c>
      <c r="D125" s="3">
        <v>45841.47310239583</v>
      </c>
      <c r="E125" s="3">
        <v>45888.428030486109</v>
      </c>
      <c r="F125" s="1" t="s">
        <v>21</v>
      </c>
      <c r="G125" s="1" t="s">
        <v>97</v>
      </c>
      <c r="H125" s="1" t="s">
        <v>23</v>
      </c>
      <c r="I125" s="1" t="s">
        <v>23</v>
      </c>
      <c r="J125" s="1" t="s">
        <v>31</v>
      </c>
      <c r="K125" s="1" t="s">
        <v>25</v>
      </c>
      <c r="L125" s="1" t="s">
        <v>23</v>
      </c>
      <c r="M125" s="1" t="s">
        <v>23</v>
      </c>
      <c r="N125" s="1" t="str">
        <f t="shared" si="13"/>
        <v>DEFINICIÓN</v>
      </c>
      <c r="O125" s="3">
        <f t="shared" si="14"/>
        <v>45841.47310239583</v>
      </c>
      <c r="P125" s="3">
        <f t="shared" si="15"/>
        <v>45888.428030486109</v>
      </c>
      <c r="Q125" s="1" t="str">
        <f t="shared" si="16"/>
        <v>Externo</v>
      </c>
      <c r="R125" s="1">
        <f t="shared" si="17"/>
        <v>27</v>
      </c>
      <c r="S125" s="6">
        <f t="shared" si="18"/>
        <v>45838</v>
      </c>
      <c r="T125" s="1">
        <f t="shared" si="19"/>
        <v>34</v>
      </c>
      <c r="U125" s="6">
        <f t="shared" si="20"/>
        <v>45887</v>
      </c>
      <c r="V125" s="1">
        <f t="shared" si="21"/>
        <v>46.954928090279282</v>
      </c>
      <c r="W125" s="1">
        <f t="shared" si="22"/>
        <v>2025</v>
      </c>
      <c r="X125" s="1">
        <f t="shared" si="23"/>
        <v>2025</v>
      </c>
      <c r="Y125" s="1" t="str">
        <f t="shared" si="24"/>
        <v>2025-06</v>
      </c>
      <c r="Z125" s="1" t="str">
        <f t="shared" si="25"/>
        <v>2025-08</v>
      </c>
    </row>
    <row r="126" spans="1:26" x14ac:dyDescent="0.2">
      <c r="A126" s="2" t="s">
        <v>339</v>
      </c>
      <c r="B126" s="1" t="s">
        <v>340</v>
      </c>
      <c r="C126" s="1" t="s">
        <v>135</v>
      </c>
      <c r="D126" s="3">
        <v>45849.413494872686</v>
      </c>
      <c r="E126" s="3">
        <v>45853.543303368053</v>
      </c>
      <c r="F126" s="1" t="s">
        <v>21</v>
      </c>
      <c r="G126" s="1" t="s">
        <v>36</v>
      </c>
      <c r="H126" s="1" t="s">
        <v>135</v>
      </c>
      <c r="I126" s="1" t="s">
        <v>183</v>
      </c>
      <c r="J126" s="1" t="s">
        <v>31</v>
      </c>
      <c r="K126" s="1" t="s">
        <v>25</v>
      </c>
      <c r="L126" s="1" t="s">
        <v>23</v>
      </c>
      <c r="M126" s="1" t="s">
        <v>528</v>
      </c>
      <c r="N126" s="1" t="str">
        <f t="shared" si="13"/>
        <v>ORIGEN</v>
      </c>
      <c r="O126" s="3">
        <f t="shared" si="14"/>
        <v>45849.413494872686</v>
      </c>
      <c r="P126" s="3">
        <f t="shared" si="15"/>
        <v>45853.543303368053</v>
      </c>
      <c r="Q126" s="1" t="str">
        <f t="shared" si="16"/>
        <v>Externo</v>
      </c>
      <c r="R126" s="1">
        <f t="shared" si="17"/>
        <v>28</v>
      </c>
      <c r="S126" s="6">
        <f t="shared" si="18"/>
        <v>45845</v>
      </c>
      <c r="T126" s="1">
        <f t="shared" si="19"/>
        <v>29</v>
      </c>
      <c r="U126" s="6">
        <f t="shared" si="20"/>
        <v>45852</v>
      </c>
      <c r="V126" s="1">
        <f t="shared" si="21"/>
        <v>4.1298084953668877</v>
      </c>
      <c r="W126" s="1">
        <f t="shared" si="22"/>
        <v>2025</v>
      </c>
      <c r="X126" s="1">
        <f t="shared" si="23"/>
        <v>2025</v>
      </c>
      <c r="Y126" s="1" t="str">
        <f t="shared" si="24"/>
        <v>2025-07</v>
      </c>
      <c r="Z126" s="1" t="str">
        <f t="shared" si="25"/>
        <v>2025-07</v>
      </c>
    </row>
    <row r="127" spans="1:26" x14ac:dyDescent="0.2">
      <c r="A127" s="2" t="s">
        <v>341</v>
      </c>
      <c r="B127" s="1" t="s">
        <v>342</v>
      </c>
      <c r="C127" s="1" t="s">
        <v>35</v>
      </c>
      <c r="D127" s="3">
        <v>45854.557341493055</v>
      </c>
      <c r="E127" s="3">
        <v>45863.428359895835</v>
      </c>
      <c r="F127" s="1" t="s">
        <v>21</v>
      </c>
      <c r="G127" s="1" t="s">
        <v>22</v>
      </c>
      <c r="H127" s="1" t="s">
        <v>23</v>
      </c>
      <c r="I127" s="1" t="s">
        <v>85</v>
      </c>
      <c r="J127" s="1" t="s">
        <v>31</v>
      </c>
      <c r="K127" s="1" t="s">
        <v>25</v>
      </c>
      <c r="L127" s="1" t="s">
        <v>23</v>
      </c>
      <c r="M127" s="1" t="s">
        <v>528</v>
      </c>
      <c r="N127" s="1" t="str">
        <f t="shared" si="13"/>
        <v>DESARROLLO</v>
      </c>
      <c r="O127" s="3">
        <f t="shared" si="14"/>
        <v>45854.557341493055</v>
      </c>
      <c r="P127" s="3">
        <f t="shared" si="15"/>
        <v>45863.428359895835</v>
      </c>
      <c r="Q127" s="1" t="str">
        <f t="shared" si="16"/>
        <v>Interno</v>
      </c>
      <c r="R127" s="1">
        <f t="shared" si="17"/>
        <v>29</v>
      </c>
      <c r="S127" s="6">
        <f t="shared" si="18"/>
        <v>45852</v>
      </c>
      <c r="T127" s="1">
        <f t="shared" si="19"/>
        <v>30</v>
      </c>
      <c r="U127" s="6">
        <f t="shared" si="20"/>
        <v>45859</v>
      </c>
      <c r="V127" s="1">
        <f t="shared" si="21"/>
        <v>8.8710184027804644</v>
      </c>
      <c r="W127" s="1">
        <f t="shared" si="22"/>
        <v>2025</v>
      </c>
      <c r="X127" s="1">
        <f t="shared" si="23"/>
        <v>2025</v>
      </c>
      <c r="Y127" s="1" t="str">
        <f t="shared" si="24"/>
        <v>2025-07</v>
      </c>
      <c r="Z127" s="1" t="str">
        <f t="shared" si="25"/>
        <v>2025-07</v>
      </c>
    </row>
    <row r="128" spans="1:26" x14ac:dyDescent="0.2">
      <c r="A128" s="2" t="s">
        <v>343</v>
      </c>
      <c r="B128" s="1" t="s">
        <v>344</v>
      </c>
      <c r="C128" s="1" t="s">
        <v>106</v>
      </c>
      <c r="D128" s="3">
        <v>45856.371075659721</v>
      </c>
      <c r="E128" s="3">
        <v>45891.46696878472</v>
      </c>
      <c r="F128" s="1" t="s">
        <v>21</v>
      </c>
      <c r="G128" s="1" t="s">
        <v>97</v>
      </c>
      <c r="H128" s="1" t="s">
        <v>345</v>
      </c>
      <c r="I128" s="1" t="s">
        <v>183</v>
      </c>
      <c r="J128" s="1" t="s">
        <v>31</v>
      </c>
      <c r="K128" s="1" t="s">
        <v>25</v>
      </c>
      <c r="L128" s="1" t="s">
        <v>23</v>
      </c>
      <c r="M128" s="1" t="s">
        <v>528</v>
      </c>
      <c r="N128" s="1" t="str">
        <f t="shared" si="13"/>
        <v>DEFINICIÓN</v>
      </c>
      <c r="O128" s="3">
        <f t="shared" si="14"/>
        <v>45856.371075659721</v>
      </c>
      <c r="P128" s="3">
        <f t="shared" si="15"/>
        <v>45891.46696878472</v>
      </c>
      <c r="Q128" s="1" t="str">
        <f t="shared" si="16"/>
        <v>Externo</v>
      </c>
      <c r="R128" s="1">
        <f t="shared" si="17"/>
        <v>29</v>
      </c>
      <c r="S128" s="6">
        <f t="shared" si="18"/>
        <v>45852</v>
      </c>
      <c r="T128" s="1">
        <f t="shared" si="19"/>
        <v>34</v>
      </c>
      <c r="U128" s="6">
        <f t="shared" si="20"/>
        <v>45887</v>
      </c>
      <c r="V128" s="1">
        <f t="shared" si="21"/>
        <v>35.095893124998838</v>
      </c>
      <c r="W128" s="1">
        <f t="shared" si="22"/>
        <v>2025</v>
      </c>
      <c r="X128" s="1">
        <f t="shared" si="23"/>
        <v>2025</v>
      </c>
      <c r="Y128" s="1" t="str">
        <f t="shared" si="24"/>
        <v>2025-07</v>
      </c>
      <c r="Z128" s="1" t="str">
        <f t="shared" si="25"/>
        <v>2025-08</v>
      </c>
    </row>
    <row r="129" spans="1:26" s="25" customFormat="1" x14ac:dyDescent="0.2">
      <c r="A129" s="24" t="s">
        <v>346</v>
      </c>
      <c r="B129" s="25" t="s">
        <v>347</v>
      </c>
      <c r="C129" s="25" t="s">
        <v>270</v>
      </c>
      <c r="D129" s="26">
        <v>45860.381886932868</v>
      </c>
      <c r="E129" s="26">
        <v>2958465.4556944445</v>
      </c>
      <c r="F129" s="25" t="s">
        <v>21</v>
      </c>
      <c r="G129" s="25" t="s">
        <v>101</v>
      </c>
      <c r="H129" s="25" t="s">
        <v>23</v>
      </c>
      <c r="I129" s="25" t="s">
        <v>183</v>
      </c>
      <c r="J129" s="25" t="s">
        <v>31</v>
      </c>
      <c r="K129" s="25" t="s">
        <v>348</v>
      </c>
      <c r="L129" s="25" t="s">
        <v>23</v>
      </c>
      <c r="M129" s="25" t="s">
        <v>528</v>
      </c>
      <c r="N129" s="1" t="str">
        <f t="shared" si="13"/>
        <v>FUNCIONAL</v>
      </c>
      <c r="O129" s="26">
        <f t="shared" si="14"/>
        <v>45860.381886932868</v>
      </c>
      <c r="P129" s="26">
        <f t="shared" si="15"/>
        <v>2958465.4556944445</v>
      </c>
      <c r="Q129" s="1" t="str">
        <f t="shared" si="16"/>
        <v>Interno</v>
      </c>
      <c r="R129" s="25">
        <f t="shared" si="17"/>
        <v>30</v>
      </c>
      <c r="S129" s="27">
        <f t="shared" si="18"/>
        <v>45859</v>
      </c>
      <c r="T129" s="25">
        <f t="shared" si="19"/>
        <v>53</v>
      </c>
      <c r="U129" s="27">
        <f t="shared" si="20"/>
        <v>2958468</v>
      </c>
      <c r="V129" s="25">
        <f t="shared" si="21"/>
        <v>2912605.0738075115</v>
      </c>
      <c r="W129" s="25">
        <f t="shared" si="22"/>
        <v>2025</v>
      </c>
      <c r="X129" s="25">
        <f t="shared" si="23"/>
        <v>9999</v>
      </c>
      <c r="Y129" s="25" t="str">
        <f t="shared" si="24"/>
        <v>2025-07</v>
      </c>
      <c r="Z129" s="25" t="e">
        <f t="shared" si="25"/>
        <v>#VALUE!</v>
      </c>
    </row>
    <row r="130" spans="1:26" x14ac:dyDescent="0.2">
      <c r="A130" s="2" t="s">
        <v>349</v>
      </c>
      <c r="B130" s="1" t="s">
        <v>350</v>
      </c>
      <c r="C130" s="1" t="s">
        <v>218</v>
      </c>
      <c r="D130" s="3">
        <v>45860.383117268517</v>
      </c>
      <c r="E130" s="3">
        <v>45874.587124652775</v>
      </c>
      <c r="F130" s="1" t="s">
        <v>21</v>
      </c>
      <c r="G130" s="1" t="s">
        <v>97</v>
      </c>
      <c r="H130" s="1" t="s">
        <v>23</v>
      </c>
      <c r="I130" s="1" t="s">
        <v>183</v>
      </c>
      <c r="J130" s="1" t="s">
        <v>31</v>
      </c>
      <c r="K130" s="1" t="s">
        <v>25</v>
      </c>
      <c r="L130" s="1" t="s">
        <v>23</v>
      </c>
      <c r="M130" s="1" t="s">
        <v>528</v>
      </c>
      <c r="N130" s="1" t="str">
        <f t="shared" si="13"/>
        <v>DEFINICIÓN</v>
      </c>
      <c r="O130" s="3">
        <f t="shared" si="14"/>
        <v>45860.383117268517</v>
      </c>
      <c r="P130" s="3">
        <f t="shared" si="15"/>
        <v>45874.587124652775</v>
      </c>
      <c r="Q130" s="1" t="str">
        <f t="shared" si="16"/>
        <v>Externo</v>
      </c>
      <c r="R130" s="1">
        <f t="shared" si="17"/>
        <v>30</v>
      </c>
      <c r="S130" s="6">
        <f t="shared" si="18"/>
        <v>45859</v>
      </c>
      <c r="T130" s="1">
        <f t="shared" si="19"/>
        <v>32</v>
      </c>
      <c r="U130" s="6">
        <f t="shared" si="20"/>
        <v>45873</v>
      </c>
      <c r="V130" s="1">
        <f t="shared" si="21"/>
        <v>14.204007384258148</v>
      </c>
      <c r="W130" s="1">
        <f t="shared" si="22"/>
        <v>2025</v>
      </c>
      <c r="X130" s="1">
        <f t="shared" si="23"/>
        <v>2025</v>
      </c>
      <c r="Y130" s="1" t="str">
        <f t="shared" si="24"/>
        <v>2025-07</v>
      </c>
      <c r="Z130" s="1" t="str">
        <f t="shared" si="25"/>
        <v>2025-08</v>
      </c>
    </row>
    <row r="131" spans="1:26" x14ac:dyDescent="0.2">
      <c r="A131" s="2" t="s">
        <v>351</v>
      </c>
      <c r="B131" s="1" t="s">
        <v>352</v>
      </c>
      <c r="C131" s="1" t="s">
        <v>20</v>
      </c>
      <c r="D131" s="3">
        <v>45860.384367928244</v>
      </c>
      <c r="E131" s="3">
        <v>45862.539925833335</v>
      </c>
      <c r="F131" s="1" t="s">
        <v>21</v>
      </c>
      <c r="G131" s="1" t="s">
        <v>22</v>
      </c>
      <c r="H131" s="1" t="s">
        <v>23</v>
      </c>
      <c r="I131" s="1" t="s">
        <v>183</v>
      </c>
      <c r="J131" s="1" t="s">
        <v>31</v>
      </c>
      <c r="K131" s="1" t="s">
        <v>25</v>
      </c>
      <c r="L131" s="1" t="s">
        <v>23</v>
      </c>
      <c r="M131" s="1" t="s">
        <v>23</v>
      </c>
      <c r="N131" s="1" t="str">
        <f t="shared" ref="N131:N185" si="26">G131</f>
        <v>DESARROLLO</v>
      </c>
      <c r="O131" s="3">
        <f t="shared" ref="O131:O160" si="27">D131</f>
        <v>45860.384367928244</v>
      </c>
      <c r="P131" s="3">
        <f t="shared" ref="P131:P160" si="28">E131</f>
        <v>45862.539925833335</v>
      </c>
      <c r="Q131" s="1" t="str">
        <f t="shared" ref="Q131:Q180" si="29">IF(OR(N131="Soporte",N131="Definición",N131="Origen"),"Externo",
IF(OR(N131="Funcional",N131="Técnico",N131="Desarrollo",N131="Reproceso"),"Interno",
IF(OR(N131="",N131="Selecciona (ORIGEN/PLANIFICACIÓN/RELANZADO PROCESO/DEFINICIÓN/FUNCIONAL/TÉCNICO/DESARROLLO/PENDIENTE REPROCESO)"),"Pendiente clasificar","")))</f>
        <v>Interno</v>
      </c>
      <c r="R131" s="1">
        <f t="shared" ref="R131:R160" si="30">WEEKNUM(O131,1)</f>
        <v>30</v>
      </c>
      <c r="S131" s="6">
        <f t="shared" ref="S131:S160" si="31">DATE(W131,1,4) + (R131-1)*7 - WEEKDAY(DATE(W131,1,4),2) +1</f>
        <v>45859</v>
      </c>
      <c r="T131" s="1">
        <f t="shared" ref="T131:T160" si="32">WEEKNUM(P131,1)</f>
        <v>30</v>
      </c>
      <c r="U131" s="6">
        <f t="shared" ref="U131:U160" si="33">DATE(X131,1,4) + (T131-1)*7 - WEEKDAY(DATE(X131,1,4),2) +1</f>
        <v>45859</v>
      </c>
      <c r="V131" s="1">
        <f t="shared" ref="V131:V160" si="34">ABS(P131-O131)</f>
        <v>2.1555579050909728</v>
      </c>
      <c r="W131" s="1">
        <f t="shared" ref="W131:W160" si="35">YEAR(O131)</f>
        <v>2025</v>
      </c>
      <c r="X131" s="1">
        <f t="shared" ref="X131:X160" si="36">YEAR(P131)</f>
        <v>2025</v>
      </c>
      <c r="Y131" s="1" t="str">
        <f t="shared" ref="Y131:Y163" si="37">(TEXT(S131,"aaaa-mm"))</f>
        <v>2025-07</v>
      </c>
      <c r="Z131" s="1" t="str">
        <f t="shared" ref="Z131:Z163" si="38">(TEXT(U131,"aaaa-mm"))</f>
        <v>2025-07</v>
      </c>
    </row>
    <row r="132" spans="1:26" x14ac:dyDescent="0.2">
      <c r="A132" s="2" t="s">
        <v>353</v>
      </c>
      <c r="B132" s="1" t="s">
        <v>354</v>
      </c>
      <c r="C132" s="1" t="s">
        <v>23</v>
      </c>
      <c r="D132" s="3">
        <v>45863.373947627311</v>
      </c>
      <c r="E132" s="3">
        <v>45918.505685798613</v>
      </c>
      <c r="F132" s="1" t="s">
        <v>21</v>
      </c>
      <c r="G132" s="1" t="s">
        <v>107</v>
      </c>
      <c r="H132" s="1" t="s">
        <v>23</v>
      </c>
      <c r="I132" s="1" t="s">
        <v>23</v>
      </c>
      <c r="J132" s="1" t="s">
        <v>31</v>
      </c>
      <c r="K132" s="1" t="s">
        <v>37</v>
      </c>
      <c r="L132" s="1" t="s">
        <v>23</v>
      </c>
      <c r="M132" s="1" t="s">
        <v>528</v>
      </c>
      <c r="N132" s="1" t="str">
        <f t="shared" si="26"/>
        <v>SOPORTE</v>
      </c>
      <c r="O132" s="3">
        <f t="shared" si="27"/>
        <v>45863.373947627311</v>
      </c>
      <c r="P132" s="3">
        <f t="shared" si="28"/>
        <v>45918.505685798613</v>
      </c>
      <c r="Q132" s="1" t="str">
        <f t="shared" si="29"/>
        <v>Externo</v>
      </c>
      <c r="R132" s="1">
        <f t="shared" si="30"/>
        <v>30</v>
      </c>
      <c r="S132" s="6">
        <f t="shared" si="31"/>
        <v>45859</v>
      </c>
      <c r="T132" s="1">
        <f t="shared" si="32"/>
        <v>38</v>
      </c>
      <c r="U132" s="6">
        <f t="shared" si="33"/>
        <v>45915</v>
      </c>
      <c r="V132" s="1">
        <f t="shared" si="34"/>
        <v>55.131738171301549</v>
      </c>
      <c r="W132" s="1">
        <f t="shared" si="35"/>
        <v>2025</v>
      </c>
      <c r="X132" s="1">
        <f t="shared" si="36"/>
        <v>2025</v>
      </c>
      <c r="Y132" s="1" t="str">
        <f t="shared" si="37"/>
        <v>2025-07</v>
      </c>
      <c r="Z132" s="1" t="str">
        <f t="shared" si="38"/>
        <v>2025-09</v>
      </c>
    </row>
    <row r="133" spans="1:26" x14ac:dyDescent="0.2">
      <c r="A133" s="2" t="s">
        <v>355</v>
      </c>
      <c r="B133" s="1" t="s">
        <v>356</v>
      </c>
      <c r="C133" s="1" t="s">
        <v>44</v>
      </c>
      <c r="D133" s="3">
        <v>45868.477704305558</v>
      </c>
      <c r="E133" s="3">
        <v>45869.424990648149</v>
      </c>
      <c r="F133" s="1" t="s">
        <v>21</v>
      </c>
      <c r="G133" s="1" t="s">
        <v>101</v>
      </c>
      <c r="H133" s="1" t="s">
        <v>23</v>
      </c>
      <c r="I133" s="1" t="s">
        <v>183</v>
      </c>
      <c r="J133" s="1" t="s">
        <v>31</v>
      </c>
      <c r="K133" s="1" t="s">
        <v>25</v>
      </c>
      <c r="L133" s="1" t="s">
        <v>23</v>
      </c>
      <c r="M133" s="1" t="s">
        <v>528</v>
      </c>
      <c r="N133" s="1" t="str">
        <f t="shared" si="26"/>
        <v>FUNCIONAL</v>
      </c>
      <c r="O133" s="3">
        <f t="shared" si="27"/>
        <v>45868.477704305558</v>
      </c>
      <c r="P133" s="3">
        <f t="shared" si="28"/>
        <v>45869.424990648149</v>
      </c>
      <c r="Q133" s="1" t="str">
        <f t="shared" si="29"/>
        <v>Interno</v>
      </c>
      <c r="R133" s="1">
        <f t="shared" si="30"/>
        <v>31</v>
      </c>
      <c r="S133" s="6">
        <f t="shared" si="31"/>
        <v>45866</v>
      </c>
      <c r="T133" s="1">
        <f t="shared" si="32"/>
        <v>31</v>
      </c>
      <c r="U133" s="6">
        <f t="shared" si="33"/>
        <v>45866</v>
      </c>
      <c r="V133" s="1">
        <f t="shared" si="34"/>
        <v>0.94728634259081446</v>
      </c>
      <c r="W133" s="1">
        <f t="shared" si="35"/>
        <v>2025</v>
      </c>
      <c r="X133" s="1">
        <f t="shared" si="36"/>
        <v>2025</v>
      </c>
      <c r="Y133" s="1" t="str">
        <f t="shared" si="37"/>
        <v>2025-07</v>
      </c>
      <c r="Z133" s="1" t="str">
        <f t="shared" si="38"/>
        <v>2025-07</v>
      </c>
    </row>
    <row r="134" spans="1:26" x14ac:dyDescent="0.2">
      <c r="A134" s="2" t="s">
        <v>357</v>
      </c>
      <c r="B134" s="1" t="s">
        <v>358</v>
      </c>
      <c r="C134" s="1" t="s">
        <v>23</v>
      </c>
      <c r="D134" s="4">
        <v>45870.462386342595</v>
      </c>
      <c r="E134" s="3">
        <v>45910.461444814813</v>
      </c>
      <c r="F134" s="1" t="s">
        <v>21</v>
      </c>
      <c r="G134" s="1" t="s">
        <v>22</v>
      </c>
      <c r="H134" s="1" t="s">
        <v>23</v>
      </c>
      <c r="I134" s="1" t="s">
        <v>23</v>
      </c>
      <c r="J134" s="1" t="s">
        <v>31</v>
      </c>
      <c r="K134" s="1" t="s">
        <v>25</v>
      </c>
      <c r="L134" s="1" t="s">
        <v>23</v>
      </c>
      <c r="M134" s="1" t="s">
        <v>23</v>
      </c>
      <c r="N134" s="1" t="str">
        <f t="shared" si="26"/>
        <v>DESARROLLO</v>
      </c>
      <c r="O134" s="3">
        <f t="shared" si="27"/>
        <v>45870.462386342595</v>
      </c>
      <c r="P134" s="3">
        <f t="shared" si="28"/>
        <v>45910.461444814813</v>
      </c>
      <c r="Q134" s="1" t="str">
        <f t="shared" si="29"/>
        <v>Interno</v>
      </c>
      <c r="R134" s="1">
        <f t="shared" si="30"/>
        <v>31</v>
      </c>
      <c r="S134" s="6">
        <f t="shared" si="31"/>
        <v>45866</v>
      </c>
      <c r="T134" s="1">
        <f t="shared" si="32"/>
        <v>37</v>
      </c>
      <c r="U134" s="6">
        <f t="shared" si="33"/>
        <v>45908</v>
      </c>
      <c r="V134" s="1">
        <f t="shared" si="34"/>
        <v>39.999058472218167</v>
      </c>
      <c r="W134" s="1">
        <f t="shared" si="35"/>
        <v>2025</v>
      </c>
      <c r="X134" s="1">
        <f t="shared" si="36"/>
        <v>2025</v>
      </c>
      <c r="Y134" s="1" t="str">
        <f t="shared" si="37"/>
        <v>2025-07</v>
      </c>
      <c r="Z134" s="1" t="str">
        <f t="shared" si="38"/>
        <v>2025-09</v>
      </c>
    </row>
    <row r="135" spans="1:26" x14ac:dyDescent="0.2">
      <c r="A135" s="2" t="s">
        <v>359</v>
      </c>
      <c r="B135" s="1" t="s">
        <v>360</v>
      </c>
      <c r="C135" s="1" t="s">
        <v>23</v>
      </c>
      <c r="D135" s="4">
        <v>45870.463417615741</v>
      </c>
      <c r="E135" s="3">
        <v>45910.461467731482</v>
      </c>
      <c r="F135" s="1" t="s">
        <v>21</v>
      </c>
      <c r="G135" s="1" t="s">
        <v>22</v>
      </c>
      <c r="H135" s="1" t="s">
        <v>23</v>
      </c>
      <c r="I135" s="1" t="s">
        <v>30</v>
      </c>
      <c r="J135" s="1" t="s">
        <v>31</v>
      </c>
      <c r="K135" s="1" t="s">
        <v>25</v>
      </c>
      <c r="L135" s="1" t="s">
        <v>361</v>
      </c>
      <c r="M135" s="1" t="s">
        <v>23</v>
      </c>
      <c r="N135" s="1" t="str">
        <f t="shared" si="26"/>
        <v>DESARROLLO</v>
      </c>
      <c r="O135" s="3">
        <f t="shared" si="27"/>
        <v>45870.463417615741</v>
      </c>
      <c r="P135" s="3">
        <f t="shared" si="28"/>
        <v>45910.461467731482</v>
      </c>
      <c r="Q135" s="1" t="str">
        <f t="shared" si="29"/>
        <v>Interno</v>
      </c>
      <c r="R135" s="1">
        <f t="shared" si="30"/>
        <v>31</v>
      </c>
      <c r="S135" s="6">
        <f t="shared" si="31"/>
        <v>45866</v>
      </c>
      <c r="T135" s="1">
        <f t="shared" si="32"/>
        <v>37</v>
      </c>
      <c r="U135" s="6">
        <f t="shared" si="33"/>
        <v>45908</v>
      </c>
      <c r="V135" s="1">
        <f t="shared" si="34"/>
        <v>39.998050115740625</v>
      </c>
      <c r="W135" s="1">
        <f t="shared" si="35"/>
        <v>2025</v>
      </c>
      <c r="X135" s="1">
        <f t="shared" si="36"/>
        <v>2025</v>
      </c>
      <c r="Y135" s="1" t="str">
        <f t="shared" si="37"/>
        <v>2025-07</v>
      </c>
      <c r="Z135" s="1" t="str">
        <f t="shared" si="38"/>
        <v>2025-09</v>
      </c>
    </row>
    <row r="136" spans="1:26" x14ac:dyDescent="0.2">
      <c r="A136" s="2" t="s">
        <v>362</v>
      </c>
      <c r="B136" s="1" t="s">
        <v>363</v>
      </c>
      <c r="C136" s="1" t="s">
        <v>364</v>
      </c>
      <c r="D136" s="4">
        <v>45870.500546550924</v>
      </c>
      <c r="E136" s="3">
        <v>45873.508534664354</v>
      </c>
      <c r="F136" s="1" t="s">
        <v>21</v>
      </c>
      <c r="G136" s="1" t="s">
        <v>36</v>
      </c>
      <c r="H136" s="1" t="s">
        <v>23</v>
      </c>
      <c r="I136" s="1" t="s">
        <v>183</v>
      </c>
      <c r="J136" s="1" t="s">
        <v>31</v>
      </c>
      <c r="K136" s="1" t="s">
        <v>25</v>
      </c>
      <c r="L136" s="1" t="s">
        <v>23</v>
      </c>
      <c r="M136" s="1" t="s">
        <v>528</v>
      </c>
      <c r="N136" s="1" t="str">
        <f t="shared" si="26"/>
        <v>ORIGEN</v>
      </c>
      <c r="O136" s="3">
        <f t="shared" si="27"/>
        <v>45870.500546550924</v>
      </c>
      <c r="P136" s="3">
        <f t="shared" si="28"/>
        <v>45873.508534664354</v>
      </c>
      <c r="Q136" s="1" t="str">
        <f t="shared" si="29"/>
        <v>Externo</v>
      </c>
      <c r="R136" s="1">
        <f t="shared" si="30"/>
        <v>31</v>
      </c>
      <c r="S136" s="6">
        <f t="shared" si="31"/>
        <v>45866</v>
      </c>
      <c r="T136" s="1">
        <f t="shared" si="32"/>
        <v>32</v>
      </c>
      <c r="U136" s="6">
        <f t="shared" si="33"/>
        <v>45873</v>
      </c>
      <c r="V136" s="1">
        <f t="shared" si="34"/>
        <v>3.0079881134297466</v>
      </c>
      <c r="W136" s="1">
        <f t="shared" si="35"/>
        <v>2025</v>
      </c>
      <c r="X136" s="1">
        <f t="shared" si="36"/>
        <v>2025</v>
      </c>
      <c r="Y136" s="1" t="str">
        <f t="shared" si="37"/>
        <v>2025-07</v>
      </c>
      <c r="Z136" s="1" t="str">
        <f t="shared" si="38"/>
        <v>2025-08</v>
      </c>
    </row>
    <row r="137" spans="1:26" x14ac:dyDescent="0.2">
      <c r="A137" s="2" t="s">
        <v>365</v>
      </c>
      <c r="B137" s="1" t="s">
        <v>366</v>
      </c>
      <c r="C137" s="1" t="s">
        <v>23</v>
      </c>
      <c r="D137" s="4">
        <v>45870.511282384257</v>
      </c>
      <c r="E137" s="3">
        <v>45873.508598136577</v>
      </c>
      <c r="F137" s="1" t="s">
        <v>21</v>
      </c>
      <c r="G137" s="1" t="s">
        <v>36</v>
      </c>
      <c r="H137" s="1" t="s">
        <v>23</v>
      </c>
      <c r="I137" s="1" t="s">
        <v>23</v>
      </c>
      <c r="J137" s="1" t="s">
        <v>31</v>
      </c>
      <c r="K137" s="1" t="s">
        <v>25</v>
      </c>
      <c r="L137" s="1" t="s">
        <v>23</v>
      </c>
      <c r="M137" s="1" t="s">
        <v>528</v>
      </c>
      <c r="N137" s="1" t="str">
        <f t="shared" si="26"/>
        <v>ORIGEN</v>
      </c>
      <c r="O137" s="3">
        <f t="shared" si="27"/>
        <v>45870.511282384257</v>
      </c>
      <c r="P137" s="3">
        <f t="shared" si="28"/>
        <v>45873.508598136577</v>
      </c>
      <c r="Q137" s="1" t="str">
        <f t="shared" si="29"/>
        <v>Externo</v>
      </c>
      <c r="R137" s="1">
        <f t="shared" si="30"/>
        <v>31</v>
      </c>
      <c r="S137" s="6">
        <f t="shared" si="31"/>
        <v>45866</v>
      </c>
      <c r="T137" s="1">
        <f t="shared" si="32"/>
        <v>32</v>
      </c>
      <c r="U137" s="6">
        <f t="shared" si="33"/>
        <v>45873</v>
      </c>
      <c r="V137" s="1">
        <f t="shared" si="34"/>
        <v>2.9973157523199916</v>
      </c>
      <c r="W137" s="1">
        <f t="shared" si="35"/>
        <v>2025</v>
      </c>
      <c r="X137" s="1">
        <f t="shared" si="36"/>
        <v>2025</v>
      </c>
      <c r="Y137" s="1" t="str">
        <f t="shared" si="37"/>
        <v>2025-07</v>
      </c>
      <c r="Z137" s="1" t="str">
        <f t="shared" si="38"/>
        <v>2025-08</v>
      </c>
    </row>
    <row r="138" spans="1:26" x14ac:dyDescent="0.2">
      <c r="A138" s="2" t="s">
        <v>367</v>
      </c>
      <c r="B138" s="1" t="s">
        <v>368</v>
      </c>
      <c r="C138" s="1" t="s">
        <v>23</v>
      </c>
      <c r="D138" s="3">
        <v>45873.454861006947</v>
      </c>
      <c r="E138" s="3">
        <v>45903.515615520831</v>
      </c>
      <c r="F138" s="1" t="s">
        <v>21</v>
      </c>
      <c r="G138" s="1" t="s">
        <v>167</v>
      </c>
      <c r="H138" s="1" t="s">
        <v>23</v>
      </c>
      <c r="I138" s="1" t="s">
        <v>23</v>
      </c>
      <c r="J138" s="1" t="s">
        <v>31</v>
      </c>
      <c r="K138" s="1" t="s">
        <v>25</v>
      </c>
      <c r="L138" s="1" t="s">
        <v>23</v>
      </c>
      <c r="M138" s="1" t="s">
        <v>23</v>
      </c>
      <c r="N138" s="1" t="str">
        <f t="shared" si="26"/>
        <v>REPROCESO</v>
      </c>
      <c r="O138" s="3">
        <f t="shared" si="27"/>
        <v>45873.454861006947</v>
      </c>
      <c r="P138" s="3">
        <f t="shared" si="28"/>
        <v>45903.515615520831</v>
      </c>
      <c r="Q138" s="1" t="str">
        <f t="shared" si="29"/>
        <v>Interno</v>
      </c>
      <c r="R138" s="1">
        <f t="shared" si="30"/>
        <v>32</v>
      </c>
      <c r="S138" s="6">
        <f t="shared" si="31"/>
        <v>45873</v>
      </c>
      <c r="T138" s="1">
        <f t="shared" si="32"/>
        <v>36</v>
      </c>
      <c r="U138" s="6">
        <f t="shared" si="33"/>
        <v>45901</v>
      </c>
      <c r="V138" s="1">
        <f t="shared" si="34"/>
        <v>30.060754513884604</v>
      </c>
      <c r="W138" s="1">
        <f t="shared" si="35"/>
        <v>2025</v>
      </c>
      <c r="X138" s="1">
        <f t="shared" si="36"/>
        <v>2025</v>
      </c>
      <c r="Y138" s="1" t="str">
        <f t="shared" si="37"/>
        <v>2025-08</v>
      </c>
      <c r="Z138" s="1" t="str">
        <f t="shared" si="38"/>
        <v>2025-09</v>
      </c>
    </row>
    <row r="139" spans="1:26" x14ac:dyDescent="0.2">
      <c r="A139" s="2" t="s">
        <v>369</v>
      </c>
      <c r="B139" s="1" t="s">
        <v>370</v>
      </c>
      <c r="C139" s="1" t="s">
        <v>23</v>
      </c>
      <c r="D139" s="3">
        <v>45873.569718483799</v>
      </c>
      <c r="E139" s="3">
        <v>45910.471378391201</v>
      </c>
      <c r="F139" s="1" t="s">
        <v>21</v>
      </c>
      <c r="G139" s="1" t="s">
        <v>22</v>
      </c>
      <c r="H139" s="1" t="s">
        <v>23</v>
      </c>
      <c r="I139" s="1" t="s">
        <v>30</v>
      </c>
      <c r="J139" s="1" t="s">
        <v>31</v>
      </c>
      <c r="K139" s="1" t="s">
        <v>25</v>
      </c>
      <c r="L139" s="1" t="s">
        <v>361</v>
      </c>
      <c r="M139" s="1" t="s">
        <v>528</v>
      </c>
      <c r="N139" s="1" t="str">
        <f t="shared" si="26"/>
        <v>DESARROLLO</v>
      </c>
      <c r="O139" s="3">
        <f t="shared" si="27"/>
        <v>45873.569718483799</v>
      </c>
      <c r="P139" s="3">
        <f t="shared" si="28"/>
        <v>45910.471378391201</v>
      </c>
      <c r="Q139" s="1" t="str">
        <f t="shared" si="29"/>
        <v>Interno</v>
      </c>
      <c r="R139" s="1">
        <f t="shared" si="30"/>
        <v>32</v>
      </c>
      <c r="S139" s="6">
        <f t="shared" si="31"/>
        <v>45873</v>
      </c>
      <c r="T139" s="1">
        <f t="shared" si="32"/>
        <v>37</v>
      </c>
      <c r="U139" s="6">
        <f t="shared" si="33"/>
        <v>45908</v>
      </c>
      <c r="V139" s="1">
        <f t="shared" si="34"/>
        <v>36.901659907402063</v>
      </c>
      <c r="W139" s="1">
        <f t="shared" si="35"/>
        <v>2025</v>
      </c>
      <c r="X139" s="1">
        <f t="shared" si="36"/>
        <v>2025</v>
      </c>
      <c r="Y139" s="1" t="str">
        <f t="shared" si="37"/>
        <v>2025-08</v>
      </c>
      <c r="Z139" s="1" t="str">
        <f t="shared" si="38"/>
        <v>2025-09</v>
      </c>
    </row>
    <row r="140" spans="1:26" x14ac:dyDescent="0.2">
      <c r="A140" s="2" t="s">
        <v>371</v>
      </c>
      <c r="B140" s="1" t="s">
        <v>372</v>
      </c>
      <c r="C140" s="1" t="s">
        <v>35</v>
      </c>
      <c r="D140" s="3">
        <v>45882.686804583333</v>
      </c>
      <c r="E140" s="3">
        <v>45891.39508303241</v>
      </c>
      <c r="F140" s="1" t="s">
        <v>21</v>
      </c>
      <c r="G140" s="1" t="s">
        <v>22</v>
      </c>
      <c r="H140" s="1" t="s">
        <v>345</v>
      </c>
      <c r="I140" s="1" t="s">
        <v>183</v>
      </c>
      <c r="J140" s="1" t="s">
        <v>31</v>
      </c>
      <c r="K140" s="1" t="s">
        <v>25</v>
      </c>
      <c r="L140" s="1" t="s">
        <v>23</v>
      </c>
      <c r="M140" s="1" t="s">
        <v>528</v>
      </c>
      <c r="N140" s="1" t="str">
        <f t="shared" si="26"/>
        <v>DESARROLLO</v>
      </c>
      <c r="O140" s="3">
        <f t="shared" si="27"/>
        <v>45882.686804583333</v>
      </c>
      <c r="P140" s="3">
        <f t="shared" si="28"/>
        <v>45891.39508303241</v>
      </c>
      <c r="Q140" s="1" t="str">
        <f t="shared" si="29"/>
        <v>Interno</v>
      </c>
      <c r="R140" s="1">
        <f t="shared" si="30"/>
        <v>33</v>
      </c>
      <c r="S140" s="6">
        <f t="shared" si="31"/>
        <v>45880</v>
      </c>
      <c r="T140" s="1">
        <f t="shared" si="32"/>
        <v>34</v>
      </c>
      <c r="U140" s="6">
        <f t="shared" si="33"/>
        <v>45887</v>
      </c>
      <c r="V140" s="1">
        <f t="shared" si="34"/>
        <v>8.7082784490776248</v>
      </c>
      <c r="W140" s="1">
        <f t="shared" si="35"/>
        <v>2025</v>
      </c>
      <c r="X140" s="1">
        <f t="shared" si="36"/>
        <v>2025</v>
      </c>
      <c r="Y140" s="1" t="str">
        <f t="shared" si="37"/>
        <v>2025-08</v>
      </c>
      <c r="Z140" s="1" t="str">
        <f t="shared" si="38"/>
        <v>2025-08</v>
      </c>
    </row>
    <row r="141" spans="1:26" x14ac:dyDescent="0.2">
      <c r="A141" s="2" t="s">
        <v>373</v>
      </c>
      <c r="B141" s="1" t="s">
        <v>374</v>
      </c>
      <c r="C141" s="1" t="s">
        <v>202</v>
      </c>
      <c r="D141" s="3">
        <v>45882.691089201391</v>
      </c>
      <c r="E141" s="3">
        <v>45883.65484974537</v>
      </c>
      <c r="F141" s="1" t="s">
        <v>21</v>
      </c>
      <c r="G141" s="1" t="s">
        <v>167</v>
      </c>
      <c r="H141" s="1" t="s">
        <v>345</v>
      </c>
      <c r="I141" s="1" t="s">
        <v>183</v>
      </c>
      <c r="J141" s="1" t="s">
        <v>31</v>
      </c>
      <c r="K141" s="1" t="s">
        <v>25</v>
      </c>
      <c r="L141" s="1" t="s">
        <v>23</v>
      </c>
      <c r="M141" s="1" t="s">
        <v>528</v>
      </c>
      <c r="N141" s="1" t="str">
        <f t="shared" si="26"/>
        <v>REPROCESO</v>
      </c>
      <c r="O141" s="3">
        <f t="shared" si="27"/>
        <v>45882.691089201391</v>
      </c>
      <c r="P141" s="3">
        <f t="shared" si="28"/>
        <v>45883.65484974537</v>
      </c>
      <c r="Q141" s="1" t="str">
        <f t="shared" si="29"/>
        <v>Interno</v>
      </c>
      <c r="R141" s="1">
        <f t="shared" si="30"/>
        <v>33</v>
      </c>
      <c r="S141" s="6">
        <f t="shared" si="31"/>
        <v>45880</v>
      </c>
      <c r="T141" s="1">
        <f t="shared" si="32"/>
        <v>33</v>
      </c>
      <c r="U141" s="6">
        <f t="shared" si="33"/>
        <v>45880</v>
      </c>
      <c r="V141" s="1">
        <f t="shared" si="34"/>
        <v>0.96376054397842381</v>
      </c>
      <c r="W141" s="1">
        <f t="shared" si="35"/>
        <v>2025</v>
      </c>
      <c r="X141" s="1">
        <f t="shared" si="36"/>
        <v>2025</v>
      </c>
      <c r="Y141" s="1" t="str">
        <f t="shared" si="37"/>
        <v>2025-08</v>
      </c>
      <c r="Z141" s="1" t="str">
        <f t="shared" si="38"/>
        <v>2025-08</v>
      </c>
    </row>
    <row r="142" spans="1:26" x14ac:dyDescent="0.2">
      <c r="A142" s="2" t="s">
        <v>375</v>
      </c>
      <c r="B142" s="1" t="s">
        <v>376</v>
      </c>
      <c r="C142" s="1" t="s">
        <v>71</v>
      </c>
      <c r="D142" s="3">
        <v>45891.385832581022</v>
      </c>
      <c r="E142" s="3">
        <v>45944.391017581016</v>
      </c>
      <c r="F142" s="1" t="s">
        <v>21</v>
      </c>
      <c r="G142" s="1" t="s">
        <v>36</v>
      </c>
      <c r="H142" s="1" t="s">
        <v>23</v>
      </c>
      <c r="I142" s="1" t="s">
        <v>85</v>
      </c>
      <c r="J142" s="1" t="s">
        <v>31</v>
      </c>
      <c r="K142" s="1" t="s">
        <v>25</v>
      </c>
      <c r="L142" s="1" t="s">
        <v>23</v>
      </c>
      <c r="M142" s="1" t="s">
        <v>528</v>
      </c>
      <c r="N142" s="1" t="str">
        <f t="shared" si="26"/>
        <v>ORIGEN</v>
      </c>
      <c r="O142" s="3">
        <f t="shared" si="27"/>
        <v>45891.385832581022</v>
      </c>
      <c r="P142" s="3">
        <f t="shared" si="28"/>
        <v>45944.391017581016</v>
      </c>
      <c r="Q142" s="1" t="str">
        <f t="shared" si="29"/>
        <v>Externo</v>
      </c>
      <c r="R142" s="1">
        <f t="shared" si="30"/>
        <v>34</v>
      </c>
      <c r="S142" s="6">
        <f t="shared" si="31"/>
        <v>45887</v>
      </c>
      <c r="T142" s="1">
        <f t="shared" si="32"/>
        <v>42</v>
      </c>
      <c r="U142" s="6">
        <f t="shared" si="33"/>
        <v>45943</v>
      </c>
      <c r="V142" s="1">
        <f t="shared" si="34"/>
        <v>53.005184999994526</v>
      </c>
      <c r="W142" s="1">
        <f t="shared" si="35"/>
        <v>2025</v>
      </c>
      <c r="X142" s="1">
        <f t="shared" si="36"/>
        <v>2025</v>
      </c>
      <c r="Y142" s="1" t="str">
        <f t="shared" si="37"/>
        <v>2025-08</v>
      </c>
      <c r="Z142" s="1" t="str">
        <f t="shared" si="38"/>
        <v>2025-10</v>
      </c>
    </row>
    <row r="143" spans="1:26" x14ac:dyDescent="0.2">
      <c r="A143" s="2" t="s">
        <v>378</v>
      </c>
      <c r="B143" s="1" t="s">
        <v>379</v>
      </c>
      <c r="C143" s="1" t="s">
        <v>23</v>
      </c>
      <c r="D143" s="3">
        <v>45891.468104247688</v>
      </c>
      <c r="E143" s="3">
        <v>45894.395154872684</v>
      </c>
      <c r="F143" s="1" t="s">
        <v>21</v>
      </c>
      <c r="G143" s="1" t="s">
        <v>107</v>
      </c>
      <c r="H143" s="1" t="s">
        <v>23</v>
      </c>
      <c r="I143" s="1" t="s">
        <v>23</v>
      </c>
      <c r="J143" s="1" t="s">
        <v>31</v>
      </c>
      <c r="K143" s="1" t="s">
        <v>25</v>
      </c>
      <c r="L143" s="1" t="s">
        <v>23</v>
      </c>
      <c r="M143" s="1" t="s">
        <v>528</v>
      </c>
      <c r="N143" s="1" t="str">
        <f t="shared" si="26"/>
        <v>SOPORTE</v>
      </c>
      <c r="O143" s="3">
        <f t="shared" si="27"/>
        <v>45891.468104247688</v>
      </c>
      <c r="P143" s="3">
        <f t="shared" si="28"/>
        <v>45894.395154872684</v>
      </c>
      <c r="Q143" s="1" t="str">
        <f t="shared" si="29"/>
        <v>Externo</v>
      </c>
      <c r="R143" s="1">
        <f t="shared" si="30"/>
        <v>34</v>
      </c>
      <c r="S143" s="6">
        <f t="shared" si="31"/>
        <v>45887</v>
      </c>
      <c r="T143" s="1">
        <f t="shared" si="32"/>
        <v>35</v>
      </c>
      <c r="U143" s="6">
        <f t="shared" si="33"/>
        <v>45894</v>
      </c>
      <c r="V143" s="1">
        <f t="shared" si="34"/>
        <v>2.9270506249958999</v>
      </c>
      <c r="W143" s="1">
        <f t="shared" si="35"/>
        <v>2025</v>
      </c>
      <c r="X143" s="1">
        <f t="shared" si="36"/>
        <v>2025</v>
      </c>
      <c r="Y143" s="1" t="str">
        <f t="shared" si="37"/>
        <v>2025-08</v>
      </c>
      <c r="Z143" s="1" t="str">
        <f t="shared" si="38"/>
        <v>2025-08</v>
      </c>
    </row>
    <row r="144" spans="1:26" x14ac:dyDescent="0.2">
      <c r="A144" s="2" t="s">
        <v>380</v>
      </c>
      <c r="B144" s="1" t="s">
        <v>381</v>
      </c>
      <c r="C144" s="1" t="s">
        <v>23</v>
      </c>
      <c r="D144" s="3">
        <v>45896.404484803243</v>
      </c>
      <c r="E144" s="4">
        <v>45901.514440277781</v>
      </c>
      <c r="F144" s="1" t="s">
        <v>21</v>
      </c>
      <c r="G144" s="1" t="s">
        <v>167</v>
      </c>
      <c r="H144" s="1" t="s">
        <v>23</v>
      </c>
      <c r="I144" s="1" t="s">
        <v>23</v>
      </c>
      <c r="J144" s="1" t="s">
        <v>31</v>
      </c>
      <c r="K144" s="1" t="s">
        <v>25</v>
      </c>
      <c r="L144" s="1" t="s">
        <v>23</v>
      </c>
      <c r="M144" s="1" t="s">
        <v>528</v>
      </c>
      <c r="N144" s="1" t="str">
        <f t="shared" si="26"/>
        <v>REPROCESO</v>
      </c>
      <c r="O144" s="3">
        <f t="shared" si="27"/>
        <v>45896.404484803243</v>
      </c>
      <c r="P144" s="3">
        <f t="shared" si="28"/>
        <v>45901.514440277781</v>
      </c>
      <c r="Q144" s="1" t="str">
        <f t="shared" si="29"/>
        <v>Interno</v>
      </c>
      <c r="R144" s="1">
        <f t="shared" si="30"/>
        <v>35</v>
      </c>
      <c r="S144" s="6">
        <f t="shared" si="31"/>
        <v>45894</v>
      </c>
      <c r="T144" s="1">
        <f t="shared" si="32"/>
        <v>36</v>
      </c>
      <c r="U144" s="6">
        <f t="shared" si="33"/>
        <v>45901</v>
      </c>
      <c r="V144" s="1">
        <f t="shared" si="34"/>
        <v>5.1099554745378555</v>
      </c>
      <c r="W144" s="1">
        <f t="shared" si="35"/>
        <v>2025</v>
      </c>
      <c r="X144" s="1">
        <f t="shared" si="36"/>
        <v>2025</v>
      </c>
      <c r="Y144" s="1" t="str">
        <f t="shared" si="37"/>
        <v>2025-08</v>
      </c>
      <c r="Z144" s="1" t="str">
        <f t="shared" si="38"/>
        <v>2025-09</v>
      </c>
    </row>
    <row r="145" spans="1:26" x14ac:dyDescent="0.2">
      <c r="A145" s="2" t="s">
        <v>382</v>
      </c>
      <c r="B145" s="1" t="s">
        <v>383</v>
      </c>
      <c r="C145" s="1" t="s">
        <v>23</v>
      </c>
      <c r="D145" s="3">
        <v>45898.438217615738</v>
      </c>
      <c r="E145" s="3">
        <v>45898.61063974537</v>
      </c>
      <c r="F145" s="1" t="s">
        <v>21</v>
      </c>
      <c r="G145" s="1" t="s">
        <v>167</v>
      </c>
      <c r="H145" s="1" t="s">
        <v>23</v>
      </c>
      <c r="I145" s="1" t="s">
        <v>23</v>
      </c>
      <c r="J145" s="1" t="s">
        <v>31</v>
      </c>
      <c r="K145" s="1" t="s">
        <v>25</v>
      </c>
      <c r="L145" s="1" t="s">
        <v>23</v>
      </c>
      <c r="M145" s="1" t="s">
        <v>528</v>
      </c>
      <c r="N145" s="1" t="str">
        <f t="shared" si="26"/>
        <v>REPROCESO</v>
      </c>
      <c r="O145" s="3">
        <f t="shared" si="27"/>
        <v>45898.438217615738</v>
      </c>
      <c r="P145" s="3">
        <f t="shared" si="28"/>
        <v>45898.61063974537</v>
      </c>
      <c r="Q145" s="1" t="str">
        <f t="shared" si="29"/>
        <v>Interno</v>
      </c>
      <c r="R145" s="1">
        <f t="shared" si="30"/>
        <v>35</v>
      </c>
      <c r="S145" s="6">
        <f t="shared" si="31"/>
        <v>45894</v>
      </c>
      <c r="T145" s="1">
        <f t="shared" si="32"/>
        <v>35</v>
      </c>
      <c r="U145" s="6">
        <f t="shared" si="33"/>
        <v>45894</v>
      </c>
      <c r="V145" s="1">
        <f t="shared" si="34"/>
        <v>0.17242212963174097</v>
      </c>
      <c r="W145" s="1">
        <f t="shared" si="35"/>
        <v>2025</v>
      </c>
      <c r="X145" s="1">
        <f t="shared" si="36"/>
        <v>2025</v>
      </c>
      <c r="Y145" s="1" t="str">
        <f t="shared" si="37"/>
        <v>2025-08</v>
      </c>
      <c r="Z145" s="1" t="str">
        <f t="shared" si="38"/>
        <v>2025-08</v>
      </c>
    </row>
    <row r="146" spans="1:26" x14ac:dyDescent="0.2">
      <c r="A146" s="2" t="s">
        <v>384</v>
      </c>
      <c r="B146" s="1" t="s">
        <v>385</v>
      </c>
      <c r="C146" s="1" t="s">
        <v>23</v>
      </c>
      <c r="D146" s="3">
        <v>45903.37486171296</v>
      </c>
      <c r="E146" s="3">
        <v>45904.434392754629</v>
      </c>
      <c r="F146" s="1" t="s">
        <v>21</v>
      </c>
      <c r="G146" s="1" t="s">
        <v>107</v>
      </c>
      <c r="H146" s="1" t="s">
        <v>23</v>
      </c>
      <c r="I146" s="1" t="s">
        <v>85</v>
      </c>
      <c r="J146" s="1" t="s">
        <v>31</v>
      </c>
      <c r="K146" s="1" t="s">
        <v>25</v>
      </c>
      <c r="L146" s="1" t="s">
        <v>23</v>
      </c>
      <c r="M146" s="1" t="s">
        <v>528</v>
      </c>
      <c r="N146" s="1" t="str">
        <f t="shared" si="26"/>
        <v>SOPORTE</v>
      </c>
      <c r="O146" s="3">
        <f t="shared" si="27"/>
        <v>45903.37486171296</v>
      </c>
      <c r="P146" s="3">
        <f t="shared" si="28"/>
        <v>45904.434392754629</v>
      </c>
      <c r="Q146" s="1" t="str">
        <f t="shared" si="29"/>
        <v>Externo</v>
      </c>
      <c r="R146" s="1">
        <f t="shared" si="30"/>
        <v>36</v>
      </c>
      <c r="S146" s="6">
        <f t="shared" si="31"/>
        <v>45901</v>
      </c>
      <c r="T146" s="1">
        <f t="shared" si="32"/>
        <v>36</v>
      </c>
      <c r="U146" s="6">
        <f t="shared" si="33"/>
        <v>45901</v>
      </c>
      <c r="V146" s="1">
        <f t="shared" si="34"/>
        <v>1.0595310416683787</v>
      </c>
      <c r="W146" s="1">
        <f t="shared" si="35"/>
        <v>2025</v>
      </c>
      <c r="X146" s="1">
        <f t="shared" si="36"/>
        <v>2025</v>
      </c>
      <c r="Y146" s="1" t="str">
        <f t="shared" si="37"/>
        <v>2025-09</v>
      </c>
      <c r="Z146" s="1" t="str">
        <f t="shared" si="38"/>
        <v>2025-09</v>
      </c>
    </row>
    <row r="147" spans="1:26" x14ac:dyDescent="0.2">
      <c r="A147" s="2" t="s">
        <v>386</v>
      </c>
      <c r="B147" s="1" t="s">
        <v>387</v>
      </c>
      <c r="C147" s="1" t="s">
        <v>23</v>
      </c>
      <c r="D147" s="3">
        <v>45903.376783368054</v>
      </c>
      <c r="E147" s="3">
        <v>45903.412598518516</v>
      </c>
      <c r="F147" s="1" t="s">
        <v>21</v>
      </c>
      <c r="G147" s="1" t="s">
        <v>107</v>
      </c>
      <c r="H147" s="1" t="s">
        <v>23</v>
      </c>
      <c r="I147" s="1" t="s">
        <v>23</v>
      </c>
      <c r="J147" s="1" t="s">
        <v>31</v>
      </c>
      <c r="K147" s="1" t="s">
        <v>25</v>
      </c>
      <c r="L147" s="1" t="s">
        <v>23</v>
      </c>
      <c r="M147" s="1" t="s">
        <v>528</v>
      </c>
      <c r="N147" s="1" t="str">
        <f t="shared" si="26"/>
        <v>SOPORTE</v>
      </c>
      <c r="O147" s="3">
        <f t="shared" si="27"/>
        <v>45903.376783368054</v>
      </c>
      <c r="P147" s="3">
        <f t="shared" si="28"/>
        <v>45903.412598518516</v>
      </c>
      <c r="Q147" s="1" t="str">
        <f t="shared" si="29"/>
        <v>Externo</v>
      </c>
      <c r="R147" s="1">
        <f t="shared" si="30"/>
        <v>36</v>
      </c>
      <c r="S147" s="6">
        <f t="shared" si="31"/>
        <v>45901</v>
      </c>
      <c r="T147" s="1">
        <f t="shared" si="32"/>
        <v>36</v>
      </c>
      <c r="U147" s="6">
        <f t="shared" si="33"/>
        <v>45901</v>
      </c>
      <c r="V147" s="1">
        <f t="shared" si="34"/>
        <v>3.5815150462440215E-2</v>
      </c>
      <c r="W147" s="1">
        <f t="shared" si="35"/>
        <v>2025</v>
      </c>
      <c r="X147" s="1">
        <f t="shared" si="36"/>
        <v>2025</v>
      </c>
      <c r="Y147" s="1" t="str">
        <f t="shared" si="37"/>
        <v>2025-09</v>
      </c>
      <c r="Z147" s="1" t="str">
        <f t="shared" si="38"/>
        <v>2025-09</v>
      </c>
    </row>
    <row r="148" spans="1:26" x14ac:dyDescent="0.2">
      <c r="A148" s="2" t="s">
        <v>388</v>
      </c>
      <c r="B148" s="1" t="s">
        <v>389</v>
      </c>
      <c r="C148" s="1" t="s">
        <v>23</v>
      </c>
      <c r="D148" s="3">
        <v>45903.493778402779</v>
      </c>
      <c r="E148" s="3">
        <v>45904.481780127317</v>
      </c>
      <c r="F148" s="1" t="s">
        <v>21</v>
      </c>
      <c r="G148" s="1" t="s">
        <v>107</v>
      </c>
      <c r="H148" s="1" t="s">
        <v>23</v>
      </c>
      <c r="I148" s="1" t="s">
        <v>23</v>
      </c>
      <c r="J148" s="1" t="s">
        <v>31</v>
      </c>
      <c r="K148" s="1" t="s">
        <v>25</v>
      </c>
      <c r="L148" s="1" t="s">
        <v>23</v>
      </c>
      <c r="M148" s="1" t="s">
        <v>528</v>
      </c>
      <c r="N148" s="1" t="str">
        <f t="shared" si="26"/>
        <v>SOPORTE</v>
      </c>
      <c r="O148" s="3">
        <f t="shared" si="27"/>
        <v>45903.493778402779</v>
      </c>
      <c r="P148" s="3">
        <f t="shared" si="28"/>
        <v>45904.481780127317</v>
      </c>
      <c r="Q148" s="1" t="str">
        <f t="shared" si="29"/>
        <v>Externo</v>
      </c>
      <c r="R148" s="1">
        <f t="shared" si="30"/>
        <v>36</v>
      </c>
      <c r="S148" s="6">
        <f t="shared" si="31"/>
        <v>45901</v>
      </c>
      <c r="T148" s="1">
        <f t="shared" si="32"/>
        <v>36</v>
      </c>
      <c r="U148" s="6">
        <f t="shared" si="33"/>
        <v>45901</v>
      </c>
      <c r="V148" s="1">
        <f t="shared" si="34"/>
        <v>0.98800172453775303</v>
      </c>
      <c r="W148" s="1">
        <f t="shared" si="35"/>
        <v>2025</v>
      </c>
      <c r="X148" s="1">
        <f t="shared" si="36"/>
        <v>2025</v>
      </c>
      <c r="Y148" s="1" t="str">
        <f t="shared" si="37"/>
        <v>2025-09</v>
      </c>
      <c r="Z148" s="1" t="str">
        <f t="shared" si="38"/>
        <v>2025-09</v>
      </c>
    </row>
    <row r="149" spans="1:26" x14ac:dyDescent="0.2">
      <c r="A149" s="2" t="s">
        <v>390</v>
      </c>
      <c r="B149" s="1" t="s">
        <v>391</v>
      </c>
      <c r="C149" s="1" t="s">
        <v>23</v>
      </c>
      <c r="D149" s="3">
        <v>45905.461117777777</v>
      </c>
      <c r="E149" s="3">
        <v>45905.594502094908</v>
      </c>
      <c r="F149" s="1" t="s">
        <v>21</v>
      </c>
      <c r="G149" s="1" t="s">
        <v>36</v>
      </c>
      <c r="H149" s="1" t="s">
        <v>23</v>
      </c>
      <c r="I149" s="1" t="s">
        <v>23</v>
      </c>
      <c r="J149" s="1" t="s">
        <v>31</v>
      </c>
      <c r="K149" s="1" t="s">
        <v>25</v>
      </c>
      <c r="L149" s="1" t="s">
        <v>23</v>
      </c>
      <c r="M149" s="1" t="s">
        <v>528</v>
      </c>
      <c r="N149" s="1" t="str">
        <f t="shared" si="26"/>
        <v>ORIGEN</v>
      </c>
      <c r="O149" s="3">
        <f t="shared" si="27"/>
        <v>45905.461117777777</v>
      </c>
      <c r="P149" s="3">
        <f t="shared" si="28"/>
        <v>45905.594502094908</v>
      </c>
      <c r="Q149" s="1" t="str">
        <f t="shared" si="29"/>
        <v>Externo</v>
      </c>
      <c r="R149" s="1">
        <f t="shared" si="30"/>
        <v>36</v>
      </c>
      <c r="S149" s="6">
        <f t="shared" si="31"/>
        <v>45901</v>
      </c>
      <c r="T149" s="1">
        <f t="shared" si="32"/>
        <v>36</v>
      </c>
      <c r="U149" s="6">
        <f t="shared" si="33"/>
        <v>45901</v>
      </c>
      <c r="V149" s="1">
        <f t="shared" si="34"/>
        <v>0.13338431713054888</v>
      </c>
      <c r="W149" s="1">
        <f t="shared" si="35"/>
        <v>2025</v>
      </c>
      <c r="X149" s="1">
        <f t="shared" si="36"/>
        <v>2025</v>
      </c>
      <c r="Y149" s="1" t="str">
        <f t="shared" si="37"/>
        <v>2025-09</v>
      </c>
      <c r="Z149" s="1" t="str">
        <f t="shared" si="38"/>
        <v>2025-09</v>
      </c>
    </row>
    <row r="150" spans="1:26" x14ac:dyDescent="0.2">
      <c r="A150" s="2" t="s">
        <v>392</v>
      </c>
      <c r="B150" s="1" t="s">
        <v>393</v>
      </c>
      <c r="C150" s="1" t="s">
        <v>23</v>
      </c>
      <c r="D150" s="3">
        <v>45911.380577696757</v>
      </c>
      <c r="E150" s="3">
        <v>45911.53790747685</v>
      </c>
      <c r="F150" s="1" t="s">
        <v>21</v>
      </c>
      <c r="G150" s="1" t="s">
        <v>107</v>
      </c>
      <c r="H150" s="1" t="s">
        <v>23</v>
      </c>
      <c r="I150" s="1" t="s">
        <v>23</v>
      </c>
      <c r="J150" s="1" t="s">
        <v>31</v>
      </c>
      <c r="K150" s="1" t="s">
        <v>25</v>
      </c>
      <c r="L150" s="1" t="s">
        <v>23</v>
      </c>
      <c r="M150" s="1" t="s">
        <v>528</v>
      </c>
      <c r="N150" s="1" t="str">
        <f t="shared" si="26"/>
        <v>SOPORTE</v>
      </c>
      <c r="O150" s="3">
        <f t="shared" si="27"/>
        <v>45911.380577696757</v>
      </c>
      <c r="P150" s="3">
        <f t="shared" si="28"/>
        <v>45911.53790747685</v>
      </c>
      <c r="Q150" s="1" t="str">
        <f t="shared" si="29"/>
        <v>Externo</v>
      </c>
      <c r="R150" s="1">
        <f t="shared" si="30"/>
        <v>37</v>
      </c>
      <c r="S150" s="6">
        <f t="shared" si="31"/>
        <v>45908</v>
      </c>
      <c r="T150" s="1">
        <f t="shared" si="32"/>
        <v>37</v>
      </c>
      <c r="U150" s="6">
        <f t="shared" si="33"/>
        <v>45908</v>
      </c>
      <c r="V150" s="1">
        <f t="shared" si="34"/>
        <v>0.1573297800932778</v>
      </c>
      <c r="W150" s="1">
        <f t="shared" si="35"/>
        <v>2025</v>
      </c>
      <c r="X150" s="1">
        <f t="shared" si="36"/>
        <v>2025</v>
      </c>
      <c r="Y150" s="1" t="str">
        <f t="shared" si="37"/>
        <v>2025-09</v>
      </c>
      <c r="Z150" s="1" t="str">
        <f t="shared" si="38"/>
        <v>2025-09</v>
      </c>
    </row>
    <row r="151" spans="1:26" x14ac:dyDescent="0.2">
      <c r="A151" s="2" t="s">
        <v>394</v>
      </c>
      <c r="B151" s="1" t="s">
        <v>395</v>
      </c>
      <c r="C151" s="1" t="s">
        <v>23</v>
      </c>
      <c r="D151" s="3">
        <v>45911.538556203705</v>
      </c>
      <c r="E151" s="3">
        <v>45911.584806539351</v>
      </c>
      <c r="F151" s="1" t="s">
        <v>21</v>
      </c>
      <c r="G151" s="1" t="s">
        <v>22</v>
      </c>
      <c r="H151" s="1" t="s">
        <v>23</v>
      </c>
      <c r="I151" s="1" t="s">
        <v>23</v>
      </c>
      <c r="J151" s="1" t="s">
        <v>31</v>
      </c>
      <c r="K151" s="1" t="s">
        <v>25</v>
      </c>
      <c r="L151" s="1" t="s">
        <v>23</v>
      </c>
      <c r="M151" s="1" t="s">
        <v>528</v>
      </c>
      <c r="N151" s="1" t="str">
        <f t="shared" si="26"/>
        <v>DESARROLLO</v>
      </c>
      <c r="O151" s="3">
        <f t="shared" si="27"/>
        <v>45911.538556203705</v>
      </c>
      <c r="P151" s="3">
        <f t="shared" si="28"/>
        <v>45911.584806539351</v>
      </c>
      <c r="Q151" s="1" t="str">
        <f t="shared" si="29"/>
        <v>Interno</v>
      </c>
      <c r="R151" s="1">
        <f t="shared" si="30"/>
        <v>37</v>
      </c>
      <c r="S151" s="6">
        <f t="shared" si="31"/>
        <v>45908</v>
      </c>
      <c r="T151" s="1">
        <f t="shared" si="32"/>
        <v>37</v>
      </c>
      <c r="U151" s="6">
        <f t="shared" si="33"/>
        <v>45908</v>
      </c>
      <c r="V151" s="1">
        <f t="shared" si="34"/>
        <v>4.6250335646618623E-2</v>
      </c>
      <c r="W151" s="1">
        <f t="shared" si="35"/>
        <v>2025</v>
      </c>
      <c r="X151" s="1">
        <f t="shared" si="36"/>
        <v>2025</v>
      </c>
      <c r="Y151" s="1" t="str">
        <f t="shared" si="37"/>
        <v>2025-09</v>
      </c>
      <c r="Z151" s="1" t="str">
        <f t="shared" si="38"/>
        <v>2025-09</v>
      </c>
    </row>
    <row r="152" spans="1:26" x14ac:dyDescent="0.2">
      <c r="A152" s="2" t="s">
        <v>396</v>
      </c>
      <c r="B152" s="1" t="s">
        <v>397</v>
      </c>
      <c r="C152" s="1" t="s">
        <v>23</v>
      </c>
      <c r="D152" s="3">
        <v>45912.374164108798</v>
      </c>
      <c r="E152" s="3">
        <v>45915.440910092591</v>
      </c>
      <c r="F152" s="1" t="s">
        <v>21</v>
      </c>
      <c r="G152" s="1" t="s">
        <v>107</v>
      </c>
      <c r="H152" s="1" t="s">
        <v>23</v>
      </c>
      <c r="I152" s="1" t="s">
        <v>23</v>
      </c>
      <c r="J152" s="1" t="s">
        <v>31</v>
      </c>
      <c r="K152" s="1" t="s">
        <v>25</v>
      </c>
      <c r="L152" s="1" t="s">
        <v>23</v>
      </c>
      <c r="M152" s="1" t="s">
        <v>528</v>
      </c>
      <c r="N152" s="1" t="str">
        <f t="shared" si="26"/>
        <v>SOPORTE</v>
      </c>
      <c r="O152" s="3">
        <f t="shared" si="27"/>
        <v>45912.374164108798</v>
      </c>
      <c r="P152" s="3">
        <f t="shared" si="28"/>
        <v>45915.440910092591</v>
      </c>
      <c r="Q152" s="1" t="str">
        <f t="shared" si="29"/>
        <v>Externo</v>
      </c>
      <c r="R152" s="1">
        <f t="shared" si="30"/>
        <v>37</v>
      </c>
      <c r="S152" s="6">
        <f t="shared" si="31"/>
        <v>45908</v>
      </c>
      <c r="T152" s="1">
        <f t="shared" si="32"/>
        <v>38</v>
      </c>
      <c r="U152" s="6">
        <f t="shared" si="33"/>
        <v>45915</v>
      </c>
      <c r="V152" s="1">
        <f t="shared" si="34"/>
        <v>3.0667459837932256</v>
      </c>
      <c r="W152" s="1">
        <f t="shared" si="35"/>
        <v>2025</v>
      </c>
      <c r="X152" s="1">
        <f t="shared" si="36"/>
        <v>2025</v>
      </c>
      <c r="Y152" s="1" t="str">
        <f t="shared" si="37"/>
        <v>2025-09</v>
      </c>
      <c r="Z152" s="1" t="str">
        <f t="shared" si="38"/>
        <v>2025-09</v>
      </c>
    </row>
    <row r="153" spans="1:26" x14ac:dyDescent="0.2">
      <c r="A153" s="2" t="s">
        <v>398</v>
      </c>
      <c r="B153" s="1" t="s">
        <v>439</v>
      </c>
      <c r="C153" s="1" t="s">
        <v>23</v>
      </c>
      <c r="D153" s="3">
        <v>45912.421156608798</v>
      </c>
      <c r="E153" s="3">
        <v>45925.471317928241</v>
      </c>
      <c r="F153" s="1" t="s">
        <v>21</v>
      </c>
      <c r="G153" s="1" t="s">
        <v>101</v>
      </c>
      <c r="H153" s="1" t="s">
        <v>23</v>
      </c>
      <c r="I153" s="1" t="s">
        <v>30</v>
      </c>
      <c r="J153" s="1" t="s">
        <v>31</v>
      </c>
      <c r="K153" s="1" t="s">
        <v>25</v>
      </c>
      <c r="L153" s="1" t="s">
        <v>399</v>
      </c>
      <c r="M153" s="1" t="s">
        <v>23</v>
      </c>
      <c r="N153" s="1" t="str">
        <f t="shared" si="26"/>
        <v>FUNCIONAL</v>
      </c>
      <c r="O153" s="3">
        <f t="shared" si="27"/>
        <v>45912.421156608798</v>
      </c>
      <c r="P153" s="3">
        <f t="shared" si="28"/>
        <v>45925.471317928241</v>
      </c>
      <c r="Q153" s="1" t="str">
        <f t="shared" si="29"/>
        <v>Interno</v>
      </c>
      <c r="R153" s="1">
        <f t="shared" si="30"/>
        <v>37</v>
      </c>
      <c r="S153" s="6">
        <f t="shared" si="31"/>
        <v>45908</v>
      </c>
      <c r="T153" s="1">
        <f t="shared" si="32"/>
        <v>39</v>
      </c>
      <c r="U153" s="6">
        <f t="shared" si="33"/>
        <v>45922</v>
      </c>
      <c r="V153" s="1">
        <f t="shared" si="34"/>
        <v>13.05016131944285</v>
      </c>
      <c r="W153" s="1">
        <f t="shared" si="35"/>
        <v>2025</v>
      </c>
      <c r="X153" s="1">
        <f t="shared" si="36"/>
        <v>2025</v>
      </c>
      <c r="Y153" s="1" t="str">
        <f t="shared" si="37"/>
        <v>2025-09</v>
      </c>
      <c r="Z153" s="1" t="str">
        <f t="shared" si="38"/>
        <v>2025-09</v>
      </c>
    </row>
    <row r="154" spans="1:26" s="25" customFormat="1" x14ac:dyDescent="0.2">
      <c r="A154" s="24" t="s">
        <v>400</v>
      </c>
      <c r="B154" s="25" t="s">
        <v>401</v>
      </c>
      <c r="C154" s="25" t="s">
        <v>23</v>
      </c>
      <c r="D154" s="26">
        <v>45912.437636099537</v>
      </c>
      <c r="E154" s="26">
        <v>45953.422187881944</v>
      </c>
      <c r="F154" s="25" t="s">
        <v>21</v>
      </c>
      <c r="G154" s="25" t="s">
        <v>97</v>
      </c>
      <c r="H154" s="25" t="s">
        <v>23</v>
      </c>
      <c r="I154" s="25" t="s">
        <v>68</v>
      </c>
      <c r="J154" s="25" t="s">
        <v>31</v>
      </c>
      <c r="K154" s="25" t="s">
        <v>25</v>
      </c>
      <c r="L154" s="25" t="s">
        <v>23</v>
      </c>
      <c r="M154" s="25" t="s">
        <v>528</v>
      </c>
      <c r="N154" s="1" t="str">
        <f t="shared" si="26"/>
        <v>DEFINICIÓN</v>
      </c>
      <c r="O154" s="26">
        <f t="shared" si="27"/>
        <v>45912.437636099537</v>
      </c>
      <c r="P154" s="26">
        <f t="shared" si="28"/>
        <v>45953.422187881944</v>
      </c>
      <c r="Q154" s="1" t="str">
        <f t="shared" si="29"/>
        <v>Externo</v>
      </c>
      <c r="R154" s="25">
        <f t="shared" si="30"/>
        <v>37</v>
      </c>
      <c r="S154" s="27">
        <f t="shared" si="31"/>
        <v>45908</v>
      </c>
      <c r="T154" s="25">
        <f t="shared" si="32"/>
        <v>43</v>
      </c>
      <c r="U154" s="27">
        <f t="shared" si="33"/>
        <v>45950</v>
      </c>
      <c r="V154" s="25">
        <f t="shared" si="34"/>
        <v>40.984551782406925</v>
      </c>
      <c r="W154" s="25">
        <f t="shared" si="35"/>
        <v>2025</v>
      </c>
      <c r="X154" s="25">
        <f t="shared" si="36"/>
        <v>2025</v>
      </c>
      <c r="Y154" s="25" t="str">
        <f t="shared" si="37"/>
        <v>2025-09</v>
      </c>
      <c r="Z154" s="25" t="str">
        <f t="shared" si="38"/>
        <v>2025-10</v>
      </c>
    </row>
    <row r="155" spans="1:26" x14ac:dyDescent="0.2">
      <c r="A155" s="2" t="s">
        <v>480</v>
      </c>
      <c r="B155" s="1" t="s">
        <v>481</v>
      </c>
      <c r="C155" s="1" t="s">
        <v>23</v>
      </c>
      <c r="D155" s="3">
        <v>45915.399200254629</v>
      </c>
      <c r="E155" s="3">
        <v>45937.60873670139</v>
      </c>
      <c r="F155" s="1" t="s">
        <v>21</v>
      </c>
      <c r="G155" s="1" t="s">
        <v>107</v>
      </c>
      <c r="H155" s="1" t="s">
        <v>23</v>
      </c>
      <c r="I155" s="1" t="s">
        <v>409</v>
      </c>
      <c r="J155" s="1" t="s">
        <v>31</v>
      </c>
      <c r="K155" s="1" t="s">
        <v>25</v>
      </c>
      <c r="L155" s="1" t="s">
        <v>482</v>
      </c>
      <c r="M155" s="1" t="s">
        <v>23</v>
      </c>
      <c r="N155" s="1" t="str">
        <f t="shared" si="26"/>
        <v>SOPORTE</v>
      </c>
      <c r="O155" s="3">
        <f t="shared" si="27"/>
        <v>45915.399200254629</v>
      </c>
      <c r="P155" s="3">
        <f t="shared" si="28"/>
        <v>45937.60873670139</v>
      </c>
      <c r="Q155" s="1" t="str">
        <f t="shared" si="29"/>
        <v>Externo</v>
      </c>
      <c r="R155" s="1">
        <f t="shared" si="30"/>
        <v>38</v>
      </c>
      <c r="S155" s="6">
        <f t="shared" si="31"/>
        <v>45915</v>
      </c>
      <c r="T155" s="1">
        <f t="shared" si="32"/>
        <v>41</v>
      </c>
      <c r="U155" s="6">
        <f t="shared" si="33"/>
        <v>45936</v>
      </c>
      <c r="V155" s="1">
        <f t="shared" si="34"/>
        <v>22.209536446760467</v>
      </c>
      <c r="W155" s="1">
        <f t="shared" si="35"/>
        <v>2025</v>
      </c>
      <c r="X155" s="1">
        <f t="shared" si="36"/>
        <v>2025</v>
      </c>
      <c r="Y155" s="1" t="str">
        <f t="shared" si="37"/>
        <v>2025-09</v>
      </c>
      <c r="Z155" s="1" t="str">
        <f t="shared" si="38"/>
        <v>2025-10</v>
      </c>
    </row>
    <row r="156" spans="1:26" x14ac:dyDescent="0.2">
      <c r="A156" s="2" t="s">
        <v>402</v>
      </c>
      <c r="B156" s="1" t="s">
        <v>403</v>
      </c>
      <c r="C156" s="1" t="s">
        <v>23</v>
      </c>
      <c r="D156" s="3">
        <v>45916.591326238427</v>
      </c>
      <c r="E156" s="3">
        <v>45917.386210300923</v>
      </c>
      <c r="F156" s="1" t="s">
        <v>21</v>
      </c>
      <c r="G156" s="1" t="s">
        <v>107</v>
      </c>
      <c r="H156" s="1" t="s">
        <v>23</v>
      </c>
      <c r="I156" s="1" t="s">
        <v>23</v>
      </c>
      <c r="J156" s="1" t="s">
        <v>31</v>
      </c>
      <c r="K156" s="1" t="s">
        <v>25</v>
      </c>
      <c r="L156" s="1" t="s">
        <v>23</v>
      </c>
      <c r="M156" s="1" t="s">
        <v>528</v>
      </c>
      <c r="N156" s="1" t="str">
        <f t="shared" si="26"/>
        <v>SOPORTE</v>
      </c>
      <c r="O156" s="3">
        <f t="shared" si="27"/>
        <v>45916.591326238427</v>
      </c>
      <c r="P156" s="3">
        <f t="shared" si="28"/>
        <v>45917.386210300923</v>
      </c>
      <c r="Q156" s="1" t="str">
        <f t="shared" si="29"/>
        <v>Externo</v>
      </c>
      <c r="R156" s="1">
        <f t="shared" si="30"/>
        <v>38</v>
      </c>
      <c r="S156" s="6">
        <f t="shared" si="31"/>
        <v>45915</v>
      </c>
      <c r="T156" s="1">
        <f t="shared" si="32"/>
        <v>38</v>
      </c>
      <c r="U156" s="6">
        <f t="shared" si="33"/>
        <v>45915</v>
      </c>
      <c r="V156" s="1">
        <f t="shared" si="34"/>
        <v>0.79488406249583932</v>
      </c>
      <c r="W156" s="1">
        <f t="shared" si="35"/>
        <v>2025</v>
      </c>
      <c r="X156" s="1">
        <f t="shared" si="36"/>
        <v>2025</v>
      </c>
      <c r="Y156" s="1" t="str">
        <f t="shared" si="37"/>
        <v>2025-09</v>
      </c>
      <c r="Z156" s="1" t="str">
        <f t="shared" si="38"/>
        <v>2025-09</v>
      </c>
    </row>
    <row r="157" spans="1:26" s="25" customFormat="1" x14ac:dyDescent="0.2">
      <c r="A157" s="24" t="s">
        <v>404</v>
      </c>
      <c r="B157" s="25" t="s">
        <v>405</v>
      </c>
      <c r="C157" s="25" t="s">
        <v>71</v>
      </c>
      <c r="D157" s="26">
        <v>45917.705517002316</v>
      </c>
      <c r="E157" s="26">
        <v>45952.508551458333</v>
      </c>
      <c r="F157" s="25" t="s">
        <v>21</v>
      </c>
      <c r="G157" s="25" t="s">
        <v>101</v>
      </c>
      <c r="H157" s="25" t="s">
        <v>23</v>
      </c>
      <c r="I157" s="25" t="s">
        <v>23</v>
      </c>
      <c r="J157" s="25" t="s">
        <v>31</v>
      </c>
      <c r="K157" s="25" t="s">
        <v>37</v>
      </c>
      <c r="L157" s="25" t="s">
        <v>23</v>
      </c>
      <c r="M157" s="25" t="s">
        <v>528</v>
      </c>
      <c r="N157" s="1" t="str">
        <f t="shared" si="26"/>
        <v>FUNCIONAL</v>
      </c>
      <c r="O157" s="26">
        <f t="shared" si="27"/>
        <v>45917.705517002316</v>
      </c>
      <c r="P157" s="26">
        <f t="shared" si="28"/>
        <v>45952.508551458333</v>
      </c>
      <c r="Q157" s="1" t="str">
        <f t="shared" si="29"/>
        <v>Interno</v>
      </c>
      <c r="R157" s="25">
        <f t="shared" si="30"/>
        <v>38</v>
      </c>
      <c r="S157" s="27">
        <f t="shared" si="31"/>
        <v>45915</v>
      </c>
      <c r="T157" s="25">
        <f t="shared" si="32"/>
        <v>43</v>
      </c>
      <c r="U157" s="27">
        <f t="shared" si="33"/>
        <v>45950</v>
      </c>
      <c r="V157" s="25">
        <f t="shared" si="34"/>
        <v>34.803034456017485</v>
      </c>
      <c r="W157" s="25">
        <f t="shared" si="35"/>
        <v>2025</v>
      </c>
      <c r="X157" s="25">
        <f t="shared" si="36"/>
        <v>2025</v>
      </c>
      <c r="Y157" s="25" t="str">
        <f t="shared" si="37"/>
        <v>2025-09</v>
      </c>
      <c r="Z157" s="25" t="str">
        <f t="shared" si="38"/>
        <v>2025-10</v>
      </c>
    </row>
    <row r="158" spans="1:26" x14ac:dyDescent="0.2">
      <c r="A158" s="2" t="s">
        <v>406</v>
      </c>
      <c r="B158" s="1" t="s">
        <v>403</v>
      </c>
      <c r="C158" s="1" t="s">
        <v>135</v>
      </c>
      <c r="D158" s="3">
        <v>45917.72345002315</v>
      </c>
      <c r="E158" s="3">
        <v>45918.457177025462</v>
      </c>
      <c r="F158" s="1" t="s">
        <v>21</v>
      </c>
      <c r="G158" s="1" t="s">
        <v>167</v>
      </c>
      <c r="H158" s="1" t="s">
        <v>23</v>
      </c>
      <c r="I158" s="1" t="s">
        <v>23</v>
      </c>
      <c r="J158" s="1" t="s">
        <v>31</v>
      </c>
      <c r="K158" s="1" t="s">
        <v>25</v>
      </c>
      <c r="L158" s="1" t="s">
        <v>23</v>
      </c>
      <c r="M158" s="1" t="s">
        <v>528</v>
      </c>
      <c r="N158" s="1" t="str">
        <f t="shared" si="26"/>
        <v>REPROCESO</v>
      </c>
      <c r="O158" s="3">
        <f t="shared" si="27"/>
        <v>45917.72345002315</v>
      </c>
      <c r="P158" s="3">
        <f t="shared" si="28"/>
        <v>45918.457177025462</v>
      </c>
      <c r="Q158" s="1" t="str">
        <f t="shared" si="29"/>
        <v>Interno</v>
      </c>
      <c r="R158" s="1">
        <f t="shared" si="30"/>
        <v>38</v>
      </c>
      <c r="S158" s="6">
        <f t="shared" si="31"/>
        <v>45915</v>
      </c>
      <c r="T158" s="1">
        <f t="shared" si="32"/>
        <v>38</v>
      </c>
      <c r="U158" s="6">
        <f t="shared" si="33"/>
        <v>45915</v>
      </c>
      <c r="V158" s="1">
        <f t="shared" si="34"/>
        <v>0.73372700231266208</v>
      </c>
      <c r="W158" s="1">
        <f t="shared" si="35"/>
        <v>2025</v>
      </c>
      <c r="X158" s="1">
        <f t="shared" si="36"/>
        <v>2025</v>
      </c>
      <c r="Y158" s="1" t="str">
        <f t="shared" si="37"/>
        <v>2025-09</v>
      </c>
      <c r="Z158" s="1" t="str">
        <f t="shared" si="38"/>
        <v>2025-09</v>
      </c>
    </row>
    <row r="159" spans="1:26" x14ac:dyDescent="0.2">
      <c r="A159" s="2" t="s">
        <v>407</v>
      </c>
      <c r="B159" s="1" t="s">
        <v>408</v>
      </c>
      <c r="C159" s="1" t="s">
        <v>23</v>
      </c>
      <c r="D159" s="3">
        <v>45919.562893344904</v>
      </c>
      <c r="E159" s="3">
        <v>45924.506891423611</v>
      </c>
      <c r="F159" s="1" t="s">
        <v>21</v>
      </c>
      <c r="G159" s="1" t="s">
        <v>101</v>
      </c>
      <c r="H159" s="1" t="s">
        <v>23</v>
      </c>
      <c r="I159" s="1" t="s">
        <v>409</v>
      </c>
      <c r="J159" s="1" t="s">
        <v>24</v>
      </c>
      <c r="K159" s="1" t="s">
        <v>25</v>
      </c>
      <c r="L159" s="1" t="s">
        <v>23</v>
      </c>
      <c r="M159" s="1" t="s">
        <v>528</v>
      </c>
      <c r="N159" s="1" t="str">
        <f t="shared" si="26"/>
        <v>FUNCIONAL</v>
      </c>
      <c r="O159" s="3">
        <f t="shared" si="27"/>
        <v>45919.562893344904</v>
      </c>
      <c r="P159" s="3">
        <f t="shared" si="28"/>
        <v>45924.506891423611</v>
      </c>
      <c r="Q159" s="1" t="str">
        <f t="shared" si="29"/>
        <v>Interno</v>
      </c>
      <c r="R159" s="1">
        <f t="shared" si="30"/>
        <v>38</v>
      </c>
      <c r="S159" s="6">
        <f t="shared" si="31"/>
        <v>45915</v>
      </c>
      <c r="T159" s="1">
        <f t="shared" si="32"/>
        <v>39</v>
      </c>
      <c r="U159" s="6">
        <f t="shared" si="33"/>
        <v>45922</v>
      </c>
      <c r="V159" s="1">
        <f t="shared" si="34"/>
        <v>4.9439980787064997</v>
      </c>
      <c r="W159" s="1">
        <f t="shared" si="35"/>
        <v>2025</v>
      </c>
      <c r="X159" s="1">
        <f t="shared" si="36"/>
        <v>2025</v>
      </c>
      <c r="Y159" s="1" t="str">
        <f t="shared" si="37"/>
        <v>2025-09</v>
      </c>
      <c r="Z159" s="1" t="str">
        <f t="shared" si="38"/>
        <v>2025-09</v>
      </c>
    </row>
    <row r="160" spans="1:26" s="25" customFormat="1" x14ac:dyDescent="0.2">
      <c r="A160" s="24" t="s">
        <v>500</v>
      </c>
      <c r="B160" s="25" t="s">
        <v>501</v>
      </c>
      <c r="C160" s="25" t="s">
        <v>23</v>
      </c>
      <c r="D160" s="26">
        <v>45922.549034629628</v>
      </c>
      <c r="E160" s="26">
        <v>45953.70477611111</v>
      </c>
      <c r="F160" s="25" t="s">
        <v>21</v>
      </c>
      <c r="G160" s="25" t="s">
        <v>487</v>
      </c>
      <c r="H160" s="25" t="s">
        <v>23</v>
      </c>
      <c r="I160" s="25" t="s">
        <v>23</v>
      </c>
      <c r="J160" s="25" t="s">
        <v>31</v>
      </c>
      <c r="K160" s="25" t="s">
        <v>25</v>
      </c>
      <c r="L160" s="25" t="s">
        <v>23</v>
      </c>
      <c r="M160" s="25" t="s">
        <v>23</v>
      </c>
      <c r="N160" s="1" t="str">
        <f t="shared" si="26"/>
        <v>Selecciona (ORIGEN/PLANIFICACIÓN/RELANZADO PROCESO/DEFINICIÓN/FUNCIONAL/TÉCNICO/DESARROLLO/PENDIENTE REPROCESO)</v>
      </c>
      <c r="O160" s="26">
        <f t="shared" si="27"/>
        <v>45922.549034629628</v>
      </c>
      <c r="P160" s="26">
        <f t="shared" si="28"/>
        <v>45953.70477611111</v>
      </c>
      <c r="Q160" s="1" t="str">
        <f t="shared" si="29"/>
        <v>Pendiente clasificar</v>
      </c>
      <c r="R160" s="25">
        <f t="shared" si="30"/>
        <v>39</v>
      </c>
      <c r="S160" s="27">
        <f t="shared" si="31"/>
        <v>45922</v>
      </c>
      <c r="T160" s="25">
        <f t="shared" si="32"/>
        <v>43</v>
      </c>
      <c r="U160" s="27">
        <f t="shared" si="33"/>
        <v>45950</v>
      </c>
      <c r="V160" s="25">
        <f t="shared" si="34"/>
        <v>31.155741481481527</v>
      </c>
      <c r="W160" s="25">
        <f t="shared" si="35"/>
        <v>2025</v>
      </c>
      <c r="X160" s="25">
        <f t="shared" si="36"/>
        <v>2025</v>
      </c>
      <c r="Y160" s="25" t="str">
        <f t="shared" si="37"/>
        <v>2025-09</v>
      </c>
      <c r="Z160" s="25" t="str">
        <f t="shared" si="38"/>
        <v>2025-10</v>
      </c>
    </row>
    <row r="161" spans="1:26" x14ac:dyDescent="0.2">
      <c r="A161" s="1" t="s">
        <v>410</v>
      </c>
      <c r="B161" s="1" t="s">
        <v>411</v>
      </c>
      <c r="C161" s="1" t="s">
        <v>23</v>
      </c>
      <c r="D161" s="3">
        <v>45923.49419109954</v>
      </c>
      <c r="E161" s="3">
        <v>45926.495025069446</v>
      </c>
      <c r="F161" s="1" t="s">
        <v>21</v>
      </c>
      <c r="G161" s="1" t="s">
        <v>36</v>
      </c>
      <c r="H161" s="1" t="s">
        <v>23</v>
      </c>
      <c r="I161" s="1" t="s">
        <v>85</v>
      </c>
      <c r="J161" s="1" t="s">
        <v>125</v>
      </c>
      <c r="K161" s="1" t="s">
        <v>25</v>
      </c>
      <c r="L161" s="1" t="s">
        <v>23</v>
      </c>
      <c r="M161" s="1" t="s">
        <v>528</v>
      </c>
      <c r="N161" s="1" t="str">
        <f t="shared" si="26"/>
        <v>ORIGEN</v>
      </c>
      <c r="O161" s="3">
        <f t="shared" ref="O161:O163" si="39">D161</f>
        <v>45923.49419109954</v>
      </c>
      <c r="P161" s="3">
        <f t="shared" ref="P161:P163" si="40">E161</f>
        <v>45926.495025069446</v>
      </c>
      <c r="Q161" s="1" t="str">
        <f t="shared" si="29"/>
        <v>Externo</v>
      </c>
      <c r="R161" s="1">
        <f t="shared" ref="R161:R163" si="41">WEEKNUM(O161,1)</f>
        <v>39</v>
      </c>
      <c r="S161" s="6">
        <f t="shared" ref="S161:S163" si="42">DATE(W161,1,4) + (R161-1)*7 - WEEKDAY(DATE(W161,1,4),2) +1</f>
        <v>45922</v>
      </c>
      <c r="T161" s="1">
        <f t="shared" ref="T161:T163" si="43">WEEKNUM(P161,1)</f>
        <v>39</v>
      </c>
      <c r="U161" s="6">
        <f t="shared" ref="U161:U163" si="44">DATE(X161,1,4) + (T161-1)*7 - WEEKDAY(DATE(X161,1,4),2) +1</f>
        <v>45922</v>
      </c>
      <c r="V161" s="1">
        <f t="shared" ref="V161:V163" si="45">ABS(P161-O161)</f>
        <v>3.0008339699052158</v>
      </c>
      <c r="W161" s="1">
        <f t="shared" ref="W161:W163" si="46">YEAR(O161)</f>
        <v>2025</v>
      </c>
      <c r="X161" s="1">
        <f t="shared" ref="X161:X163" si="47">YEAR(P161)</f>
        <v>2025</v>
      </c>
      <c r="Y161" s="1" t="str">
        <f t="shared" si="37"/>
        <v>2025-09</v>
      </c>
      <c r="Z161" s="1" t="str">
        <f t="shared" si="38"/>
        <v>2025-09</v>
      </c>
    </row>
    <row r="162" spans="1:26" x14ac:dyDescent="0.2">
      <c r="A162" s="1" t="s">
        <v>412</v>
      </c>
      <c r="B162" s="1" t="s">
        <v>413</v>
      </c>
      <c r="C162" s="1" t="s">
        <v>82</v>
      </c>
      <c r="D162" s="3">
        <v>45924.515641620368</v>
      </c>
      <c r="E162" s="3">
        <v>45926.46515478009</v>
      </c>
      <c r="F162" s="1" t="s">
        <v>21</v>
      </c>
      <c r="G162" s="1" t="s">
        <v>167</v>
      </c>
      <c r="H162" s="1" t="s">
        <v>23</v>
      </c>
      <c r="I162" s="1" t="s">
        <v>85</v>
      </c>
      <c r="J162" s="1" t="s">
        <v>31</v>
      </c>
      <c r="K162" s="1" t="s">
        <v>25</v>
      </c>
      <c r="L162" s="1" t="s">
        <v>23</v>
      </c>
      <c r="M162" s="1" t="s">
        <v>528</v>
      </c>
      <c r="N162" s="1" t="str">
        <f t="shared" si="26"/>
        <v>REPROCESO</v>
      </c>
      <c r="O162" s="3">
        <f t="shared" si="39"/>
        <v>45924.515641620368</v>
      </c>
      <c r="P162" s="3">
        <f t="shared" si="40"/>
        <v>45926.46515478009</v>
      </c>
      <c r="Q162" s="1" t="str">
        <f t="shared" si="29"/>
        <v>Interno</v>
      </c>
      <c r="R162" s="1">
        <f t="shared" si="41"/>
        <v>39</v>
      </c>
      <c r="S162" s="6">
        <f t="shared" si="42"/>
        <v>45922</v>
      </c>
      <c r="T162" s="1">
        <f t="shared" si="43"/>
        <v>39</v>
      </c>
      <c r="U162" s="6">
        <f t="shared" si="44"/>
        <v>45922</v>
      </c>
      <c r="V162" s="1">
        <f t="shared" si="45"/>
        <v>1.9495131597213913</v>
      </c>
      <c r="W162" s="1">
        <f t="shared" si="46"/>
        <v>2025</v>
      </c>
      <c r="X162" s="1">
        <f t="shared" si="47"/>
        <v>2025</v>
      </c>
      <c r="Y162" s="1" t="str">
        <f t="shared" si="37"/>
        <v>2025-09</v>
      </c>
      <c r="Z162" s="1" t="str">
        <f t="shared" si="38"/>
        <v>2025-09</v>
      </c>
    </row>
    <row r="163" spans="1:26" x14ac:dyDescent="0.2">
      <c r="A163" s="1" t="s">
        <v>440</v>
      </c>
      <c r="B163" s="1" t="s">
        <v>441</v>
      </c>
      <c r="C163" s="1" t="s">
        <v>23</v>
      </c>
      <c r="D163" s="3">
        <v>45926.581253807868</v>
      </c>
      <c r="E163" s="3">
        <v>45929.564876180557</v>
      </c>
      <c r="F163" s="1" t="s">
        <v>21</v>
      </c>
      <c r="G163" s="1" t="s">
        <v>167</v>
      </c>
      <c r="H163" s="1" t="s">
        <v>23</v>
      </c>
      <c r="I163" s="1" t="s">
        <v>23</v>
      </c>
      <c r="J163" s="1" t="s">
        <v>31</v>
      </c>
      <c r="K163" s="1" t="s">
        <v>25</v>
      </c>
      <c r="L163" s="1" t="s">
        <v>23</v>
      </c>
      <c r="M163" s="1" t="s">
        <v>23</v>
      </c>
      <c r="N163" s="1" t="str">
        <f t="shared" si="26"/>
        <v>REPROCESO</v>
      </c>
      <c r="O163" s="3">
        <f t="shared" si="39"/>
        <v>45926.581253807868</v>
      </c>
      <c r="P163" s="3">
        <f t="shared" si="40"/>
        <v>45929.564876180557</v>
      </c>
      <c r="Q163" s="1" t="str">
        <f t="shared" si="29"/>
        <v>Interno</v>
      </c>
      <c r="R163" s="1">
        <f t="shared" si="41"/>
        <v>39</v>
      </c>
      <c r="S163" s="6">
        <f t="shared" si="42"/>
        <v>45922</v>
      </c>
      <c r="T163" s="1">
        <f t="shared" si="43"/>
        <v>40</v>
      </c>
      <c r="U163" s="6">
        <f t="shared" si="44"/>
        <v>45929</v>
      </c>
      <c r="V163" s="1">
        <f t="shared" si="45"/>
        <v>2.983622372688842</v>
      </c>
      <c r="W163" s="1">
        <f t="shared" si="46"/>
        <v>2025</v>
      </c>
      <c r="X163" s="1">
        <f t="shared" si="47"/>
        <v>2025</v>
      </c>
      <c r="Y163" s="1" t="str">
        <f t="shared" si="37"/>
        <v>2025-09</v>
      </c>
      <c r="Z163" s="1" t="str">
        <f t="shared" si="38"/>
        <v>2025-09</v>
      </c>
    </row>
    <row r="164" spans="1:26" x14ac:dyDescent="0.2">
      <c r="A164" s="1" t="s">
        <v>442</v>
      </c>
      <c r="B164" s="1" t="s">
        <v>443</v>
      </c>
      <c r="C164" s="1" t="s">
        <v>23</v>
      </c>
      <c r="D164" s="3">
        <v>45929.595918078703</v>
      </c>
      <c r="E164" s="3">
        <v>45929.706707002311</v>
      </c>
      <c r="F164" s="1" t="s">
        <v>21</v>
      </c>
      <c r="G164" s="1" t="s">
        <v>167</v>
      </c>
      <c r="H164" s="1" t="s">
        <v>23</v>
      </c>
      <c r="I164" s="1" t="s">
        <v>23</v>
      </c>
      <c r="J164" s="1" t="s">
        <v>31</v>
      </c>
      <c r="K164" s="1" t="s">
        <v>25</v>
      </c>
      <c r="L164" s="1" t="s">
        <v>23</v>
      </c>
      <c r="M164" s="1" t="s">
        <v>528</v>
      </c>
      <c r="N164" s="1" t="str">
        <f t="shared" si="26"/>
        <v>REPROCESO</v>
      </c>
      <c r="O164" s="3">
        <f t="shared" ref="O164" si="48">D164</f>
        <v>45929.595918078703</v>
      </c>
      <c r="P164" s="3">
        <f t="shared" ref="P164" si="49">E164</f>
        <v>45929.706707002311</v>
      </c>
      <c r="Q164" s="1" t="str">
        <f t="shared" si="29"/>
        <v>Interno</v>
      </c>
      <c r="R164" s="1">
        <f t="shared" ref="R164" si="50">WEEKNUM(O164,1)</f>
        <v>40</v>
      </c>
      <c r="S164" s="6">
        <f t="shared" ref="S164" si="51">DATE(W164,1,4) + (R164-1)*7 - WEEKDAY(DATE(W164,1,4),2) +1</f>
        <v>45929</v>
      </c>
      <c r="T164" s="1">
        <f t="shared" ref="T164" si="52">WEEKNUM(P164,1)</f>
        <v>40</v>
      </c>
      <c r="U164" s="6">
        <f t="shared" ref="U164" si="53">DATE(X164,1,4) + (T164-1)*7 - WEEKDAY(DATE(X164,1,4),2) +1</f>
        <v>45929</v>
      </c>
      <c r="V164" s="1">
        <f t="shared" ref="V164" si="54">ABS(P164-O164)</f>
        <v>0.11078892360819736</v>
      </c>
      <c r="W164" s="1">
        <f t="shared" ref="W164" si="55">YEAR(O164)</f>
        <v>2025</v>
      </c>
      <c r="X164" s="1">
        <f t="shared" ref="X164" si="56">YEAR(P164)</f>
        <v>2025</v>
      </c>
      <c r="Y164" s="1" t="str">
        <f t="shared" ref="Y164" si="57">(TEXT(S164,"aaaa-mm"))</f>
        <v>2025-09</v>
      </c>
      <c r="Z164" s="1" t="str">
        <f t="shared" ref="Z164" si="58">(TEXT(U164,"aaaa-mm"))</f>
        <v>2025-09</v>
      </c>
    </row>
    <row r="165" spans="1:26" x14ac:dyDescent="0.2">
      <c r="A165" s="1" t="s">
        <v>444</v>
      </c>
      <c r="B165" s="1" t="s">
        <v>445</v>
      </c>
      <c r="C165" s="1" t="s">
        <v>82</v>
      </c>
      <c r="D165" s="3">
        <v>45929.642167453705</v>
      </c>
      <c r="E165" s="3">
        <v>45930.537630393519</v>
      </c>
      <c r="F165" s="1" t="s">
        <v>21</v>
      </c>
      <c r="G165" s="1" t="s">
        <v>36</v>
      </c>
      <c r="H165" s="1" t="s">
        <v>23</v>
      </c>
      <c r="I165" s="1" t="s">
        <v>85</v>
      </c>
      <c r="J165" s="1" t="s">
        <v>31</v>
      </c>
      <c r="K165" s="1" t="s">
        <v>25</v>
      </c>
      <c r="L165" s="1" t="s">
        <v>23</v>
      </c>
      <c r="M165" s="1" t="s">
        <v>528</v>
      </c>
      <c r="N165" s="1" t="str">
        <f t="shared" si="26"/>
        <v>ORIGEN</v>
      </c>
      <c r="O165" s="3">
        <f t="shared" ref="O165:O173" si="59">D165</f>
        <v>45929.642167453705</v>
      </c>
      <c r="P165" s="3">
        <f t="shared" ref="P165:P173" si="60">E165</f>
        <v>45930.537630393519</v>
      </c>
      <c r="Q165" s="1" t="str">
        <f t="shared" si="29"/>
        <v>Externo</v>
      </c>
      <c r="R165" s="1">
        <f t="shared" ref="R165:R173" si="61">WEEKNUM(O165,1)</f>
        <v>40</v>
      </c>
      <c r="S165" s="6">
        <f t="shared" ref="S165:S173" si="62">DATE(W165,1,4) + (R165-1)*7 - WEEKDAY(DATE(W165,1,4),2) +1</f>
        <v>45929</v>
      </c>
      <c r="T165" s="1">
        <f t="shared" ref="T165:T173" si="63">WEEKNUM(P165,1)</f>
        <v>40</v>
      </c>
      <c r="U165" s="6">
        <f t="shared" ref="U165:U173" si="64">DATE(X165,1,4) + (T165-1)*7 - WEEKDAY(DATE(X165,1,4),2) +1</f>
        <v>45929</v>
      </c>
      <c r="V165" s="1">
        <f t="shared" ref="V165:V173" si="65">ABS(P165-O165)</f>
        <v>0.89546293981402414</v>
      </c>
      <c r="W165" s="1">
        <f t="shared" ref="W165:W173" si="66">YEAR(O165)</f>
        <v>2025</v>
      </c>
      <c r="X165" s="1">
        <f t="shared" ref="X165:X173" si="67">YEAR(P165)</f>
        <v>2025</v>
      </c>
      <c r="Y165" s="1" t="str">
        <f t="shared" ref="Y165:Y173" si="68">(TEXT(S165,"aaaa-mm"))</f>
        <v>2025-09</v>
      </c>
      <c r="Z165" s="1" t="str">
        <f t="shared" ref="Z165:Z173" si="69">(TEXT(U165,"aaaa-mm"))</f>
        <v>2025-09</v>
      </c>
    </row>
    <row r="166" spans="1:26" x14ac:dyDescent="0.2">
      <c r="A166" s="1" t="s">
        <v>475</v>
      </c>
      <c r="B166" s="1" t="s">
        <v>476</v>
      </c>
      <c r="C166" s="1" t="s">
        <v>23</v>
      </c>
      <c r="D166" s="3">
        <v>45930.527584814816</v>
      </c>
      <c r="E166" s="3">
        <v>45930.559651643518</v>
      </c>
      <c r="F166" s="1" t="s">
        <v>21</v>
      </c>
      <c r="G166" s="1" t="s">
        <v>23</v>
      </c>
      <c r="H166" s="1" t="s">
        <v>23</v>
      </c>
      <c r="I166" s="1" t="s">
        <v>23</v>
      </c>
      <c r="J166" s="1" t="s">
        <v>31</v>
      </c>
      <c r="K166" s="1" t="s">
        <v>37</v>
      </c>
      <c r="L166" s="1" t="s">
        <v>23</v>
      </c>
      <c r="M166" s="1" t="s">
        <v>23</v>
      </c>
      <c r="N166" s="1" t="str">
        <f t="shared" si="26"/>
        <v/>
      </c>
      <c r="O166" s="3">
        <f t="shared" si="59"/>
        <v>45930.527584814816</v>
      </c>
      <c r="P166" s="3">
        <f t="shared" si="60"/>
        <v>45930.559651643518</v>
      </c>
      <c r="Q166" s="1" t="str">
        <f t="shared" si="29"/>
        <v>Pendiente clasificar</v>
      </c>
      <c r="R166" s="1">
        <f t="shared" si="61"/>
        <v>40</v>
      </c>
      <c r="S166" s="6">
        <f t="shared" si="62"/>
        <v>45929</v>
      </c>
      <c r="T166" s="1">
        <f t="shared" si="63"/>
        <v>40</v>
      </c>
      <c r="U166" s="6">
        <f t="shared" si="64"/>
        <v>45929</v>
      </c>
      <c r="V166" s="1">
        <f t="shared" si="65"/>
        <v>3.2066828702227212E-2</v>
      </c>
      <c r="W166" s="1">
        <f t="shared" si="66"/>
        <v>2025</v>
      </c>
      <c r="X166" s="1">
        <f t="shared" si="67"/>
        <v>2025</v>
      </c>
      <c r="Y166" s="1" t="str">
        <f t="shared" si="68"/>
        <v>2025-09</v>
      </c>
      <c r="Z166" s="1" t="str">
        <f t="shared" si="69"/>
        <v>2025-09</v>
      </c>
    </row>
    <row r="167" spans="1:26" x14ac:dyDescent="0.2">
      <c r="A167" s="1" t="s">
        <v>477</v>
      </c>
      <c r="B167" s="1" t="s">
        <v>476</v>
      </c>
      <c r="C167" s="1" t="s">
        <v>23</v>
      </c>
      <c r="D167" s="3">
        <v>45930.527609548612</v>
      </c>
      <c r="E167" s="4">
        <v>45931.686096990743</v>
      </c>
      <c r="F167" s="1" t="s">
        <v>21</v>
      </c>
      <c r="G167" s="1" t="s">
        <v>97</v>
      </c>
      <c r="H167" s="1" t="s">
        <v>23</v>
      </c>
      <c r="I167" s="1" t="s">
        <v>85</v>
      </c>
      <c r="J167" s="1" t="s">
        <v>31</v>
      </c>
      <c r="K167" s="1" t="s">
        <v>25</v>
      </c>
      <c r="L167" s="1" t="s">
        <v>23</v>
      </c>
      <c r="M167" s="1" t="s">
        <v>23</v>
      </c>
      <c r="N167" s="1" t="str">
        <f t="shared" si="26"/>
        <v>DEFINICIÓN</v>
      </c>
      <c r="O167" s="3">
        <f t="shared" si="59"/>
        <v>45930.527609548612</v>
      </c>
      <c r="P167" s="3">
        <f t="shared" si="60"/>
        <v>45931.686096990743</v>
      </c>
      <c r="Q167" s="1" t="str">
        <f t="shared" si="29"/>
        <v>Externo</v>
      </c>
      <c r="R167" s="1">
        <f t="shared" si="61"/>
        <v>40</v>
      </c>
      <c r="S167" s="6">
        <f t="shared" si="62"/>
        <v>45929</v>
      </c>
      <c r="T167" s="1">
        <f t="shared" si="63"/>
        <v>40</v>
      </c>
      <c r="U167" s="6">
        <f t="shared" si="64"/>
        <v>45929</v>
      </c>
      <c r="V167" s="1">
        <f t="shared" si="65"/>
        <v>1.1584874421314453</v>
      </c>
      <c r="W167" s="1">
        <f t="shared" si="66"/>
        <v>2025</v>
      </c>
      <c r="X167" s="1">
        <f t="shared" si="67"/>
        <v>2025</v>
      </c>
      <c r="Y167" s="1" t="str">
        <f t="shared" si="68"/>
        <v>2025-09</v>
      </c>
      <c r="Z167" s="1" t="str">
        <f t="shared" si="69"/>
        <v>2025-09</v>
      </c>
    </row>
    <row r="168" spans="1:26" x14ac:dyDescent="0.2">
      <c r="A168" s="1" t="s">
        <v>478</v>
      </c>
      <c r="B168" s="1" t="s">
        <v>479</v>
      </c>
      <c r="C168" s="1" t="s">
        <v>44</v>
      </c>
      <c r="D168" s="3">
        <v>45930.595377199075</v>
      </c>
      <c r="E168" s="3">
        <v>45930.680204606484</v>
      </c>
      <c r="F168" s="1" t="s">
        <v>21</v>
      </c>
      <c r="G168" s="1" t="s">
        <v>107</v>
      </c>
      <c r="H168" s="1" t="s">
        <v>23</v>
      </c>
      <c r="I168" s="1" t="s">
        <v>85</v>
      </c>
      <c r="J168" s="1" t="s">
        <v>31</v>
      </c>
      <c r="K168" s="1" t="s">
        <v>25</v>
      </c>
      <c r="L168" s="1" t="s">
        <v>23</v>
      </c>
      <c r="M168" s="1" t="s">
        <v>528</v>
      </c>
      <c r="N168" s="1" t="str">
        <f t="shared" si="26"/>
        <v>SOPORTE</v>
      </c>
      <c r="O168" s="3">
        <f t="shared" si="59"/>
        <v>45930.595377199075</v>
      </c>
      <c r="P168" s="3">
        <f t="shared" si="60"/>
        <v>45930.680204606484</v>
      </c>
      <c r="Q168" s="1" t="str">
        <f t="shared" si="29"/>
        <v>Externo</v>
      </c>
      <c r="R168" s="1">
        <f t="shared" si="61"/>
        <v>40</v>
      </c>
      <c r="S168" s="6">
        <f t="shared" si="62"/>
        <v>45929</v>
      </c>
      <c r="T168" s="1">
        <f t="shared" si="63"/>
        <v>40</v>
      </c>
      <c r="U168" s="6">
        <f t="shared" si="64"/>
        <v>45929</v>
      </c>
      <c r="V168" s="1">
        <f t="shared" si="65"/>
        <v>8.4827407408738509E-2</v>
      </c>
      <c r="W168" s="1">
        <f t="shared" si="66"/>
        <v>2025</v>
      </c>
      <c r="X168" s="1">
        <f t="shared" si="67"/>
        <v>2025</v>
      </c>
      <c r="Y168" s="1" t="str">
        <f t="shared" si="68"/>
        <v>2025-09</v>
      </c>
      <c r="Z168" s="1" t="str">
        <f t="shared" si="69"/>
        <v>2025-09</v>
      </c>
    </row>
    <row r="169" spans="1:26" x14ac:dyDescent="0.2">
      <c r="A169" s="1" t="s">
        <v>483</v>
      </c>
      <c r="B169" s="1" t="s">
        <v>484</v>
      </c>
      <c r="C169" s="1" t="s">
        <v>23</v>
      </c>
      <c r="D169" s="3">
        <v>45933.34926239583</v>
      </c>
      <c r="E169" s="3">
        <v>45937.549067615742</v>
      </c>
      <c r="F169" s="1" t="s">
        <v>21</v>
      </c>
      <c r="G169" s="1" t="s">
        <v>97</v>
      </c>
      <c r="H169" s="1" t="s">
        <v>23</v>
      </c>
      <c r="I169" s="1" t="s">
        <v>85</v>
      </c>
      <c r="J169" s="1" t="s">
        <v>31</v>
      </c>
      <c r="K169" s="1" t="s">
        <v>25</v>
      </c>
      <c r="L169" s="1" t="s">
        <v>23</v>
      </c>
      <c r="M169" s="1" t="s">
        <v>23</v>
      </c>
      <c r="N169" s="1" t="str">
        <f t="shared" si="26"/>
        <v>DEFINICIÓN</v>
      </c>
      <c r="O169" s="3">
        <f t="shared" si="59"/>
        <v>45933.34926239583</v>
      </c>
      <c r="P169" s="3">
        <f t="shared" si="60"/>
        <v>45937.549067615742</v>
      </c>
      <c r="Q169" s="1" t="str">
        <f t="shared" si="29"/>
        <v>Externo</v>
      </c>
      <c r="R169" s="1">
        <f t="shared" si="61"/>
        <v>40</v>
      </c>
      <c r="S169" s="6">
        <f t="shared" si="62"/>
        <v>45929</v>
      </c>
      <c r="T169" s="1">
        <f t="shared" si="63"/>
        <v>41</v>
      </c>
      <c r="U169" s="6">
        <f t="shared" si="64"/>
        <v>45936</v>
      </c>
      <c r="V169" s="1">
        <f t="shared" si="65"/>
        <v>4.1998052199123777</v>
      </c>
      <c r="W169" s="1">
        <f t="shared" si="66"/>
        <v>2025</v>
      </c>
      <c r="X169" s="1">
        <f t="shared" si="67"/>
        <v>2025</v>
      </c>
      <c r="Y169" s="1" t="str">
        <f t="shared" si="68"/>
        <v>2025-09</v>
      </c>
      <c r="Z169" s="1" t="str">
        <f t="shared" si="69"/>
        <v>2025-10</v>
      </c>
    </row>
    <row r="170" spans="1:26" x14ac:dyDescent="0.2">
      <c r="A170" s="1" t="s">
        <v>485</v>
      </c>
      <c r="B170" s="1" t="s">
        <v>486</v>
      </c>
      <c r="C170" s="1" t="s">
        <v>58</v>
      </c>
      <c r="D170" s="3">
        <v>45933.395041400465</v>
      </c>
      <c r="E170" s="3">
        <v>45946.570756180554</v>
      </c>
      <c r="F170" s="1" t="s">
        <v>21</v>
      </c>
      <c r="G170" s="1" t="s">
        <v>107</v>
      </c>
      <c r="H170" s="1" t="s">
        <v>23</v>
      </c>
      <c r="I170" s="1" t="s">
        <v>85</v>
      </c>
      <c r="J170" s="1" t="s">
        <v>31</v>
      </c>
      <c r="K170" s="1" t="s">
        <v>25</v>
      </c>
      <c r="L170" s="1" t="s">
        <v>23</v>
      </c>
      <c r="M170" s="1" t="s">
        <v>528</v>
      </c>
      <c r="N170" s="1" t="str">
        <f t="shared" si="26"/>
        <v>SOPORTE</v>
      </c>
      <c r="O170" s="3">
        <f t="shared" si="59"/>
        <v>45933.395041400465</v>
      </c>
      <c r="P170" s="3">
        <f t="shared" si="60"/>
        <v>45946.570756180554</v>
      </c>
      <c r="Q170" s="1" t="str">
        <f t="shared" si="29"/>
        <v>Externo</v>
      </c>
      <c r="R170" s="1">
        <f t="shared" si="61"/>
        <v>40</v>
      </c>
      <c r="S170" s="6">
        <f t="shared" si="62"/>
        <v>45929</v>
      </c>
      <c r="T170" s="1">
        <f t="shared" si="63"/>
        <v>42</v>
      </c>
      <c r="U170" s="6">
        <f t="shared" si="64"/>
        <v>45943</v>
      </c>
      <c r="V170" s="1">
        <f t="shared" si="65"/>
        <v>13.175714780089038</v>
      </c>
      <c r="W170" s="1">
        <f t="shared" si="66"/>
        <v>2025</v>
      </c>
      <c r="X170" s="1">
        <f t="shared" si="67"/>
        <v>2025</v>
      </c>
      <c r="Y170" s="1" t="str">
        <f t="shared" si="68"/>
        <v>2025-09</v>
      </c>
      <c r="Z170" s="1" t="str">
        <f t="shared" si="69"/>
        <v>2025-10</v>
      </c>
    </row>
    <row r="171" spans="1:26" x14ac:dyDescent="0.2">
      <c r="A171" s="1" t="s">
        <v>488</v>
      </c>
      <c r="B171" s="1" t="s">
        <v>489</v>
      </c>
      <c r="C171" s="1" t="s">
        <v>247</v>
      </c>
      <c r="D171" s="3">
        <v>45933.401235798614</v>
      </c>
      <c r="E171" s="3">
        <v>45938.40056519676</v>
      </c>
      <c r="F171" s="1" t="s">
        <v>21</v>
      </c>
      <c r="G171" s="1" t="s">
        <v>107</v>
      </c>
      <c r="H171" s="1" t="s">
        <v>23</v>
      </c>
      <c r="I171" s="1" t="s">
        <v>85</v>
      </c>
      <c r="J171" s="1" t="s">
        <v>31</v>
      </c>
      <c r="K171" s="1" t="s">
        <v>25</v>
      </c>
      <c r="L171" s="1" t="s">
        <v>23</v>
      </c>
      <c r="M171" s="1" t="s">
        <v>23</v>
      </c>
      <c r="N171" s="1" t="str">
        <f t="shared" si="26"/>
        <v>SOPORTE</v>
      </c>
      <c r="O171" s="3">
        <f t="shared" si="59"/>
        <v>45933.401235798614</v>
      </c>
      <c r="P171" s="3">
        <f t="shared" si="60"/>
        <v>45938.40056519676</v>
      </c>
      <c r="Q171" s="1" t="str">
        <f t="shared" si="29"/>
        <v>Externo</v>
      </c>
      <c r="R171" s="1">
        <f t="shared" si="61"/>
        <v>40</v>
      </c>
      <c r="S171" s="6">
        <f t="shared" si="62"/>
        <v>45929</v>
      </c>
      <c r="T171" s="1">
        <f t="shared" si="63"/>
        <v>41</v>
      </c>
      <c r="U171" s="6">
        <f t="shared" si="64"/>
        <v>45936</v>
      </c>
      <c r="V171" s="1">
        <f t="shared" si="65"/>
        <v>4.9993293981460738</v>
      </c>
      <c r="W171" s="1">
        <f t="shared" si="66"/>
        <v>2025</v>
      </c>
      <c r="X171" s="1">
        <f t="shared" si="67"/>
        <v>2025</v>
      </c>
      <c r="Y171" s="1" t="str">
        <f t="shared" si="68"/>
        <v>2025-09</v>
      </c>
      <c r="Z171" s="1" t="str">
        <f t="shared" si="69"/>
        <v>2025-10</v>
      </c>
    </row>
    <row r="172" spans="1:26" s="25" customFormat="1" x14ac:dyDescent="0.2">
      <c r="A172" s="25" t="s">
        <v>490</v>
      </c>
      <c r="B172" s="25" t="s">
        <v>491</v>
      </c>
      <c r="C172" s="25" t="s">
        <v>120</v>
      </c>
      <c r="D172" s="26">
        <v>45936.620898078705</v>
      </c>
      <c r="E172" s="26">
        <v>45959.545433356485</v>
      </c>
      <c r="F172" s="25" t="s">
        <v>21</v>
      </c>
      <c r="G172" s="25" t="s">
        <v>97</v>
      </c>
      <c r="H172" s="25" t="s">
        <v>23</v>
      </c>
      <c r="I172" s="25" t="s">
        <v>504</v>
      </c>
      <c r="J172" s="25" t="s">
        <v>31</v>
      </c>
      <c r="K172" s="25" t="s">
        <v>25</v>
      </c>
      <c r="L172" s="25" t="s">
        <v>492</v>
      </c>
      <c r="M172" s="25" t="s">
        <v>23</v>
      </c>
      <c r="N172" s="1" t="str">
        <f t="shared" si="26"/>
        <v>DEFINICIÓN</v>
      </c>
      <c r="O172" s="26">
        <f t="shared" si="59"/>
        <v>45936.620898078705</v>
      </c>
      <c r="P172" s="26">
        <f t="shared" si="60"/>
        <v>45959.545433356485</v>
      </c>
      <c r="Q172" s="1" t="str">
        <f t="shared" si="29"/>
        <v>Externo</v>
      </c>
      <c r="R172" s="25">
        <f t="shared" si="61"/>
        <v>41</v>
      </c>
      <c r="S172" s="27">
        <f t="shared" si="62"/>
        <v>45936</v>
      </c>
      <c r="T172" s="25">
        <f t="shared" si="63"/>
        <v>44</v>
      </c>
      <c r="U172" s="27">
        <f t="shared" si="64"/>
        <v>45957</v>
      </c>
      <c r="V172" s="25">
        <f t="shared" si="65"/>
        <v>22.924535277779796</v>
      </c>
      <c r="W172" s="25">
        <f t="shared" si="66"/>
        <v>2025</v>
      </c>
      <c r="X172" s="25">
        <f t="shared" si="67"/>
        <v>2025</v>
      </c>
      <c r="Y172" s="25" t="str">
        <f t="shared" si="68"/>
        <v>2025-10</v>
      </c>
      <c r="Z172" s="25" t="str">
        <f t="shared" si="69"/>
        <v>2025-10</v>
      </c>
    </row>
    <row r="173" spans="1:26" s="25" customFormat="1" x14ac:dyDescent="0.2">
      <c r="A173" s="25" t="s">
        <v>493</v>
      </c>
      <c r="B173" s="25" t="s">
        <v>494</v>
      </c>
      <c r="C173" s="25" t="s">
        <v>247</v>
      </c>
      <c r="D173" s="26">
        <v>45938.372209652778</v>
      </c>
      <c r="E173" s="26">
        <v>2958465.4556944445</v>
      </c>
      <c r="F173" s="25" t="s">
        <v>21</v>
      </c>
      <c r="G173" s="25" t="s">
        <v>22</v>
      </c>
      <c r="H173" s="25" t="s">
        <v>23</v>
      </c>
      <c r="I173" s="25" t="s">
        <v>85</v>
      </c>
      <c r="J173" s="25" t="s">
        <v>31</v>
      </c>
      <c r="K173" s="25" t="s">
        <v>348</v>
      </c>
      <c r="L173" s="25" t="s">
        <v>23</v>
      </c>
      <c r="M173" s="25" t="s">
        <v>528</v>
      </c>
      <c r="N173" s="1" t="str">
        <f t="shared" si="26"/>
        <v>DESARROLLO</v>
      </c>
      <c r="O173" s="26">
        <f t="shared" si="59"/>
        <v>45938.372209652778</v>
      </c>
      <c r="P173" s="26">
        <f t="shared" si="60"/>
        <v>2958465.4556944445</v>
      </c>
      <c r="Q173" s="1" t="str">
        <f t="shared" si="29"/>
        <v>Interno</v>
      </c>
      <c r="R173" s="25">
        <f t="shared" si="61"/>
        <v>41</v>
      </c>
      <c r="S173" s="27">
        <f t="shared" si="62"/>
        <v>45936</v>
      </c>
      <c r="T173" s="25">
        <f t="shared" si="63"/>
        <v>53</v>
      </c>
      <c r="U173" s="27">
        <f t="shared" si="64"/>
        <v>2958468</v>
      </c>
      <c r="V173" s="25">
        <f t="shared" si="65"/>
        <v>2912527.0834847917</v>
      </c>
      <c r="W173" s="25">
        <f t="shared" si="66"/>
        <v>2025</v>
      </c>
      <c r="X173" s="25">
        <f t="shared" si="67"/>
        <v>9999</v>
      </c>
      <c r="Y173" s="25" t="str">
        <f t="shared" si="68"/>
        <v>2025-10</v>
      </c>
      <c r="Z173" s="25" t="e">
        <f t="shared" si="69"/>
        <v>#VALUE!</v>
      </c>
    </row>
    <row r="174" spans="1:26" x14ac:dyDescent="0.2">
      <c r="A174" s="1" t="s">
        <v>495</v>
      </c>
      <c r="B174" s="1" t="s">
        <v>496</v>
      </c>
      <c r="C174" s="1" t="s">
        <v>44</v>
      </c>
      <c r="D174" s="3">
        <v>45938.465157048609</v>
      </c>
      <c r="E174" s="3">
        <v>45938.703651782409</v>
      </c>
      <c r="F174" s="1" t="s">
        <v>21</v>
      </c>
      <c r="G174" s="1" t="s">
        <v>107</v>
      </c>
      <c r="H174" s="1" t="s">
        <v>23</v>
      </c>
      <c r="I174" s="1" t="s">
        <v>85</v>
      </c>
      <c r="J174" s="1" t="s">
        <v>31</v>
      </c>
      <c r="K174" s="1" t="s">
        <v>25</v>
      </c>
      <c r="L174" s="1" t="s">
        <v>23</v>
      </c>
      <c r="M174" s="1" t="s">
        <v>528</v>
      </c>
      <c r="N174" s="1" t="str">
        <f t="shared" si="26"/>
        <v>SOPORTE</v>
      </c>
      <c r="O174" s="3">
        <f t="shared" ref="O174:O175" si="70">D174</f>
        <v>45938.465157048609</v>
      </c>
      <c r="P174" s="3">
        <f t="shared" ref="P174:P175" si="71">E174</f>
        <v>45938.703651782409</v>
      </c>
      <c r="Q174" s="1" t="str">
        <f t="shared" si="29"/>
        <v>Externo</v>
      </c>
      <c r="R174" s="1">
        <f t="shared" ref="R174:R175" si="72">WEEKNUM(O174,1)</f>
        <v>41</v>
      </c>
      <c r="S174" s="6">
        <f t="shared" ref="S174:S175" si="73">DATE(W174,1,4) + (R174-1)*7 - WEEKDAY(DATE(W174,1,4),2) +1</f>
        <v>45936</v>
      </c>
      <c r="T174" s="1">
        <f t="shared" ref="T174:T175" si="74">WEEKNUM(P174,1)</f>
        <v>41</v>
      </c>
      <c r="U174" s="6">
        <f t="shared" ref="U174:U175" si="75">DATE(X174,1,4) + (T174-1)*7 - WEEKDAY(DATE(X174,1,4),2) +1</f>
        <v>45936</v>
      </c>
      <c r="V174" s="1">
        <f t="shared" ref="V174:V175" si="76">ABS(P174-O174)</f>
        <v>0.23849473379959818</v>
      </c>
      <c r="W174" s="1">
        <f t="shared" ref="W174:W175" si="77">YEAR(O174)</f>
        <v>2025</v>
      </c>
      <c r="X174" s="1">
        <f t="shared" ref="X174:X175" si="78">YEAR(P174)</f>
        <v>2025</v>
      </c>
      <c r="Y174" s="1" t="str">
        <f t="shared" ref="Y174:Y175" si="79">(TEXT(S174,"aaaa-mm"))</f>
        <v>2025-10</v>
      </c>
      <c r="Z174" s="1" t="str">
        <f t="shared" ref="Z174:Z175" si="80">(TEXT(U174,"aaaa-mm"))</f>
        <v>2025-10</v>
      </c>
    </row>
    <row r="175" spans="1:26" x14ac:dyDescent="0.2">
      <c r="A175" s="1" t="s">
        <v>502</v>
      </c>
      <c r="B175" s="1" t="s">
        <v>503</v>
      </c>
      <c r="C175" s="1" t="s">
        <v>113</v>
      </c>
      <c r="D175" s="3">
        <v>45944.421848402781</v>
      </c>
      <c r="E175" s="3">
        <v>45944.796328055556</v>
      </c>
      <c r="F175" s="1" t="s">
        <v>21</v>
      </c>
      <c r="G175" s="1" t="s">
        <v>107</v>
      </c>
      <c r="H175" s="1" t="s">
        <v>23</v>
      </c>
      <c r="I175" s="1" t="s">
        <v>85</v>
      </c>
      <c r="J175" s="1" t="s">
        <v>31</v>
      </c>
      <c r="K175" s="1" t="s">
        <v>25</v>
      </c>
      <c r="L175" s="1" t="s">
        <v>23</v>
      </c>
      <c r="M175" s="1" t="s">
        <v>528</v>
      </c>
      <c r="N175" s="1" t="str">
        <f t="shared" si="26"/>
        <v>SOPORTE</v>
      </c>
      <c r="O175" s="3">
        <f t="shared" si="70"/>
        <v>45944.421848402781</v>
      </c>
      <c r="P175" s="3">
        <f t="shared" si="71"/>
        <v>45944.796328055556</v>
      </c>
      <c r="Q175" s="1" t="str">
        <f t="shared" si="29"/>
        <v>Externo</v>
      </c>
      <c r="R175" s="1">
        <f t="shared" si="72"/>
        <v>42</v>
      </c>
      <c r="S175" s="6">
        <f t="shared" si="73"/>
        <v>45943</v>
      </c>
      <c r="T175" s="1">
        <f t="shared" si="74"/>
        <v>42</v>
      </c>
      <c r="U175" s="6">
        <f t="shared" si="75"/>
        <v>45943</v>
      </c>
      <c r="V175" s="1">
        <f t="shared" si="76"/>
        <v>0.37447965277533513</v>
      </c>
      <c r="W175" s="1">
        <f t="shared" si="77"/>
        <v>2025</v>
      </c>
      <c r="X175" s="1">
        <f t="shared" si="78"/>
        <v>2025</v>
      </c>
      <c r="Y175" s="1" t="str">
        <f t="shared" si="79"/>
        <v>2025-10</v>
      </c>
      <c r="Z175" s="1" t="str">
        <f t="shared" si="80"/>
        <v>2025-10</v>
      </c>
    </row>
    <row r="176" spans="1:26" s="25" customFormat="1" x14ac:dyDescent="0.2">
      <c r="A176" s="25" t="s">
        <v>505</v>
      </c>
      <c r="B176" s="25" t="s">
        <v>506</v>
      </c>
      <c r="C176" s="25" t="s">
        <v>23</v>
      </c>
      <c r="D176" s="26">
        <v>45945.74156962963</v>
      </c>
      <c r="E176" s="26">
        <v>45952.693480740738</v>
      </c>
      <c r="F176" s="25" t="s">
        <v>21</v>
      </c>
      <c r="G176" s="25" t="s">
        <v>107</v>
      </c>
      <c r="H176" s="25" t="s">
        <v>23</v>
      </c>
      <c r="I176" s="25" t="s">
        <v>85</v>
      </c>
      <c r="J176" s="25" t="s">
        <v>31</v>
      </c>
      <c r="K176" s="25" t="s">
        <v>25</v>
      </c>
      <c r="L176" s="25" t="s">
        <v>23</v>
      </c>
      <c r="M176" s="25" t="s">
        <v>528</v>
      </c>
      <c r="N176" s="1" t="str">
        <f t="shared" si="26"/>
        <v>SOPORTE</v>
      </c>
      <c r="O176" s="26">
        <f t="shared" ref="O176:O180" si="81">D176</f>
        <v>45945.74156962963</v>
      </c>
      <c r="P176" s="26">
        <f t="shared" ref="P176:P180" si="82">E176</f>
        <v>45952.693480740738</v>
      </c>
      <c r="Q176" s="1" t="str">
        <f t="shared" si="29"/>
        <v>Externo</v>
      </c>
      <c r="R176" s="25">
        <f t="shared" ref="R176:R180" si="83">WEEKNUM(O176,1)</f>
        <v>42</v>
      </c>
      <c r="S176" s="27">
        <f t="shared" ref="S176:S180" si="84">DATE(W176,1,4) + (R176-1)*7 - WEEKDAY(DATE(W176,1,4),2) +1</f>
        <v>45943</v>
      </c>
      <c r="T176" s="25">
        <f t="shared" ref="T176:T180" si="85">WEEKNUM(P176,1)</f>
        <v>43</v>
      </c>
      <c r="U176" s="27">
        <f t="shared" ref="U176:U180" si="86">DATE(X176,1,4) + (T176-1)*7 - WEEKDAY(DATE(X176,1,4),2) +1</f>
        <v>45950</v>
      </c>
      <c r="V176" s="25">
        <f t="shared" ref="V176:V180" si="87">ABS(P176-O176)</f>
        <v>6.9519111111076199</v>
      </c>
      <c r="W176" s="25">
        <f t="shared" ref="W176:W180" si="88">YEAR(O176)</f>
        <v>2025</v>
      </c>
      <c r="X176" s="25">
        <f t="shared" ref="X176:X180" si="89">YEAR(P176)</f>
        <v>2025</v>
      </c>
      <c r="Y176" s="25" t="str">
        <f t="shared" ref="Y176:Y180" si="90">(TEXT(S176,"aaaa-mm"))</f>
        <v>2025-10</v>
      </c>
      <c r="Z176" s="25" t="str">
        <f t="shared" ref="Z176:Z180" si="91">(TEXT(U176,"aaaa-mm"))</f>
        <v>2025-10</v>
      </c>
    </row>
    <row r="177" spans="1:26" s="25" customFormat="1" x14ac:dyDescent="0.2">
      <c r="A177" s="25" t="s">
        <v>507</v>
      </c>
      <c r="B177" s="25" t="s">
        <v>508</v>
      </c>
      <c r="C177" s="25" t="s">
        <v>58</v>
      </c>
      <c r="D177" s="26">
        <v>45946.548726111112</v>
      </c>
      <c r="E177" s="26">
        <v>45952.508327233794</v>
      </c>
      <c r="F177" s="25" t="s">
        <v>21</v>
      </c>
      <c r="G177" s="25" t="s">
        <v>36</v>
      </c>
      <c r="H177" s="25" t="s">
        <v>23</v>
      </c>
      <c r="I177" s="25" t="s">
        <v>85</v>
      </c>
      <c r="J177" s="25" t="s">
        <v>31</v>
      </c>
      <c r="K177" s="25" t="s">
        <v>37</v>
      </c>
      <c r="L177" s="25" t="s">
        <v>23</v>
      </c>
      <c r="M177" s="25" t="s">
        <v>23</v>
      </c>
      <c r="N177" s="1" t="str">
        <f t="shared" si="26"/>
        <v>ORIGEN</v>
      </c>
      <c r="O177" s="26">
        <f t="shared" si="81"/>
        <v>45946.548726111112</v>
      </c>
      <c r="P177" s="26">
        <f t="shared" si="82"/>
        <v>45952.508327233794</v>
      </c>
      <c r="Q177" s="1" t="str">
        <f t="shared" si="29"/>
        <v>Externo</v>
      </c>
      <c r="R177" s="25">
        <f t="shared" si="83"/>
        <v>42</v>
      </c>
      <c r="S177" s="27">
        <f t="shared" si="84"/>
        <v>45943</v>
      </c>
      <c r="T177" s="25">
        <f t="shared" si="85"/>
        <v>43</v>
      </c>
      <c r="U177" s="27">
        <f t="shared" si="86"/>
        <v>45950</v>
      </c>
      <c r="V177" s="25">
        <f t="shared" si="87"/>
        <v>5.9596011226822156</v>
      </c>
      <c r="W177" s="25">
        <f t="shared" si="88"/>
        <v>2025</v>
      </c>
      <c r="X177" s="25">
        <f t="shared" si="89"/>
        <v>2025</v>
      </c>
      <c r="Y177" s="25" t="str">
        <f t="shared" si="90"/>
        <v>2025-10</v>
      </c>
      <c r="Z177" s="25" t="str">
        <f t="shared" si="91"/>
        <v>2025-10</v>
      </c>
    </row>
    <row r="178" spans="1:26" x14ac:dyDescent="0.2">
      <c r="A178" s="1" t="s">
        <v>509</v>
      </c>
      <c r="B178" s="1" t="s">
        <v>510</v>
      </c>
      <c r="C178" s="1" t="s">
        <v>511</v>
      </c>
      <c r="D178" s="3">
        <v>45950.650523622688</v>
      </c>
      <c r="E178" s="3">
        <v>45951.566565601854</v>
      </c>
      <c r="F178" s="1" t="s">
        <v>21</v>
      </c>
      <c r="G178" s="1" t="s">
        <v>107</v>
      </c>
      <c r="H178" s="1" t="s">
        <v>23</v>
      </c>
      <c r="I178" s="1" t="s">
        <v>85</v>
      </c>
      <c r="J178" s="1" t="s">
        <v>31</v>
      </c>
      <c r="K178" s="1" t="s">
        <v>25</v>
      </c>
      <c r="L178" s="1" t="s">
        <v>23</v>
      </c>
      <c r="M178" s="1" t="s">
        <v>23</v>
      </c>
      <c r="N178" s="1" t="str">
        <f t="shared" si="26"/>
        <v>SOPORTE</v>
      </c>
      <c r="O178" s="3">
        <f t="shared" si="81"/>
        <v>45950.650523622688</v>
      </c>
      <c r="P178" s="3">
        <f t="shared" si="82"/>
        <v>45951.566565601854</v>
      </c>
      <c r="Q178" s="1" t="str">
        <f t="shared" si="29"/>
        <v>Externo</v>
      </c>
      <c r="R178" s="1">
        <f t="shared" si="83"/>
        <v>43</v>
      </c>
      <c r="S178" s="6">
        <f t="shared" si="84"/>
        <v>45950</v>
      </c>
      <c r="T178" s="1">
        <f t="shared" si="85"/>
        <v>43</v>
      </c>
      <c r="U178" s="6">
        <f t="shared" si="86"/>
        <v>45950</v>
      </c>
      <c r="V178" s="1">
        <f t="shared" si="87"/>
        <v>0.9160419791660388</v>
      </c>
      <c r="W178" s="1">
        <f t="shared" si="88"/>
        <v>2025</v>
      </c>
      <c r="X178" s="1">
        <f t="shared" si="89"/>
        <v>2025</v>
      </c>
      <c r="Y178" s="1" t="str">
        <f t="shared" si="90"/>
        <v>2025-10</v>
      </c>
      <c r="Z178" s="1" t="str">
        <f t="shared" si="91"/>
        <v>2025-10</v>
      </c>
    </row>
    <row r="179" spans="1:26" s="25" customFormat="1" x14ac:dyDescent="0.2">
      <c r="A179" s="25" t="s">
        <v>512</v>
      </c>
      <c r="B179" s="25" t="s">
        <v>513</v>
      </c>
      <c r="C179" s="25" t="s">
        <v>120</v>
      </c>
      <c r="D179" s="26">
        <v>45950.657021782405</v>
      </c>
      <c r="E179" s="26">
        <v>45959.546093506942</v>
      </c>
      <c r="F179" s="25" t="s">
        <v>21</v>
      </c>
      <c r="G179" s="25" t="s">
        <v>97</v>
      </c>
      <c r="H179" s="25" t="s">
        <v>23</v>
      </c>
      <c r="I179" s="25" t="s">
        <v>68</v>
      </c>
      <c r="J179" s="25" t="s">
        <v>31</v>
      </c>
      <c r="K179" s="25" t="s">
        <v>25</v>
      </c>
      <c r="L179" s="25" t="s">
        <v>23</v>
      </c>
      <c r="M179" s="25" t="s">
        <v>23</v>
      </c>
      <c r="N179" s="1" t="str">
        <f t="shared" si="26"/>
        <v>DEFINICIÓN</v>
      </c>
      <c r="O179" s="26">
        <f t="shared" si="81"/>
        <v>45950.657021782405</v>
      </c>
      <c r="P179" s="26">
        <f t="shared" si="82"/>
        <v>45959.546093506942</v>
      </c>
      <c r="Q179" s="1" t="str">
        <f t="shared" si="29"/>
        <v>Externo</v>
      </c>
      <c r="R179" s="25">
        <f t="shared" si="83"/>
        <v>43</v>
      </c>
      <c r="S179" s="27">
        <f t="shared" si="84"/>
        <v>45950</v>
      </c>
      <c r="T179" s="25">
        <f t="shared" si="85"/>
        <v>44</v>
      </c>
      <c r="U179" s="27">
        <f t="shared" si="86"/>
        <v>45957</v>
      </c>
      <c r="V179" s="25">
        <f t="shared" si="87"/>
        <v>8.8890717245376436</v>
      </c>
      <c r="W179" s="25">
        <f t="shared" si="88"/>
        <v>2025</v>
      </c>
      <c r="X179" s="25">
        <f t="shared" si="89"/>
        <v>2025</v>
      </c>
      <c r="Y179" s="25" t="str">
        <f t="shared" si="90"/>
        <v>2025-10</v>
      </c>
      <c r="Z179" s="25" t="str">
        <f t="shared" si="91"/>
        <v>2025-10</v>
      </c>
    </row>
    <row r="180" spans="1:26" x14ac:dyDescent="0.2">
      <c r="A180" s="1" t="s">
        <v>514</v>
      </c>
      <c r="B180" s="1" t="s">
        <v>515</v>
      </c>
      <c r="C180" s="1" t="s">
        <v>319</v>
      </c>
      <c r="D180" s="3">
        <v>45951.587099583332</v>
      </c>
      <c r="E180" s="3">
        <v>45952.428491863429</v>
      </c>
      <c r="F180" s="1" t="s">
        <v>21</v>
      </c>
      <c r="G180" s="1" t="s">
        <v>107</v>
      </c>
      <c r="H180" s="1" t="s">
        <v>23</v>
      </c>
      <c r="I180" s="1" t="s">
        <v>85</v>
      </c>
      <c r="J180" s="1" t="s">
        <v>31</v>
      </c>
      <c r="K180" s="1" t="s">
        <v>25</v>
      </c>
      <c r="L180" s="1" t="s">
        <v>23</v>
      </c>
      <c r="M180" s="1" t="s">
        <v>23</v>
      </c>
      <c r="N180" s="1" t="str">
        <f t="shared" si="26"/>
        <v>SOPORTE</v>
      </c>
      <c r="O180" s="26">
        <f t="shared" ref="O180:O185" si="92">D180</f>
        <v>45951.587099583332</v>
      </c>
      <c r="P180" s="26">
        <f t="shared" ref="P180:P185" si="93">E180</f>
        <v>45952.428491863429</v>
      </c>
      <c r="Q180" s="1" t="str">
        <f t="shared" ref="Q180:Q185" si="94">IF(OR(N180="Soporte",N180="Definición",N180="Origen"),"Externo",
IF(OR(N180="Funcional",N180="Técnico",N180="Desarrollo",N180="Reproceso"),"Interno",
IF(OR(N180="",N180="Selecciona (ORIGEN/PLANIFICACIÓN/RELANZADO PROCESO/DEFINICIÓN/FUNCIONAL/TÉCNICO/DESARROLLO/PENDIENTE REPROCESO)"),"Pendiente clasificar","")))</f>
        <v>Externo</v>
      </c>
      <c r="R180" s="25">
        <f t="shared" ref="R180:R185" si="95">WEEKNUM(O180,1)</f>
        <v>43</v>
      </c>
      <c r="S180" s="27">
        <f t="shared" ref="S180:S185" si="96">DATE(W180,1,4) + (R180-1)*7 - WEEKDAY(DATE(W180,1,4),2) +1</f>
        <v>45950</v>
      </c>
      <c r="T180" s="25">
        <f t="shared" ref="T180:T185" si="97">WEEKNUM(P180,1)</f>
        <v>43</v>
      </c>
      <c r="U180" s="27">
        <f t="shared" ref="U180:U185" si="98">DATE(X180,1,4) + (T180-1)*7 - WEEKDAY(DATE(X180,1,4),2) +1</f>
        <v>45950</v>
      </c>
      <c r="V180" s="25">
        <f t="shared" ref="V180:V185" si="99">ABS(P180-O180)</f>
        <v>0.84139228009735234</v>
      </c>
      <c r="W180" s="25">
        <f t="shared" ref="W180:W185" si="100">YEAR(O180)</f>
        <v>2025</v>
      </c>
      <c r="X180" s="25">
        <f t="shared" ref="X180:X185" si="101">YEAR(P180)</f>
        <v>2025</v>
      </c>
      <c r="Y180" s="25" t="str">
        <f t="shared" ref="Y180:Y185" si="102">(TEXT(S180,"aaaa-mm"))</f>
        <v>2025-10</v>
      </c>
      <c r="Z180" s="25" t="str">
        <f t="shared" ref="Z180:Z185" si="103">(TEXT(U180,"aaaa-mm"))</f>
        <v>2025-10</v>
      </c>
    </row>
    <row r="181" spans="1:26" s="25" customFormat="1" x14ac:dyDescent="0.2">
      <c r="A181" s="25" t="s">
        <v>517</v>
      </c>
      <c r="B181" s="25" t="s">
        <v>518</v>
      </c>
      <c r="C181" s="25" t="s">
        <v>88</v>
      </c>
      <c r="D181" s="26">
        <v>45957.380089282407</v>
      </c>
      <c r="E181" s="26">
        <v>45957.659860497683</v>
      </c>
      <c r="F181" s="25" t="s">
        <v>21</v>
      </c>
      <c r="G181" s="25" t="s">
        <v>107</v>
      </c>
      <c r="H181" s="25" t="s">
        <v>23</v>
      </c>
      <c r="I181" s="25" t="s">
        <v>85</v>
      </c>
      <c r="J181" s="25" t="s">
        <v>31</v>
      </c>
      <c r="K181" s="25" t="s">
        <v>25</v>
      </c>
      <c r="L181" s="25" t="s">
        <v>23</v>
      </c>
      <c r="M181" s="25" t="s">
        <v>528</v>
      </c>
      <c r="N181" s="1" t="str">
        <f t="shared" si="26"/>
        <v>SOPORTE</v>
      </c>
      <c r="O181" s="26">
        <f t="shared" si="92"/>
        <v>45957.380089282407</v>
      </c>
      <c r="P181" s="26">
        <f t="shared" si="93"/>
        <v>45957.659860497683</v>
      </c>
      <c r="Q181" s="1" t="str">
        <f t="shared" si="94"/>
        <v>Externo</v>
      </c>
      <c r="R181" s="25">
        <f t="shared" si="95"/>
        <v>44</v>
      </c>
      <c r="S181" s="27">
        <f t="shared" si="96"/>
        <v>45957</v>
      </c>
      <c r="T181" s="25">
        <f t="shared" si="97"/>
        <v>44</v>
      </c>
      <c r="U181" s="27">
        <f t="shared" si="98"/>
        <v>45957</v>
      </c>
      <c r="V181" s="25">
        <f t="shared" si="99"/>
        <v>0.27977121527510462</v>
      </c>
      <c r="W181" s="25">
        <f t="shared" si="100"/>
        <v>2025</v>
      </c>
      <c r="X181" s="25">
        <f t="shared" si="101"/>
        <v>2025</v>
      </c>
      <c r="Y181" s="25" t="str">
        <f t="shared" si="102"/>
        <v>2025-10</v>
      </c>
      <c r="Z181" s="25" t="str">
        <f t="shared" si="103"/>
        <v>2025-10</v>
      </c>
    </row>
    <row r="182" spans="1:26" x14ac:dyDescent="0.2">
      <c r="A182" s="1" t="s">
        <v>519</v>
      </c>
      <c r="B182" s="1" t="s">
        <v>520</v>
      </c>
      <c r="C182" s="1" t="s">
        <v>71</v>
      </c>
      <c r="D182" s="3">
        <v>45957.381327071758</v>
      </c>
      <c r="E182" s="26">
        <v>2958465.4556944445</v>
      </c>
      <c r="F182" s="1" t="s">
        <v>21</v>
      </c>
      <c r="G182" s="1" t="s">
        <v>36</v>
      </c>
      <c r="H182" s="1" t="s">
        <v>23</v>
      </c>
      <c r="I182" s="1" t="s">
        <v>85</v>
      </c>
      <c r="J182" s="1" t="s">
        <v>31</v>
      </c>
      <c r="K182" s="1" t="s">
        <v>377</v>
      </c>
      <c r="L182" s="1" t="s">
        <v>23</v>
      </c>
      <c r="M182" s="1" t="s">
        <v>528</v>
      </c>
      <c r="N182" s="1" t="str">
        <f t="shared" si="26"/>
        <v>ORIGEN</v>
      </c>
      <c r="O182" s="26">
        <f t="shared" si="92"/>
        <v>45957.381327071758</v>
      </c>
      <c r="P182" s="26">
        <f t="shared" si="93"/>
        <v>2958465.4556944445</v>
      </c>
      <c r="Q182" s="1" t="str">
        <f t="shared" si="94"/>
        <v>Externo</v>
      </c>
      <c r="R182" s="25">
        <f t="shared" si="95"/>
        <v>44</v>
      </c>
      <c r="S182" s="27">
        <f t="shared" si="96"/>
        <v>45957</v>
      </c>
      <c r="T182" s="25">
        <f t="shared" si="97"/>
        <v>53</v>
      </c>
      <c r="U182" s="27">
        <f t="shared" si="98"/>
        <v>2958468</v>
      </c>
      <c r="V182" s="25">
        <f t="shared" si="99"/>
        <v>2912508.0743673728</v>
      </c>
      <c r="W182" s="25">
        <f t="shared" si="100"/>
        <v>2025</v>
      </c>
      <c r="X182" s="25">
        <f t="shared" si="101"/>
        <v>9999</v>
      </c>
      <c r="Y182" s="25" t="str">
        <f t="shared" si="102"/>
        <v>2025-10</v>
      </c>
      <c r="Z182" s="25" t="e">
        <f t="shared" si="103"/>
        <v>#VALUE!</v>
      </c>
    </row>
    <row r="183" spans="1:26" x14ac:dyDescent="0.2">
      <c r="A183" s="1" t="s">
        <v>521</v>
      </c>
      <c r="B183" s="1" t="s">
        <v>522</v>
      </c>
      <c r="C183" s="1" t="s">
        <v>23</v>
      </c>
      <c r="D183" s="3">
        <v>45957.437060659722</v>
      </c>
      <c r="E183" s="3">
        <v>45957.660438611114</v>
      </c>
      <c r="F183" s="1" t="s">
        <v>21</v>
      </c>
      <c r="G183" s="1" t="s">
        <v>36</v>
      </c>
      <c r="H183" s="1" t="s">
        <v>23</v>
      </c>
      <c r="I183" s="1" t="s">
        <v>85</v>
      </c>
      <c r="J183" s="1" t="s">
        <v>31</v>
      </c>
      <c r="K183" s="1" t="s">
        <v>25</v>
      </c>
      <c r="L183" s="1" t="s">
        <v>23</v>
      </c>
      <c r="M183" s="1" t="s">
        <v>23</v>
      </c>
      <c r="N183" s="1" t="str">
        <f t="shared" si="26"/>
        <v>ORIGEN</v>
      </c>
      <c r="O183" s="26">
        <f t="shared" si="92"/>
        <v>45957.437060659722</v>
      </c>
      <c r="P183" s="26">
        <f t="shared" si="93"/>
        <v>45957.660438611114</v>
      </c>
      <c r="Q183" s="1" t="str">
        <f t="shared" si="94"/>
        <v>Externo</v>
      </c>
      <c r="R183" s="25">
        <f t="shared" si="95"/>
        <v>44</v>
      </c>
      <c r="S183" s="27">
        <f t="shared" si="96"/>
        <v>45957</v>
      </c>
      <c r="T183" s="25">
        <f t="shared" si="97"/>
        <v>44</v>
      </c>
      <c r="U183" s="27">
        <f t="shared" si="98"/>
        <v>45957</v>
      </c>
      <c r="V183" s="25">
        <f t="shared" si="99"/>
        <v>0.22337795139173977</v>
      </c>
      <c r="W183" s="25">
        <f t="shared" si="100"/>
        <v>2025</v>
      </c>
      <c r="X183" s="25">
        <f t="shared" si="101"/>
        <v>2025</v>
      </c>
      <c r="Y183" s="25" t="str">
        <f t="shared" si="102"/>
        <v>2025-10</v>
      </c>
      <c r="Z183" s="25" t="str">
        <f t="shared" si="103"/>
        <v>2025-10</v>
      </c>
    </row>
    <row r="184" spans="1:26" x14ac:dyDescent="0.2">
      <c r="A184" s="1" t="s">
        <v>523</v>
      </c>
      <c r="B184" s="1" t="s">
        <v>524</v>
      </c>
      <c r="C184" s="1" t="s">
        <v>44</v>
      </c>
      <c r="D184" s="3">
        <v>45957.467851643516</v>
      </c>
      <c r="E184" s="3">
        <v>45957.731247361109</v>
      </c>
      <c r="F184" s="1" t="s">
        <v>21</v>
      </c>
      <c r="G184" s="1" t="s">
        <v>107</v>
      </c>
      <c r="H184" s="1" t="s">
        <v>23</v>
      </c>
      <c r="I184" s="1" t="s">
        <v>85</v>
      </c>
      <c r="J184" s="1" t="s">
        <v>31</v>
      </c>
      <c r="K184" s="1" t="s">
        <v>25</v>
      </c>
      <c r="L184" s="1" t="s">
        <v>23</v>
      </c>
      <c r="M184" s="1" t="s">
        <v>528</v>
      </c>
      <c r="N184" s="1" t="str">
        <f t="shared" si="26"/>
        <v>SOPORTE</v>
      </c>
      <c r="O184" s="26">
        <f t="shared" si="92"/>
        <v>45957.467851643516</v>
      </c>
      <c r="P184" s="26">
        <f t="shared" si="93"/>
        <v>45957.731247361109</v>
      </c>
      <c r="Q184" s="1" t="str">
        <f t="shared" si="94"/>
        <v>Externo</v>
      </c>
      <c r="R184" s="25">
        <f t="shared" si="95"/>
        <v>44</v>
      </c>
      <c r="S184" s="27">
        <f t="shared" si="96"/>
        <v>45957</v>
      </c>
      <c r="T184" s="25">
        <f t="shared" si="97"/>
        <v>44</v>
      </c>
      <c r="U184" s="27">
        <f t="shared" si="98"/>
        <v>45957</v>
      </c>
      <c r="V184" s="25">
        <f t="shared" si="99"/>
        <v>0.26339571759308456</v>
      </c>
      <c r="W184" s="25">
        <f t="shared" si="100"/>
        <v>2025</v>
      </c>
      <c r="X184" s="25">
        <f t="shared" si="101"/>
        <v>2025</v>
      </c>
      <c r="Y184" s="25" t="str">
        <f t="shared" si="102"/>
        <v>2025-10</v>
      </c>
      <c r="Z184" s="25" t="str">
        <f t="shared" si="103"/>
        <v>2025-10</v>
      </c>
    </row>
    <row r="185" spans="1:26" x14ac:dyDescent="0.2">
      <c r="A185" s="1" t="s">
        <v>525</v>
      </c>
      <c r="B185" s="1" t="s">
        <v>526</v>
      </c>
      <c r="C185" s="1" t="s">
        <v>529</v>
      </c>
      <c r="D185" s="3">
        <v>45958.559638252314</v>
      </c>
      <c r="E185" s="26">
        <v>2958465.4556944445</v>
      </c>
      <c r="F185" s="1" t="s">
        <v>21</v>
      </c>
      <c r="G185" s="1" t="s">
        <v>97</v>
      </c>
      <c r="H185" s="1" t="s">
        <v>23</v>
      </c>
      <c r="I185" s="1" t="s">
        <v>85</v>
      </c>
      <c r="J185" s="1" t="s">
        <v>31</v>
      </c>
      <c r="K185" s="1" t="s">
        <v>348</v>
      </c>
      <c r="L185" s="1" t="s">
        <v>23</v>
      </c>
      <c r="M185" s="1" t="s">
        <v>528</v>
      </c>
      <c r="N185" s="1" t="str">
        <f t="shared" si="26"/>
        <v>DEFINICIÓN</v>
      </c>
      <c r="O185" s="26">
        <f t="shared" si="92"/>
        <v>45958.559638252314</v>
      </c>
      <c r="P185" s="26">
        <f t="shared" si="93"/>
        <v>2958465.4556944445</v>
      </c>
      <c r="Q185" s="1" t="str">
        <f t="shared" si="94"/>
        <v>Externo</v>
      </c>
      <c r="R185" s="25">
        <f t="shared" si="95"/>
        <v>44</v>
      </c>
      <c r="S185" s="27">
        <f t="shared" si="96"/>
        <v>45957</v>
      </c>
      <c r="T185" s="25">
        <f t="shared" si="97"/>
        <v>53</v>
      </c>
      <c r="U185" s="27">
        <f t="shared" si="98"/>
        <v>2958468</v>
      </c>
      <c r="V185" s="25">
        <f t="shared" si="99"/>
        <v>2912506.896056192</v>
      </c>
      <c r="W185" s="25">
        <f t="shared" si="100"/>
        <v>2025</v>
      </c>
      <c r="X185" s="25">
        <f t="shared" si="101"/>
        <v>9999</v>
      </c>
      <c r="Y185" s="25" t="str">
        <f t="shared" si="102"/>
        <v>2025-10</v>
      </c>
      <c r="Z185" s="25" t="e">
        <f t="shared" si="103"/>
        <v>#VALUE!</v>
      </c>
    </row>
    <row r="186" spans="1:26" x14ac:dyDescent="0.2">
      <c r="A186" s="1" t="s">
        <v>530</v>
      </c>
      <c r="B186" s="1" t="s">
        <v>531</v>
      </c>
      <c r="C186" s="1" t="s">
        <v>23</v>
      </c>
      <c r="D186" s="3">
        <v>45960.627813993058</v>
      </c>
      <c r="E186" s="26">
        <v>2958465.4556944445</v>
      </c>
      <c r="F186" s="1" t="s">
        <v>21</v>
      </c>
      <c r="G186" s="1" t="s">
        <v>487</v>
      </c>
      <c r="H186" s="1" t="s">
        <v>23</v>
      </c>
      <c r="I186" s="1" t="s">
        <v>30</v>
      </c>
      <c r="J186" s="1" t="s">
        <v>31</v>
      </c>
      <c r="K186" s="1" t="s">
        <v>527</v>
      </c>
      <c r="L186" s="1" t="s">
        <v>532</v>
      </c>
      <c r="M186" s="1" t="s">
        <v>23</v>
      </c>
      <c r="N186" s="1" t="str">
        <f t="shared" ref="N186" si="104">G186</f>
        <v>Selecciona (ORIGEN/PLANIFICACIÓN/RELANZADO PROCESO/DEFINICIÓN/FUNCIONAL/TÉCNICO/DESARROLLO/PENDIENTE REPROCESO)</v>
      </c>
      <c r="O186" s="26">
        <f t="shared" ref="O186" si="105">D186</f>
        <v>45960.627813993058</v>
      </c>
      <c r="P186" s="26">
        <f t="shared" ref="P186" si="106">E186</f>
        <v>2958465.4556944445</v>
      </c>
      <c r="Q186" s="1" t="str">
        <f t="shared" ref="Q186" si="107">IF(OR(N186="Soporte",N186="Definición",N186="Origen"),"Externo",
IF(OR(N186="Funcional",N186="Técnico",N186="Desarrollo",N186="Reproceso"),"Interno",
IF(OR(N186="",N186="Selecciona (ORIGEN/PLANIFICACIÓN/RELANZADO PROCESO/DEFINICIÓN/FUNCIONAL/TÉCNICO/DESARROLLO/PENDIENTE REPROCESO)"),"Pendiente clasificar","")))</f>
        <v>Pendiente clasificar</v>
      </c>
      <c r="R186" s="25">
        <f t="shared" ref="R186" si="108">WEEKNUM(O186,1)</f>
        <v>44</v>
      </c>
      <c r="S186" s="27">
        <f t="shared" ref="S186" si="109">DATE(W186,1,4) + (R186-1)*7 - WEEKDAY(DATE(W186,1,4),2) +1</f>
        <v>45957</v>
      </c>
      <c r="T186" s="25">
        <f t="shared" ref="T186" si="110">WEEKNUM(P186,1)</f>
        <v>53</v>
      </c>
      <c r="U186" s="27">
        <f t="shared" ref="U186" si="111">DATE(X186,1,4) + (T186-1)*7 - WEEKDAY(DATE(X186,1,4),2) +1</f>
        <v>2958468</v>
      </c>
      <c r="V186" s="25">
        <f t="shared" ref="V186" si="112">ABS(P186-O186)</f>
        <v>2912504.8278804515</v>
      </c>
      <c r="W186" s="25">
        <f t="shared" ref="W186" si="113">YEAR(O186)</f>
        <v>2025</v>
      </c>
      <c r="X186" s="25">
        <f t="shared" ref="X186" si="114">YEAR(P186)</f>
        <v>9999</v>
      </c>
      <c r="Y186" s="25" t="str">
        <f t="shared" ref="Y186" si="115">(TEXT(S186,"aaaa-mm"))</f>
        <v>2025-10</v>
      </c>
      <c r="Z186" s="25" t="e">
        <f t="shared" ref="Z186" si="116">(TEXT(U186,"aaaa-mm"))</f>
        <v>#VALUE!</v>
      </c>
    </row>
  </sheetData>
  <autoFilter ref="A1:Z186" xr:uid="{00000000-0001-0000-0000-000000000000}"/>
  <hyperlinks>
    <hyperlink ref="A2" r:id="rId1" xr:uid="{00000000-0004-0000-0100-000000000000}"/>
    <hyperlink ref="A3" r:id="rId2" xr:uid="{00000000-0004-0000-0100-000001000000}"/>
    <hyperlink ref="A4" r:id="rId3" xr:uid="{00000000-0004-0000-0100-000002000000}"/>
    <hyperlink ref="A5" r:id="rId4" xr:uid="{00000000-0004-0000-0100-000003000000}"/>
    <hyperlink ref="A6" r:id="rId5" xr:uid="{00000000-0004-0000-0100-000004000000}"/>
    <hyperlink ref="A7" r:id="rId6" xr:uid="{00000000-0004-0000-0100-000005000000}"/>
    <hyperlink ref="A8" r:id="rId7" xr:uid="{00000000-0004-0000-0100-000006000000}"/>
    <hyperlink ref="A9" r:id="rId8" xr:uid="{00000000-0004-0000-0100-000007000000}"/>
    <hyperlink ref="A10" r:id="rId9" xr:uid="{00000000-0004-0000-0100-000008000000}"/>
    <hyperlink ref="A11" r:id="rId10" xr:uid="{00000000-0004-0000-0100-000009000000}"/>
    <hyperlink ref="A12" r:id="rId11" xr:uid="{00000000-0004-0000-0100-00000A000000}"/>
    <hyperlink ref="A13" r:id="rId12" xr:uid="{00000000-0004-0000-0100-00000B000000}"/>
    <hyperlink ref="A14" r:id="rId13" xr:uid="{00000000-0004-0000-0100-00000C000000}"/>
    <hyperlink ref="A15" r:id="rId14" xr:uid="{00000000-0004-0000-0100-00000D000000}"/>
    <hyperlink ref="A16" r:id="rId15" xr:uid="{00000000-0004-0000-0100-00000E000000}"/>
    <hyperlink ref="A17" r:id="rId16" xr:uid="{00000000-0004-0000-0100-00000F000000}"/>
    <hyperlink ref="A18" r:id="rId17" xr:uid="{00000000-0004-0000-0100-000010000000}"/>
    <hyperlink ref="A19" r:id="rId18" xr:uid="{00000000-0004-0000-0100-000011000000}"/>
    <hyperlink ref="A20" r:id="rId19" xr:uid="{00000000-0004-0000-0100-000012000000}"/>
    <hyperlink ref="A21" r:id="rId20" xr:uid="{00000000-0004-0000-0100-000013000000}"/>
    <hyperlink ref="A22" r:id="rId21" xr:uid="{00000000-0004-0000-0100-000014000000}"/>
    <hyperlink ref="A23" r:id="rId22" xr:uid="{00000000-0004-0000-0100-000015000000}"/>
    <hyperlink ref="A24" r:id="rId23" xr:uid="{00000000-0004-0000-0100-000016000000}"/>
    <hyperlink ref="A25" r:id="rId24" xr:uid="{00000000-0004-0000-0100-000017000000}"/>
    <hyperlink ref="A26" r:id="rId25" xr:uid="{00000000-0004-0000-0100-000018000000}"/>
    <hyperlink ref="A27" r:id="rId26" xr:uid="{00000000-0004-0000-0100-000019000000}"/>
    <hyperlink ref="A28" r:id="rId27" xr:uid="{00000000-0004-0000-0100-00001A000000}"/>
    <hyperlink ref="A29" r:id="rId28" xr:uid="{00000000-0004-0000-0100-00001B000000}"/>
    <hyperlink ref="A30" r:id="rId29" xr:uid="{00000000-0004-0000-0100-00001C000000}"/>
    <hyperlink ref="A31" r:id="rId30" xr:uid="{00000000-0004-0000-0100-00001D000000}"/>
    <hyperlink ref="A32" r:id="rId31" xr:uid="{00000000-0004-0000-0100-00001E000000}"/>
    <hyperlink ref="A33" r:id="rId32" xr:uid="{00000000-0004-0000-0100-00001F000000}"/>
    <hyperlink ref="A34" r:id="rId33" xr:uid="{00000000-0004-0000-0100-000020000000}"/>
    <hyperlink ref="A35" r:id="rId34" xr:uid="{00000000-0004-0000-0100-000021000000}"/>
    <hyperlink ref="A36" r:id="rId35" xr:uid="{00000000-0004-0000-0100-000022000000}"/>
    <hyperlink ref="A37" r:id="rId36" xr:uid="{00000000-0004-0000-0100-000023000000}"/>
    <hyperlink ref="A38" r:id="rId37" xr:uid="{00000000-0004-0000-0100-000024000000}"/>
    <hyperlink ref="A39" r:id="rId38" xr:uid="{00000000-0004-0000-0100-000025000000}"/>
    <hyperlink ref="A40" r:id="rId39" xr:uid="{00000000-0004-0000-0100-000026000000}"/>
    <hyperlink ref="A41" r:id="rId40" xr:uid="{00000000-0004-0000-0100-000027000000}"/>
    <hyperlink ref="A42" r:id="rId41" xr:uid="{00000000-0004-0000-0100-000028000000}"/>
    <hyperlink ref="A43" r:id="rId42" xr:uid="{00000000-0004-0000-0100-000029000000}"/>
    <hyperlink ref="A44" r:id="rId43" xr:uid="{00000000-0004-0000-0100-00002A000000}"/>
    <hyperlink ref="A45" r:id="rId44" xr:uid="{00000000-0004-0000-0100-00002B000000}"/>
    <hyperlink ref="A46" r:id="rId45" xr:uid="{00000000-0004-0000-0100-00002C000000}"/>
    <hyperlink ref="A47" r:id="rId46" xr:uid="{00000000-0004-0000-0100-00002D000000}"/>
    <hyperlink ref="A48" r:id="rId47" xr:uid="{00000000-0004-0000-0100-00002E000000}"/>
    <hyperlink ref="A49" r:id="rId48" xr:uid="{00000000-0004-0000-0100-00002F000000}"/>
    <hyperlink ref="A50" r:id="rId49" xr:uid="{00000000-0004-0000-0100-000030000000}"/>
    <hyperlink ref="A51" r:id="rId50" xr:uid="{00000000-0004-0000-0100-000031000000}"/>
    <hyperlink ref="A52" r:id="rId51" xr:uid="{00000000-0004-0000-0100-000032000000}"/>
    <hyperlink ref="A53" r:id="rId52" xr:uid="{00000000-0004-0000-0100-000033000000}"/>
    <hyperlink ref="A54" r:id="rId53" xr:uid="{00000000-0004-0000-0100-000034000000}"/>
    <hyperlink ref="A55" r:id="rId54" xr:uid="{00000000-0004-0000-0100-000035000000}"/>
    <hyperlink ref="A56" r:id="rId55" xr:uid="{00000000-0004-0000-0100-000036000000}"/>
    <hyperlink ref="A57" r:id="rId56" xr:uid="{00000000-0004-0000-0100-000037000000}"/>
    <hyperlink ref="A58" r:id="rId57" xr:uid="{00000000-0004-0000-0100-000038000000}"/>
    <hyperlink ref="A59" r:id="rId58" xr:uid="{00000000-0004-0000-0100-000039000000}"/>
    <hyperlink ref="A60" r:id="rId59" xr:uid="{00000000-0004-0000-0100-00003A000000}"/>
    <hyperlink ref="A61" r:id="rId60" xr:uid="{00000000-0004-0000-0100-00003B000000}"/>
    <hyperlink ref="A62" r:id="rId61" xr:uid="{00000000-0004-0000-0100-00003C000000}"/>
    <hyperlink ref="A63" r:id="rId62" xr:uid="{00000000-0004-0000-0100-00003D000000}"/>
    <hyperlink ref="A64" r:id="rId63" xr:uid="{00000000-0004-0000-0100-00003E000000}"/>
    <hyperlink ref="A65" r:id="rId64" xr:uid="{00000000-0004-0000-0100-00003F000000}"/>
    <hyperlink ref="A66" r:id="rId65" xr:uid="{00000000-0004-0000-0100-000040000000}"/>
    <hyperlink ref="A67" r:id="rId66" xr:uid="{00000000-0004-0000-0100-000041000000}"/>
    <hyperlink ref="A68" r:id="rId67" xr:uid="{00000000-0004-0000-0100-000042000000}"/>
    <hyperlink ref="A69" r:id="rId68" xr:uid="{00000000-0004-0000-0100-000043000000}"/>
    <hyperlink ref="A70" r:id="rId69" xr:uid="{00000000-0004-0000-0100-000044000000}"/>
    <hyperlink ref="A71" r:id="rId70" xr:uid="{00000000-0004-0000-0100-000045000000}"/>
    <hyperlink ref="A72" r:id="rId71" xr:uid="{00000000-0004-0000-0100-000046000000}"/>
    <hyperlink ref="A73" r:id="rId72" xr:uid="{00000000-0004-0000-0100-000047000000}"/>
    <hyperlink ref="A74" r:id="rId73" xr:uid="{00000000-0004-0000-0100-000048000000}"/>
    <hyperlink ref="A75" r:id="rId74" xr:uid="{00000000-0004-0000-0100-000049000000}"/>
    <hyperlink ref="A76" r:id="rId75" xr:uid="{00000000-0004-0000-0100-00004A000000}"/>
    <hyperlink ref="A77" r:id="rId76" xr:uid="{00000000-0004-0000-0100-00004B000000}"/>
    <hyperlink ref="A78" r:id="rId77" xr:uid="{00000000-0004-0000-0100-00004C000000}"/>
    <hyperlink ref="A79" r:id="rId78" xr:uid="{00000000-0004-0000-0100-00004D000000}"/>
    <hyperlink ref="A80" r:id="rId79" xr:uid="{00000000-0004-0000-0100-00004E000000}"/>
    <hyperlink ref="A81" r:id="rId80" xr:uid="{00000000-0004-0000-0100-00004F000000}"/>
    <hyperlink ref="A82" r:id="rId81" xr:uid="{00000000-0004-0000-0100-000050000000}"/>
    <hyperlink ref="A83" r:id="rId82" xr:uid="{00000000-0004-0000-0100-000051000000}"/>
    <hyperlink ref="A84" r:id="rId83" xr:uid="{00000000-0004-0000-0100-000052000000}"/>
    <hyperlink ref="A85" r:id="rId84" xr:uid="{00000000-0004-0000-0100-000053000000}"/>
    <hyperlink ref="A86" r:id="rId85" xr:uid="{00000000-0004-0000-0100-000054000000}"/>
    <hyperlink ref="A87" r:id="rId86" xr:uid="{00000000-0004-0000-0100-000055000000}"/>
    <hyperlink ref="A88" r:id="rId87" xr:uid="{00000000-0004-0000-0100-000056000000}"/>
    <hyperlink ref="A89" r:id="rId88" xr:uid="{00000000-0004-0000-0100-000057000000}"/>
    <hyperlink ref="A90" r:id="rId89" xr:uid="{00000000-0004-0000-0100-000058000000}"/>
    <hyperlink ref="A91" r:id="rId90" xr:uid="{00000000-0004-0000-0100-000059000000}"/>
    <hyperlink ref="A92" r:id="rId91" xr:uid="{00000000-0004-0000-0100-00005A000000}"/>
    <hyperlink ref="A93" r:id="rId92" xr:uid="{00000000-0004-0000-0100-00005B000000}"/>
    <hyperlink ref="A94" r:id="rId93" xr:uid="{00000000-0004-0000-0100-00005C000000}"/>
    <hyperlink ref="A95" r:id="rId94" xr:uid="{00000000-0004-0000-0100-00005D000000}"/>
    <hyperlink ref="A96" r:id="rId95" xr:uid="{00000000-0004-0000-0100-00005E000000}"/>
    <hyperlink ref="A97" r:id="rId96" xr:uid="{00000000-0004-0000-0100-00005F000000}"/>
    <hyperlink ref="A98" r:id="rId97" xr:uid="{00000000-0004-0000-0100-000060000000}"/>
    <hyperlink ref="A99" r:id="rId98" xr:uid="{00000000-0004-0000-0100-000061000000}"/>
    <hyperlink ref="A100" r:id="rId99" xr:uid="{00000000-0004-0000-0100-000062000000}"/>
    <hyperlink ref="A101" r:id="rId100" xr:uid="{00000000-0004-0000-0100-000063000000}"/>
    <hyperlink ref="A102" r:id="rId101" xr:uid="{00000000-0004-0000-0100-000064000000}"/>
    <hyperlink ref="A103" r:id="rId102" xr:uid="{00000000-0004-0000-0100-000065000000}"/>
    <hyperlink ref="A104" r:id="rId103" xr:uid="{00000000-0004-0000-0100-000066000000}"/>
    <hyperlink ref="A105" r:id="rId104" xr:uid="{00000000-0004-0000-0100-000067000000}"/>
    <hyperlink ref="A106" r:id="rId105" xr:uid="{00000000-0004-0000-0100-000068000000}"/>
    <hyperlink ref="A107" r:id="rId106" xr:uid="{00000000-0004-0000-0100-000069000000}"/>
    <hyperlink ref="A108" r:id="rId107" xr:uid="{00000000-0004-0000-0100-00006A000000}"/>
    <hyperlink ref="A109" r:id="rId108" xr:uid="{00000000-0004-0000-0100-00006B000000}"/>
    <hyperlink ref="A110" r:id="rId109" xr:uid="{00000000-0004-0000-0100-00006C000000}"/>
    <hyperlink ref="A111" r:id="rId110" xr:uid="{00000000-0004-0000-0100-00006D000000}"/>
    <hyperlink ref="A112" r:id="rId111" xr:uid="{00000000-0004-0000-0100-00006E000000}"/>
    <hyperlink ref="A113" r:id="rId112" xr:uid="{00000000-0004-0000-0100-00006F000000}"/>
    <hyperlink ref="A114" r:id="rId113" xr:uid="{00000000-0004-0000-0100-000070000000}"/>
    <hyperlink ref="A115" r:id="rId114" xr:uid="{00000000-0004-0000-0100-000071000000}"/>
    <hyperlink ref="A116" r:id="rId115" xr:uid="{00000000-0004-0000-0100-000072000000}"/>
    <hyperlink ref="A117" r:id="rId116" xr:uid="{00000000-0004-0000-0100-000073000000}"/>
    <hyperlink ref="A118" r:id="rId117" xr:uid="{00000000-0004-0000-0100-000074000000}"/>
    <hyperlink ref="A119" r:id="rId118" xr:uid="{00000000-0004-0000-0100-000075000000}"/>
    <hyperlink ref="A120" r:id="rId119" xr:uid="{00000000-0004-0000-0100-000076000000}"/>
    <hyperlink ref="A121" r:id="rId120" xr:uid="{00000000-0004-0000-0100-000077000000}"/>
    <hyperlink ref="A122" r:id="rId121" xr:uid="{00000000-0004-0000-0100-000078000000}"/>
    <hyperlink ref="A123" r:id="rId122" xr:uid="{00000000-0004-0000-0100-000079000000}"/>
    <hyperlink ref="A124" r:id="rId123" xr:uid="{00000000-0004-0000-0100-00007A000000}"/>
    <hyperlink ref="A125" r:id="rId124" xr:uid="{00000000-0004-0000-0100-00007B000000}"/>
    <hyperlink ref="A126" r:id="rId125" xr:uid="{00000000-0004-0000-0100-00007C000000}"/>
    <hyperlink ref="A127" r:id="rId126" xr:uid="{00000000-0004-0000-0100-00007D000000}"/>
    <hyperlink ref="A128" r:id="rId127" xr:uid="{00000000-0004-0000-0100-00007E000000}"/>
    <hyperlink ref="A129" r:id="rId128" xr:uid="{00000000-0004-0000-0100-00007F000000}"/>
    <hyperlink ref="A130" r:id="rId129" xr:uid="{00000000-0004-0000-0100-000080000000}"/>
    <hyperlink ref="A131" r:id="rId130" xr:uid="{00000000-0004-0000-0100-000081000000}"/>
    <hyperlink ref="A132" r:id="rId131" xr:uid="{00000000-0004-0000-0100-000082000000}"/>
    <hyperlink ref="A133" r:id="rId132" xr:uid="{00000000-0004-0000-0100-000083000000}"/>
    <hyperlink ref="A134" r:id="rId133" xr:uid="{00000000-0004-0000-0100-000084000000}"/>
    <hyperlink ref="A135" r:id="rId134" xr:uid="{00000000-0004-0000-0100-000085000000}"/>
    <hyperlink ref="A136" r:id="rId135" xr:uid="{00000000-0004-0000-0100-000086000000}"/>
    <hyperlink ref="A137" r:id="rId136" xr:uid="{00000000-0004-0000-0100-000087000000}"/>
    <hyperlink ref="A138" r:id="rId137" xr:uid="{00000000-0004-0000-0100-000088000000}"/>
    <hyperlink ref="A139" r:id="rId138" xr:uid="{00000000-0004-0000-0100-000089000000}"/>
    <hyperlink ref="A140" r:id="rId139" xr:uid="{00000000-0004-0000-0100-00008A000000}"/>
    <hyperlink ref="A141" r:id="rId140" xr:uid="{00000000-0004-0000-0100-00008B000000}"/>
    <hyperlink ref="A142" r:id="rId141" xr:uid="{00000000-0004-0000-0100-00008C000000}"/>
    <hyperlink ref="A143" r:id="rId142" xr:uid="{00000000-0004-0000-0100-00008D000000}"/>
    <hyperlink ref="A144" r:id="rId143" xr:uid="{00000000-0004-0000-0100-00008E000000}"/>
    <hyperlink ref="A145" r:id="rId144" xr:uid="{00000000-0004-0000-0100-00008F000000}"/>
    <hyperlink ref="A146" r:id="rId145" xr:uid="{00000000-0004-0000-0100-000090000000}"/>
    <hyperlink ref="A147" r:id="rId146" xr:uid="{00000000-0004-0000-0100-000091000000}"/>
    <hyperlink ref="A148" r:id="rId147" xr:uid="{00000000-0004-0000-0100-000092000000}"/>
    <hyperlink ref="A149" r:id="rId148" xr:uid="{00000000-0004-0000-0100-000093000000}"/>
    <hyperlink ref="A150" r:id="rId149" xr:uid="{00000000-0004-0000-0100-000094000000}"/>
    <hyperlink ref="A151" r:id="rId150" xr:uid="{00000000-0004-0000-0100-000095000000}"/>
    <hyperlink ref="A152" r:id="rId151" xr:uid="{00000000-0004-0000-0100-000096000000}"/>
    <hyperlink ref="A153" r:id="rId152" xr:uid="{00000000-0004-0000-0100-000097000000}"/>
    <hyperlink ref="A154" r:id="rId153" xr:uid="{00000000-0004-0000-0100-000098000000}"/>
    <hyperlink ref="A155" r:id="rId154" display="ESPC360-20914" xr:uid="{00000000-0004-0000-0100-000099000000}"/>
    <hyperlink ref="A156" r:id="rId155" display="ESPC360-20930" xr:uid="{00000000-0004-0000-0100-00009A000000}"/>
    <hyperlink ref="A157" r:id="rId156" display="ESPC360-20931" xr:uid="{00000000-0004-0000-0100-00009B000000}"/>
    <hyperlink ref="A158" r:id="rId157" display="ESPC360-21027" xr:uid="{00000000-0004-0000-0100-00009C000000}"/>
    <hyperlink ref="A159" r:id="rId158" display="ESPC360-21051" xr:uid="{00000000-0004-0000-0100-00009D000000}"/>
    <hyperlink ref="A160" r:id="rId159" display="ESPC360-21068" xr:uid="{00000000-0004-0000-0100-00009E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FB2DA-D28E-43B9-BB39-B34D58312012}">
  <dimension ref="A2:R116"/>
  <sheetViews>
    <sheetView topLeftCell="E58" zoomScale="50" zoomScaleNormal="50" workbookViewId="0">
      <selection activeCell="O45" sqref="O45:P45"/>
    </sheetView>
  </sheetViews>
  <sheetFormatPr baseColWidth="10" defaultRowHeight="15" x14ac:dyDescent="0.25"/>
  <cols>
    <col min="1" max="1" width="27" bestFit="1" customWidth="1"/>
    <col min="2" max="2" width="33" bestFit="1" customWidth="1"/>
    <col min="3" max="3" width="11.28515625" bestFit="1" customWidth="1"/>
    <col min="4" max="4" width="27.5703125" bestFit="1" customWidth="1"/>
    <col min="5" max="5" width="16.140625" bestFit="1" customWidth="1"/>
    <col min="6" max="6" width="18.42578125" bestFit="1" customWidth="1"/>
    <col min="7" max="7" width="17.28515625" bestFit="1" customWidth="1"/>
    <col min="8" max="8" width="18.140625" customWidth="1"/>
    <col min="9" max="9" width="11.85546875" bestFit="1" customWidth="1"/>
    <col min="13" max="13" width="15.85546875" customWidth="1"/>
    <col min="14" max="14" width="16.85546875" customWidth="1"/>
    <col min="15" max="15" width="24.28515625" bestFit="1" customWidth="1"/>
    <col min="16" max="16" width="24.85546875" bestFit="1" customWidth="1"/>
    <col min="17" max="18" width="25.140625" bestFit="1" customWidth="1"/>
  </cols>
  <sheetData>
    <row r="2" spans="1:18" ht="15.75" thickBot="1" x14ac:dyDescent="0.3">
      <c r="A2" s="7" t="s">
        <v>430</v>
      </c>
      <c r="B2" s="7" t="s">
        <v>427</v>
      </c>
    </row>
    <row r="3" spans="1:18" x14ac:dyDescent="0.25">
      <c r="A3" s="7" t="s">
        <v>425</v>
      </c>
      <c r="B3" t="s">
        <v>428</v>
      </c>
      <c r="C3" t="s">
        <v>429</v>
      </c>
      <c r="D3" t="s">
        <v>497</v>
      </c>
      <c r="E3" t="s">
        <v>446</v>
      </c>
      <c r="F3" t="s">
        <v>426</v>
      </c>
      <c r="H3" t="s">
        <v>431</v>
      </c>
      <c r="I3" s="23" t="s">
        <v>433</v>
      </c>
      <c r="J3" s="23" t="s">
        <v>432</v>
      </c>
      <c r="K3" s="12" t="s">
        <v>447</v>
      </c>
      <c r="L3" s="13" t="s">
        <v>434</v>
      </c>
      <c r="M3" s="14" t="s">
        <v>435</v>
      </c>
      <c r="N3" s="15" t="s">
        <v>436</v>
      </c>
      <c r="O3" s="16" t="s">
        <v>448</v>
      </c>
      <c r="P3" s="17" t="s">
        <v>449</v>
      </c>
      <c r="Q3" s="16" t="s">
        <v>438</v>
      </c>
      <c r="R3" s="17" t="s">
        <v>437</v>
      </c>
    </row>
    <row r="4" spans="1:18" x14ac:dyDescent="0.25">
      <c r="A4" s="8">
        <v>45670</v>
      </c>
      <c r="B4" s="22">
        <v>1</v>
      </c>
      <c r="C4" s="22"/>
      <c r="D4" s="22"/>
      <c r="E4" s="22"/>
      <c r="F4" s="22">
        <v>1</v>
      </c>
      <c r="H4" s="21">
        <v>45663</v>
      </c>
      <c r="I4">
        <v>7</v>
      </c>
      <c r="J4">
        <v>17</v>
      </c>
      <c r="K4" s="10"/>
      <c r="L4" s="11"/>
      <c r="M4" s="10">
        <f>I4+J4</f>
        <v>24</v>
      </c>
      <c r="N4" s="11">
        <f>K4+L4</f>
        <v>0</v>
      </c>
      <c r="O4" s="19">
        <f>I4</f>
        <v>7</v>
      </c>
      <c r="P4" s="20">
        <f>J4</f>
        <v>17</v>
      </c>
      <c r="Q4" s="19">
        <f>K4</f>
        <v>0</v>
      </c>
      <c r="R4" s="20">
        <f>L4</f>
        <v>0</v>
      </c>
    </row>
    <row r="5" spans="1:18" x14ac:dyDescent="0.25">
      <c r="A5" s="8">
        <v>45677</v>
      </c>
      <c r="B5" s="22"/>
      <c r="C5" s="22">
        <v>5</v>
      </c>
      <c r="D5" s="22"/>
      <c r="E5" s="22"/>
      <c r="F5" s="22">
        <v>5</v>
      </c>
      <c r="H5" s="21">
        <v>45670</v>
      </c>
      <c r="K5" s="10">
        <v>1</v>
      </c>
      <c r="L5" s="11"/>
      <c r="M5" s="10"/>
      <c r="N5" s="11">
        <f t="shared" ref="N5:N42" si="0">K5+L5</f>
        <v>1</v>
      </c>
      <c r="O5" s="19">
        <f t="shared" ref="O5:R6" si="1">O4+I5</f>
        <v>7</v>
      </c>
      <c r="P5" s="20">
        <f t="shared" si="1"/>
        <v>17</v>
      </c>
      <c r="Q5" s="19">
        <f t="shared" si="1"/>
        <v>1</v>
      </c>
      <c r="R5" s="20">
        <f t="shared" si="1"/>
        <v>0</v>
      </c>
    </row>
    <row r="6" spans="1:18" x14ac:dyDescent="0.25">
      <c r="A6" s="8">
        <v>45684</v>
      </c>
      <c r="B6" s="22">
        <v>7</v>
      </c>
      <c r="C6" s="22"/>
      <c r="D6" s="22"/>
      <c r="E6" s="22"/>
      <c r="F6" s="22">
        <v>7</v>
      </c>
      <c r="H6" s="21">
        <v>45677</v>
      </c>
      <c r="I6">
        <v>4</v>
      </c>
      <c r="K6" s="10"/>
      <c r="L6" s="11">
        <v>5</v>
      </c>
      <c r="M6" s="10">
        <f t="shared" ref="M6:M46" si="2">I6+J6</f>
        <v>4</v>
      </c>
      <c r="N6" s="11">
        <f t="shared" si="0"/>
        <v>5</v>
      </c>
      <c r="O6" s="19">
        <f t="shared" si="1"/>
        <v>11</v>
      </c>
      <c r="P6" s="20">
        <f t="shared" si="1"/>
        <v>17</v>
      </c>
      <c r="Q6" s="19">
        <f t="shared" si="1"/>
        <v>1</v>
      </c>
      <c r="R6" s="20">
        <f t="shared" si="1"/>
        <v>5</v>
      </c>
    </row>
    <row r="7" spans="1:18" x14ac:dyDescent="0.25">
      <c r="A7" s="8">
        <v>45698</v>
      </c>
      <c r="B7" s="22">
        <v>1</v>
      </c>
      <c r="C7" s="22">
        <v>1</v>
      </c>
      <c r="D7" s="22"/>
      <c r="E7" s="22"/>
      <c r="F7" s="22">
        <v>2</v>
      </c>
      <c r="H7" s="21">
        <v>45684</v>
      </c>
      <c r="J7">
        <v>3</v>
      </c>
      <c r="K7" s="10">
        <v>7</v>
      </c>
      <c r="L7" s="11"/>
      <c r="M7" s="10">
        <f t="shared" si="2"/>
        <v>3</v>
      </c>
      <c r="N7" s="11">
        <f t="shared" si="0"/>
        <v>7</v>
      </c>
      <c r="O7" s="19">
        <f>O6+I7</f>
        <v>11</v>
      </c>
      <c r="P7" s="20">
        <f t="shared" ref="P7:P46" si="3">P6+J7</f>
        <v>20</v>
      </c>
      <c r="Q7" s="19">
        <f>Q6+K7</f>
        <v>8</v>
      </c>
      <c r="R7" s="20">
        <f>R6+L7</f>
        <v>5</v>
      </c>
    </row>
    <row r="8" spans="1:18" x14ac:dyDescent="0.25">
      <c r="A8" s="8">
        <v>45705</v>
      </c>
      <c r="B8" s="22"/>
      <c r="C8" s="22">
        <v>3</v>
      </c>
      <c r="D8" s="22"/>
      <c r="E8" s="22"/>
      <c r="F8" s="22">
        <v>3</v>
      </c>
      <c r="H8" s="21">
        <v>45691</v>
      </c>
      <c r="I8">
        <v>1</v>
      </c>
      <c r="K8" s="10"/>
      <c r="L8" s="11"/>
      <c r="M8" s="10">
        <f t="shared" si="2"/>
        <v>1</v>
      </c>
      <c r="N8" s="11">
        <f t="shared" si="0"/>
        <v>0</v>
      </c>
      <c r="O8" s="19">
        <f t="shared" ref="O8:O46" si="4">O7+I8</f>
        <v>12</v>
      </c>
      <c r="P8" s="20">
        <f t="shared" si="3"/>
        <v>20</v>
      </c>
      <c r="Q8" s="19">
        <f>Q7+K8</f>
        <v>8</v>
      </c>
      <c r="R8" s="20">
        <f t="shared" ref="R8:R46" si="5">R7+L8</f>
        <v>5</v>
      </c>
    </row>
    <row r="9" spans="1:18" x14ac:dyDescent="0.25">
      <c r="A9" s="8">
        <v>45712</v>
      </c>
      <c r="B9" s="22">
        <v>1</v>
      </c>
      <c r="C9" s="22">
        <v>5</v>
      </c>
      <c r="D9" s="22"/>
      <c r="E9" s="22"/>
      <c r="F9" s="22">
        <v>6</v>
      </c>
      <c r="H9" s="21">
        <v>45698</v>
      </c>
      <c r="J9">
        <v>3</v>
      </c>
      <c r="K9" s="10">
        <v>1</v>
      </c>
      <c r="L9" s="11">
        <v>1</v>
      </c>
      <c r="M9" s="10">
        <f t="shared" si="2"/>
        <v>3</v>
      </c>
      <c r="N9" s="11">
        <f t="shared" si="0"/>
        <v>2</v>
      </c>
      <c r="O9" s="19">
        <f t="shared" si="4"/>
        <v>12</v>
      </c>
      <c r="P9" s="20">
        <f t="shared" si="3"/>
        <v>23</v>
      </c>
      <c r="Q9" s="19">
        <f t="shared" ref="Q9:Q46" si="6">Q8+K9</f>
        <v>9</v>
      </c>
      <c r="R9" s="20">
        <f t="shared" si="5"/>
        <v>6</v>
      </c>
    </row>
    <row r="10" spans="1:18" x14ac:dyDescent="0.25">
      <c r="A10" s="8">
        <v>45719</v>
      </c>
      <c r="B10" s="22"/>
      <c r="C10" s="22">
        <v>13</v>
      </c>
      <c r="D10" s="22"/>
      <c r="E10" s="22"/>
      <c r="F10" s="22">
        <v>13</v>
      </c>
      <c r="H10" s="21">
        <v>45705</v>
      </c>
      <c r="J10">
        <v>7</v>
      </c>
      <c r="K10" s="10"/>
      <c r="L10" s="11">
        <v>3</v>
      </c>
      <c r="M10" s="10">
        <f t="shared" si="2"/>
        <v>7</v>
      </c>
      <c r="N10" s="11">
        <f t="shared" si="0"/>
        <v>3</v>
      </c>
      <c r="O10" s="19">
        <f t="shared" si="4"/>
        <v>12</v>
      </c>
      <c r="P10" s="20">
        <f t="shared" si="3"/>
        <v>30</v>
      </c>
      <c r="Q10" s="19">
        <f t="shared" si="6"/>
        <v>9</v>
      </c>
      <c r="R10" s="20">
        <f t="shared" si="5"/>
        <v>9</v>
      </c>
    </row>
    <row r="11" spans="1:18" x14ac:dyDescent="0.25">
      <c r="A11" s="8">
        <v>45726</v>
      </c>
      <c r="B11" s="22"/>
      <c r="C11" s="22">
        <v>1</v>
      </c>
      <c r="D11" s="22"/>
      <c r="E11" s="22"/>
      <c r="F11" s="22">
        <v>1</v>
      </c>
      <c r="H11" s="21">
        <v>45712</v>
      </c>
      <c r="I11">
        <v>1</v>
      </c>
      <c r="J11">
        <v>2</v>
      </c>
      <c r="K11" s="10">
        <v>1</v>
      </c>
      <c r="L11" s="11">
        <v>5</v>
      </c>
      <c r="M11" s="10">
        <f t="shared" si="2"/>
        <v>3</v>
      </c>
      <c r="N11" s="11">
        <f t="shared" si="0"/>
        <v>6</v>
      </c>
      <c r="O11" s="19">
        <f t="shared" si="4"/>
        <v>13</v>
      </c>
      <c r="P11" s="20">
        <f t="shared" si="3"/>
        <v>32</v>
      </c>
      <c r="Q11" s="19">
        <f t="shared" si="6"/>
        <v>10</v>
      </c>
      <c r="R11" s="20">
        <f t="shared" si="5"/>
        <v>14</v>
      </c>
    </row>
    <row r="12" spans="1:18" x14ac:dyDescent="0.25">
      <c r="A12" s="8">
        <v>45733</v>
      </c>
      <c r="B12" s="22">
        <v>4</v>
      </c>
      <c r="C12" s="22">
        <v>4</v>
      </c>
      <c r="D12" s="22"/>
      <c r="E12" s="22"/>
      <c r="F12" s="22">
        <v>8</v>
      </c>
      <c r="H12" s="21">
        <v>45719</v>
      </c>
      <c r="I12">
        <v>1</v>
      </c>
      <c r="J12">
        <v>5</v>
      </c>
      <c r="K12" s="10"/>
      <c r="L12" s="11">
        <v>13</v>
      </c>
      <c r="M12" s="10">
        <f t="shared" si="2"/>
        <v>6</v>
      </c>
      <c r="N12" s="11">
        <f t="shared" si="0"/>
        <v>13</v>
      </c>
      <c r="O12" s="19">
        <f t="shared" si="4"/>
        <v>14</v>
      </c>
      <c r="P12" s="20">
        <f t="shared" si="3"/>
        <v>37</v>
      </c>
      <c r="Q12" s="19">
        <f t="shared" si="6"/>
        <v>10</v>
      </c>
      <c r="R12" s="20">
        <f t="shared" si="5"/>
        <v>27</v>
      </c>
    </row>
    <row r="13" spans="1:18" x14ac:dyDescent="0.25">
      <c r="A13" s="8">
        <v>45740</v>
      </c>
      <c r="B13" s="22">
        <v>1</v>
      </c>
      <c r="C13" s="22">
        <v>1</v>
      </c>
      <c r="D13" s="22"/>
      <c r="E13" s="22"/>
      <c r="F13" s="22">
        <v>2</v>
      </c>
      <c r="H13" s="21">
        <v>45726</v>
      </c>
      <c r="I13">
        <v>1</v>
      </c>
      <c r="J13">
        <v>3</v>
      </c>
      <c r="K13" s="10"/>
      <c r="L13" s="11">
        <v>1</v>
      </c>
      <c r="M13" s="10">
        <f t="shared" si="2"/>
        <v>4</v>
      </c>
      <c r="N13" s="11">
        <f t="shared" si="0"/>
        <v>1</v>
      </c>
      <c r="O13" s="19">
        <f t="shared" si="4"/>
        <v>15</v>
      </c>
      <c r="P13" s="20">
        <f t="shared" si="3"/>
        <v>40</v>
      </c>
      <c r="Q13" s="19">
        <f t="shared" si="6"/>
        <v>10</v>
      </c>
      <c r="R13" s="20">
        <f t="shared" si="5"/>
        <v>28</v>
      </c>
    </row>
    <row r="14" spans="1:18" x14ac:dyDescent="0.25">
      <c r="A14" s="8">
        <v>45747</v>
      </c>
      <c r="B14" s="22">
        <v>2</v>
      </c>
      <c r="C14" s="22">
        <v>6</v>
      </c>
      <c r="D14" s="22"/>
      <c r="E14" s="22"/>
      <c r="F14" s="22">
        <v>8</v>
      </c>
      <c r="H14" s="21">
        <v>45733</v>
      </c>
      <c r="I14">
        <v>2</v>
      </c>
      <c r="J14">
        <v>4</v>
      </c>
      <c r="K14" s="10">
        <v>4</v>
      </c>
      <c r="L14" s="11">
        <v>4</v>
      </c>
      <c r="M14" s="10">
        <f t="shared" si="2"/>
        <v>6</v>
      </c>
      <c r="N14" s="11">
        <f t="shared" si="0"/>
        <v>8</v>
      </c>
      <c r="O14" s="19">
        <f t="shared" si="4"/>
        <v>17</v>
      </c>
      <c r="P14" s="20">
        <f t="shared" si="3"/>
        <v>44</v>
      </c>
      <c r="Q14" s="19">
        <f t="shared" si="6"/>
        <v>14</v>
      </c>
      <c r="R14" s="20">
        <f t="shared" si="5"/>
        <v>32</v>
      </c>
    </row>
    <row r="15" spans="1:18" x14ac:dyDescent="0.25">
      <c r="A15" s="8">
        <v>45754</v>
      </c>
      <c r="B15" s="22">
        <v>4</v>
      </c>
      <c r="C15" s="22">
        <v>8</v>
      </c>
      <c r="D15" s="22"/>
      <c r="E15" s="22"/>
      <c r="F15" s="22">
        <v>12</v>
      </c>
      <c r="H15" s="21">
        <v>45740</v>
      </c>
      <c r="I15">
        <v>1</v>
      </c>
      <c r="J15">
        <v>3</v>
      </c>
      <c r="K15" s="10">
        <v>1</v>
      </c>
      <c r="L15" s="11">
        <v>1</v>
      </c>
      <c r="M15" s="10">
        <f t="shared" si="2"/>
        <v>4</v>
      </c>
      <c r="N15" s="11">
        <f t="shared" si="0"/>
        <v>2</v>
      </c>
      <c r="O15" s="19">
        <f t="shared" si="4"/>
        <v>18</v>
      </c>
      <c r="P15" s="20">
        <f t="shared" si="3"/>
        <v>47</v>
      </c>
      <c r="Q15" s="19">
        <f t="shared" si="6"/>
        <v>15</v>
      </c>
      <c r="R15" s="20">
        <f t="shared" si="5"/>
        <v>33</v>
      </c>
    </row>
    <row r="16" spans="1:18" x14ac:dyDescent="0.25">
      <c r="A16" s="8">
        <v>45761</v>
      </c>
      <c r="B16" s="22"/>
      <c r="C16" s="22">
        <v>4</v>
      </c>
      <c r="D16" s="22"/>
      <c r="E16" s="22"/>
      <c r="F16" s="22">
        <v>4</v>
      </c>
      <c r="H16" s="21">
        <v>45747</v>
      </c>
      <c r="I16">
        <v>4</v>
      </c>
      <c r="J16">
        <v>2</v>
      </c>
      <c r="K16" s="10">
        <v>2</v>
      </c>
      <c r="L16" s="11">
        <v>6</v>
      </c>
      <c r="M16" s="10">
        <f t="shared" si="2"/>
        <v>6</v>
      </c>
      <c r="N16" s="11">
        <f t="shared" si="0"/>
        <v>8</v>
      </c>
      <c r="O16" s="19">
        <f t="shared" si="4"/>
        <v>22</v>
      </c>
      <c r="P16" s="20">
        <f t="shared" si="3"/>
        <v>49</v>
      </c>
      <c r="Q16" s="19">
        <f t="shared" si="6"/>
        <v>17</v>
      </c>
      <c r="R16" s="20">
        <f t="shared" si="5"/>
        <v>39</v>
      </c>
    </row>
    <row r="17" spans="1:18" x14ac:dyDescent="0.25">
      <c r="A17" s="8">
        <v>45768</v>
      </c>
      <c r="B17" s="22"/>
      <c r="C17" s="22">
        <v>3</v>
      </c>
      <c r="D17" s="22"/>
      <c r="E17" s="22"/>
      <c r="F17" s="22">
        <v>3</v>
      </c>
      <c r="H17" s="21">
        <v>45754</v>
      </c>
      <c r="I17">
        <v>1</v>
      </c>
      <c r="J17">
        <v>3</v>
      </c>
      <c r="K17" s="10">
        <v>4</v>
      </c>
      <c r="L17" s="11">
        <v>8</v>
      </c>
      <c r="M17" s="10">
        <f t="shared" si="2"/>
        <v>4</v>
      </c>
      <c r="N17" s="11">
        <f t="shared" si="0"/>
        <v>12</v>
      </c>
      <c r="O17" s="19">
        <f t="shared" si="4"/>
        <v>23</v>
      </c>
      <c r="P17" s="20">
        <f t="shared" si="3"/>
        <v>52</v>
      </c>
      <c r="Q17" s="19">
        <f t="shared" si="6"/>
        <v>21</v>
      </c>
      <c r="R17" s="20">
        <f t="shared" si="5"/>
        <v>47</v>
      </c>
    </row>
    <row r="18" spans="1:18" x14ac:dyDescent="0.25">
      <c r="A18" s="8">
        <v>45775</v>
      </c>
      <c r="B18" s="22">
        <v>1</v>
      </c>
      <c r="C18" s="22">
        <v>1</v>
      </c>
      <c r="D18" s="22"/>
      <c r="E18" s="22"/>
      <c r="F18" s="22">
        <v>2</v>
      </c>
      <c r="H18" s="21">
        <v>45761</v>
      </c>
      <c r="K18" s="10"/>
      <c r="L18" s="11">
        <v>4</v>
      </c>
      <c r="M18" s="10">
        <f t="shared" si="2"/>
        <v>0</v>
      </c>
      <c r="N18" s="11">
        <f t="shared" si="0"/>
        <v>4</v>
      </c>
      <c r="O18" s="19">
        <f t="shared" si="4"/>
        <v>23</v>
      </c>
      <c r="P18" s="20">
        <f t="shared" si="3"/>
        <v>52</v>
      </c>
      <c r="Q18" s="19">
        <f t="shared" si="6"/>
        <v>21</v>
      </c>
      <c r="R18" s="20">
        <f t="shared" si="5"/>
        <v>51</v>
      </c>
    </row>
    <row r="19" spans="1:18" x14ac:dyDescent="0.25">
      <c r="A19" s="8">
        <v>45782</v>
      </c>
      <c r="B19" s="22">
        <v>1</v>
      </c>
      <c r="C19" s="22">
        <v>4</v>
      </c>
      <c r="D19" s="22"/>
      <c r="E19" s="22"/>
      <c r="F19" s="22">
        <v>5</v>
      </c>
      <c r="H19" s="21">
        <v>45768</v>
      </c>
      <c r="I19">
        <v>3</v>
      </c>
      <c r="J19">
        <v>4</v>
      </c>
      <c r="K19" s="10"/>
      <c r="L19" s="11">
        <v>3</v>
      </c>
      <c r="M19" s="10">
        <f t="shared" si="2"/>
        <v>7</v>
      </c>
      <c r="N19" s="11">
        <f t="shared" si="0"/>
        <v>3</v>
      </c>
      <c r="O19" s="19">
        <f t="shared" si="4"/>
        <v>26</v>
      </c>
      <c r="P19" s="20">
        <f t="shared" si="3"/>
        <v>56</v>
      </c>
      <c r="Q19" s="19">
        <f t="shared" si="6"/>
        <v>21</v>
      </c>
      <c r="R19" s="20">
        <f t="shared" si="5"/>
        <v>54</v>
      </c>
    </row>
    <row r="20" spans="1:18" x14ac:dyDescent="0.25">
      <c r="A20" s="8">
        <v>45789</v>
      </c>
      <c r="B20" s="22">
        <v>2</v>
      </c>
      <c r="C20" s="22">
        <v>1</v>
      </c>
      <c r="D20" s="22"/>
      <c r="E20" s="22"/>
      <c r="F20" s="22">
        <v>3</v>
      </c>
      <c r="H20" s="21">
        <v>45775</v>
      </c>
      <c r="I20">
        <v>1</v>
      </c>
      <c r="J20">
        <v>2</v>
      </c>
      <c r="K20" s="10">
        <v>1</v>
      </c>
      <c r="L20" s="11">
        <v>1</v>
      </c>
      <c r="M20" s="10">
        <f t="shared" si="2"/>
        <v>3</v>
      </c>
      <c r="N20" s="11">
        <f t="shared" si="0"/>
        <v>2</v>
      </c>
      <c r="O20" s="19">
        <f t="shared" si="4"/>
        <v>27</v>
      </c>
      <c r="P20" s="20">
        <f t="shared" si="3"/>
        <v>58</v>
      </c>
      <c r="Q20" s="19">
        <f t="shared" si="6"/>
        <v>22</v>
      </c>
      <c r="R20" s="20">
        <f t="shared" si="5"/>
        <v>55</v>
      </c>
    </row>
    <row r="21" spans="1:18" x14ac:dyDescent="0.25">
      <c r="A21" s="8">
        <v>45796</v>
      </c>
      <c r="B21" s="22">
        <v>2</v>
      </c>
      <c r="C21" s="22">
        <v>1</v>
      </c>
      <c r="D21" s="22"/>
      <c r="E21" s="22"/>
      <c r="F21" s="22">
        <v>3</v>
      </c>
      <c r="H21" s="21">
        <v>45782</v>
      </c>
      <c r="I21">
        <v>2</v>
      </c>
      <c r="J21">
        <v>4</v>
      </c>
      <c r="K21" s="10">
        <v>1</v>
      </c>
      <c r="L21" s="11">
        <v>4</v>
      </c>
      <c r="M21" s="10">
        <f t="shared" si="2"/>
        <v>6</v>
      </c>
      <c r="N21" s="11">
        <f t="shared" si="0"/>
        <v>5</v>
      </c>
      <c r="O21" s="19">
        <f t="shared" si="4"/>
        <v>29</v>
      </c>
      <c r="P21" s="20">
        <f t="shared" si="3"/>
        <v>62</v>
      </c>
      <c r="Q21" s="19">
        <f t="shared" si="6"/>
        <v>23</v>
      </c>
      <c r="R21" s="20">
        <f t="shared" si="5"/>
        <v>59</v>
      </c>
    </row>
    <row r="22" spans="1:18" x14ac:dyDescent="0.25">
      <c r="A22" s="8">
        <v>45803</v>
      </c>
      <c r="B22" s="22">
        <v>3</v>
      </c>
      <c r="C22" s="22">
        <v>5</v>
      </c>
      <c r="D22" s="22"/>
      <c r="E22" s="22"/>
      <c r="F22" s="22">
        <v>8</v>
      </c>
      <c r="H22" s="21">
        <v>45789</v>
      </c>
      <c r="I22">
        <v>1</v>
      </c>
      <c r="K22" s="10">
        <v>2</v>
      </c>
      <c r="L22" s="11">
        <v>1</v>
      </c>
      <c r="M22" s="10">
        <f t="shared" si="2"/>
        <v>1</v>
      </c>
      <c r="N22" s="11">
        <f t="shared" si="0"/>
        <v>3</v>
      </c>
      <c r="O22" s="19">
        <f t="shared" si="4"/>
        <v>30</v>
      </c>
      <c r="P22" s="20">
        <f t="shared" si="3"/>
        <v>62</v>
      </c>
      <c r="Q22" s="19">
        <f t="shared" si="6"/>
        <v>25</v>
      </c>
      <c r="R22" s="20">
        <f t="shared" si="5"/>
        <v>60</v>
      </c>
    </row>
    <row r="23" spans="1:18" x14ac:dyDescent="0.25">
      <c r="A23" s="8">
        <v>45810</v>
      </c>
      <c r="B23" s="22">
        <v>1</v>
      </c>
      <c r="C23" s="22">
        <v>1</v>
      </c>
      <c r="D23" s="22"/>
      <c r="E23" s="22"/>
      <c r="F23" s="22">
        <v>2</v>
      </c>
      <c r="H23" s="21">
        <v>45796</v>
      </c>
      <c r="I23">
        <v>2</v>
      </c>
      <c r="K23" s="10">
        <v>2</v>
      </c>
      <c r="L23" s="11">
        <v>1</v>
      </c>
      <c r="M23" s="10">
        <f t="shared" si="2"/>
        <v>2</v>
      </c>
      <c r="N23" s="11">
        <f t="shared" si="0"/>
        <v>3</v>
      </c>
      <c r="O23" s="19">
        <f t="shared" si="4"/>
        <v>32</v>
      </c>
      <c r="P23" s="20">
        <f t="shared" si="3"/>
        <v>62</v>
      </c>
      <c r="Q23" s="19">
        <f t="shared" si="6"/>
        <v>27</v>
      </c>
      <c r="R23" s="20">
        <f t="shared" si="5"/>
        <v>61</v>
      </c>
    </row>
    <row r="24" spans="1:18" x14ac:dyDescent="0.25">
      <c r="A24" s="8">
        <v>45817</v>
      </c>
      <c r="B24" s="22">
        <v>1</v>
      </c>
      <c r="C24" s="22">
        <v>2</v>
      </c>
      <c r="D24" s="22"/>
      <c r="E24" s="22"/>
      <c r="F24" s="22">
        <v>3</v>
      </c>
      <c r="H24" s="21">
        <v>45803</v>
      </c>
      <c r="I24">
        <v>4</v>
      </c>
      <c r="J24">
        <v>6</v>
      </c>
      <c r="K24" s="10">
        <v>3</v>
      </c>
      <c r="L24" s="11">
        <v>5</v>
      </c>
      <c r="M24" s="10">
        <f t="shared" si="2"/>
        <v>10</v>
      </c>
      <c r="N24" s="11">
        <f t="shared" si="0"/>
        <v>8</v>
      </c>
      <c r="O24" s="19">
        <f t="shared" si="4"/>
        <v>36</v>
      </c>
      <c r="P24" s="20">
        <f t="shared" si="3"/>
        <v>68</v>
      </c>
      <c r="Q24" s="19">
        <f t="shared" si="6"/>
        <v>30</v>
      </c>
      <c r="R24" s="20">
        <f t="shared" si="5"/>
        <v>66</v>
      </c>
    </row>
    <row r="25" spans="1:18" x14ac:dyDescent="0.25">
      <c r="A25" s="8">
        <v>45824</v>
      </c>
      <c r="B25" s="22">
        <v>5</v>
      </c>
      <c r="C25" s="22">
        <v>2</v>
      </c>
      <c r="D25" s="22"/>
      <c r="E25" s="22"/>
      <c r="F25" s="22">
        <v>7</v>
      </c>
      <c r="H25" s="21">
        <v>45810</v>
      </c>
      <c r="I25">
        <v>2</v>
      </c>
      <c r="K25" s="10">
        <v>1</v>
      </c>
      <c r="L25" s="11">
        <v>1</v>
      </c>
      <c r="M25" s="10">
        <f t="shared" si="2"/>
        <v>2</v>
      </c>
      <c r="N25" s="11">
        <f t="shared" si="0"/>
        <v>2</v>
      </c>
      <c r="O25" s="19">
        <f t="shared" si="4"/>
        <v>38</v>
      </c>
      <c r="P25" s="20">
        <f t="shared" si="3"/>
        <v>68</v>
      </c>
      <c r="Q25" s="19">
        <f t="shared" si="6"/>
        <v>31</v>
      </c>
      <c r="R25" s="20">
        <f t="shared" si="5"/>
        <v>67</v>
      </c>
    </row>
    <row r="26" spans="1:18" x14ac:dyDescent="0.25">
      <c r="A26" s="8">
        <v>45831</v>
      </c>
      <c r="B26" s="22">
        <v>1</v>
      </c>
      <c r="C26" s="22">
        <v>2</v>
      </c>
      <c r="D26" s="22"/>
      <c r="E26" s="22"/>
      <c r="F26" s="22">
        <v>3</v>
      </c>
      <c r="H26" s="21">
        <v>45817</v>
      </c>
      <c r="I26">
        <v>1</v>
      </c>
      <c r="J26">
        <v>5</v>
      </c>
      <c r="K26" s="10">
        <v>1</v>
      </c>
      <c r="L26" s="11">
        <v>2</v>
      </c>
      <c r="M26" s="10">
        <f t="shared" si="2"/>
        <v>6</v>
      </c>
      <c r="N26" s="11">
        <f t="shared" si="0"/>
        <v>3</v>
      </c>
      <c r="O26" s="19">
        <f t="shared" si="4"/>
        <v>39</v>
      </c>
      <c r="P26" s="20">
        <f t="shared" si="3"/>
        <v>73</v>
      </c>
      <c r="Q26" s="19">
        <f t="shared" si="6"/>
        <v>32</v>
      </c>
      <c r="R26" s="20">
        <f t="shared" si="5"/>
        <v>69</v>
      </c>
    </row>
    <row r="27" spans="1:18" x14ac:dyDescent="0.25">
      <c r="A27" s="8">
        <v>45838</v>
      </c>
      <c r="B27" s="22">
        <v>1</v>
      </c>
      <c r="C27" s="22">
        <v>1</v>
      </c>
      <c r="D27" s="22"/>
      <c r="E27" s="22"/>
      <c r="F27" s="22">
        <v>2</v>
      </c>
      <c r="H27" s="21">
        <v>45824</v>
      </c>
      <c r="I27">
        <v>2</v>
      </c>
      <c r="J27">
        <v>2</v>
      </c>
      <c r="K27" s="10">
        <v>5</v>
      </c>
      <c r="L27" s="11">
        <v>2</v>
      </c>
      <c r="M27" s="10">
        <f t="shared" si="2"/>
        <v>4</v>
      </c>
      <c r="N27" s="11">
        <f t="shared" si="0"/>
        <v>7</v>
      </c>
      <c r="O27" s="19">
        <f t="shared" si="4"/>
        <v>41</v>
      </c>
      <c r="P27" s="20">
        <f t="shared" si="3"/>
        <v>75</v>
      </c>
      <c r="Q27" s="19">
        <f t="shared" si="6"/>
        <v>37</v>
      </c>
      <c r="R27" s="20">
        <f t="shared" si="5"/>
        <v>71</v>
      </c>
    </row>
    <row r="28" spans="1:18" x14ac:dyDescent="0.25">
      <c r="A28" s="8">
        <v>45845</v>
      </c>
      <c r="B28" s="22">
        <v>4</v>
      </c>
      <c r="C28" s="22"/>
      <c r="D28" s="22"/>
      <c r="E28" s="22"/>
      <c r="F28" s="22">
        <v>4</v>
      </c>
      <c r="H28" s="21">
        <v>45831</v>
      </c>
      <c r="I28">
        <v>3</v>
      </c>
      <c r="K28" s="10">
        <v>1</v>
      </c>
      <c r="L28" s="11">
        <v>2</v>
      </c>
      <c r="M28" s="10">
        <f t="shared" si="2"/>
        <v>3</v>
      </c>
      <c r="N28" s="11">
        <f t="shared" si="0"/>
        <v>3</v>
      </c>
      <c r="O28" s="19">
        <f t="shared" si="4"/>
        <v>44</v>
      </c>
      <c r="P28" s="20">
        <f t="shared" si="3"/>
        <v>75</v>
      </c>
      <c r="Q28" s="19">
        <f t="shared" si="6"/>
        <v>38</v>
      </c>
      <c r="R28" s="20">
        <f t="shared" si="5"/>
        <v>73</v>
      </c>
    </row>
    <row r="29" spans="1:18" x14ac:dyDescent="0.25">
      <c r="A29" s="8">
        <v>45852</v>
      </c>
      <c r="B29" s="22">
        <v>3</v>
      </c>
      <c r="C29" s="22"/>
      <c r="D29" s="22"/>
      <c r="E29" s="22"/>
      <c r="F29" s="22">
        <v>3</v>
      </c>
      <c r="H29" s="21">
        <v>45838</v>
      </c>
      <c r="I29">
        <v>5</v>
      </c>
      <c r="K29" s="10">
        <v>1</v>
      </c>
      <c r="L29" s="11">
        <v>1</v>
      </c>
      <c r="M29" s="10">
        <f t="shared" si="2"/>
        <v>5</v>
      </c>
      <c r="N29" s="11">
        <f t="shared" si="0"/>
        <v>2</v>
      </c>
      <c r="O29" s="19">
        <f t="shared" si="4"/>
        <v>49</v>
      </c>
      <c r="P29" s="20">
        <f t="shared" si="3"/>
        <v>75</v>
      </c>
      <c r="Q29" s="19">
        <f t="shared" si="6"/>
        <v>39</v>
      </c>
      <c r="R29" s="20">
        <f t="shared" si="5"/>
        <v>74</v>
      </c>
    </row>
    <row r="30" spans="1:18" x14ac:dyDescent="0.25">
      <c r="A30" s="8">
        <v>45859</v>
      </c>
      <c r="B30" s="22"/>
      <c r="C30" s="22">
        <v>2</v>
      </c>
      <c r="D30" s="22"/>
      <c r="E30" s="22"/>
      <c r="F30" s="22">
        <v>2</v>
      </c>
      <c r="H30" s="21">
        <v>45845</v>
      </c>
      <c r="I30">
        <v>1</v>
      </c>
      <c r="K30" s="10">
        <v>4</v>
      </c>
      <c r="L30" s="11"/>
      <c r="M30" s="10">
        <f t="shared" si="2"/>
        <v>1</v>
      </c>
      <c r="N30" s="11">
        <f t="shared" si="0"/>
        <v>4</v>
      </c>
      <c r="O30" s="19">
        <f t="shared" si="4"/>
        <v>50</v>
      </c>
      <c r="P30" s="20">
        <f t="shared" si="3"/>
        <v>75</v>
      </c>
      <c r="Q30" s="19">
        <f t="shared" si="6"/>
        <v>43</v>
      </c>
      <c r="R30" s="20">
        <f t="shared" si="5"/>
        <v>74</v>
      </c>
    </row>
    <row r="31" spans="1:18" x14ac:dyDescent="0.25">
      <c r="A31" s="8">
        <v>45866</v>
      </c>
      <c r="B31" s="22">
        <v>2</v>
      </c>
      <c r="C31" s="22">
        <v>2</v>
      </c>
      <c r="D31" s="22"/>
      <c r="E31" s="22"/>
      <c r="F31" s="22">
        <v>4</v>
      </c>
      <c r="H31" s="21">
        <v>45852</v>
      </c>
      <c r="I31">
        <v>1</v>
      </c>
      <c r="J31">
        <v>1</v>
      </c>
      <c r="K31" s="10">
        <v>3</v>
      </c>
      <c r="L31" s="11"/>
      <c r="M31" s="10">
        <f t="shared" si="2"/>
        <v>2</v>
      </c>
      <c r="N31" s="11">
        <f t="shared" si="0"/>
        <v>3</v>
      </c>
      <c r="O31" s="19">
        <f t="shared" si="4"/>
        <v>51</v>
      </c>
      <c r="P31" s="20">
        <f t="shared" si="3"/>
        <v>76</v>
      </c>
      <c r="Q31" s="19">
        <f t="shared" si="6"/>
        <v>46</v>
      </c>
      <c r="R31" s="20">
        <f t="shared" si="5"/>
        <v>74</v>
      </c>
    </row>
    <row r="32" spans="1:18" x14ac:dyDescent="0.25">
      <c r="A32" s="8">
        <v>45873</v>
      </c>
      <c r="B32" s="22">
        <v>3</v>
      </c>
      <c r="C32" s="22"/>
      <c r="D32" s="22"/>
      <c r="E32" s="22"/>
      <c r="F32" s="22">
        <v>3</v>
      </c>
      <c r="H32" s="21">
        <v>45859</v>
      </c>
      <c r="I32">
        <v>2</v>
      </c>
      <c r="J32">
        <v>2</v>
      </c>
      <c r="K32" s="10"/>
      <c r="L32" s="11">
        <v>2</v>
      </c>
      <c r="M32" s="10">
        <f t="shared" si="2"/>
        <v>4</v>
      </c>
      <c r="N32" s="11">
        <f t="shared" si="0"/>
        <v>2</v>
      </c>
      <c r="O32" s="19">
        <f t="shared" si="4"/>
        <v>53</v>
      </c>
      <c r="P32" s="20">
        <f t="shared" si="3"/>
        <v>78</v>
      </c>
      <c r="Q32" s="19">
        <f t="shared" si="6"/>
        <v>46</v>
      </c>
      <c r="R32" s="20">
        <f t="shared" si="5"/>
        <v>76</v>
      </c>
    </row>
    <row r="33" spans="1:18" x14ac:dyDescent="0.25">
      <c r="A33" s="8">
        <v>45880</v>
      </c>
      <c r="B33" s="22"/>
      <c r="C33" s="22">
        <v>1</v>
      </c>
      <c r="D33" s="22"/>
      <c r="E33" s="22"/>
      <c r="F33" s="22">
        <v>1</v>
      </c>
      <c r="H33" s="21">
        <v>45866</v>
      </c>
      <c r="I33">
        <v>2</v>
      </c>
      <c r="J33">
        <v>3</v>
      </c>
      <c r="K33" s="10">
        <v>2</v>
      </c>
      <c r="L33" s="11">
        <v>2</v>
      </c>
      <c r="M33" s="10">
        <f t="shared" si="2"/>
        <v>5</v>
      </c>
      <c r="N33" s="11">
        <f t="shared" si="0"/>
        <v>4</v>
      </c>
      <c r="O33" s="19">
        <f t="shared" si="4"/>
        <v>55</v>
      </c>
      <c r="P33" s="20">
        <f t="shared" si="3"/>
        <v>81</v>
      </c>
      <c r="Q33" s="19">
        <f t="shared" si="6"/>
        <v>48</v>
      </c>
      <c r="R33" s="20">
        <f t="shared" si="5"/>
        <v>78</v>
      </c>
    </row>
    <row r="34" spans="1:18" x14ac:dyDescent="0.25">
      <c r="A34" s="8">
        <v>45887</v>
      </c>
      <c r="B34" s="22">
        <v>2</v>
      </c>
      <c r="C34" s="22">
        <v>1</v>
      </c>
      <c r="D34" s="22"/>
      <c r="E34" s="22"/>
      <c r="F34" s="22">
        <v>3</v>
      </c>
      <c r="H34" s="21">
        <v>45873</v>
      </c>
      <c r="J34">
        <v>2</v>
      </c>
      <c r="K34" s="10">
        <v>3</v>
      </c>
      <c r="L34" s="11"/>
      <c r="M34" s="10">
        <f t="shared" si="2"/>
        <v>2</v>
      </c>
      <c r="N34" s="11">
        <f t="shared" si="0"/>
        <v>3</v>
      </c>
      <c r="O34" s="19">
        <f t="shared" si="4"/>
        <v>55</v>
      </c>
      <c r="P34" s="20">
        <f t="shared" si="3"/>
        <v>83</v>
      </c>
      <c r="Q34" s="19">
        <f t="shared" si="6"/>
        <v>51</v>
      </c>
      <c r="R34" s="20">
        <f t="shared" si="5"/>
        <v>78</v>
      </c>
    </row>
    <row r="35" spans="1:18" x14ac:dyDescent="0.25">
      <c r="A35" s="8">
        <v>45894</v>
      </c>
      <c r="B35" s="22">
        <v>1</v>
      </c>
      <c r="C35" s="22">
        <v>1</v>
      </c>
      <c r="D35" s="22"/>
      <c r="E35" s="22"/>
      <c r="F35" s="22">
        <v>2</v>
      </c>
      <c r="H35" s="21">
        <v>45880</v>
      </c>
      <c r="J35">
        <v>2</v>
      </c>
      <c r="K35" s="10"/>
      <c r="L35" s="11">
        <v>1</v>
      </c>
      <c r="M35" s="10">
        <f t="shared" si="2"/>
        <v>2</v>
      </c>
      <c r="N35" s="11">
        <f t="shared" si="0"/>
        <v>1</v>
      </c>
      <c r="O35" s="19">
        <f t="shared" si="4"/>
        <v>55</v>
      </c>
      <c r="P35" s="20">
        <f t="shared" si="3"/>
        <v>85</v>
      </c>
      <c r="Q35" s="19">
        <f t="shared" si="6"/>
        <v>51</v>
      </c>
      <c r="R35" s="20">
        <f t="shared" si="5"/>
        <v>79</v>
      </c>
    </row>
    <row r="36" spans="1:18" x14ac:dyDescent="0.25">
      <c r="A36" s="8">
        <v>45901</v>
      </c>
      <c r="B36" s="22">
        <v>4</v>
      </c>
      <c r="C36" s="22">
        <v>2</v>
      </c>
      <c r="D36" s="22"/>
      <c r="E36" s="22"/>
      <c r="F36" s="22">
        <v>6</v>
      </c>
      <c r="H36" s="21">
        <v>45887</v>
      </c>
      <c r="I36">
        <v>2</v>
      </c>
      <c r="K36" s="10">
        <v>2</v>
      </c>
      <c r="L36" s="11">
        <v>1</v>
      </c>
      <c r="M36" s="10">
        <f t="shared" si="2"/>
        <v>2</v>
      </c>
      <c r="N36" s="11">
        <f t="shared" si="0"/>
        <v>3</v>
      </c>
      <c r="O36" s="19">
        <f t="shared" si="4"/>
        <v>57</v>
      </c>
      <c r="P36" s="20">
        <f t="shared" si="3"/>
        <v>85</v>
      </c>
      <c r="Q36" s="19">
        <f t="shared" si="6"/>
        <v>53</v>
      </c>
      <c r="R36" s="20">
        <f t="shared" si="5"/>
        <v>80</v>
      </c>
    </row>
    <row r="37" spans="1:18" x14ac:dyDescent="0.25">
      <c r="A37" s="8">
        <v>45908</v>
      </c>
      <c r="B37" s="22">
        <v>1</v>
      </c>
      <c r="C37" s="22">
        <v>4</v>
      </c>
      <c r="D37" s="22"/>
      <c r="E37" s="22"/>
      <c r="F37" s="22">
        <v>5</v>
      </c>
      <c r="H37" s="21">
        <v>45894</v>
      </c>
      <c r="J37">
        <v>2</v>
      </c>
      <c r="K37" s="10">
        <v>1</v>
      </c>
      <c r="L37" s="11">
        <v>1</v>
      </c>
      <c r="M37" s="10">
        <f t="shared" si="2"/>
        <v>2</v>
      </c>
      <c r="N37" s="11">
        <f t="shared" si="0"/>
        <v>2</v>
      </c>
      <c r="O37" s="19">
        <f t="shared" si="4"/>
        <v>57</v>
      </c>
      <c r="P37" s="20">
        <f t="shared" si="3"/>
        <v>87</v>
      </c>
      <c r="Q37" s="19">
        <f t="shared" si="6"/>
        <v>54</v>
      </c>
      <c r="R37" s="20">
        <f t="shared" si="5"/>
        <v>81</v>
      </c>
    </row>
    <row r="38" spans="1:18" x14ac:dyDescent="0.25">
      <c r="A38" s="8">
        <v>45915</v>
      </c>
      <c r="B38" s="22">
        <v>3</v>
      </c>
      <c r="C38" s="22">
        <v>1</v>
      </c>
      <c r="D38" s="22"/>
      <c r="E38" s="22"/>
      <c r="F38" s="22">
        <v>4</v>
      </c>
      <c r="H38" s="21">
        <v>45901</v>
      </c>
      <c r="I38">
        <v>4</v>
      </c>
      <c r="K38" s="10">
        <v>4</v>
      </c>
      <c r="L38" s="11">
        <v>2</v>
      </c>
      <c r="M38" s="10">
        <f t="shared" si="2"/>
        <v>4</v>
      </c>
      <c r="N38" s="11">
        <f t="shared" si="0"/>
        <v>6</v>
      </c>
      <c r="O38" s="19">
        <f t="shared" si="4"/>
        <v>61</v>
      </c>
      <c r="P38" s="20">
        <f t="shared" si="3"/>
        <v>87</v>
      </c>
      <c r="Q38" s="19">
        <f t="shared" si="6"/>
        <v>58</v>
      </c>
      <c r="R38" s="20">
        <f t="shared" si="5"/>
        <v>83</v>
      </c>
    </row>
    <row r="39" spans="1:18" x14ac:dyDescent="0.25">
      <c r="A39" s="8">
        <v>45922</v>
      </c>
      <c r="B39" s="22">
        <v>1</v>
      </c>
      <c r="C39" s="22">
        <v>3</v>
      </c>
      <c r="D39" s="22"/>
      <c r="E39" s="22"/>
      <c r="F39" s="22">
        <v>4</v>
      </c>
      <c r="H39" s="21">
        <v>45908</v>
      </c>
      <c r="I39">
        <v>3</v>
      </c>
      <c r="J39">
        <v>2</v>
      </c>
      <c r="K39" s="10">
        <v>1</v>
      </c>
      <c r="L39" s="11">
        <v>4</v>
      </c>
      <c r="M39" s="10">
        <f t="shared" si="2"/>
        <v>5</v>
      </c>
      <c r="N39" s="11">
        <f t="shared" si="0"/>
        <v>5</v>
      </c>
      <c r="O39" s="19">
        <f t="shared" si="4"/>
        <v>64</v>
      </c>
      <c r="P39" s="20">
        <f t="shared" si="3"/>
        <v>89</v>
      </c>
      <c r="Q39" s="19">
        <f t="shared" si="6"/>
        <v>59</v>
      </c>
      <c r="R39" s="20">
        <f t="shared" si="5"/>
        <v>87</v>
      </c>
    </row>
    <row r="40" spans="1:18" x14ac:dyDescent="0.25">
      <c r="A40" s="8">
        <v>45929</v>
      </c>
      <c r="B40" s="22">
        <v>3</v>
      </c>
      <c r="C40" s="22">
        <v>2</v>
      </c>
      <c r="D40" s="22">
        <v>1</v>
      </c>
      <c r="E40" s="22"/>
      <c r="F40" s="22">
        <v>6</v>
      </c>
      <c r="H40" s="21">
        <v>45915</v>
      </c>
      <c r="I40">
        <v>2</v>
      </c>
      <c r="J40">
        <v>3</v>
      </c>
      <c r="K40" s="10">
        <v>3</v>
      </c>
      <c r="L40" s="11">
        <v>1</v>
      </c>
      <c r="M40" s="10">
        <f t="shared" si="2"/>
        <v>5</v>
      </c>
      <c r="N40" s="11">
        <f t="shared" si="0"/>
        <v>4</v>
      </c>
      <c r="O40" s="19">
        <f t="shared" si="4"/>
        <v>66</v>
      </c>
      <c r="P40" s="20">
        <f t="shared" si="3"/>
        <v>92</v>
      </c>
      <c r="Q40" s="19">
        <f t="shared" si="6"/>
        <v>62</v>
      </c>
      <c r="R40" s="20">
        <f t="shared" si="5"/>
        <v>88</v>
      </c>
    </row>
    <row r="41" spans="1:18" x14ac:dyDescent="0.25">
      <c r="A41" s="9" t="s">
        <v>446</v>
      </c>
      <c r="B41" s="22"/>
      <c r="C41" s="22"/>
      <c r="D41" s="22"/>
      <c r="E41" s="22"/>
      <c r="F41" s="22"/>
      <c r="H41" s="21">
        <v>45922</v>
      </c>
      <c r="I41">
        <v>1</v>
      </c>
      <c r="J41">
        <v>3</v>
      </c>
      <c r="K41" s="10">
        <v>1</v>
      </c>
      <c r="L41" s="11">
        <v>3</v>
      </c>
      <c r="M41" s="10">
        <f t="shared" si="2"/>
        <v>4</v>
      </c>
      <c r="N41" s="11">
        <f t="shared" si="0"/>
        <v>4</v>
      </c>
      <c r="O41" s="19">
        <f t="shared" si="4"/>
        <v>67</v>
      </c>
      <c r="P41" s="20">
        <f t="shared" si="3"/>
        <v>95</v>
      </c>
      <c r="Q41" s="19">
        <f t="shared" si="6"/>
        <v>63</v>
      </c>
      <c r="R41" s="20">
        <f t="shared" si="5"/>
        <v>91</v>
      </c>
    </row>
    <row r="42" spans="1:18" x14ac:dyDescent="0.25">
      <c r="A42" s="8">
        <v>45936</v>
      </c>
      <c r="B42" s="22">
        <v>4</v>
      </c>
      <c r="C42" s="22"/>
      <c r="D42" s="22"/>
      <c r="E42" s="22"/>
      <c r="F42" s="22">
        <v>4</v>
      </c>
      <c r="H42" s="21">
        <v>45929</v>
      </c>
      <c r="I42">
        <v>3</v>
      </c>
      <c r="J42">
        <v>5</v>
      </c>
      <c r="K42" s="10">
        <v>2</v>
      </c>
      <c r="L42" s="11">
        <v>4</v>
      </c>
      <c r="M42" s="10">
        <f t="shared" si="2"/>
        <v>8</v>
      </c>
      <c r="N42" s="11">
        <f t="shared" si="0"/>
        <v>6</v>
      </c>
      <c r="O42" s="19">
        <f t="shared" si="4"/>
        <v>70</v>
      </c>
      <c r="P42" s="20">
        <f t="shared" si="3"/>
        <v>100</v>
      </c>
      <c r="Q42" s="19">
        <f t="shared" si="6"/>
        <v>65</v>
      </c>
      <c r="R42" s="20">
        <f t="shared" si="5"/>
        <v>95</v>
      </c>
    </row>
    <row r="43" spans="1:18" x14ac:dyDescent="0.25">
      <c r="A43" s="8">
        <v>45943</v>
      </c>
      <c r="B43" s="22">
        <v>3</v>
      </c>
      <c r="C43" s="22"/>
      <c r="D43" s="22"/>
      <c r="E43" s="22"/>
      <c r="F43" s="22">
        <v>3</v>
      </c>
      <c r="H43" s="21">
        <v>45936</v>
      </c>
      <c r="I43">
        <v>2</v>
      </c>
      <c r="J43">
        <v>1</v>
      </c>
      <c r="K43" s="10">
        <v>2</v>
      </c>
      <c r="L43" s="11">
        <v>2</v>
      </c>
      <c r="M43" s="10">
        <f t="shared" si="2"/>
        <v>3</v>
      </c>
      <c r="N43" s="11">
        <f>K43+L43</f>
        <v>4</v>
      </c>
      <c r="O43" s="19">
        <f t="shared" si="4"/>
        <v>72</v>
      </c>
      <c r="P43" s="20">
        <f t="shared" si="3"/>
        <v>101</v>
      </c>
      <c r="Q43" s="19">
        <f t="shared" si="6"/>
        <v>67</v>
      </c>
      <c r="R43" s="20">
        <f t="shared" si="5"/>
        <v>97</v>
      </c>
    </row>
    <row r="44" spans="1:18" x14ac:dyDescent="0.25">
      <c r="A44" s="8">
        <v>45950</v>
      </c>
      <c r="B44" s="22">
        <v>5</v>
      </c>
      <c r="C44" s="22">
        <v>1</v>
      </c>
      <c r="D44" s="22">
        <v>1</v>
      </c>
      <c r="E44" s="22"/>
      <c r="F44" s="22">
        <v>7</v>
      </c>
      <c r="H44" s="21">
        <v>45943</v>
      </c>
      <c r="I44">
        <v>3</v>
      </c>
      <c r="K44" s="10">
        <v>3</v>
      </c>
      <c r="L44" s="11"/>
      <c r="M44" s="10">
        <f t="shared" si="2"/>
        <v>3</v>
      </c>
      <c r="N44" s="11">
        <f>K44+L44</f>
        <v>3</v>
      </c>
      <c r="O44" s="19">
        <f t="shared" si="4"/>
        <v>75</v>
      </c>
      <c r="P44" s="20">
        <f t="shared" si="3"/>
        <v>101</v>
      </c>
      <c r="Q44" s="19">
        <f t="shared" si="6"/>
        <v>70</v>
      </c>
      <c r="R44" s="20">
        <f t="shared" si="5"/>
        <v>97</v>
      </c>
    </row>
    <row r="45" spans="1:18" x14ac:dyDescent="0.25">
      <c r="A45" s="9">
        <v>2958468</v>
      </c>
      <c r="B45" s="22">
        <v>3</v>
      </c>
      <c r="C45" s="22">
        <v>2</v>
      </c>
      <c r="D45" s="22">
        <v>1</v>
      </c>
      <c r="E45" s="22"/>
      <c r="F45" s="22">
        <v>6</v>
      </c>
      <c r="H45" s="21">
        <v>45950</v>
      </c>
      <c r="I45">
        <v>3</v>
      </c>
      <c r="K45" s="10">
        <v>5</v>
      </c>
      <c r="L45" s="11">
        <v>2</v>
      </c>
      <c r="M45" s="10">
        <f t="shared" si="2"/>
        <v>3</v>
      </c>
      <c r="N45" s="11">
        <f>K45+L45</f>
        <v>7</v>
      </c>
      <c r="O45" s="19">
        <f t="shared" si="4"/>
        <v>78</v>
      </c>
      <c r="P45" s="20">
        <f t="shared" si="3"/>
        <v>101</v>
      </c>
      <c r="Q45" s="19">
        <f t="shared" si="6"/>
        <v>75</v>
      </c>
      <c r="R45" s="20">
        <f t="shared" si="5"/>
        <v>99</v>
      </c>
    </row>
    <row r="46" spans="1:18" x14ac:dyDescent="0.25">
      <c r="A46" s="8">
        <v>45957</v>
      </c>
      <c r="B46" s="22">
        <v>5</v>
      </c>
      <c r="C46" s="22"/>
      <c r="D46" s="22"/>
      <c r="E46" s="22"/>
      <c r="F46" s="22">
        <v>5</v>
      </c>
      <c r="H46" s="21">
        <v>45957</v>
      </c>
      <c r="I46">
        <v>4</v>
      </c>
      <c r="J46">
        <v>1</v>
      </c>
      <c r="K46" s="10">
        <v>3</v>
      </c>
      <c r="L46" s="11"/>
      <c r="M46" s="10">
        <f t="shared" si="2"/>
        <v>5</v>
      </c>
      <c r="N46" s="11"/>
      <c r="O46" s="19">
        <f t="shared" si="4"/>
        <v>82</v>
      </c>
      <c r="P46" s="20">
        <f t="shared" si="3"/>
        <v>102</v>
      </c>
      <c r="Q46" s="19">
        <f t="shared" si="6"/>
        <v>78</v>
      </c>
      <c r="R46" s="20">
        <f t="shared" si="5"/>
        <v>99</v>
      </c>
    </row>
    <row r="47" spans="1:18" x14ac:dyDescent="0.25">
      <c r="A47" s="9" t="s">
        <v>426</v>
      </c>
      <c r="B47" s="22">
        <v>86</v>
      </c>
      <c r="C47" s="22">
        <v>96</v>
      </c>
      <c r="D47" s="22">
        <v>3</v>
      </c>
      <c r="E47" s="22"/>
      <c r="F47" s="22">
        <v>185</v>
      </c>
    </row>
    <row r="64" spans="1:2" x14ac:dyDescent="0.25">
      <c r="A64" s="7" t="s">
        <v>430</v>
      </c>
      <c r="B64" s="7" t="s">
        <v>427</v>
      </c>
    </row>
    <row r="65" spans="1:6" x14ac:dyDescent="0.25">
      <c r="A65" s="7" t="s">
        <v>425</v>
      </c>
      <c r="B65" t="s">
        <v>428</v>
      </c>
      <c r="C65" t="s">
        <v>429</v>
      </c>
      <c r="D65" t="s">
        <v>497</v>
      </c>
      <c r="E65" t="s">
        <v>446</v>
      </c>
      <c r="F65" t="s">
        <v>426</v>
      </c>
    </row>
    <row r="66" spans="1:6" x14ac:dyDescent="0.25">
      <c r="A66" s="8">
        <v>45586</v>
      </c>
      <c r="B66" s="22"/>
      <c r="C66" s="22">
        <v>1</v>
      </c>
      <c r="D66" s="22"/>
      <c r="E66" s="22"/>
      <c r="F66" s="22">
        <v>1</v>
      </c>
    </row>
    <row r="67" spans="1:6" x14ac:dyDescent="0.25">
      <c r="A67" s="8">
        <v>45607</v>
      </c>
      <c r="B67" s="22"/>
      <c r="C67" s="22">
        <v>1</v>
      </c>
      <c r="D67" s="22"/>
      <c r="E67" s="22"/>
      <c r="F67" s="22">
        <v>1</v>
      </c>
    </row>
    <row r="68" spans="1:6" x14ac:dyDescent="0.25">
      <c r="A68" s="8">
        <v>45614</v>
      </c>
      <c r="B68" s="22">
        <v>2</v>
      </c>
      <c r="C68" s="22">
        <v>3</v>
      </c>
      <c r="D68" s="22"/>
      <c r="E68" s="22"/>
      <c r="F68" s="22">
        <v>5</v>
      </c>
    </row>
    <row r="69" spans="1:6" x14ac:dyDescent="0.25">
      <c r="A69" s="8">
        <v>45621</v>
      </c>
      <c r="B69" s="22"/>
      <c r="C69" s="22">
        <v>2</v>
      </c>
      <c r="D69" s="22"/>
      <c r="E69" s="22"/>
      <c r="F69" s="22">
        <v>2</v>
      </c>
    </row>
    <row r="70" spans="1:6" x14ac:dyDescent="0.25">
      <c r="A70" s="8">
        <v>45628</v>
      </c>
      <c r="B70" s="22">
        <v>2</v>
      </c>
      <c r="C70" s="22">
        <v>3</v>
      </c>
      <c r="D70" s="22"/>
      <c r="E70" s="22"/>
      <c r="F70" s="22">
        <v>5</v>
      </c>
    </row>
    <row r="71" spans="1:6" x14ac:dyDescent="0.25">
      <c r="A71" s="8">
        <v>45635</v>
      </c>
      <c r="B71" s="22">
        <v>2</v>
      </c>
      <c r="C71" s="22"/>
      <c r="D71" s="22"/>
      <c r="E71" s="22"/>
      <c r="F71" s="22">
        <v>2</v>
      </c>
    </row>
    <row r="72" spans="1:6" x14ac:dyDescent="0.25">
      <c r="A72" s="8">
        <v>45642</v>
      </c>
      <c r="B72" s="22"/>
      <c r="C72" s="22">
        <v>5</v>
      </c>
      <c r="D72" s="22"/>
      <c r="E72" s="22"/>
      <c r="F72" s="22">
        <v>5</v>
      </c>
    </row>
    <row r="73" spans="1:6" x14ac:dyDescent="0.25">
      <c r="A73" s="8">
        <v>45649</v>
      </c>
      <c r="B73" s="22">
        <v>1</v>
      </c>
      <c r="C73" s="22">
        <v>1</v>
      </c>
      <c r="D73" s="22"/>
      <c r="E73" s="22"/>
      <c r="F73" s="22">
        <v>2</v>
      </c>
    </row>
    <row r="74" spans="1:6" x14ac:dyDescent="0.25">
      <c r="A74" s="8">
        <v>45656</v>
      </c>
      <c r="B74" s="22"/>
      <c r="C74" s="22">
        <v>1</v>
      </c>
      <c r="D74" s="22"/>
      <c r="E74" s="22"/>
      <c r="F74" s="22">
        <v>1</v>
      </c>
    </row>
    <row r="75" spans="1:6" x14ac:dyDescent="0.25">
      <c r="A75" s="8">
        <v>45677</v>
      </c>
      <c r="B75" s="22">
        <v>4</v>
      </c>
      <c r="C75" s="22"/>
      <c r="D75" s="22"/>
      <c r="E75" s="22"/>
      <c r="F75" s="22">
        <v>4</v>
      </c>
    </row>
    <row r="76" spans="1:6" x14ac:dyDescent="0.25">
      <c r="A76" s="8">
        <v>45684</v>
      </c>
      <c r="B76" s="22"/>
      <c r="C76" s="22">
        <v>3</v>
      </c>
      <c r="D76" s="22"/>
      <c r="E76" s="22"/>
      <c r="F76" s="22">
        <v>3</v>
      </c>
    </row>
    <row r="77" spans="1:6" x14ac:dyDescent="0.25">
      <c r="A77" s="8">
        <v>45691</v>
      </c>
      <c r="B77" s="22">
        <v>1</v>
      </c>
      <c r="C77" s="22"/>
      <c r="D77" s="22"/>
      <c r="E77" s="22"/>
      <c r="F77" s="22">
        <v>1</v>
      </c>
    </row>
    <row r="78" spans="1:6" x14ac:dyDescent="0.25">
      <c r="A78" s="8">
        <v>45698</v>
      </c>
      <c r="B78" s="22"/>
      <c r="C78" s="22">
        <v>3</v>
      </c>
      <c r="D78" s="22"/>
      <c r="E78" s="22"/>
      <c r="F78" s="22">
        <v>3</v>
      </c>
    </row>
    <row r="79" spans="1:6" x14ac:dyDescent="0.25">
      <c r="A79" s="8">
        <v>45705</v>
      </c>
      <c r="B79" s="22"/>
      <c r="C79" s="22">
        <v>7</v>
      </c>
      <c r="D79" s="22"/>
      <c r="E79" s="22"/>
      <c r="F79" s="22">
        <v>7</v>
      </c>
    </row>
    <row r="80" spans="1:6" x14ac:dyDescent="0.25">
      <c r="A80" s="8">
        <v>45712</v>
      </c>
      <c r="B80" s="22">
        <v>1</v>
      </c>
      <c r="C80" s="22">
        <v>2</v>
      </c>
      <c r="D80" s="22"/>
      <c r="E80" s="22"/>
      <c r="F80" s="22">
        <v>3</v>
      </c>
    </row>
    <row r="81" spans="1:6" x14ac:dyDescent="0.25">
      <c r="A81" s="8">
        <v>45719</v>
      </c>
      <c r="B81" s="22">
        <v>1</v>
      </c>
      <c r="C81" s="22">
        <v>5</v>
      </c>
      <c r="D81" s="22"/>
      <c r="E81" s="22"/>
      <c r="F81" s="22">
        <v>6</v>
      </c>
    </row>
    <row r="82" spans="1:6" x14ac:dyDescent="0.25">
      <c r="A82" s="8">
        <v>45726</v>
      </c>
      <c r="B82" s="22">
        <v>1</v>
      </c>
      <c r="C82" s="22">
        <v>3</v>
      </c>
      <c r="D82" s="22"/>
      <c r="E82" s="22"/>
      <c r="F82" s="22">
        <v>4</v>
      </c>
    </row>
    <row r="83" spans="1:6" x14ac:dyDescent="0.25">
      <c r="A83" s="8">
        <v>45733</v>
      </c>
      <c r="B83" s="22">
        <v>2</v>
      </c>
      <c r="C83" s="22">
        <v>4</v>
      </c>
      <c r="D83" s="22"/>
      <c r="E83" s="22"/>
      <c r="F83" s="22">
        <v>6</v>
      </c>
    </row>
    <row r="84" spans="1:6" x14ac:dyDescent="0.25">
      <c r="A84" s="8">
        <v>45740</v>
      </c>
      <c r="B84" s="22">
        <v>1</v>
      </c>
      <c r="C84" s="22">
        <v>3</v>
      </c>
      <c r="D84" s="22"/>
      <c r="E84" s="22"/>
      <c r="F84" s="22">
        <v>4</v>
      </c>
    </row>
    <row r="85" spans="1:6" x14ac:dyDescent="0.25">
      <c r="A85" s="8">
        <v>45747</v>
      </c>
      <c r="B85" s="22">
        <v>4</v>
      </c>
      <c r="C85" s="22">
        <v>2</v>
      </c>
      <c r="D85" s="22"/>
      <c r="E85" s="22"/>
      <c r="F85" s="22">
        <v>6</v>
      </c>
    </row>
    <row r="86" spans="1:6" x14ac:dyDescent="0.25">
      <c r="A86" s="8">
        <v>45754</v>
      </c>
      <c r="B86" s="22">
        <v>1</v>
      </c>
      <c r="C86" s="22">
        <v>3</v>
      </c>
      <c r="D86" s="22"/>
      <c r="E86" s="22"/>
      <c r="F86" s="22">
        <v>4</v>
      </c>
    </row>
    <row r="87" spans="1:6" x14ac:dyDescent="0.25">
      <c r="A87" s="8">
        <v>45768</v>
      </c>
      <c r="B87" s="22">
        <v>3</v>
      </c>
      <c r="C87" s="22">
        <v>4</v>
      </c>
      <c r="D87" s="22"/>
      <c r="E87" s="22"/>
      <c r="F87" s="22">
        <v>7</v>
      </c>
    </row>
    <row r="88" spans="1:6" x14ac:dyDescent="0.25">
      <c r="A88" s="8">
        <v>45775</v>
      </c>
      <c r="B88" s="22">
        <v>1</v>
      </c>
      <c r="C88" s="22">
        <v>2</v>
      </c>
      <c r="D88" s="22"/>
      <c r="E88" s="22"/>
      <c r="F88" s="22">
        <v>3</v>
      </c>
    </row>
    <row r="89" spans="1:6" x14ac:dyDescent="0.25">
      <c r="A89" s="8">
        <v>45782</v>
      </c>
      <c r="B89" s="22">
        <v>2</v>
      </c>
      <c r="C89" s="22">
        <v>4</v>
      </c>
      <c r="D89" s="22"/>
      <c r="E89" s="22"/>
      <c r="F89" s="22">
        <v>6</v>
      </c>
    </row>
    <row r="90" spans="1:6" x14ac:dyDescent="0.25">
      <c r="A90" s="8">
        <v>45789</v>
      </c>
      <c r="B90" s="22">
        <v>1</v>
      </c>
      <c r="C90" s="22"/>
      <c r="D90" s="22"/>
      <c r="E90" s="22"/>
      <c r="F90" s="22">
        <v>1</v>
      </c>
    </row>
    <row r="91" spans="1:6" x14ac:dyDescent="0.25">
      <c r="A91" s="8">
        <v>45796</v>
      </c>
      <c r="B91" s="22">
        <v>2</v>
      </c>
      <c r="C91" s="22"/>
      <c r="D91" s="22"/>
      <c r="E91" s="22"/>
      <c r="F91" s="22">
        <v>2</v>
      </c>
    </row>
    <row r="92" spans="1:6" x14ac:dyDescent="0.25">
      <c r="A92" s="8">
        <v>45803</v>
      </c>
      <c r="B92" s="22">
        <v>4</v>
      </c>
      <c r="C92" s="22">
        <v>6</v>
      </c>
      <c r="D92" s="22"/>
      <c r="E92" s="22"/>
      <c r="F92" s="22">
        <v>10</v>
      </c>
    </row>
    <row r="93" spans="1:6" x14ac:dyDescent="0.25">
      <c r="A93" s="8">
        <v>45810</v>
      </c>
      <c r="B93" s="22">
        <v>2</v>
      </c>
      <c r="C93" s="22"/>
      <c r="D93" s="22"/>
      <c r="E93" s="22"/>
      <c r="F93" s="22">
        <v>2</v>
      </c>
    </row>
    <row r="94" spans="1:6" x14ac:dyDescent="0.25">
      <c r="A94" s="8">
        <v>45817</v>
      </c>
      <c r="B94" s="22">
        <v>1</v>
      </c>
      <c r="C94" s="22">
        <v>5</v>
      </c>
      <c r="D94" s="22"/>
      <c r="E94" s="22"/>
      <c r="F94" s="22">
        <v>6</v>
      </c>
    </row>
    <row r="95" spans="1:6" x14ac:dyDescent="0.25">
      <c r="A95" s="8">
        <v>45824</v>
      </c>
      <c r="B95" s="22">
        <v>2</v>
      </c>
      <c r="C95" s="22">
        <v>2</v>
      </c>
      <c r="D95" s="22"/>
      <c r="E95" s="22"/>
      <c r="F95" s="22">
        <v>4</v>
      </c>
    </row>
    <row r="96" spans="1:6" x14ac:dyDescent="0.25">
      <c r="A96" s="8">
        <v>45831</v>
      </c>
      <c r="B96" s="22">
        <v>3</v>
      </c>
      <c r="C96" s="22"/>
      <c r="D96" s="22"/>
      <c r="E96" s="22"/>
      <c r="F96" s="22">
        <v>3</v>
      </c>
    </row>
    <row r="97" spans="1:6" x14ac:dyDescent="0.25">
      <c r="A97" s="8">
        <v>45838</v>
      </c>
      <c r="B97" s="22">
        <v>5</v>
      </c>
      <c r="C97" s="22"/>
      <c r="D97" s="22"/>
      <c r="E97" s="22"/>
      <c r="F97" s="22">
        <v>5</v>
      </c>
    </row>
    <row r="98" spans="1:6" x14ac:dyDescent="0.25">
      <c r="A98" s="8">
        <v>45845</v>
      </c>
      <c r="B98" s="22">
        <v>1</v>
      </c>
      <c r="C98" s="22"/>
      <c r="D98" s="22"/>
      <c r="E98" s="22"/>
      <c r="F98" s="22">
        <v>1</v>
      </c>
    </row>
    <row r="99" spans="1:6" x14ac:dyDescent="0.25">
      <c r="A99" s="8">
        <v>45852</v>
      </c>
      <c r="B99" s="22">
        <v>1</v>
      </c>
      <c r="C99" s="22">
        <v>1</v>
      </c>
      <c r="D99" s="22"/>
      <c r="E99" s="22"/>
      <c r="F99" s="22">
        <v>2</v>
      </c>
    </row>
    <row r="100" spans="1:6" x14ac:dyDescent="0.25">
      <c r="A100" s="8">
        <v>45859</v>
      </c>
      <c r="B100" s="22">
        <v>2</v>
      </c>
      <c r="C100" s="22">
        <v>2</v>
      </c>
      <c r="D100" s="22"/>
      <c r="E100" s="22"/>
      <c r="F100" s="22">
        <v>4</v>
      </c>
    </row>
    <row r="101" spans="1:6" x14ac:dyDescent="0.25">
      <c r="A101" s="8">
        <v>45866</v>
      </c>
      <c r="B101" s="22">
        <v>2</v>
      </c>
      <c r="C101" s="22">
        <v>3</v>
      </c>
      <c r="D101" s="22"/>
      <c r="E101" s="22"/>
      <c r="F101" s="22">
        <v>5</v>
      </c>
    </row>
    <row r="102" spans="1:6" x14ac:dyDescent="0.25">
      <c r="A102" s="8">
        <v>45873</v>
      </c>
      <c r="B102" s="22"/>
      <c r="C102" s="22">
        <v>2</v>
      </c>
      <c r="D102" s="22"/>
      <c r="E102" s="22"/>
      <c r="F102" s="22">
        <v>2</v>
      </c>
    </row>
    <row r="103" spans="1:6" x14ac:dyDescent="0.25">
      <c r="A103" s="8">
        <v>45880</v>
      </c>
      <c r="B103" s="22"/>
      <c r="C103" s="22">
        <v>2</v>
      </c>
      <c r="D103" s="22"/>
      <c r="E103" s="22"/>
      <c r="F103" s="22">
        <v>2</v>
      </c>
    </row>
    <row r="104" spans="1:6" x14ac:dyDescent="0.25">
      <c r="A104" s="8">
        <v>45887</v>
      </c>
      <c r="B104" s="22">
        <v>2</v>
      </c>
      <c r="C104" s="22"/>
      <c r="D104" s="22"/>
      <c r="E104" s="22"/>
      <c r="F104" s="22">
        <v>2</v>
      </c>
    </row>
    <row r="105" spans="1:6" x14ac:dyDescent="0.25">
      <c r="A105" s="8">
        <v>45894</v>
      </c>
      <c r="B105" s="22"/>
      <c r="C105" s="22">
        <v>2</v>
      </c>
      <c r="D105" s="22"/>
      <c r="E105" s="22"/>
      <c r="F105" s="22">
        <v>2</v>
      </c>
    </row>
    <row r="106" spans="1:6" x14ac:dyDescent="0.25">
      <c r="A106" s="8">
        <v>45901</v>
      </c>
      <c r="B106" s="22">
        <v>4</v>
      </c>
      <c r="C106" s="22"/>
      <c r="D106" s="22"/>
      <c r="E106" s="22"/>
      <c r="F106" s="22">
        <v>4</v>
      </c>
    </row>
    <row r="107" spans="1:6" x14ac:dyDescent="0.25">
      <c r="A107" s="8">
        <v>45908</v>
      </c>
      <c r="B107" s="22">
        <v>3</v>
      </c>
      <c r="C107" s="22">
        <v>2</v>
      </c>
      <c r="D107" s="22"/>
      <c r="E107" s="22"/>
      <c r="F107" s="22">
        <v>5</v>
      </c>
    </row>
    <row r="108" spans="1:6" x14ac:dyDescent="0.25">
      <c r="A108" s="8">
        <v>45915</v>
      </c>
      <c r="B108" s="22">
        <v>2</v>
      </c>
      <c r="C108" s="22">
        <v>3</v>
      </c>
      <c r="D108" s="22"/>
      <c r="E108" s="22"/>
      <c r="F108" s="22">
        <v>5</v>
      </c>
    </row>
    <row r="109" spans="1:6" x14ac:dyDescent="0.25">
      <c r="A109" s="8">
        <v>45922</v>
      </c>
      <c r="B109" s="22">
        <v>1</v>
      </c>
      <c r="C109" s="22">
        <v>2</v>
      </c>
      <c r="D109" s="22">
        <v>1</v>
      </c>
      <c r="E109" s="22"/>
      <c r="F109" s="22">
        <v>4</v>
      </c>
    </row>
    <row r="110" spans="1:6" x14ac:dyDescent="0.25">
      <c r="A110" s="8">
        <v>45929</v>
      </c>
      <c r="B110" s="22">
        <v>6</v>
      </c>
      <c r="C110" s="22">
        <v>1</v>
      </c>
      <c r="D110" s="22">
        <v>1</v>
      </c>
      <c r="E110" s="22"/>
      <c r="F110" s="22">
        <v>8</v>
      </c>
    </row>
    <row r="111" spans="1:6" x14ac:dyDescent="0.25">
      <c r="A111" s="8" t="s">
        <v>446</v>
      </c>
      <c r="B111" s="22"/>
      <c r="C111" s="22"/>
      <c r="D111" s="22"/>
      <c r="E111" s="22"/>
      <c r="F111" s="22"/>
    </row>
    <row r="112" spans="1:6" x14ac:dyDescent="0.25">
      <c r="A112" s="8">
        <v>45936</v>
      </c>
      <c r="B112" s="22">
        <v>2</v>
      </c>
      <c r="C112" s="22">
        <v>1</v>
      </c>
      <c r="D112" s="22"/>
      <c r="E112" s="22"/>
      <c r="F112" s="22">
        <v>3</v>
      </c>
    </row>
    <row r="113" spans="1:6" x14ac:dyDescent="0.25">
      <c r="A113" s="8">
        <v>45943</v>
      </c>
      <c r="B113" s="22">
        <v>3</v>
      </c>
      <c r="C113" s="22"/>
      <c r="D113" s="22"/>
      <c r="E113" s="22"/>
      <c r="F113" s="22">
        <v>3</v>
      </c>
    </row>
    <row r="114" spans="1:6" x14ac:dyDescent="0.25">
      <c r="A114" s="8">
        <v>45950</v>
      </c>
      <c r="B114" s="22">
        <v>3</v>
      </c>
      <c r="C114" s="22"/>
      <c r="D114" s="22"/>
      <c r="E114" s="22"/>
      <c r="F114" s="22">
        <v>3</v>
      </c>
    </row>
    <row r="115" spans="1:6" x14ac:dyDescent="0.25">
      <c r="A115" s="8">
        <v>45957</v>
      </c>
      <c r="B115" s="22">
        <v>5</v>
      </c>
      <c r="C115" s="22"/>
      <c r="D115" s="22">
        <v>1</v>
      </c>
      <c r="E115" s="22"/>
      <c r="F115" s="22">
        <v>6</v>
      </c>
    </row>
    <row r="116" spans="1:6" x14ac:dyDescent="0.25">
      <c r="A116" s="8" t="s">
        <v>426</v>
      </c>
      <c r="B116" s="22">
        <v>86</v>
      </c>
      <c r="C116" s="22">
        <v>96</v>
      </c>
      <c r="D116" s="22">
        <v>3</v>
      </c>
      <c r="E116" s="22"/>
      <c r="F116" s="22">
        <v>185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7C928-5240-40C8-98B2-E05BFEFBEB61}">
  <dimension ref="A1:AM37"/>
  <sheetViews>
    <sheetView topLeftCell="AB1" zoomScale="55" zoomScaleNormal="55" workbookViewId="0">
      <selection activeCell="AU45" sqref="AU45"/>
    </sheetView>
  </sheetViews>
  <sheetFormatPr baseColWidth="10" defaultRowHeight="15" x14ac:dyDescent="0.25"/>
  <cols>
    <col min="1" max="1" width="26.140625" bestFit="1" customWidth="1"/>
    <col min="2" max="2" width="31.5703125" bestFit="1" customWidth="1"/>
    <col min="3" max="3" width="18.85546875" bestFit="1" customWidth="1"/>
    <col min="4" max="4" width="16.7109375" bestFit="1" customWidth="1"/>
    <col min="5" max="5" width="11.85546875" bestFit="1" customWidth="1"/>
    <col min="6" max="6" width="17.5703125" bestFit="1" customWidth="1"/>
    <col min="7" max="7" width="13.85546875" bestFit="1" customWidth="1"/>
    <col min="8" max="8" width="174.7109375" bestFit="1" customWidth="1"/>
    <col min="9" max="9" width="3.7109375" bestFit="1" customWidth="1"/>
    <col min="10" max="10" width="17.85546875" bestFit="1" customWidth="1"/>
    <col min="11" max="11" width="18" hidden="1" customWidth="1"/>
    <col min="12" max="21" width="0" hidden="1" customWidth="1"/>
    <col min="29" max="29" width="16.85546875" bestFit="1" customWidth="1"/>
    <col min="33" max="33" width="28.28515625" customWidth="1"/>
    <col min="35" max="35" width="11.42578125" style="28"/>
  </cols>
  <sheetData>
    <row r="1" spans="1:39" x14ac:dyDescent="0.25">
      <c r="A1" s="7" t="s">
        <v>464</v>
      </c>
      <c r="B1" s="7" t="s">
        <v>427</v>
      </c>
    </row>
    <row r="2" spans="1:39" x14ac:dyDescent="0.25">
      <c r="A2" s="7" t="s">
        <v>425</v>
      </c>
      <c r="B2" t="s">
        <v>97</v>
      </c>
      <c r="C2" t="s">
        <v>22</v>
      </c>
      <c r="D2" t="s">
        <v>101</v>
      </c>
      <c r="E2" t="s">
        <v>36</v>
      </c>
      <c r="F2" t="s">
        <v>167</v>
      </c>
      <c r="G2" t="s">
        <v>107</v>
      </c>
      <c r="H2" t="s">
        <v>487</v>
      </c>
      <c r="J2" t="s">
        <v>426</v>
      </c>
      <c r="L2" t="s">
        <v>466</v>
      </c>
      <c r="M2" t="s">
        <v>16</v>
      </c>
      <c r="N2" t="s">
        <v>469</v>
      </c>
      <c r="O2" t="s">
        <v>470</v>
      </c>
      <c r="P2" t="s">
        <v>471</v>
      </c>
      <c r="Q2" t="s">
        <v>472</v>
      </c>
      <c r="R2" t="s">
        <v>473</v>
      </c>
      <c r="S2" t="s">
        <v>474</v>
      </c>
      <c r="V2" s="18" t="s">
        <v>466</v>
      </c>
      <c r="W2" s="18" t="s">
        <v>469</v>
      </c>
      <c r="X2" s="18" t="s">
        <v>470</v>
      </c>
      <c r="Y2" s="18" t="s">
        <v>471</v>
      </c>
      <c r="Z2" s="18" t="s">
        <v>472</v>
      </c>
      <c r="AA2" s="18" t="s">
        <v>473</v>
      </c>
      <c r="AB2" s="18" t="s">
        <v>474</v>
      </c>
      <c r="AC2" s="18" t="s">
        <v>499</v>
      </c>
      <c r="AG2" s="18" t="s">
        <v>469</v>
      </c>
      <c r="AH2" s="18">
        <f>W13</f>
        <v>25</v>
      </c>
      <c r="AI2" s="28">
        <f>AH2/(SUM(AH2:AH8))</f>
        <v>0.1358695652173913</v>
      </c>
      <c r="AJ2" s="18"/>
      <c r="AK2" s="18"/>
      <c r="AL2" s="18"/>
      <c r="AM2" s="18"/>
    </row>
    <row r="3" spans="1:39" x14ac:dyDescent="0.25">
      <c r="A3" s="9" t="s">
        <v>452</v>
      </c>
      <c r="B3" s="22"/>
      <c r="C3" s="22">
        <v>1</v>
      </c>
      <c r="D3" s="22"/>
      <c r="E3" s="22"/>
      <c r="F3" s="22"/>
      <c r="G3" s="22"/>
      <c r="H3" s="22"/>
      <c r="I3" s="22"/>
      <c r="J3" s="22">
        <v>1</v>
      </c>
      <c r="L3" t="s">
        <v>452</v>
      </c>
      <c r="M3" t="s">
        <v>467</v>
      </c>
      <c r="N3" s="18">
        <f t="shared" ref="N3:S3" si="0">C3</f>
        <v>1</v>
      </c>
      <c r="O3" s="18">
        <f t="shared" si="0"/>
        <v>0</v>
      </c>
      <c r="P3" s="18">
        <f t="shared" si="0"/>
        <v>0</v>
      </c>
      <c r="Q3" s="18">
        <f t="shared" si="0"/>
        <v>0</v>
      </c>
      <c r="R3" s="18">
        <f t="shared" si="0"/>
        <v>0</v>
      </c>
      <c r="S3" s="18">
        <f t="shared" si="0"/>
        <v>0</v>
      </c>
      <c r="V3" s="18" t="s">
        <v>455</v>
      </c>
      <c r="W3" s="18">
        <v>1</v>
      </c>
      <c r="X3" s="18">
        <v>10</v>
      </c>
      <c r="Y3" s="18">
        <v>1</v>
      </c>
      <c r="Z3" s="18">
        <v>6</v>
      </c>
      <c r="AA3" s="18">
        <v>9</v>
      </c>
      <c r="AB3" s="18">
        <v>4</v>
      </c>
      <c r="AG3" s="18" t="s">
        <v>470</v>
      </c>
      <c r="AH3" s="18">
        <f>X13</f>
        <v>46</v>
      </c>
      <c r="AI3" s="28">
        <f>AH3/(SUM(AH2:AH8))</f>
        <v>0.25</v>
      </c>
      <c r="AJ3" s="18"/>
      <c r="AK3" s="18"/>
      <c r="AL3" s="18"/>
      <c r="AM3" s="18"/>
    </row>
    <row r="4" spans="1:39" x14ac:dyDescent="0.25">
      <c r="A4" s="9" t="s">
        <v>453</v>
      </c>
      <c r="B4" s="22"/>
      <c r="C4" s="22">
        <v>4</v>
      </c>
      <c r="D4" s="22"/>
      <c r="E4" s="22">
        <v>2</v>
      </c>
      <c r="F4" s="22">
        <v>2</v>
      </c>
      <c r="G4" s="22"/>
      <c r="H4" s="22"/>
      <c r="I4" s="22"/>
      <c r="J4" s="22">
        <v>8</v>
      </c>
      <c r="L4" t="s">
        <v>452</v>
      </c>
      <c r="M4" t="s">
        <v>468</v>
      </c>
      <c r="N4" s="18">
        <v>0</v>
      </c>
      <c r="O4" s="18">
        <v>0</v>
      </c>
      <c r="P4" s="18">
        <v>0</v>
      </c>
      <c r="Q4" s="18">
        <v>0</v>
      </c>
      <c r="R4" s="18">
        <v>0</v>
      </c>
      <c r="S4" s="18">
        <v>0</v>
      </c>
      <c r="V4" s="18" t="s">
        <v>456</v>
      </c>
      <c r="W4" s="18" t="s">
        <v>516</v>
      </c>
      <c r="X4" s="18">
        <v>9</v>
      </c>
      <c r="Y4" s="18">
        <v>2</v>
      </c>
      <c r="Z4" s="18"/>
      <c r="AA4" s="18">
        <v>1</v>
      </c>
      <c r="AB4" s="18">
        <v>2</v>
      </c>
      <c r="AG4" s="18" t="s">
        <v>471</v>
      </c>
      <c r="AH4" s="18">
        <f>Y13</f>
        <v>17</v>
      </c>
      <c r="AI4" s="28">
        <f>AH4/(SUM(AH2:AH8))</f>
        <v>9.2391304347826081E-2</v>
      </c>
    </row>
    <row r="5" spans="1:39" x14ac:dyDescent="0.25">
      <c r="A5" s="9" t="s">
        <v>454</v>
      </c>
      <c r="B5" s="22">
        <v>1</v>
      </c>
      <c r="C5" s="22">
        <v>2</v>
      </c>
      <c r="D5" s="22">
        <v>1</v>
      </c>
      <c r="E5" s="22">
        <v>4</v>
      </c>
      <c r="F5" s="22">
        <v>7</v>
      </c>
      <c r="G5" s="22"/>
      <c r="H5" s="22"/>
      <c r="I5" s="22"/>
      <c r="J5" s="22">
        <v>15</v>
      </c>
      <c r="L5" t="s">
        <v>453</v>
      </c>
      <c r="M5" t="s">
        <v>467</v>
      </c>
      <c r="N5" s="18">
        <f t="shared" ref="N5:S5" si="1">C4</f>
        <v>4</v>
      </c>
      <c r="O5" s="18">
        <f t="shared" si="1"/>
        <v>0</v>
      </c>
      <c r="P5" s="18">
        <f t="shared" si="1"/>
        <v>2</v>
      </c>
      <c r="Q5" s="18">
        <f t="shared" si="1"/>
        <v>2</v>
      </c>
      <c r="R5" s="18">
        <f t="shared" si="1"/>
        <v>0</v>
      </c>
      <c r="S5" s="18">
        <f t="shared" si="1"/>
        <v>0</v>
      </c>
      <c r="V5" s="18" t="s">
        <v>457</v>
      </c>
      <c r="W5" s="18">
        <v>2</v>
      </c>
      <c r="X5" s="18">
        <v>10</v>
      </c>
      <c r="Y5" s="18">
        <v>2</v>
      </c>
      <c r="Z5" s="18">
        <v>7</v>
      </c>
      <c r="AA5" s="18">
        <v>5</v>
      </c>
      <c r="AB5" s="18">
        <v>0</v>
      </c>
      <c r="AG5" s="18" t="s">
        <v>472</v>
      </c>
      <c r="AH5" s="18">
        <f>Z13</f>
        <v>31</v>
      </c>
      <c r="AI5" s="28">
        <f>AH5/(SUM(AH2:AH8))</f>
        <v>0.16847826086956522</v>
      </c>
    </row>
    <row r="6" spans="1:39" x14ac:dyDescent="0.25">
      <c r="A6" s="9" t="s">
        <v>455</v>
      </c>
      <c r="B6" s="22"/>
      <c r="C6" s="22">
        <v>3</v>
      </c>
      <c r="D6" s="22"/>
      <c r="E6" s="22"/>
      <c r="F6" s="22"/>
      <c r="G6" s="22">
        <v>4</v>
      </c>
      <c r="H6" s="22"/>
      <c r="I6" s="22"/>
      <c r="J6" s="22">
        <v>7</v>
      </c>
      <c r="L6" t="s">
        <v>453</v>
      </c>
      <c r="M6" t="s">
        <v>468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V6" s="18" t="s">
        <v>458</v>
      </c>
      <c r="W6" s="18">
        <v>2</v>
      </c>
      <c r="X6" s="18">
        <v>4</v>
      </c>
      <c r="Y6" s="18">
        <v>1</v>
      </c>
      <c r="Z6" s="18">
        <v>2</v>
      </c>
      <c r="AA6" s="18">
        <v>4</v>
      </c>
      <c r="AB6" s="18">
        <v>1</v>
      </c>
      <c r="AG6" s="18" t="s">
        <v>473</v>
      </c>
      <c r="AH6" s="18">
        <f>AA13</f>
        <v>33</v>
      </c>
      <c r="AI6" s="28">
        <f>AH6/(SUM(AH2:AH8))</f>
        <v>0.17934782608695651</v>
      </c>
    </row>
    <row r="7" spans="1:39" x14ac:dyDescent="0.25">
      <c r="A7" s="9" t="s">
        <v>456</v>
      </c>
      <c r="B7" s="22"/>
      <c r="C7" s="22">
        <v>9</v>
      </c>
      <c r="D7" s="22">
        <v>2</v>
      </c>
      <c r="E7" s="22"/>
      <c r="F7" s="22">
        <v>1</v>
      </c>
      <c r="G7" s="22">
        <v>2</v>
      </c>
      <c r="H7" s="22"/>
      <c r="I7" s="22"/>
      <c r="J7" s="22">
        <v>14</v>
      </c>
      <c r="L7" t="s">
        <v>454</v>
      </c>
      <c r="M7" t="s">
        <v>467</v>
      </c>
      <c r="N7" s="18">
        <f>C5</f>
        <v>2</v>
      </c>
      <c r="O7" s="18">
        <f>D5</f>
        <v>1</v>
      </c>
      <c r="P7" s="18">
        <f t="shared" ref="P7:S7" si="2">E5</f>
        <v>4</v>
      </c>
      <c r="Q7" s="18">
        <f t="shared" si="2"/>
        <v>7</v>
      </c>
      <c r="R7" s="18">
        <f t="shared" si="2"/>
        <v>0</v>
      </c>
      <c r="S7" s="18">
        <f t="shared" si="2"/>
        <v>0</v>
      </c>
      <c r="V7" s="18" t="s">
        <v>459</v>
      </c>
      <c r="W7" s="18">
        <v>6</v>
      </c>
      <c r="X7" s="18">
        <v>3</v>
      </c>
      <c r="Y7" s="18">
        <v>3</v>
      </c>
      <c r="Z7" s="18">
        <v>3</v>
      </c>
      <c r="AA7" s="18">
        <v>4</v>
      </c>
      <c r="AB7" s="18">
        <v>0</v>
      </c>
      <c r="AG7" s="18" t="s">
        <v>474</v>
      </c>
      <c r="AH7" s="18">
        <f>AB13</f>
        <v>29</v>
      </c>
      <c r="AI7" s="28">
        <f>AH7/(SUM(AH2:AH8))</f>
        <v>0.15760869565217392</v>
      </c>
    </row>
    <row r="8" spans="1:39" x14ac:dyDescent="0.25">
      <c r="A8" s="9" t="s">
        <v>457</v>
      </c>
      <c r="B8" s="22">
        <v>2</v>
      </c>
      <c r="C8" s="22">
        <v>10</v>
      </c>
      <c r="D8" s="22">
        <v>2</v>
      </c>
      <c r="E8" s="22">
        <v>7</v>
      </c>
      <c r="F8" s="22">
        <v>5</v>
      </c>
      <c r="G8" s="22"/>
      <c r="H8" s="22"/>
      <c r="I8" s="22"/>
      <c r="J8" s="22">
        <v>26</v>
      </c>
      <c r="L8" t="s">
        <v>454</v>
      </c>
      <c r="M8" t="s">
        <v>468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  <c r="V8" s="18" t="s">
        <v>460</v>
      </c>
      <c r="W8" s="18">
        <v>7</v>
      </c>
      <c r="X8" s="18">
        <v>2</v>
      </c>
      <c r="Y8" s="18">
        <v>3</v>
      </c>
      <c r="Z8" s="18">
        <v>3</v>
      </c>
      <c r="AA8" s="18">
        <v>2</v>
      </c>
      <c r="AB8" s="18">
        <v>3</v>
      </c>
      <c r="AG8" s="18" t="s">
        <v>499</v>
      </c>
      <c r="AH8" s="18">
        <f>AC13</f>
        <v>3</v>
      </c>
      <c r="AI8" s="28">
        <f>AH8/(SUM(AH2:AH8))</f>
        <v>1.6304347826086956E-2</v>
      </c>
    </row>
    <row r="9" spans="1:39" x14ac:dyDescent="0.25">
      <c r="A9" s="9" t="s">
        <v>458</v>
      </c>
      <c r="B9" s="22">
        <v>2</v>
      </c>
      <c r="C9" s="22">
        <v>4</v>
      </c>
      <c r="D9" s="22">
        <v>1</v>
      </c>
      <c r="E9" s="22">
        <v>2</v>
      </c>
      <c r="F9" s="22">
        <v>4</v>
      </c>
      <c r="G9" s="22">
        <v>1</v>
      </c>
      <c r="H9" s="22"/>
      <c r="I9" s="22"/>
      <c r="J9" s="22">
        <v>14</v>
      </c>
      <c r="L9" t="s">
        <v>455</v>
      </c>
      <c r="M9" t="s">
        <v>467</v>
      </c>
      <c r="N9" s="18">
        <f>C6</f>
        <v>3</v>
      </c>
      <c r="O9" s="18">
        <f t="shared" ref="O9:S9" si="3">D6</f>
        <v>0</v>
      </c>
      <c r="P9" s="18">
        <f t="shared" si="3"/>
        <v>0</v>
      </c>
      <c r="Q9" s="18">
        <f t="shared" si="3"/>
        <v>0</v>
      </c>
      <c r="R9" s="18">
        <f t="shared" si="3"/>
        <v>4</v>
      </c>
      <c r="S9" s="18">
        <f t="shared" si="3"/>
        <v>0</v>
      </c>
      <c r="V9" s="18" t="s">
        <v>461</v>
      </c>
      <c r="W9" s="18">
        <v>2</v>
      </c>
      <c r="X9" s="18">
        <v>4</v>
      </c>
      <c r="Y9" s="18">
        <v>2</v>
      </c>
      <c r="Z9" s="18">
        <v>3</v>
      </c>
      <c r="AA9" s="18"/>
      <c r="AB9" s="18">
        <v>1</v>
      </c>
    </row>
    <row r="10" spans="1:39" x14ac:dyDescent="0.25">
      <c r="A10" s="9" t="s">
        <v>459</v>
      </c>
      <c r="B10" s="22">
        <v>6</v>
      </c>
      <c r="C10" s="22">
        <v>3</v>
      </c>
      <c r="D10" s="22">
        <v>3</v>
      </c>
      <c r="E10" s="22">
        <v>3</v>
      </c>
      <c r="F10" s="22">
        <v>4</v>
      </c>
      <c r="G10" s="22"/>
      <c r="H10" s="22"/>
      <c r="I10" s="22"/>
      <c r="J10" s="22">
        <v>19</v>
      </c>
      <c r="L10" t="s">
        <v>455</v>
      </c>
      <c r="M10" t="s">
        <v>468</v>
      </c>
      <c r="N10" s="18">
        <f>C26</f>
        <v>4</v>
      </c>
      <c r="O10" s="18">
        <f t="shared" ref="O10:S10" si="4">D26</f>
        <v>0</v>
      </c>
      <c r="P10" s="18">
        <f t="shared" si="4"/>
        <v>4</v>
      </c>
      <c r="Q10" s="18">
        <f t="shared" si="4"/>
        <v>1</v>
      </c>
      <c r="R10" s="18">
        <f t="shared" si="4"/>
        <v>4</v>
      </c>
      <c r="S10" s="18">
        <f t="shared" si="4"/>
        <v>0</v>
      </c>
      <c r="V10" s="18" t="s">
        <v>462</v>
      </c>
      <c r="W10" s="18"/>
      <c r="X10" s="18">
        <v>2</v>
      </c>
      <c r="Y10" s="18"/>
      <c r="Z10" s="18">
        <v>1</v>
      </c>
      <c r="AA10" s="18">
        <v>4</v>
      </c>
      <c r="AB10" s="18">
        <v>1</v>
      </c>
    </row>
    <row r="11" spans="1:39" x14ac:dyDescent="0.25">
      <c r="A11" s="9" t="s">
        <v>460</v>
      </c>
      <c r="B11" s="22">
        <v>7</v>
      </c>
      <c r="C11" s="22">
        <v>2</v>
      </c>
      <c r="D11" s="22">
        <v>3</v>
      </c>
      <c r="E11" s="22">
        <v>3</v>
      </c>
      <c r="F11" s="22">
        <v>2</v>
      </c>
      <c r="G11" s="22">
        <v>3</v>
      </c>
      <c r="H11" s="22"/>
      <c r="I11" s="22"/>
      <c r="J11" s="22">
        <v>20</v>
      </c>
      <c r="L11" t="s">
        <v>456</v>
      </c>
      <c r="M11" t="s">
        <v>467</v>
      </c>
      <c r="N11" s="18">
        <f>C7</f>
        <v>9</v>
      </c>
      <c r="O11" s="18">
        <f t="shared" ref="O11:S11" si="5">D7</f>
        <v>2</v>
      </c>
      <c r="P11" s="18">
        <f t="shared" si="5"/>
        <v>0</v>
      </c>
      <c r="Q11" s="18">
        <f t="shared" si="5"/>
        <v>1</v>
      </c>
      <c r="R11" s="18">
        <f t="shared" si="5"/>
        <v>2</v>
      </c>
      <c r="S11" s="18">
        <f t="shared" si="5"/>
        <v>0</v>
      </c>
      <c r="V11" s="18" t="s">
        <v>463</v>
      </c>
      <c r="W11" s="18">
        <v>3</v>
      </c>
      <c r="X11" s="18">
        <v>1</v>
      </c>
      <c r="Y11" s="18">
        <v>3</v>
      </c>
      <c r="Z11" s="18">
        <v>3</v>
      </c>
      <c r="AA11" s="18">
        <v>4</v>
      </c>
      <c r="AB11" s="18">
        <v>10</v>
      </c>
      <c r="AC11" s="18">
        <v>2</v>
      </c>
    </row>
    <row r="12" spans="1:39" x14ac:dyDescent="0.25">
      <c r="A12" s="9" t="s">
        <v>461</v>
      </c>
      <c r="B12" s="22">
        <v>2</v>
      </c>
      <c r="C12" s="22">
        <v>4</v>
      </c>
      <c r="D12" s="22">
        <v>2</v>
      </c>
      <c r="E12" s="22">
        <v>3</v>
      </c>
      <c r="F12" s="22"/>
      <c r="G12" s="22">
        <v>1</v>
      </c>
      <c r="H12" s="22"/>
      <c r="I12" s="22"/>
      <c r="J12" s="22">
        <v>12</v>
      </c>
      <c r="L12" t="s">
        <v>456</v>
      </c>
      <c r="M12" t="s">
        <v>468</v>
      </c>
      <c r="N12" s="18">
        <f>C27</f>
        <v>4</v>
      </c>
      <c r="O12" s="18">
        <f t="shared" ref="O12:S12" si="6">D27</f>
        <v>2</v>
      </c>
      <c r="P12" s="18">
        <f t="shared" si="6"/>
        <v>0</v>
      </c>
      <c r="Q12" s="18">
        <f t="shared" si="6"/>
        <v>3</v>
      </c>
      <c r="R12" s="18">
        <f t="shared" si="6"/>
        <v>2</v>
      </c>
      <c r="S12" s="18">
        <f t="shared" si="6"/>
        <v>0</v>
      </c>
      <c r="V12" t="s">
        <v>498</v>
      </c>
      <c r="W12" s="18">
        <v>2</v>
      </c>
      <c r="X12" s="18">
        <v>1</v>
      </c>
      <c r="Z12" s="18">
        <v>3</v>
      </c>
      <c r="AA12" s="18"/>
      <c r="AB12" s="18">
        <v>7</v>
      </c>
      <c r="AC12" s="18">
        <v>1</v>
      </c>
    </row>
    <row r="13" spans="1:39" x14ac:dyDescent="0.25">
      <c r="A13" s="9" t="s">
        <v>462</v>
      </c>
      <c r="B13" s="22"/>
      <c r="C13" s="22">
        <v>2</v>
      </c>
      <c r="D13" s="22"/>
      <c r="E13" s="22">
        <v>1</v>
      </c>
      <c r="F13" s="22">
        <v>4</v>
      </c>
      <c r="G13" s="22">
        <v>1</v>
      </c>
      <c r="H13" s="22"/>
      <c r="I13" s="22"/>
      <c r="J13" s="22">
        <v>8</v>
      </c>
      <c r="L13" t="s">
        <v>457</v>
      </c>
      <c r="M13" t="s">
        <v>467</v>
      </c>
      <c r="N13" s="18">
        <f>C8</f>
        <v>10</v>
      </c>
      <c r="O13" s="18">
        <f t="shared" ref="O13:S13" si="7">D8</f>
        <v>2</v>
      </c>
      <c r="P13" s="18">
        <f t="shared" si="7"/>
        <v>7</v>
      </c>
      <c r="Q13" s="18">
        <f t="shared" si="7"/>
        <v>5</v>
      </c>
      <c r="R13" s="18">
        <f t="shared" si="7"/>
        <v>0</v>
      </c>
      <c r="S13" s="18">
        <f t="shared" si="7"/>
        <v>0</v>
      </c>
      <c r="W13" s="18">
        <f>SUM(W3:W12)</f>
        <v>25</v>
      </c>
      <c r="X13" s="18">
        <f t="shared" ref="X13:AC13" si="8">SUM(X3:X12)</f>
        <v>46</v>
      </c>
      <c r="Y13" s="18">
        <f t="shared" si="8"/>
        <v>17</v>
      </c>
      <c r="Z13" s="18">
        <f t="shared" si="8"/>
        <v>31</v>
      </c>
      <c r="AA13" s="18">
        <f t="shared" si="8"/>
        <v>33</v>
      </c>
      <c r="AB13" s="18">
        <f t="shared" si="8"/>
        <v>29</v>
      </c>
      <c r="AC13" s="18">
        <f t="shared" si="8"/>
        <v>3</v>
      </c>
    </row>
    <row r="14" spans="1:39" x14ac:dyDescent="0.25">
      <c r="A14" s="9" t="s">
        <v>463</v>
      </c>
      <c r="B14" s="22">
        <v>3</v>
      </c>
      <c r="C14" s="22">
        <v>1</v>
      </c>
      <c r="D14" s="22">
        <v>3</v>
      </c>
      <c r="E14" s="22">
        <v>3</v>
      </c>
      <c r="F14" s="22">
        <v>4</v>
      </c>
      <c r="G14" s="22">
        <v>10</v>
      </c>
      <c r="H14" s="22">
        <v>1</v>
      </c>
      <c r="I14" s="22">
        <v>1</v>
      </c>
      <c r="J14" s="22">
        <v>26</v>
      </c>
      <c r="L14" t="s">
        <v>457</v>
      </c>
      <c r="M14" t="s">
        <v>468</v>
      </c>
      <c r="N14" s="18">
        <f>C28</f>
        <v>19</v>
      </c>
      <c r="O14" s="18">
        <f t="shared" ref="O14:S14" si="9">D28</f>
        <v>3</v>
      </c>
      <c r="P14" s="18">
        <f t="shared" si="9"/>
        <v>5</v>
      </c>
      <c r="Q14" s="18">
        <f t="shared" si="9"/>
        <v>3</v>
      </c>
      <c r="R14" s="18">
        <f t="shared" si="9"/>
        <v>0</v>
      </c>
      <c r="S14" s="18">
        <f t="shared" si="9"/>
        <v>0</v>
      </c>
    </row>
    <row r="15" spans="1:39" x14ac:dyDescent="0.25">
      <c r="A15" s="9" t="s">
        <v>498</v>
      </c>
      <c r="B15" s="22">
        <v>3</v>
      </c>
      <c r="C15" s="22">
        <v>1</v>
      </c>
      <c r="D15" s="22"/>
      <c r="E15" s="22">
        <v>3</v>
      </c>
      <c r="F15" s="22"/>
      <c r="G15" s="22">
        <v>7</v>
      </c>
      <c r="H15" s="22"/>
      <c r="I15" s="22"/>
      <c r="J15" s="22">
        <v>14</v>
      </c>
      <c r="L15" t="s">
        <v>458</v>
      </c>
      <c r="M15" t="s">
        <v>467</v>
      </c>
      <c r="N15" s="18">
        <f>C9</f>
        <v>4</v>
      </c>
      <c r="O15" s="18">
        <f t="shared" ref="O15:S15" si="10">D9</f>
        <v>1</v>
      </c>
      <c r="P15" s="18">
        <f t="shared" si="10"/>
        <v>2</v>
      </c>
      <c r="Q15" s="18">
        <f t="shared" si="10"/>
        <v>4</v>
      </c>
      <c r="R15" s="18">
        <f t="shared" si="10"/>
        <v>1</v>
      </c>
      <c r="S15" s="18">
        <f t="shared" si="10"/>
        <v>0</v>
      </c>
    </row>
    <row r="16" spans="1:39" x14ac:dyDescent="0.25">
      <c r="A16" s="9" t="s">
        <v>426</v>
      </c>
      <c r="B16" s="22">
        <v>26</v>
      </c>
      <c r="C16" s="22">
        <v>46</v>
      </c>
      <c r="D16" s="22">
        <v>17</v>
      </c>
      <c r="E16" s="22">
        <v>31</v>
      </c>
      <c r="F16" s="22">
        <v>33</v>
      </c>
      <c r="G16" s="22">
        <v>29</v>
      </c>
      <c r="H16" s="22">
        <v>1</v>
      </c>
      <c r="I16" s="22">
        <v>1</v>
      </c>
      <c r="J16" s="22">
        <v>184</v>
      </c>
      <c r="L16" t="s">
        <v>458</v>
      </c>
      <c r="M16" t="s">
        <v>468</v>
      </c>
      <c r="N16" s="18">
        <f>C29</f>
        <v>3</v>
      </c>
      <c r="O16" s="18">
        <f t="shared" ref="O16:S16" si="11">D29</f>
        <v>1</v>
      </c>
      <c r="P16" s="18">
        <f t="shared" si="11"/>
        <v>3</v>
      </c>
      <c r="Q16" s="18">
        <f t="shared" si="11"/>
        <v>12</v>
      </c>
      <c r="R16" s="18">
        <f t="shared" si="11"/>
        <v>1</v>
      </c>
      <c r="S16" s="18">
        <f t="shared" si="11"/>
        <v>0</v>
      </c>
    </row>
    <row r="17" spans="1:19" x14ac:dyDescent="0.25">
      <c r="L17" t="s">
        <v>459</v>
      </c>
      <c r="M17" t="s">
        <v>467</v>
      </c>
      <c r="N17" s="18">
        <f>C10</f>
        <v>3</v>
      </c>
      <c r="O17" s="18">
        <f t="shared" ref="O17:S17" si="12">D10</f>
        <v>3</v>
      </c>
      <c r="P17" s="18">
        <f t="shared" si="12"/>
        <v>3</v>
      </c>
      <c r="Q17" s="18">
        <f t="shared" si="12"/>
        <v>4</v>
      </c>
      <c r="R17" s="18">
        <f t="shared" si="12"/>
        <v>0</v>
      </c>
      <c r="S17" s="18">
        <f t="shared" si="12"/>
        <v>0</v>
      </c>
    </row>
    <row r="18" spans="1:19" x14ac:dyDescent="0.25">
      <c r="L18" t="s">
        <v>459</v>
      </c>
      <c r="M18" t="s">
        <v>468</v>
      </c>
      <c r="N18" s="18">
        <f>C30</f>
        <v>6</v>
      </c>
      <c r="O18" s="18">
        <f t="shared" ref="O18:S18" si="13">D30</f>
        <v>1</v>
      </c>
      <c r="P18" s="18">
        <f t="shared" si="13"/>
        <v>4</v>
      </c>
      <c r="Q18" s="18">
        <f t="shared" si="13"/>
        <v>4</v>
      </c>
      <c r="R18" s="18">
        <f t="shared" si="13"/>
        <v>0</v>
      </c>
      <c r="S18" s="18">
        <f t="shared" si="13"/>
        <v>0</v>
      </c>
    </row>
    <row r="19" spans="1:19" x14ac:dyDescent="0.25">
      <c r="L19" t="s">
        <v>460</v>
      </c>
      <c r="M19" t="s">
        <v>467</v>
      </c>
      <c r="N19" s="18">
        <f>C11</f>
        <v>2</v>
      </c>
      <c r="O19" s="18">
        <f t="shared" ref="O19:S19" si="14">D11</f>
        <v>3</v>
      </c>
      <c r="P19" s="18">
        <f t="shared" si="14"/>
        <v>3</v>
      </c>
      <c r="Q19" s="18">
        <f t="shared" si="14"/>
        <v>2</v>
      </c>
      <c r="R19" s="18">
        <f t="shared" si="14"/>
        <v>3</v>
      </c>
      <c r="S19" s="18">
        <f t="shared" si="14"/>
        <v>0</v>
      </c>
    </row>
    <row r="20" spans="1:19" x14ac:dyDescent="0.25">
      <c r="L20" t="s">
        <v>460</v>
      </c>
      <c r="M20" t="s">
        <v>468</v>
      </c>
      <c r="N20" s="18">
        <f>C31</f>
        <v>1</v>
      </c>
      <c r="O20" s="18">
        <f t="shared" ref="O20:S20" si="15">D31</f>
        <v>5</v>
      </c>
      <c r="P20" s="18">
        <f t="shared" si="15"/>
        <v>4</v>
      </c>
      <c r="Q20" s="18">
        <f t="shared" si="15"/>
        <v>2</v>
      </c>
      <c r="R20" s="18">
        <f t="shared" si="15"/>
        <v>0</v>
      </c>
      <c r="S20" s="18">
        <f t="shared" si="15"/>
        <v>0</v>
      </c>
    </row>
    <row r="21" spans="1:19" x14ac:dyDescent="0.25">
      <c r="L21" t="s">
        <v>461</v>
      </c>
      <c r="M21" t="s">
        <v>467</v>
      </c>
      <c r="N21" s="18">
        <f>C12</f>
        <v>4</v>
      </c>
      <c r="O21" s="18">
        <f t="shared" ref="O21:S21" si="16">D12</f>
        <v>2</v>
      </c>
      <c r="P21" s="18">
        <f t="shared" si="16"/>
        <v>3</v>
      </c>
      <c r="Q21" s="18">
        <f t="shared" si="16"/>
        <v>0</v>
      </c>
      <c r="R21" s="18">
        <f t="shared" si="16"/>
        <v>1</v>
      </c>
      <c r="S21" s="18">
        <f t="shared" si="16"/>
        <v>0</v>
      </c>
    </row>
    <row r="22" spans="1:19" x14ac:dyDescent="0.25">
      <c r="L22" t="s">
        <v>461</v>
      </c>
      <c r="M22" t="s">
        <v>468</v>
      </c>
      <c r="N22" s="18">
        <f>C32</f>
        <v>3</v>
      </c>
      <c r="O22" s="18">
        <f t="shared" ref="O22:S22" si="17">D32</f>
        <v>1</v>
      </c>
      <c r="P22" s="18">
        <f t="shared" si="17"/>
        <v>2</v>
      </c>
      <c r="Q22" s="18">
        <f t="shared" si="17"/>
        <v>0</v>
      </c>
      <c r="R22" s="18">
        <f t="shared" si="17"/>
        <v>3</v>
      </c>
      <c r="S22" s="18">
        <f t="shared" si="17"/>
        <v>0</v>
      </c>
    </row>
    <row r="23" spans="1:19" x14ac:dyDescent="0.25">
      <c r="L23" t="s">
        <v>462</v>
      </c>
      <c r="M23" t="s">
        <v>467</v>
      </c>
      <c r="N23" s="18">
        <f>C13</f>
        <v>2</v>
      </c>
      <c r="O23" s="18">
        <f t="shared" ref="O23:S23" si="18">D13</f>
        <v>0</v>
      </c>
      <c r="P23" s="18">
        <f t="shared" si="18"/>
        <v>1</v>
      </c>
      <c r="Q23" s="18">
        <f t="shared" si="18"/>
        <v>4</v>
      </c>
      <c r="R23" s="18">
        <f t="shared" si="18"/>
        <v>1</v>
      </c>
      <c r="S23" s="18">
        <f t="shared" si="18"/>
        <v>0</v>
      </c>
    </row>
    <row r="24" spans="1:19" x14ac:dyDescent="0.25">
      <c r="A24" s="7" t="s">
        <v>464</v>
      </c>
      <c r="B24" s="7" t="s">
        <v>427</v>
      </c>
      <c r="L24" t="s">
        <v>462</v>
      </c>
      <c r="M24" t="s">
        <v>468</v>
      </c>
      <c r="N24" s="18">
        <f>C33</f>
        <v>1</v>
      </c>
      <c r="O24" s="18">
        <f t="shared" ref="O24:S24" si="19">D33</f>
        <v>0</v>
      </c>
      <c r="P24" s="18">
        <f t="shared" si="19"/>
        <v>2</v>
      </c>
      <c r="Q24" s="18">
        <f t="shared" si="19"/>
        <v>2</v>
      </c>
      <c r="R24" s="18">
        <f t="shared" si="19"/>
        <v>1</v>
      </c>
      <c r="S24" s="18">
        <f t="shared" si="19"/>
        <v>0</v>
      </c>
    </row>
    <row r="25" spans="1:19" x14ac:dyDescent="0.25">
      <c r="A25" s="7" t="s">
        <v>425</v>
      </c>
      <c r="B25" t="s">
        <v>97</v>
      </c>
      <c r="C25" t="s">
        <v>22</v>
      </c>
      <c r="D25" t="s">
        <v>101</v>
      </c>
      <c r="E25" t="s">
        <v>36</v>
      </c>
      <c r="F25" t="s">
        <v>167</v>
      </c>
      <c r="G25" t="s">
        <v>107</v>
      </c>
      <c r="H25" t="s">
        <v>487</v>
      </c>
      <c r="J25" t="s">
        <v>426</v>
      </c>
      <c r="L25" t="s">
        <v>463</v>
      </c>
      <c r="M25" t="s">
        <v>467</v>
      </c>
      <c r="N25" s="18">
        <f>C14</f>
        <v>1</v>
      </c>
      <c r="O25" s="18">
        <f t="shared" ref="O25:S25" si="20">D14</f>
        <v>3</v>
      </c>
      <c r="P25" s="18">
        <f t="shared" si="20"/>
        <v>3</v>
      </c>
      <c r="Q25" s="18">
        <f t="shared" si="20"/>
        <v>4</v>
      </c>
      <c r="R25" s="18">
        <f t="shared" si="20"/>
        <v>10</v>
      </c>
      <c r="S25" s="18">
        <f t="shared" si="20"/>
        <v>1</v>
      </c>
    </row>
    <row r="26" spans="1:19" x14ac:dyDescent="0.25">
      <c r="A26" s="9" t="s">
        <v>455</v>
      </c>
      <c r="B26" s="22"/>
      <c r="C26" s="22">
        <v>4</v>
      </c>
      <c r="D26" s="22"/>
      <c r="E26" s="22">
        <v>4</v>
      </c>
      <c r="F26" s="22">
        <v>1</v>
      </c>
      <c r="G26" s="22">
        <v>4</v>
      </c>
      <c r="H26" s="22"/>
      <c r="I26" s="22"/>
      <c r="J26" s="22">
        <v>13</v>
      </c>
      <c r="L26" t="s">
        <v>463</v>
      </c>
      <c r="M26" t="s">
        <v>468</v>
      </c>
      <c r="N26" s="18">
        <f>C34</f>
        <v>4</v>
      </c>
      <c r="O26" s="18">
        <f t="shared" ref="O26:S26" si="21">D34</f>
        <v>2</v>
      </c>
      <c r="P26" s="18">
        <f t="shared" si="21"/>
        <v>3</v>
      </c>
      <c r="Q26" s="18">
        <f t="shared" si="21"/>
        <v>6</v>
      </c>
      <c r="R26" s="18">
        <f t="shared" si="21"/>
        <v>8</v>
      </c>
      <c r="S26" s="18">
        <f t="shared" si="21"/>
        <v>0</v>
      </c>
    </row>
    <row r="27" spans="1:19" x14ac:dyDescent="0.25">
      <c r="A27" s="9" t="s">
        <v>456</v>
      </c>
      <c r="B27" s="22"/>
      <c r="C27" s="22">
        <v>4</v>
      </c>
      <c r="D27" s="22">
        <v>2</v>
      </c>
      <c r="E27" s="22"/>
      <c r="F27" s="22">
        <v>3</v>
      </c>
      <c r="G27" s="22">
        <v>2</v>
      </c>
      <c r="H27" s="22"/>
      <c r="I27" s="22"/>
      <c r="J27" s="22">
        <v>11</v>
      </c>
    </row>
    <row r="28" spans="1:19" x14ac:dyDescent="0.25">
      <c r="A28" s="9" t="s">
        <v>457</v>
      </c>
      <c r="B28" s="22">
        <v>2</v>
      </c>
      <c r="C28" s="22">
        <v>19</v>
      </c>
      <c r="D28" s="22">
        <v>3</v>
      </c>
      <c r="E28" s="22">
        <v>5</v>
      </c>
      <c r="F28" s="22">
        <v>3</v>
      </c>
      <c r="G28" s="22"/>
      <c r="H28" s="22"/>
      <c r="I28" s="22"/>
      <c r="J28" s="22">
        <v>32</v>
      </c>
    </row>
    <row r="29" spans="1:19" x14ac:dyDescent="0.25">
      <c r="A29" s="9" t="s">
        <v>458</v>
      </c>
      <c r="B29" s="22">
        <v>1</v>
      </c>
      <c r="C29" s="22">
        <v>3</v>
      </c>
      <c r="D29" s="22">
        <v>1</v>
      </c>
      <c r="E29" s="22">
        <v>3</v>
      </c>
      <c r="F29" s="22">
        <v>12</v>
      </c>
      <c r="G29" s="22">
        <v>1</v>
      </c>
      <c r="H29" s="22"/>
      <c r="I29" s="22"/>
      <c r="J29" s="22">
        <v>21</v>
      </c>
    </row>
    <row r="30" spans="1:19" x14ac:dyDescent="0.25">
      <c r="A30" s="9" t="s">
        <v>459</v>
      </c>
      <c r="B30" s="22">
        <v>4</v>
      </c>
      <c r="C30" s="22">
        <v>6</v>
      </c>
      <c r="D30" s="22">
        <v>1</v>
      </c>
      <c r="E30" s="22">
        <v>4</v>
      </c>
      <c r="F30" s="22">
        <v>4</v>
      </c>
      <c r="G30" s="22"/>
      <c r="H30" s="22"/>
      <c r="I30" s="22"/>
      <c r="J30" s="22">
        <v>19</v>
      </c>
    </row>
    <row r="31" spans="1:19" x14ac:dyDescent="0.25">
      <c r="A31" s="9" t="s">
        <v>460</v>
      </c>
      <c r="B31" s="22">
        <v>5</v>
      </c>
      <c r="C31" s="22">
        <v>1</v>
      </c>
      <c r="D31" s="22">
        <v>5</v>
      </c>
      <c r="E31" s="22">
        <v>4</v>
      </c>
      <c r="F31" s="22">
        <v>2</v>
      </c>
      <c r="G31" s="22"/>
      <c r="H31" s="22"/>
      <c r="I31" s="22"/>
      <c r="J31" s="22">
        <v>17</v>
      </c>
    </row>
    <row r="32" spans="1:19" x14ac:dyDescent="0.25">
      <c r="A32" s="9" t="s">
        <v>461</v>
      </c>
      <c r="B32" s="22">
        <v>4</v>
      </c>
      <c r="C32" s="22">
        <v>3</v>
      </c>
      <c r="D32" s="22">
        <v>1</v>
      </c>
      <c r="E32" s="22">
        <v>2</v>
      </c>
      <c r="F32" s="22"/>
      <c r="G32" s="22">
        <v>3</v>
      </c>
      <c r="H32" s="22"/>
      <c r="I32" s="22"/>
      <c r="J32" s="22">
        <v>13</v>
      </c>
    </row>
    <row r="33" spans="1:10" x14ac:dyDescent="0.25">
      <c r="A33" s="9" t="s">
        <v>462</v>
      </c>
      <c r="B33" s="22">
        <v>3</v>
      </c>
      <c r="C33" s="22">
        <v>1</v>
      </c>
      <c r="D33" s="22"/>
      <c r="E33" s="22">
        <v>2</v>
      </c>
      <c r="F33" s="22">
        <v>2</v>
      </c>
      <c r="G33" s="22">
        <v>1</v>
      </c>
      <c r="H33" s="22"/>
      <c r="I33" s="22"/>
      <c r="J33" s="22">
        <v>9</v>
      </c>
    </row>
    <row r="34" spans="1:10" x14ac:dyDescent="0.25">
      <c r="A34" s="9" t="s">
        <v>463</v>
      </c>
      <c r="B34" s="22">
        <v>1</v>
      </c>
      <c r="C34" s="22">
        <v>4</v>
      </c>
      <c r="D34" s="22">
        <v>2</v>
      </c>
      <c r="E34" s="22">
        <v>3</v>
      </c>
      <c r="F34" s="22">
        <v>6</v>
      </c>
      <c r="G34" s="22">
        <v>8</v>
      </c>
      <c r="H34" s="22"/>
      <c r="I34" s="22">
        <v>1</v>
      </c>
      <c r="J34" s="22">
        <v>25</v>
      </c>
    </row>
    <row r="35" spans="1:10" x14ac:dyDescent="0.25">
      <c r="A35" s="9" t="s">
        <v>498</v>
      </c>
      <c r="B35" s="22">
        <v>4</v>
      </c>
      <c r="C35" s="22"/>
      <c r="D35" s="22">
        <v>1</v>
      </c>
      <c r="E35" s="22">
        <v>3</v>
      </c>
      <c r="F35" s="22"/>
      <c r="G35" s="22">
        <v>10</v>
      </c>
      <c r="H35" s="22">
        <v>1</v>
      </c>
      <c r="I35" s="22"/>
      <c r="J35" s="22">
        <v>19</v>
      </c>
    </row>
    <row r="36" spans="1:10" x14ac:dyDescent="0.25">
      <c r="A36" s="9" t="s">
        <v>465</v>
      </c>
      <c r="B36" s="22">
        <v>2</v>
      </c>
      <c r="C36" s="22">
        <v>1</v>
      </c>
      <c r="D36" s="22">
        <v>1</v>
      </c>
      <c r="E36" s="22">
        <v>1</v>
      </c>
      <c r="F36" s="22"/>
      <c r="G36" s="22"/>
      <c r="H36" s="22"/>
      <c r="I36" s="22"/>
      <c r="J36" s="22">
        <v>5</v>
      </c>
    </row>
    <row r="37" spans="1:10" x14ac:dyDescent="0.25">
      <c r="A37" s="9" t="s">
        <v>426</v>
      </c>
      <c r="B37" s="22">
        <v>26</v>
      </c>
      <c r="C37" s="22">
        <v>46</v>
      </c>
      <c r="D37" s="22">
        <v>17</v>
      </c>
      <c r="E37" s="22">
        <v>31</v>
      </c>
      <c r="F37" s="22">
        <v>33</v>
      </c>
      <c r="G37" s="22">
        <v>29</v>
      </c>
      <c r="H37" s="22">
        <v>1</v>
      </c>
      <c r="I37" s="22">
        <v>1</v>
      </c>
      <c r="J37" s="22">
        <v>184</v>
      </c>
    </row>
  </sheetData>
  <sortState xmlns:xlrd2="http://schemas.microsoft.com/office/spreadsheetml/2017/richdata2" ref="AG3:AM3">
    <sortCondition descending="1" ref="AG3"/>
  </sortState>
  <phoneticPr fontId="5" type="noConversion"/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181FC-3A6F-42B5-809F-69EE075AA08C}">
  <dimension ref="A1:M11"/>
  <sheetViews>
    <sheetView tabSelected="1" workbookViewId="0">
      <selection activeCell="H25" sqref="H25"/>
    </sheetView>
  </sheetViews>
  <sheetFormatPr baseColWidth="10" defaultRowHeight="15" x14ac:dyDescent="0.25"/>
  <cols>
    <col min="1" max="1" width="122.140625" bestFit="1" customWidth="1"/>
    <col min="2" max="2" width="22.42578125" bestFit="1" customWidth="1"/>
    <col min="3" max="3" width="4.7109375" bestFit="1" customWidth="1"/>
    <col min="4" max="4" width="12.5703125" bestFit="1" customWidth="1"/>
    <col min="5" max="5" width="17.5703125" bestFit="1" customWidth="1"/>
    <col min="6" max="6" width="24.85546875" bestFit="1" customWidth="1"/>
    <col min="7" max="7" width="12.5703125" bestFit="1" customWidth="1"/>
  </cols>
  <sheetData>
    <row r="1" spans="1:13" x14ac:dyDescent="0.25">
      <c r="A1" s="7" t="s">
        <v>464</v>
      </c>
      <c r="B1" s="7" t="s">
        <v>427</v>
      </c>
    </row>
    <row r="2" spans="1:13" x14ac:dyDescent="0.25">
      <c r="A2" s="7" t="s">
        <v>425</v>
      </c>
      <c r="C2" t="s">
        <v>528</v>
      </c>
      <c r="D2" t="s">
        <v>426</v>
      </c>
      <c r="I2" t="s">
        <v>533</v>
      </c>
      <c r="J2" t="s">
        <v>534</v>
      </c>
      <c r="K2" t="s">
        <v>535</v>
      </c>
      <c r="L2" t="s">
        <v>536</v>
      </c>
      <c r="M2" t="s">
        <v>537</v>
      </c>
    </row>
    <row r="3" spans="1:13" x14ac:dyDescent="0.25">
      <c r="A3" s="9"/>
      <c r="B3" s="22">
        <v>1</v>
      </c>
      <c r="C3" s="22"/>
      <c r="D3" s="22">
        <v>1</v>
      </c>
      <c r="I3" t="str">
        <f>A4</f>
        <v>DEFINICIÓN</v>
      </c>
      <c r="J3">
        <f>B4</f>
        <v>11</v>
      </c>
      <c r="K3">
        <f>C4</f>
        <v>15</v>
      </c>
      <c r="L3">
        <f>SUM(J3:K3)</f>
        <v>26</v>
      </c>
      <c r="M3" t="str">
        <f>L3 &amp; " (" &amp; J3 &amp; " pre / " &amp; K3 &amp; " pro)"</f>
        <v>26 (11 pre / 15 pro)</v>
      </c>
    </row>
    <row r="4" spans="1:13" x14ac:dyDescent="0.25">
      <c r="A4" s="9" t="s">
        <v>97</v>
      </c>
      <c r="B4" s="22">
        <v>11</v>
      </c>
      <c r="C4" s="22">
        <v>15</v>
      </c>
      <c r="D4" s="22">
        <v>26</v>
      </c>
      <c r="I4" t="str">
        <f t="shared" ref="I4:I10" si="0">A5</f>
        <v>DESARROLLO</v>
      </c>
      <c r="J4">
        <f t="shared" ref="J4:J9" si="1">B5</f>
        <v>28</v>
      </c>
      <c r="K4">
        <f t="shared" ref="K4:K11" si="2">C5</f>
        <v>18</v>
      </c>
      <c r="L4">
        <f t="shared" ref="L4:L11" si="3">SUM(J4:K4)</f>
        <v>46</v>
      </c>
      <c r="M4" t="str">
        <f t="shared" ref="M4:M11" si="4">L4 &amp; " (" &amp; J4 &amp; " pre / " &amp; K4 &amp; " pro)"</f>
        <v>46 (28 pre / 18 pro)</v>
      </c>
    </row>
    <row r="5" spans="1:13" x14ac:dyDescent="0.25">
      <c r="A5" s="9" t="s">
        <v>22</v>
      </c>
      <c r="B5" s="22">
        <v>28</v>
      </c>
      <c r="C5" s="22">
        <v>18</v>
      </c>
      <c r="D5" s="22">
        <v>46</v>
      </c>
      <c r="I5" t="str">
        <f t="shared" si="0"/>
        <v>FUNCIONAL</v>
      </c>
      <c r="J5">
        <f t="shared" si="1"/>
        <v>6</v>
      </c>
      <c r="K5">
        <f t="shared" si="2"/>
        <v>11</v>
      </c>
      <c r="L5">
        <f t="shared" si="3"/>
        <v>17</v>
      </c>
      <c r="M5" t="str">
        <f t="shared" si="4"/>
        <v>17 (6 pre / 11 pro)</v>
      </c>
    </row>
    <row r="6" spans="1:13" x14ac:dyDescent="0.25">
      <c r="A6" s="9" t="s">
        <v>101</v>
      </c>
      <c r="B6" s="22">
        <v>6</v>
      </c>
      <c r="C6" s="22">
        <v>11</v>
      </c>
      <c r="D6" s="22">
        <v>17</v>
      </c>
      <c r="I6" t="str">
        <f t="shared" si="0"/>
        <v>ORIGEN</v>
      </c>
      <c r="J6">
        <f t="shared" si="1"/>
        <v>9</v>
      </c>
      <c r="K6">
        <f t="shared" si="2"/>
        <v>22</v>
      </c>
      <c r="L6">
        <f t="shared" si="3"/>
        <v>31</v>
      </c>
      <c r="M6" t="str">
        <f t="shared" si="4"/>
        <v>31 (9 pre / 22 pro)</v>
      </c>
    </row>
    <row r="7" spans="1:13" x14ac:dyDescent="0.25">
      <c r="A7" s="9" t="s">
        <v>36</v>
      </c>
      <c r="B7" s="22">
        <v>9</v>
      </c>
      <c r="C7" s="22">
        <v>22</v>
      </c>
      <c r="D7" s="22">
        <v>31</v>
      </c>
      <c r="I7" t="str">
        <f t="shared" si="0"/>
        <v>REPROCESO</v>
      </c>
      <c r="J7">
        <f t="shared" si="1"/>
        <v>13</v>
      </c>
      <c r="K7">
        <f t="shared" si="2"/>
        <v>20</v>
      </c>
      <c r="L7">
        <f t="shared" si="3"/>
        <v>33</v>
      </c>
      <c r="M7" t="str">
        <f t="shared" si="4"/>
        <v>33 (13 pre / 20 pro)</v>
      </c>
    </row>
    <row r="8" spans="1:13" x14ac:dyDescent="0.25">
      <c r="A8" s="9" t="s">
        <v>167</v>
      </c>
      <c r="B8" s="22">
        <v>13</v>
      </c>
      <c r="C8" s="22">
        <v>20</v>
      </c>
      <c r="D8" s="22">
        <v>33</v>
      </c>
      <c r="I8" t="s">
        <v>539</v>
      </c>
      <c r="J8">
        <f t="shared" si="1"/>
        <v>2</v>
      </c>
      <c r="K8">
        <f t="shared" si="2"/>
        <v>0</v>
      </c>
      <c r="L8">
        <f t="shared" si="3"/>
        <v>2</v>
      </c>
      <c r="M8" t="str">
        <f t="shared" si="4"/>
        <v>2 (2 pre / 0 pro)</v>
      </c>
    </row>
    <row r="9" spans="1:13" x14ac:dyDescent="0.25">
      <c r="A9" s="9" t="s">
        <v>487</v>
      </c>
      <c r="B9" s="22">
        <v>2</v>
      </c>
      <c r="C9" s="22"/>
      <c r="D9" s="22">
        <v>2</v>
      </c>
      <c r="I9" t="str">
        <f t="shared" si="0"/>
        <v>SOPORTE</v>
      </c>
      <c r="J9">
        <f t="shared" si="1"/>
        <v>5</v>
      </c>
      <c r="K9">
        <f t="shared" si="2"/>
        <v>24</v>
      </c>
      <c r="L9">
        <f t="shared" si="3"/>
        <v>29</v>
      </c>
      <c r="M9" t="str">
        <f t="shared" si="4"/>
        <v>29 (5 pre / 24 pro)</v>
      </c>
    </row>
    <row r="10" spans="1:13" x14ac:dyDescent="0.25">
      <c r="A10" s="9" t="s">
        <v>107</v>
      </c>
      <c r="B10" s="22">
        <v>5</v>
      </c>
      <c r="C10" s="22">
        <v>24</v>
      </c>
      <c r="D10" s="22">
        <v>29</v>
      </c>
    </row>
    <row r="11" spans="1:13" x14ac:dyDescent="0.25">
      <c r="A11" s="9" t="s">
        <v>426</v>
      </c>
      <c r="B11" s="22">
        <v>75</v>
      </c>
      <c r="C11" s="22">
        <v>110</v>
      </c>
      <c r="D11" s="22">
        <v>185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About</vt:lpstr>
      <vt:lpstr>Datos</vt:lpstr>
      <vt:lpstr>Resumen</vt:lpstr>
      <vt:lpstr>Resumen_Tipologia</vt:lpstr>
      <vt:lpstr>Grafica_Estado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Moreno Gomez Roso Maria Teresa Angel</cp:lastModifiedBy>
  <cp:revision/>
  <dcterms:created xsi:type="dcterms:W3CDTF">2019-07-26T12:47:49Z</dcterms:created>
  <dcterms:modified xsi:type="dcterms:W3CDTF">2025-11-03T14:42:16Z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2025-09-24T16:57:11Z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f8bc8ced-8d93-4af0-90a9-bb28a973fcf3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</Properties>
</file>