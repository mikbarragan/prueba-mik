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C360\Seguimiento\Release\"/>
    </mc:Choice>
  </mc:AlternateContent>
  <xr:revisionPtr revIDLastSave="0" documentId="13_ncr:1_{9C479833-1115-4FF2-BDF2-75C2A5CF66BD}" xr6:coauthVersionLast="47" xr6:coauthVersionMax="47" xr10:uidLastSave="{00000000-0000-0000-0000-000000000000}"/>
  <bookViews>
    <workbookView xWindow="0" yWindow="360" windowWidth="23016" windowHeight="11148" activeTab="2" xr2:uid="{00000000-000D-0000-FFFF-FFFF00000000}"/>
  </bookViews>
  <sheets>
    <sheet name="Instrucciones" sheetId="6" r:id="rId1"/>
    <sheet name="Jira BUGS" sheetId="9" r:id="rId2"/>
    <sheet name="Datos Gráficos BUGs" sheetId="5" r:id="rId3"/>
    <sheet name="SLAs" sheetId="10" r:id="rId4"/>
    <sheet name="Cálculos" sheetId="4" state="hidden" r:id="rId5"/>
    <sheet name="Fechas_Estado" sheetId="7" state="hidden" r:id="rId6"/>
    <sheet name="Tratamiento_Fechas" sheetId="8" state="hidden" r:id="rId7"/>
  </sheets>
  <definedNames>
    <definedName name="_xlnm._FilterDatabase" localSheetId="1" hidden="1">'Jira BUGS'!$A$1:$Y$172</definedName>
  </definedNames>
  <calcPr calcId="191028"/>
  <pivotCaches>
    <pivotCache cacheId="794" r:id="rId8"/>
    <pivotCache cacheId="795" r:id="rId9"/>
    <pivotCache cacheId="79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0" i="9" l="1"/>
  <c r="P60" i="9"/>
  <c r="Q60" i="9"/>
  <c r="R60" i="9"/>
  <c r="S60" i="9"/>
  <c r="T60" i="9"/>
  <c r="U60" i="9"/>
  <c r="V60" i="9"/>
  <c r="W60" i="9"/>
  <c r="X60" i="9"/>
  <c r="Y60" i="9"/>
  <c r="O61" i="9"/>
  <c r="P61" i="9" s="1"/>
  <c r="R61" i="9" s="1"/>
  <c r="Q61" i="9"/>
  <c r="S61" i="9"/>
  <c r="T61" i="9" s="1"/>
  <c r="V61" i="9" s="1"/>
  <c r="U61" i="9"/>
  <c r="W61" i="9"/>
  <c r="X61" i="9"/>
  <c r="Y61" i="9"/>
  <c r="O62" i="9"/>
  <c r="P62" i="9"/>
  <c r="R62" i="9" s="1"/>
  <c r="Q62" i="9"/>
  <c r="S62" i="9"/>
  <c r="T62" i="9"/>
  <c r="V62" i="9" s="1"/>
  <c r="U62" i="9"/>
  <c r="W62" i="9"/>
  <c r="X62" i="9"/>
  <c r="Y62" i="9" s="1"/>
  <c r="O59" i="9"/>
  <c r="P59" i="9" s="1"/>
  <c r="R59" i="9" s="1"/>
  <c r="Q59" i="9"/>
  <c r="S59" i="9"/>
  <c r="T59" i="9" s="1"/>
  <c r="U59" i="9"/>
  <c r="W59" i="9"/>
  <c r="X59" i="9"/>
  <c r="Y59" i="9" s="1"/>
  <c r="O56" i="9"/>
  <c r="P56" i="9" s="1"/>
  <c r="Q56" i="9"/>
  <c r="S56" i="9"/>
  <c r="T56" i="9" s="1"/>
  <c r="U56" i="9"/>
  <c r="W56" i="9"/>
  <c r="X56" i="9"/>
  <c r="Y56" i="9" s="1"/>
  <c r="O57" i="9"/>
  <c r="P57" i="9" s="1"/>
  <c r="Q57" i="9"/>
  <c r="S57" i="9"/>
  <c r="T57" i="9" s="1"/>
  <c r="U57" i="9"/>
  <c r="W57" i="9"/>
  <c r="X57" i="9"/>
  <c r="Y57" i="9" s="1"/>
  <c r="O58" i="9"/>
  <c r="P58" i="9" s="1"/>
  <c r="Q58" i="9"/>
  <c r="S58" i="9"/>
  <c r="T58" i="9" s="1"/>
  <c r="U58" i="9"/>
  <c r="W58" i="9"/>
  <c r="X58" i="9"/>
  <c r="Y58" i="9" s="1"/>
  <c r="O53" i="9"/>
  <c r="P53" i="9" s="1"/>
  <c r="Q53" i="9"/>
  <c r="S53" i="9"/>
  <c r="T53" i="9" s="1"/>
  <c r="U53" i="9"/>
  <c r="W53" i="9"/>
  <c r="X53" i="9"/>
  <c r="Y53" i="9" s="1"/>
  <c r="O54" i="9"/>
  <c r="P54" i="9" s="1"/>
  <c r="Q54" i="9"/>
  <c r="S54" i="9"/>
  <c r="T54" i="9" s="1"/>
  <c r="U54" i="9"/>
  <c r="W54" i="9"/>
  <c r="X54" i="9"/>
  <c r="Y54" i="9" s="1"/>
  <c r="O55" i="9"/>
  <c r="P55" i="9" s="1"/>
  <c r="Q55" i="9"/>
  <c r="S55" i="9"/>
  <c r="T55" i="9" s="1"/>
  <c r="U55" i="9"/>
  <c r="W55" i="9"/>
  <c r="X55" i="9"/>
  <c r="Y55" i="9" s="1"/>
  <c r="O52" i="9"/>
  <c r="P52" i="9" s="1"/>
  <c r="Q52" i="9"/>
  <c r="S52" i="9"/>
  <c r="T52" i="9" s="1"/>
  <c r="U52" i="9"/>
  <c r="W52" i="9"/>
  <c r="X52" i="9"/>
  <c r="Y52" i="9" s="1"/>
  <c r="O51" i="9"/>
  <c r="P51" i="9" s="1"/>
  <c r="Q51" i="9"/>
  <c r="S51" i="9"/>
  <c r="T51" i="9" s="1"/>
  <c r="U51" i="9"/>
  <c r="W51" i="9"/>
  <c r="X51" i="9"/>
  <c r="Y51" i="9" s="1"/>
  <c r="O49" i="9"/>
  <c r="P49" i="9" s="1"/>
  <c r="Q49" i="9"/>
  <c r="S49" i="9"/>
  <c r="T49" i="9" s="1"/>
  <c r="U49" i="9"/>
  <c r="W49" i="9"/>
  <c r="X49" i="9"/>
  <c r="Y49" i="9" s="1"/>
  <c r="O50" i="9"/>
  <c r="P50" i="9" s="1"/>
  <c r="Q50" i="9"/>
  <c r="S50" i="9"/>
  <c r="T50" i="9" s="1"/>
  <c r="U50" i="9"/>
  <c r="W50" i="9"/>
  <c r="X50" i="9"/>
  <c r="Y50" i="9" s="1"/>
  <c r="O47" i="9"/>
  <c r="P47" i="9" s="1"/>
  <c r="Q47" i="9"/>
  <c r="S47" i="9"/>
  <c r="T47" i="9" s="1"/>
  <c r="U47" i="9"/>
  <c r="W47" i="9"/>
  <c r="X47" i="9"/>
  <c r="O48" i="9"/>
  <c r="P48" i="9" s="1"/>
  <c r="Q48" i="9"/>
  <c r="S48" i="9"/>
  <c r="T48" i="9" s="1"/>
  <c r="U48" i="9"/>
  <c r="W48" i="9"/>
  <c r="X48" i="9"/>
  <c r="O45" i="9"/>
  <c r="P45" i="9" s="1"/>
  <c r="Q45" i="9"/>
  <c r="S45" i="9"/>
  <c r="T45" i="9" s="1"/>
  <c r="U45" i="9"/>
  <c r="W45" i="9"/>
  <c r="X45" i="9"/>
  <c r="O46" i="9"/>
  <c r="P46" i="9" s="1"/>
  <c r="Q46" i="9"/>
  <c r="S46" i="9"/>
  <c r="T46" i="9" s="1"/>
  <c r="U46" i="9"/>
  <c r="W46" i="9"/>
  <c r="X46" i="9"/>
  <c r="O43" i="9"/>
  <c r="P43" i="9" s="1"/>
  <c r="Q43" i="9"/>
  <c r="S43" i="9"/>
  <c r="T43" i="9" s="1"/>
  <c r="U43" i="9"/>
  <c r="W43" i="9"/>
  <c r="X43" i="9"/>
  <c r="O44" i="9"/>
  <c r="P44" i="9" s="1"/>
  <c r="Q44" i="9"/>
  <c r="S44" i="9"/>
  <c r="T44" i="9" s="1"/>
  <c r="U44" i="9"/>
  <c r="W44" i="9"/>
  <c r="X44" i="9"/>
  <c r="O39" i="9"/>
  <c r="P39" i="9" s="1"/>
  <c r="Q39" i="9"/>
  <c r="S39" i="9"/>
  <c r="T39" i="9" s="1"/>
  <c r="U39" i="9"/>
  <c r="W39" i="9"/>
  <c r="X39" i="9"/>
  <c r="O40" i="9"/>
  <c r="P40" i="9" s="1"/>
  <c r="Q40" i="9"/>
  <c r="S40" i="9"/>
  <c r="T40" i="9" s="1"/>
  <c r="U40" i="9"/>
  <c r="W40" i="9"/>
  <c r="X40" i="9"/>
  <c r="O41" i="9"/>
  <c r="P41" i="9" s="1"/>
  <c r="Q41" i="9"/>
  <c r="S41" i="9"/>
  <c r="T41" i="9" s="1"/>
  <c r="U41" i="9"/>
  <c r="W41" i="9"/>
  <c r="X41" i="9"/>
  <c r="O42" i="9"/>
  <c r="P42" i="9" s="1"/>
  <c r="Q42" i="9"/>
  <c r="S42" i="9"/>
  <c r="T42" i="9" s="1"/>
  <c r="U42" i="9"/>
  <c r="W42" i="9"/>
  <c r="X42" i="9"/>
  <c r="O36" i="9"/>
  <c r="P36" i="9" s="1"/>
  <c r="Q36" i="9"/>
  <c r="S36" i="9"/>
  <c r="T36" i="9" s="1"/>
  <c r="U36" i="9"/>
  <c r="W36" i="9"/>
  <c r="X36" i="9"/>
  <c r="O37" i="9"/>
  <c r="P37" i="9" s="1"/>
  <c r="Q37" i="9"/>
  <c r="S37" i="9"/>
  <c r="T37" i="9" s="1"/>
  <c r="U37" i="9"/>
  <c r="W37" i="9"/>
  <c r="X37" i="9"/>
  <c r="O38" i="9"/>
  <c r="P38" i="9" s="1"/>
  <c r="Q38" i="9"/>
  <c r="S38" i="9"/>
  <c r="T38" i="9" s="1"/>
  <c r="U38" i="9"/>
  <c r="W38" i="9"/>
  <c r="X38" i="9"/>
  <c r="O34" i="9"/>
  <c r="P34" i="9" s="1"/>
  <c r="Q34" i="9"/>
  <c r="S34" i="9"/>
  <c r="T34" i="9" s="1"/>
  <c r="U34" i="9"/>
  <c r="W34" i="9"/>
  <c r="X34" i="9"/>
  <c r="O35" i="9"/>
  <c r="P35" i="9" s="1"/>
  <c r="Q35" i="9"/>
  <c r="S35" i="9"/>
  <c r="T35" i="9" s="1"/>
  <c r="U35" i="9"/>
  <c r="W35" i="9"/>
  <c r="X35" i="9"/>
  <c r="O31" i="9"/>
  <c r="P31" i="9" s="1"/>
  <c r="Q31" i="9"/>
  <c r="S31" i="9"/>
  <c r="T31" i="9" s="1"/>
  <c r="U31" i="9"/>
  <c r="W31" i="9"/>
  <c r="X31" i="9"/>
  <c r="O32" i="9"/>
  <c r="P32" i="9" s="1"/>
  <c r="Q32" i="9"/>
  <c r="S32" i="9"/>
  <c r="T32" i="9" s="1"/>
  <c r="U32" i="9"/>
  <c r="W32" i="9"/>
  <c r="X32" i="9"/>
  <c r="O33" i="9"/>
  <c r="P33" i="9" s="1"/>
  <c r="Q33" i="9"/>
  <c r="S33" i="9"/>
  <c r="T33" i="9" s="1"/>
  <c r="U33" i="9"/>
  <c r="W33" i="9"/>
  <c r="X33" i="9"/>
  <c r="O29" i="9"/>
  <c r="P29" i="9" s="1"/>
  <c r="Q29" i="9"/>
  <c r="S29" i="9"/>
  <c r="T29" i="9" s="1"/>
  <c r="U29" i="9"/>
  <c r="W29" i="9"/>
  <c r="X29" i="9"/>
  <c r="O30" i="9"/>
  <c r="P30" i="9" s="1"/>
  <c r="Q30" i="9"/>
  <c r="S30" i="9"/>
  <c r="T30" i="9" s="1"/>
  <c r="U30" i="9"/>
  <c r="W30" i="9"/>
  <c r="X30" i="9"/>
  <c r="O27" i="9"/>
  <c r="P27" i="9" s="1"/>
  <c r="Q27" i="9"/>
  <c r="S27" i="9"/>
  <c r="T27" i="9" s="1"/>
  <c r="U27" i="9"/>
  <c r="W27" i="9"/>
  <c r="X27" i="9"/>
  <c r="O28" i="9"/>
  <c r="P28" i="9" s="1"/>
  <c r="Q28" i="9"/>
  <c r="S28" i="9"/>
  <c r="T28" i="9" s="1"/>
  <c r="U28" i="9"/>
  <c r="W28" i="9"/>
  <c r="X28" i="9"/>
  <c r="O16" i="9"/>
  <c r="P16" i="9" s="1"/>
  <c r="Q16" i="9"/>
  <c r="S16" i="9"/>
  <c r="T16" i="9" s="1"/>
  <c r="U16" i="9"/>
  <c r="W16" i="9"/>
  <c r="X16" i="9"/>
  <c r="O17" i="9"/>
  <c r="P17" i="9" s="1"/>
  <c r="Q17" i="9"/>
  <c r="S17" i="9"/>
  <c r="T17" i="9" s="1"/>
  <c r="U17" i="9"/>
  <c r="W17" i="9"/>
  <c r="X17" i="9"/>
  <c r="O18" i="9"/>
  <c r="P18" i="9" s="1"/>
  <c r="Q18" i="9"/>
  <c r="S18" i="9"/>
  <c r="T18" i="9" s="1"/>
  <c r="U18" i="9"/>
  <c r="W18" i="9"/>
  <c r="X18" i="9"/>
  <c r="O19" i="9"/>
  <c r="P19" i="9" s="1"/>
  <c r="Q19" i="9"/>
  <c r="S19" i="9"/>
  <c r="T19" i="9" s="1"/>
  <c r="U19" i="9"/>
  <c r="W19" i="9"/>
  <c r="X19" i="9"/>
  <c r="O20" i="9"/>
  <c r="P20" i="9" s="1"/>
  <c r="Q20" i="9"/>
  <c r="S20" i="9"/>
  <c r="T20" i="9" s="1"/>
  <c r="U20" i="9"/>
  <c r="W20" i="9"/>
  <c r="X20" i="9"/>
  <c r="O21" i="9"/>
  <c r="P21" i="9" s="1"/>
  <c r="Q21" i="9"/>
  <c r="S21" i="9"/>
  <c r="T21" i="9" s="1"/>
  <c r="U21" i="9"/>
  <c r="W21" i="9"/>
  <c r="X21" i="9"/>
  <c r="O22" i="9"/>
  <c r="P22" i="9" s="1"/>
  <c r="Q22" i="9"/>
  <c r="S22" i="9"/>
  <c r="T22" i="9" s="1"/>
  <c r="U22" i="9"/>
  <c r="W22" i="9"/>
  <c r="X22" i="9"/>
  <c r="O23" i="9"/>
  <c r="P23" i="9" s="1"/>
  <c r="Q23" i="9"/>
  <c r="S23" i="9"/>
  <c r="T23" i="9" s="1"/>
  <c r="U23" i="9"/>
  <c r="W23" i="9"/>
  <c r="X23" i="9"/>
  <c r="O24" i="9"/>
  <c r="P24" i="9" s="1"/>
  <c r="Q24" i="9"/>
  <c r="S24" i="9"/>
  <c r="T24" i="9" s="1"/>
  <c r="U24" i="9"/>
  <c r="W24" i="9"/>
  <c r="X24" i="9"/>
  <c r="O25" i="9"/>
  <c r="P25" i="9" s="1"/>
  <c r="Q25" i="9"/>
  <c r="S25" i="9"/>
  <c r="T25" i="9" s="1"/>
  <c r="U25" i="9"/>
  <c r="W25" i="9"/>
  <c r="X25" i="9"/>
  <c r="O26" i="9"/>
  <c r="P26" i="9" s="1"/>
  <c r="Q26" i="9"/>
  <c r="S26" i="9"/>
  <c r="T26" i="9" s="1"/>
  <c r="U26" i="9"/>
  <c r="W26" i="9"/>
  <c r="X26" i="9"/>
  <c r="O14" i="9"/>
  <c r="P14" i="9" s="1"/>
  <c r="Q14" i="9"/>
  <c r="S14" i="9"/>
  <c r="T14" i="9" s="1"/>
  <c r="U14" i="9"/>
  <c r="W14" i="9"/>
  <c r="X14" i="9"/>
  <c r="O15" i="9"/>
  <c r="P15" i="9" s="1"/>
  <c r="Q15" i="9"/>
  <c r="S15" i="9"/>
  <c r="T15" i="9" s="1"/>
  <c r="U15" i="9"/>
  <c r="W15" i="9"/>
  <c r="X15" i="9"/>
  <c r="O12" i="9"/>
  <c r="P12" i="9" s="1"/>
  <c r="Q12" i="9"/>
  <c r="S12" i="9"/>
  <c r="T12" i="9" s="1"/>
  <c r="U12" i="9"/>
  <c r="W12" i="9"/>
  <c r="X12" i="9"/>
  <c r="O13" i="9"/>
  <c r="P13" i="9" s="1"/>
  <c r="Q13" i="9"/>
  <c r="S13" i="9"/>
  <c r="T13" i="9" s="1"/>
  <c r="U13" i="9"/>
  <c r="W13" i="9"/>
  <c r="X13" i="9"/>
  <c r="O2" i="9"/>
  <c r="P2" i="9" s="1"/>
  <c r="Q2" i="9"/>
  <c r="S2" i="9"/>
  <c r="T2" i="9" s="1"/>
  <c r="U2" i="9"/>
  <c r="O3" i="9"/>
  <c r="P3" i="9" s="1"/>
  <c r="Q3" i="9"/>
  <c r="S3" i="9"/>
  <c r="T3" i="9" s="1"/>
  <c r="U3" i="9"/>
  <c r="O4" i="9"/>
  <c r="P4" i="9" s="1"/>
  <c r="Q4" i="9"/>
  <c r="S4" i="9"/>
  <c r="T4" i="9" s="1"/>
  <c r="U4" i="9"/>
  <c r="O5" i="9"/>
  <c r="P5" i="9" s="1"/>
  <c r="Q5" i="9"/>
  <c r="S5" i="9"/>
  <c r="T5" i="9" s="1"/>
  <c r="U5" i="9"/>
  <c r="O6" i="9"/>
  <c r="P6" i="9" s="1"/>
  <c r="Q6" i="9"/>
  <c r="S6" i="9"/>
  <c r="T6" i="9" s="1"/>
  <c r="U6" i="9"/>
  <c r="O7" i="9"/>
  <c r="P7" i="9" s="1"/>
  <c r="Q7" i="9"/>
  <c r="S7" i="9"/>
  <c r="T7" i="9" s="1"/>
  <c r="U7" i="9"/>
  <c r="O8" i="9"/>
  <c r="P8" i="9" s="1"/>
  <c r="Q8" i="9"/>
  <c r="S8" i="9"/>
  <c r="T8" i="9" s="1"/>
  <c r="U8" i="9"/>
  <c r="O9" i="9"/>
  <c r="P9" i="9" s="1"/>
  <c r="Q9" i="9"/>
  <c r="S9" i="9"/>
  <c r="T9" i="9" s="1"/>
  <c r="U9" i="9"/>
  <c r="O10" i="9"/>
  <c r="P10" i="9" s="1"/>
  <c r="Q10" i="9"/>
  <c r="S10" i="9"/>
  <c r="T10" i="9" s="1"/>
  <c r="U10" i="9"/>
  <c r="O11" i="9"/>
  <c r="P11" i="9" s="1"/>
  <c r="Q11" i="9"/>
  <c r="S11" i="9"/>
  <c r="T11" i="9" s="1"/>
  <c r="U11" i="9"/>
  <c r="W3" i="9"/>
  <c r="W4" i="9"/>
  <c r="W5" i="9"/>
  <c r="W6" i="9"/>
  <c r="W7" i="9"/>
  <c r="W8" i="9"/>
  <c r="W9" i="9"/>
  <c r="W10" i="9"/>
  <c r="W11" i="9"/>
  <c r="W2" i="9"/>
  <c r="X3" i="9"/>
  <c r="X4" i="9"/>
  <c r="X5" i="9"/>
  <c r="X6" i="9"/>
  <c r="X7" i="9"/>
  <c r="X8" i="9"/>
  <c r="X9" i="9"/>
  <c r="X10" i="9"/>
  <c r="X11" i="9"/>
  <c r="X2" i="9"/>
  <c r="R56" i="9" l="1"/>
  <c r="V59" i="9"/>
  <c r="V58" i="9"/>
  <c r="R57" i="9"/>
  <c r="R58" i="9"/>
  <c r="V56" i="9"/>
  <c r="R53" i="9"/>
  <c r="V57" i="9"/>
  <c r="V55" i="9"/>
  <c r="R54" i="9"/>
  <c r="V49" i="9"/>
  <c r="V54" i="9"/>
  <c r="R55" i="9"/>
  <c r="V53" i="9"/>
  <c r="V50" i="9"/>
  <c r="V52" i="9"/>
  <c r="R52" i="9"/>
  <c r="V51" i="9"/>
  <c r="V46" i="9"/>
  <c r="R50" i="9"/>
  <c r="R49" i="9"/>
  <c r="R51" i="9"/>
  <c r="Y48" i="9"/>
  <c r="Y47" i="9"/>
  <c r="R48" i="9"/>
  <c r="V45" i="9"/>
  <c r="V48" i="9"/>
  <c r="Y45" i="9"/>
  <c r="R47" i="9"/>
  <c r="V47" i="9"/>
  <c r="Y44" i="9"/>
  <c r="Y43" i="9"/>
  <c r="R45" i="9"/>
  <c r="V43" i="9"/>
  <c r="Y46" i="9"/>
  <c r="R46" i="9"/>
  <c r="R43" i="9"/>
  <c r="R44" i="9"/>
  <c r="V44" i="9"/>
  <c r="Y41" i="9"/>
  <c r="Y42" i="9"/>
  <c r="V40" i="9"/>
  <c r="Y40" i="9"/>
  <c r="R39" i="9"/>
  <c r="R42" i="9"/>
  <c r="R37" i="9"/>
  <c r="V42" i="9"/>
  <c r="V41" i="9"/>
  <c r="R40" i="9"/>
  <c r="V36" i="9"/>
  <c r="V39" i="9"/>
  <c r="Y35" i="9"/>
  <c r="Y38" i="9"/>
  <c r="Y36" i="9"/>
  <c r="Y39" i="9"/>
  <c r="R41" i="9"/>
  <c r="R36" i="9"/>
  <c r="V32" i="9"/>
  <c r="V31" i="9"/>
  <c r="Y31" i="9"/>
  <c r="Y34" i="9"/>
  <c r="V38" i="9"/>
  <c r="V37" i="9"/>
  <c r="R31" i="9"/>
  <c r="Y37" i="9"/>
  <c r="V30" i="9"/>
  <c r="Y33" i="9"/>
  <c r="Y30" i="9"/>
  <c r="R34" i="9"/>
  <c r="V33" i="9"/>
  <c r="R38" i="9"/>
  <c r="V29" i="9"/>
  <c r="R33" i="9"/>
  <c r="V34" i="9"/>
  <c r="V21" i="9"/>
  <c r="Y32" i="9"/>
  <c r="R32" i="9"/>
  <c r="R35" i="9"/>
  <c r="R13" i="9"/>
  <c r="Y24" i="9"/>
  <c r="Y22" i="9"/>
  <c r="V19" i="9"/>
  <c r="V28" i="9"/>
  <c r="V35" i="9"/>
  <c r="Y20" i="9"/>
  <c r="R12" i="9"/>
  <c r="V14" i="9"/>
  <c r="Y28" i="9"/>
  <c r="V25" i="9"/>
  <c r="Y23" i="9"/>
  <c r="R30" i="9"/>
  <c r="V23" i="9"/>
  <c r="Y25" i="9"/>
  <c r="Y29" i="9"/>
  <c r="V26" i="9"/>
  <c r="R20" i="9"/>
  <c r="V17" i="9"/>
  <c r="R29" i="9"/>
  <c r="Y26" i="9"/>
  <c r="Y17" i="9"/>
  <c r="Y14" i="9"/>
  <c r="R24" i="9"/>
  <c r="V22" i="9"/>
  <c r="Y21" i="9"/>
  <c r="Y19" i="9"/>
  <c r="V27" i="9"/>
  <c r="Y15" i="9"/>
  <c r="R25" i="9"/>
  <c r="R21" i="9"/>
  <c r="V16" i="9"/>
  <c r="R28" i="9"/>
  <c r="Y27" i="9"/>
  <c r="V24" i="9"/>
  <c r="R23" i="9"/>
  <c r="V20" i="9"/>
  <c r="R19" i="9"/>
  <c r="R27" i="9"/>
  <c r="Y13" i="9"/>
  <c r="R26" i="9"/>
  <c r="R22" i="9"/>
  <c r="V18" i="9"/>
  <c r="Y18" i="9"/>
  <c r="R17" i="9"/>
  <c r="Y16" i="9"/>
  <c r="R18" i="9"/>
  <c r="R16" i="9"/>
  <c r="V13" i="9"/>
  <c r="V12" i="9"/>
  <c r="V15" i="9"/>
  <c r="R14" i="9"/>
  <c r="R15" i="9"/>
  <c r="Y12" i="9"/>
  <c r="R8" i="9"/>
  <c r="R10" i="9"/>
  <c r="R7" i="9"/>
  <c r="R9" i="9"/>
  <c r="R5" i="9"/>
  <c r="R3" i="9"/>
  <c r="R4" i="9"/>
  <c r="R6" i="9"/>
  <c r="R11" i="9"/>
  <c r="R2" i="9"/>
  <c r="D43" i="4"/>
  <c r="D44" i="4"/>
  <c r="C47" i="4"/>
  <c r="D47" i="4"/>
  <c r="C48" i="4"/>
  <c r="D48" i="4"/>
  <c r="D51" i="4"/>
  <c r="D52" i="4"/>
  <c r="D55" i="4"/>
  <c r="D56" i="4"/>
  <c r="D59" i="4"/>
  <c r="D60" i="4"/>
  <c r="C63" i="4"/>
  <c r="D63" i="4"/>
  <c r="C64" i="4"/>
  <c r="D64" i="4"/>
  <c r="D6" i="4"/>
  <c r="D10" i="4"/>
  <c r="D14" i="4"/>
  <c r="D18" i="4"/>
  <c r="D22" i="4"/>
  <c r="D26" i="4"/>
  <c r="D30" i="4"/>
  <c r="D34" i="4"/>
  <c r="D38" i="4"/>
  <c r="D42" i="4"/>
  <c r="B2" i="4"/>
  <c r="AL3" i="8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2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C59" i="4"/>
  <c r="C66" i="4"/>
  <c r="C67" i="4"/>
  <c r="C69" i="4"/>
  <c r="C70" i="4"/>
  <c r="C71" i="4"/>
  <c r="C72" i="4"/>
  <c r="C74" i="4"/>
  <c r="C75" i="4"/>
  <c r="C77" i="4"/>
  <c r="C78" i="4"/>
  <c r="C79" i="4"/>
  <c r="C80" i="4"/>
  <c r="C82" i="4"/>
  <c r="C83" i="4"/>
  <c r="C85" i="4"/>
  <c r="C86" i="4"/>
  <c r="C87" i="4"/>
  <c r="C88" i="4"/>
  <c r="C89" i="4"/>
  <c r="C91" i="4"/>
  <c r="C93" i="4"/>
  <c r="C95" i="4"/>
  <c r="C96" i="4"/>
  <c r="C97" i="4"/>
  <c r="C100" i="4"/>
  <c r="C101" i="4"/>
  <c r="C104" i="4"/>
  <c r="C105" i="4"/>
  <c r="C107" i="4"/>
  <c r="C109" i="4"/>
  <c r="C111" i="4"/>
  <c r="C112" i="4"/>
  <c r="C113" i="4"/>
  <c r="C116" i="4"/>
  <c r="C117" i="4"/>
  <c r="C120" i="4"/>
  <c r="C121" i="4"/>
  <c r="Y2" i="9"/>
  <c r="Y3" i="9"/>
  <c r="Y4" i="9"/>
  <c r="Y5" i="9"/>
  <c r="Y6" i="9"/>
  <c r="Y7" i="9"/>
  <c r="Y8" i="9"/>
  <c r="Y9" i="9"/>
  <c r="Y10" i="9"/>
  <c r="Y11" i="9"/>
  <c r="AY15" i="8"/>
  <c r="BC6" i="8"/>
  <c r="AY6" i="8"/>
  <c r="AL6" i="8"/>
  <c r="A4" i="8"/>
  <c r="BA4" i="8" s="1"/>
  <c r="A5" i="8"/>
  <c r="AZ5" i="8" s="1"/>
  <c r="A6" i="8"/>
  <c r="AW6" i="8" s="1"/>
  <c r="A7" i="8"/>
  <c r="AV7" i="8" s="1"/>
  <c r="A8" i="8"/>
  <c r="BA8" i="8" s="1"/>
  <c r="A9" i="8"/>
  <c r="AZ9" i="8" s="1"/>
  <c r="A10" i="8"/>
  <c r="AW10" i="8" s="1"/>
  <c r="A11" i="8"/>
  <c r="AV11" i="8" s="1"/>
  <c r="A12" i="8"/>
  <c r="BA12" i="8" s="1"/>
  <c r="A13" i="8"/>
  <c r="AZ13" i="8" s="1"/>
  <c r="A14" i="8"/>
  <c r="AW14" i="8" s="1"/>
  <c r="A15" i="8"/>
  <c r="AV15" i="8" s="1"/>
  <c r="A16" i="8"/>
  <c r="BA16" i="8" s="1"/>
  <c r="A17" i="8"/>
  <c r="AZ17" i="8" s="1"/>
  <c r="A18" i="8"/>
  <c r="AW18" i="8" s="1"/>
  <c r="A19" i="8"/>
  <c r="AV19" i="8" s="1"/>
  <c r="A20" i="8"/>
  <c r="AV20" i="8" s="1"/>
  <c r="A21" i="8"/>
  <c r="BA21" i="8" s="1"/>
  <c r="A22" i="8"/>
  <c r="AZ22" i="8" s="1"/>
  <c r="A23" i="8"/>
  <c r="AW23" i="8" s="1"/>
  <c r="A24" i="8"/>
  <c r="AV24" i="8" s="1"/>
  <c r="A25" i="8"/>
  <c r="BA25" i="8" s="1"/>
  <c r="A26" i="8"/>
  <c r="AZ26" i="8" s="1"/>
  <c r="A27" i="8"/>
  <c r="AW27" i="8" s="1"/>
  <c r="A28" i="8"/>
  <c r="AV28" i="8" s="1"/>
  <c r="A29" i="8"/>
  <c r="BA29" i="8" s="1"/>
  <c r="A30" i="8"/>
  <c r="AZ30" i="8" s="1"/>
  <c r="A31" i="8"/>
  <c r="AW31" i="8" s="1"/>
  <c r="A32" i="8"/>
  <c r="AV32" i="8" s="1"/>
  <c r="A33" i="8"/>
  <c r="BA33" i="8" s="1"/>
  <c r="A34" i="8"/>
  <c r="AZ34" i="8" s="1"/>
  <c r="A35" i="8"/>
  <c r="AW35" i="8" s="1"/>
  <c r="A36" i="8"/>
  <c r="AV36" i="8" s="1"/>
  <c r="A37" i="8"/>
  <c r="BA37" i="8" s="1"/>
  <c r="A38" i="8"/>
  <c r="AZ38" i="8" s="1"/>
  <c r="A39" i="8"/>
  <c r="AW39" i="8" s="1"/>
  <c r="A40" i="8"/>
  <c r="AV40" i="8" s="1"/>
  <c r="A41" i="8"/>
  <c r="BA41" i="8" s="1"/>
  <c r="A42" i="8"/>
  <c r="AZ42" i="8" s="1"/>
  <c r="A43" i="8"/>
  <c r="AW43" i="8" s="1"/>
  <c r="A44" i="8"/>
  <c r="AV44" i="8" s="1"/>
  <c r="A45" i="8"/>
  <c r="BA45" i="8" s="1"/>
  <c r="A46" i="8"/>
  <c r="AZ46" i="8" s="1"/>
  <c r="A47" i="8"/>
  <c r="AW47" i="8" s="1"/>
  <c r="A48" i="8"/>
  <c r="AV48" i="8" s="1"/>
  <c r="A49" i="8"/>
  <c r="BA49" i="8" s="1"/>
  <c r="A50" i="8"/>
  <c r="AZ50" i="8" s="1"/>
  <c r="A51" i="8"/>
  <c r="AW51" i="8" s="1"/>
  <c r="A52" i="8"/>
  <c r="AV52" i="8" s="1"/>
  <c r="A53" i="8"/>
  <c r="BA53" i="8" s="1"/>
  <c r="A54" i="8"/>
  <c r="AZ54" i="8" s="1"/>
  <c r="A55" i="8"/>
  <c r="AW55" i="8" s="1"/>
  <c r="A56" i="8"/>
  <c r="AV56" i="8" s="1"/>
  <c r="A57" i="8"/>
  <c r="BA57" i="8" s="1"/>
  <c r="A58" i="8"/>
  <c r="AZ58" i="8" s="1"/>
  <c r="A59" i="8"/>
  <c r="AW59" i="8" s="1"/>
  <c r="A60" i="8"/>
  <c r="AV60" i="8" s="1"/>
  <c r="A61" i="8"/>
  <c r="BA61" i="8" s="1"/>
  <c r="A62" i="8"/>
  <c r="AZ62" i="8" s="1"/>
  <c r="A63" i="8"/>
  <c r="AW63" i="8" s="1"/>
  <c r="A64" i="8"/>
  <c r="AV64" i="8" s="1"/>
  <c r="A65" i="8"/>
  <c r="BA65" i="8" s="1"/>
  <c r="A66" i="8"/>
  <c r="AZ66" i="8" s="1"/>
  <c r="A67" i="8"/>
  <c r="AW67" i="8" s="1"/>
  <c r="A68" i="8"/>
  <c r="AV68" i="8" s="1"/>
  <c r="A69" i="8"/>
  <c r="BA69" i="8" s="1"/>
  <c r="A70" i="8"/>
  <c r="AZ70" i="8" s="1"/>
  <c r="A71" i="8"/>
  <c r="AW71" i="8" s="1"/>
  <c r="A72" i="8"/>
  <c r="AV72" i="8" s="1"/>
  <c r="A73" i="8"/>
  <c r="BA73" i="8" s="1"/>
  <c r="A74" i="8"/>
  <c r="AZ74" i="8" s="1"/>
  <c r="A75" i="8"/>
  <c r="AW75" i="8" s="1"/>
  <c r="A76" i="8"/>
  <c r="AV76" i="8" s="1"/>
  <c r="A77" i="8"/>
  <c r="BA77" i="8" s="1"/>
  <c r="A78" i="8"/>
  <c r="AZ78" i="8" s="1"/>
  <c r="A79" i="8"/>
  <c r="AW79" i="8" s="1"/>
  <c r="A80" i="8"/>
  <c r="AV80" i="8" s="1"/>
  <c r="A81" i="8"/>
  <c r="BA81" i="8" s="1"/>
  <c r="A82" i="8"/>
  <c r="AZ82" i="8" s="1"/>
  <c r="A83" i="8"/>
  <c r="AW83" i="8" s="1"/>
  <c r="A84" i="8"/>
  <c r="AV84" i="8" s="1"/>
  <c r="A85" i="8"/>
  <c r="BA85" i="8" s="1"/>
  <c r="A86" i="8"/>
  <c r="AZ86" i="8" s="1"/>
  <c r="A87" i="8"/>
  <c r="AW87" i="8" s="1"/>
  <c r="A88" i="8"/>
  <c r="AV88" i="8" s="1"/>
  <c r="A89" i="8"/>
  <c r="BA89" i="8" s="1"/>
  <c r="A90" i="8"/>
  <c r="AZ90" i="8" s="1"/>
  <c r="A91" i="8"/>
  <c r="AW91" i="8" s="1"/>
  <c r="A92" i="8"/>
  <c r="AV92" i="8" s="1"/>
  <c r="A93" i="8"/>
  <c r="BA93" i="8" s="1"/>
  <c r="A94" i="8"/>
  <c r="AZ94" i="8" s="1"/>
  <c r="A95" i="8"/>
  <c r="AW95" i="8" s="1"/>
  <c r="A96" i="8"/>
  <c r="AV96" i="8" s="1"/>
  <c r="A97" i="8"/>
  <c r="BA97" i="8" s="1"/>
  <c r="A98" i="8"/>
  <c r="AZ98" i="8" s="1"/>
  <c r="A99" i="8"/>
  <c r="AW99" i="8" s="1"/>
  <c r="A100" i="8"/>
  <c r="AV100" i="8" s="1"/>
  <c r="A101" i="8"/>
  <c r="BA101" i="8" s="1"/>
  <c r="A102" i="8"/>
  <c r="AZ102" i="8" s="1"/>
  <c r="A103" i="8"/>
  <c r="AW103" i="8" s="1"/>
  <c r="A104" i="8"/>
  <c r="AV104" i="8" s="1"/>
  <c r="A105" i="8"/>
  <c r="BA105" i="8" s="1"/>
  <c r="A106" i="8"/>
  <c r="AZ106" i="8" s="1"/>
  <c r="A107" i="8"/>
  <c r="AW107" i="8" s="1"/>
  <c r="A108" i="8"/>
  <c r="AV108" i="8" s="1"/>
  <c r="A109" i="8"/>
  <c r="BA109" i="8" s="1"/>
  <c r="A110" i="8"/>
  <c r="AZ110" i="8" s="1"/>
  <c r="A111" i="8"/>
  <c r="AW111" i="8" s="1"/>
  <c r="A112" i="8"/>
  <c r="AV112" i="8" s="1"/>
  <c r="A113" i="8"/>
  <c r="BA113" i="8" s="1"/>
  <c r="A114" i="8"/>
  <c r="AZ114" i="8" s="1"/>
  <c r="A115" i="8"/>
  <c r="AW115" i="8" s="1"/>
  <c r="A116" i="8"/>
  <c r="AV116" i="8" s="1"/>
  <c r="A117" i="8"/>
  <c r="BA117" i="8" s="1"/>
  <c r="A118" i="8"/>
  <c r="AZ118" i="8" s="1"/>
  <c r="A119" i="8"/>
  <c r="AW119" i="8" s="1"/>
  <c r="A120" i="8"/>
  <c r="AV120" i="8" s="1"/>
  <c r="A121" i="8"/>
  <c r="BA121" i="8" s="1"/>
  <c r="A122" i="8"/>
  <c r="AZ122" i="8" s="1"/>
  <c r="A123" i="8"/>
  <c r="AW123" i="8" s="1"/>
  <c r="A124" i="8"/>
  <c r="AV124" i="8" s="1"/>
  <c r="A125" i="8"/>
  <c r="BA125" i="8" s="1"/>
  <c r="A126" i="8"/>
  <c r="AZ126" i="8" s="1"/>
  <c r="A127" i="8"/>
  <c r="AW127" i="8" s="1"/>
  <c r="A128" i="8"/>
  <c r="AV128" i="8" s="1"/>
  <c r="A129" i="8"/>
  <c r="BA129" i="8" s="1"/>
  <c r="A130" i="8"/>
  <c r="AZ130" i="8" s="1"/>
  <c r="A131" i="8"/>
  <c r="AW131" i="8" s="1"/>
  <c r="A132" i="8"/>
  <c r="AV132" i="8" s="1"/>
  <c r="A133" i="8"/>
  <c r="BA133" i="8" s="1"/>
  <c r="A134" i="8"/>
  <c r="AZ134" i="8" s="1"/>
  <c r="A135" i="8"/>
  <c r="AW135" i="8" s="1"/>
  <c r="A136" i="8"/>
  <c r="AV136" i="8" s="1"/>
  <c r="A137" i="8"/>
  <c r="BA137" i="8" s="1"/>
  <c r="A138" i="8"/>
  <c r="AZ138" i="8" s="1"/>
  <c r="A139" i="8"/>
  <c r="AW139" i="8" s="1"/>
  <c r="A140" i="8"/>
  <c r="AV140" i="8" s="1"/>
  <c r="A141" i="8"/>
  <c r="BA141" i="8" s="1"/>
  <c r="A142" i="8"/>
  <c r="AZ142" i="8" s="1"/>
  <c r="A143" i="8"/>
  <c r="AW143" i="8" s="1"/>
  <c r="A144" i="8"/>
  <c r="AV144" i="8" s="1"/>
  <c r="A145" i="8"/>
  <c r="BA145" i="8" s="1"/>
  <c r="A146" i="8"/>
  <c r="AZ146" i="8" s="1"/>
  <c r="A147" i="8"/>
  <c r="AW147" i="8" s="1"/>
  <c r="A148" i="8"/>
  <c r="AV148" i="8" s="1"/>
  <c r="A149" i="8"/>
  <c r="BA149" i="8" s="1"/>
  <c r="A150" i="8"/>
  <c r="AZ150" i="8" s="1"/>
  <c r="A151" i="8"/>
  <c r="AW151" i="8" s="1"/>
  <c r="A152" i="8"/>
  <c r="AV152" i="8" s="1"/>
  <c r="A153" i="8"/>
  <c r="BA153" i="8" s="1"/>
  <c r="A154" i="8"/>
  <c r="AZ154" i="8" s="1"/>
  <c r="A155" i="8"/>
  <c r="AW155" i="8" s="1"/>
  <c r="A156" i="8"/>
  <c r="AV156" i="8" s="1"/>
  <c r="A157" i="8"/>
  <c r="BA157" i="8" s="1"/>
  <c r="A158" i="8"/>
  <c r="AZ158" i="8" s="1"/>
  <c r="A159" i="8"/>
  <c r="AW159" i="8" s="1"/>
  <c r="A160" i="8"/>
  <c r="AV160" i="8" s="1"/>
  <c r="A161" i="8"/>
  <c r="BA161" i="8" s="1"/>
  <c r="A162" i="8"/>
  <c r="AZ162" i="8" s="1"/>
  <c r="A163" i="8"/>
  <c r="AW163" i="8" s="1"/>
  <c r="A164" i="8"/>
  <c r="AV164" i="8" s="1"/>
  <c r="A165" i="8"/>
  <c r="BA165" i="8" s="1"/>
  <c r="A166" i="8"/>
  <c r="AZ166" i="8" s="1"/>
  <c r="A167" i="8"/>
  <c r="AW167" i="8" s="1"/>
  <c r="A168" i="8"/>
  <c r="AV168" i="8" s="1"/>
  <c r="A169" i="8"/>
  <c r="BA169" i="8" s="1"/>
  <c r="A170" i="8"/>
  <c r="AZ170" i="8" s="1"/>
  <c r="A171" i="8"/>
  <c r="AW171" i="8" s="1"/>
  <c r="A172" i="8"/>
  <c r="AV172" i="8" s="1"/>
  <c r="A3" i="8"/>
  <c r="W3" i="8" s="1"/>
  <c r="G203" i="5"/>
  <c r="G205" i="5"/>
  <c r="D5" i="4" l="1"/>
  <c r="C43" i="4"/>
  <c r="D21" i="4"/>
  <c r="C18" i="4"/>
  <c r="V8" i="9"/>
  <c r="V4" i="9"/>
  <c r="D37" i="4"/>
  <c r="C56" i="4"/>
  <c r="D33" i="4"/>
  <c r="D17" i="4"/>
  <c r="C55" i="4"/>
  <c r="D29" i="4"/>
  <c r="D13" i="4"/>
  <c r="C51" i="4"/>
  <c r="D41" i="4"/>
  <c r="D25" i="4"/>
  <c r="D9" i="4"/>
  <c r="C26" i="4"/>
  <c r="D50" i="4"/>
  <c r="V2" i="9"/>
  <c r="V11" i="9"/>
  <c r="V7" i="9"/>
  <c r="V3" i="9"/>
  <c r="C50" i="4"/>
  <c r="C16" i="4"/>
  <c r="D62" i="4"/>
  <c r="C54" i="4"/>
  <c r="D58" i="4"/>
  <c r="C62" i="4"/>
  <c r="C46" i="4"/>
  <c r="D46" i="4"/>
  <c r="C58" i="4"/>
  <c r="C39" i="4"/>
  <c r="C7" i="4"/>
  <c r="D54" i="4"/>
  <c r="V9" i="9"/>
  <c r="V5" i="9"/>
  <c r="C61" i="4"/>
  <c r="C45" i="4"/>
  <c r="D65" i="4"/>
  <c r="D61" i="4"/>
  <c r="D57" i="4"/>
  <c r="D53" i="4"/>
  <c r="D49" i="4"/>
  <c r="D45" i="4"/>
  <c r="C53" i="4"/>
  <c r="C37" i="4"/>
  <c r="C23" i="4"/>
  <c r="C5" i="4"/>
  <c r="D40" i="4"/>
  <c r="D32" i="4"/>
  <c r="D24" i="4"/>
  <c r="D16" i="4"/>
  <c r="D8" i="4"/>
  <c r="C35" i="4"/>
  <c r="C21" i="4"/>
  <c r="C13" i="4"/>
  <c r="C3" i="4"/>
  <c r="V6" i="9"/>
  <c r="C27" i="4"/>
  <c r="C19" i="4"/>
  <c r="C11" i="4"/>
  <c r="D2" i="4"/>
  <c r="D36" i="4"/>
  <c r="D28" i="4"/>
  <c r="D20" i="4"/>
  <c r="D12" i="4"/>
  <c r="D4" i="4"/>
  <c r="D27" i="4"/>
  <c r="D11" i="4"/>
  <c r="V10" i="9"/>
  <c r="D31" i="4"/>
  <c r="D15" i="4"/>
  <c r="D35" i="4"/>
  <c r="D19" i="4"/>
  <c r="D3" i="4"/>
  <c r="D39" i="4"/>
  <c r="D23" i="4"/>
  <c r="D7" i="4"/>
  <c r="C34" i="4"/>
  <c r="C32" i="4"/>
  <c r="C31" i="4"/>
  <c r="C24" i="4"/>
  <c r="C42" i="4"/>
  <c r="C29" i="4"/>
  <c r="C10" i="4"/>
  <c r="C40" i="4"/>
  <c r="C15" i="4"/>
  <c r="C8" i="4"/>
  <c r="C30" i="4"/>
  <c r="C14" i="4"/>
  <c r="C4" i="4"/>
  <c r="C2" i="4"/>
  <c r="C38" i="4"/>
  <c r="C22" i="4"/>
  <c r="C6" i="4"/>
  <c r="C118" i="4"/>
  <c r="C114" i="4"/>
  <c r="C102" i="4"/>
  <c r="C94" i="4"/>
  <c r="C90" i="4"/>
  <c r="C81" i="4"/>
  <c r="C9" i="4"/>
  <c r="C115" i="4"/>
  <c r="C99" i="4"/>
  <c r="C84" i="4"/>
  <c r="C76" i="4"/>
  <c r="C68" i="4"/>
  <c r="C28" i="4"/>
  <c r="C122" i="4"/>
  <c r="C110" i="4"/>
  <c r="C106" i="4"/>
  <c r="C98" i="4"/>
  <c r="C73" i="4"/>
  <c r="C65" i="4"/>
  <c r="C57" i="4"/>
  <c r="C49" i="4"/>
  <c r="C41" i="4"/>
  <c r="C33" i="4"/>
  <c r="C25" i="4"/>
  <c r="C17" i="4"/>
  <c r="C60" i="4"/>
  <c r="C52" i="4"/>
  <c r="C44" i="4"/>
  <c r="C36" i="4"/>
  <c r="C20" i="4"/>
  <c r="C12" i="4"/>
  <c r="C119" i="4"/>
  <c r="C108" i="4"/>
  <c r="C103" i="4"/>
  <c r="C92" i="4"/>
  <c r="J36" i="4" a="1"/>
  <c r="J36" i="4" s="1"/>
  <c r="B3" i="8"/>
  <c r="B169" i="8"/>
  <c r="B165" i="8"/>
  <c r="B161" i="8"/>
  <c r="B157" i="8"/>
  <c r="B153" i="8"/>
  <c r="B149" i="8"/>
  <c r="B145" i="8"/>
  <c r="B141" i="8"/>
  <c r="B137" i="8"/>
  <c r="B133" i="8"/>
  <c r="B129" i="8"/>
  <c r="B125" i="8"/>
  <c r="B121" i="8"/>
  <c r="B117" i="8"/>
  <c r="B113" i="8"/>
  <c r="B109" i="8"/>
  <c r="B105" i="8"/>
  <c r="B101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F3" i="8"/>
  <c r="L3" i="8"/>
  <c r="R3" i="8"/>
  <c r="X3" i="8"/>
  <c r="Y3" i="8" s="1"/>
  <c r="AD3" i="8"/>
  <c r="AI3" i="8"/>
  <c r="AP3" i="8"/>
  <c r="AV3" i="8"/>
  <c r="C4" i="8"/>
  <c r="I4" i="8"/>
  <c r="O4" i="8"/>
  <c r="U4" i="8"/>
  <c r="AA4" i="8"/>
  <c r="AI4" i="8"/>
  <c r="AP4" i="8"/>
  <c r="AV4" i="8"/>
  <c r="C5" i="8"/>
  <c r="I5" i="8"/>
  <c r="O5" i="8"/>
  <c r="U5" i="8"/>
  <c r="AA5" i="8"/>
  <c r="AG5" i="8"/>
  <c r="AN5" i="8"/>
  <c r="AT5" i="8"/>
  <c r="BA5" i="8"/>
  <c r="H6" i="8"/>
  <c r="N6" i="8"/>
  <c r="T6" i="8"/>
  <c r="Z6" i="8"/>
  <c r="AF6" i="8"/>
  <c r="AM6" i="8"/>
  <c r="AS6" i="8"/>
  <c r="AZ6" i="8"/>
  <c r="F7" i="8"/>
  <c r="L7" i="8"/>
  <c r="R7" i="8"/>
  <c r="X7" i="8"/>
  <c r="AD7" i="8"/>
  <c r="AJ7" i="8"/>
  <c r="AQ7" i="8"/>
  <c r="AW7" i="8"/>
  <c r="AX7" i="8" s="1"/>
  <c r="E8" i="8"/>
  <c r="K8" i="8"/>
  <c r="Q8" i="8"/>
  <c r="W8" i="8"/>
  <c r="AC8" i="8"/>
  <c r="AI8" i="8"/>
  <c r="AP8" i="8"/>
  <c r="AV8" i="8"/>
  <c r="C9" i="8"/>
  <c r="I9" i="8"/>
  <c r="O9" i="8"/>
  <c r="U9" i="8"/>
  <c r="AA9" i="8"/>
  <c r="AG9" i="8"/>
  <c r="AN9" i="8"/>
  <c r="AT9" i="8"/>
  <c r="BA9" i="8"/>
  <c r="H10" i="8"/>
  <c r="N10" i="8"/>
  <c r="T10" i="8"/>
  <c r="Z10" i="8"/>
  <c r="AF10" i="8"/>
  <c r="AM10" i="8"/>
  <c r="AS10" i="8"/>
  <c r="AZ10" i="8"/>
  <c r="F11" i="8"/>
  <c r="L11" i="8"/>
  <c r="R11" i="8"/>
  <c r="X11" i="8"/>
  <c r="AD11" i="8"/>
  <c r="AJ11" i="8"/>
  <c r="AQ11" i="8"/>
  <c r="AW11" i="8"/>
  <c r="AX11" i="8" s="1"/>
  <c r="E12" i="8"/>
  <c r="K12" i="8"/>
  <c r="Q12" i="8"/>
  <c r="W12" i="8"/>
  <c r="AC12" i="8"/>
  <c r="AI12" i="8"/>
  <c r="AP12" i="8"/>
  <c r="AV12" i="8"/>
  <c r="C13" i="8"/>
  <c r="I13" i="8"/>
  <c r="O13" i="8"/>
  <c r="U13" i="8"/>
  <c r="AA13" i="8"/>
  <c r="AG13" i="8"/>
  <c r="AN13" i="8"/>
  <c r="AT13" i="8"/>
  <c r="BA13" i="8"/>
  <c r="BB13" i="8" s="1"/>
  <c r="H14" i="8"/>
  <c r="J14" i="8" s="1"/>
  <c r="N14" i="8"/>
  <c r="T14" i="8"/>
  <c r="Z14" i="8"/>
  <c r="AF14" i="8"/>
  <c r="AM14" i="8"/>
  <c r="AS14" i="8"/>
  <c r="AZ14" i="8"/>
  <c r="F15" i="8"/>
  <c r="L15" i="8"/>
  <c r="R15" i="8"/>
  <c r="X15" i="8"/>
  <c r="AD15" i="8"/>
  <c r="AJ15" i="8"/>
  <c r="AQ15" i="8"/>
  <c r="AW15" i="8"/>
  <c r="AX15" i="8" s="1"/>
  <c r="E16" i="8"/>
  <c r="K16" i="8"/>
  <c r="Q16" i="8"/>
  <c r="W16" i="8"/>
  <c r="AC16" i="8"/>
  <c r="AI16" i="8"/>
  <c r="AP16" i="8"/>
  <c r="AV16" i="8"/>
  <c r="C17" i="8"/>
  <c r="I17" i="8"/>
  <c r="O17" i="8"/>
  <c r="U17" i="8"/>
  <c r="AA17" i="8"/>
  <c r="AG17" i="8"/>
  <c r="AN17" i="8"/>
  <c r="AT17" i="8"/>
  <c r="BA17" i="8"/>
  <c r="BB17" i="8" s="1"/>
  <c r="H18" i="8"/>
  <c r="N18" i="8"/>
  <c r="T18" i="8"/>
  <c r="Z18" i="8"/>
  <c r="AF18" i="8"/>
  <c r="AM18" i="8"/>
  <c r="AS18" i="8"/>
  <c r="AZ18" i="8"/>
  <c r="F19" i="8"/>
  <c r="L19" i="8"/>
  <c r="R19" i="8"/>
  <c r="X19" i="8"/>
  <c r="AD19" i="8"/>
  <c r="AJ19" i="8"/>
  <c r="AQ19" i="8"/>
  <c r="AW19" i="8"/>
  <c r="AX19" i="8" s="1"/>
  <c r="E20" i="8"/>
  <c r="K20" i="8"/>
  <c r="Q20" i="8"/>
  <c r="X20" i="8"/>
  <c r="AD20" i="8"/>
  <c r="AJ20" i="8"/>
  <c r="AQ20" i="8"/>
  <c r="AW20" i="8"/>
  <c r="E21" i="8"/>
  <c r="K21" i="8"/>
  <c r="Q21" i="8"/>
  <c r="W21" i="8"/>
  <c r="AC21" i="8"/>
  <c r="AI21" i="8"/>
  <c r="AP21" i="8"/>
  <c r="AV21" i="8"/>
  <c r="C22" i="8"/>
  <c r="I22" i="8"/>
  <c r="O22" i="8"/>
  <c r="U22" i="8"/>
  <c r="AA22" i="8"/>
  <c r="AG22" i="8"/>
  <c r="AN22" i="8"/>
  <c r="AT22" i="8"/>
  <c r="BA22" i="8"/>
  <c r="BB22" i="8" s="1"/>
  <c r="H23" i="8"/>
  <c r="N23" i="8"/>
  <c r="T23" i="8"/>
  <c r="Z23" i="8"/>
  <c r="AF23" i="8"/>
  <c r="AM23" i="8"/>
  <c r="AS23" i="8"/>
  <c r="AZ23" i="8"/>
  <c r="F24" i="8"/>
  <c r="L24" i="8"/>
  <c r="R24" i="8"/>
  <c r="X24" i="8"/>
  <c r="AD24" i="8"/>
  <c r="AJ24" i="8"/>
  <c r="AQ24" i="8"/>
  <c r="AW24" i="8"/>
  <c r="AX24" i="8" s="1"/>
  <c r="E25" i="8"/>
  <c r="K25" i="8"/>
  <c r="Q25" i="8"/>
  <c r="W25" i="8"/>
  <c r="AC25" i="8"/>
  <c r="AI25" i="8"/>
  <c r="AP25" i="8"/>
  <c r="AV25" i="8"/>
  <c r="C26" i="8"/>
  <c r="I26" i="8"/>
  <c r="O26" i="8"/>
  <c r="U26" i="8"/>
  <c r="AA26" i="8"/>
  <c r="AG26" i="8"/>
  <c r="AN26" i="8"/>
  <c r="AT26" i="8"/>
  <c r="BA26" i="8"/>
  <c r="BB26" i="8" s="1"/>
  <c r="H27" i="8"/>
  <c r="N27" i="8"/>
  <c r="T27" i="8"/>
  <c r="Z27" i="8"/>
  <c r="AF27" i="8"/>
  <c r="AM27" i="8"/>
  <c r="AS27" i="8"/>
  <c r="AZ27" i="8"/>
  <c r="F28" i="8"/>
  <c r="L28" i="8"/>
  <c r="R28" i="8"/>
  <c r="X28" i="8"/>
  <c r="AD28" i="8"/>
  <c r="AJ28" i="8"/>
  <c r="AQ28" i="8"/>
  <c r="AW28" i="8"/>
  <c r="AX28" i="8" s="1"/>
  <c r="E29" i="8"/>
  <c r="K29" i="8"/>
  <c r="Q29" i="8"/>
  <c r="W29" i="8"/>
  <c r="AC29" i="8"/>
  <c r="AI29" i="8"/>
  <c r="AP29" i="8"/>
  <c r="AV29" i="8"/>
  <c r="C30" i="8"/>
  <c r="I30" i="8"/>
  <c r="O30" i="8"/>
  <c r="U30" i="8"/>
  <c r="AA30" i="8"/>
  <c r="AG30" i="8"/>
  <c r="AN30" i="8"/>
  <c r="AT30" i="8"/>
  <c r="BA30" i="8"/>
  <c r="BB30" i="8" s="1"/>
  <c r="H31" i="8"/>
  <c r="N31" i="8"/>
  <c r="T31" i="8"/>
  <c r="Z31" i="8"/>
  <c r="AF31" i="8"/>
  <c r="AM31" i="8"/>
  <c r="AS31" i="8"/>
  <c r="AZ31" i="8"/>
  <c r="F32" i="8"/>
  <c r="L32" i="8"/>
  <c r="R32" i="8"/>
  <c r="X32" i="8"/>
  <c r="AD32" i="8"/>
  <c r="AJ32" i="8"/>
  <c r="AQ32" i="8"/>
  <c r="AW32" i="8"/>
  <c r="AX32" i="8" s="1"/>
  <c r="E33" i="8"/>
  <c r="K33" i="8"/>
  <c r="Q33" i="8"/>
  <c r="W33" i="8"/>
  <c r="AC33" i="8"/>
  <c r="AI33" i="8"/>
  <c r="AP33" i="8"/>
  <c r="AV33" i="8"/>
  <c r="C34" i="8"/>
  <c r="I34" i="8"/>
  <c r="O34" i="8"/>
  <c r="U34" i="8"/>
  <c r="AA34" i="8"/>
  <c r="AG34" i="8"/>
  <c r="AN34" i="8"/>
  <c r="AT34" i="8"/>
  <c r="BA34" i="8"/>
  <c r="BB34" i="8" s="1"/>
  <c r="H35" i="8"/>
  <c r="N35" i="8"/>
  <c r="T35" i="8"/>
  <c r="Z35" i="8"/>
  <c r="AF35" i="8"/>
  <c r="AM35" i="8"/>
  <c r="AS35" i="8"/>
  <c r="AZ35" i="8"/>
  <c r="F36" i="8"/>
  <c r="L36" i="8"/>
  <c r="R36" i="8"/>
  <c r="X36" i="8"/>
  <c r="AD36" i="8"/>
  <c r="AJ36" i="8"/>
  <c r="AQ36" i="8"/>
  <c r="AW36" i="8"/>
  <c r="AX36" i="8" s="1"/>
  <c r="E37" i="8"/>
  <c r="K37" i="8"/>
  <c r="Q37" i="8"/>
  <c r="W37" i="8"/>
  <c r="AC37" i="8"/>
  <c r="AI37" i="8"/>
  <c r="AP37" i="8"/>
  <c r="AV37" i="8"/>
  <c r="C38" i="8"/>
  <c r="I38" i="8"/>
  <c r="O38" i="8"/>
  <c r="U38" i="8"/>
  <c r="AA38" i="8"/>
  <c r="AG38" i="8"/>
  <c r="AN38" i="8"/>
  <c r="AT38" i="8"/>
  <c r="BA38" i="8"/>
  <c r="BB38" i="8" s="1"/>
  <c r="H39" i="8"/>
  <c r="N39" i="8"/>
  <c r="T39" i="8"/>
  <c r="Z39" i="8"/>
  <c r="AF39" i="8"/>
  <c r="AM39" i="8"/>
  <c r="AS39" i="8"/>
  <c r="AZ39" i="8"/>
  <c r="F40" i="8"/>
  <c r="L40" i="8"/>
  <c r="R40" i="8"/>
  <c r="X40" i="8"/>
  <c r="AD40" i="8"/>
  <c r="AJ40" i="8"/>
  <c r="AQ40" i="8"/>
  <c r="AW40" i="8"/>
  <c r="AX40" i="8" s="1"/>
  <c r="E41" i="8"/>
  <c r="K41" i="8"/>
  <c r="Q41" i="8"/>
  <c r="W41" i="8"/>
  <c r="AC41" i="8"/>
  <c r="AI41" i="8"/>
  <c r="AP41" i="8"/>
  <c r="AV41" i="8"/>
  <c r="C42" i="8"/>
  <c r="I42" i="8"/>
  <c r="O42" i="8"/>
  <c r="U42" i="8"/>
  <c r="AA42" i="8"/>
  <c r="AG42" i="8"/>
  <c r="AN42" i="8"/>
  <c r="AT42" i="8"/>
  <c r="BA42" i="8"/>
  <c r="BB42" i="8" s="1"/>
  <c r="H43" i="8"/>
  <c r="N43" i="8"/>
  <c r="T43" i="8"/>
  <c r="Z43" i="8"/>
  <c r="AF43" i="8"/>
  <c r="AM43" i="8"/>
  <c r="AS43" i="8"/>
  <c r="AZ43" i="8"/>
  <c r="F44" i="8"/>
  <c r="L44" i="8"/>
  <c r="R44" i="8"/>
  <c r="X44" i="8"/>
  <c r="AD44" i="8"/>
  <c r="AJ44" i="8"/>
  <c r="AQ44" i="8"/>
  <c r="AW44" i="8"/>
  <c r="AX44" i="8" s="1"/>
  <c r="E45" i="8"/>
  <c r="K45" i="8"/>
  <c r="Q45" i="8"/>
  <c r="W45" i="8"/>
  <c r="AC45" i="8"/>
  <c r="AI45" i="8"/>
  <c r="AP45" i="8"/>
  <c r="AV45" i="8"/>
  <c r="C46" i="8"/>
  <c r="I46" i="8"/>
  <c r="O46" i="8"/>
  <c r="U46" i="8"/>
  <c r="AA46" i="8"/>
  <c r="AG46" i="8"/>
  <c r="AN46" i="8"/>
  <c r="AT46" i="8"/>
  <c r="BA46" i="8"/>
  <c r="BB46" i="8" s="1"/>
  <c r="H47" i="8"/>
  <c r="N47" i="8"/>
  <c r="T47" i="8"/>
  <c r="Z47" i="8"/>
  <c r="AF47" i="8"/>
  <c r="AM47" i="8"/>
  <c r="AS47" i="8"/>
  <c r="AZ47" i="8"/>
  <c r="F48" i="8"/>
  <c r="L48" i="8"/>
  <c r="R48" i="8"/>
  <c r="X48" i="8"/>
  <c r="AD48" i="8"/>
  <c r="AJ48" i="8"/>
  <c r="AQ48" i="8"/>
  <c r="AW48" i="8"/>
  <c r="AX48" i="8" s="1"/>
  <c r="E49" i="8"/>
  <c r="K49" i="8"/>
  <c r="Q49" i="8"/>
  <c r="W49" i="8"/>
  <c r="AC49" i="8"/>
  <c r="AI49" i="8"/>
  <c r="AP49" i="8"/>
  <c r="AV49" i="8"/>
  <c r="C50" i="8"/>
  <c r="I50" i="8"/>
  <c r="O50" i="8"/>
  <c r="U50" i="8"/>
  <c r="AA50" i="8"/>
  <c r="AG50" i="8"/>
  <c r="AN50" i="8"/>
  <c r="AT50" i="8"/>
  <c r="BA50" i="8"/>
  <c r="H51" i="8"/>
  <c r="N51" i="8"/>
  <c r="T51" i="8"/>
  <c r="Z51" i="8"/>
  <c r="AF51" i="8"/>
  <c r="AM51" i="8"/>
  <c r="AS51" i="8"/>
  <c r="AZ51" i="8"/>
  <c r="F52" i="8"/>
  <c r="L52" i="8"/>
  <c r="R52" i="8"/>
  <c r="X52" i="8"/>
  <c r="AD52" i="8"/>
  <c r="AJ52" i="8"/>
  <c r="AQ52" i="8"/>
  <c r="AW52" i="8"/>
  <c r="AX52" i="8" s="1"/>
  <c r="E53" i="8"/>
  <c r="K53" i="8"/>
  <c r="Q53" i="8"/>
  <c r="W53" i="8"/>
  <c r="AC53" i="8"/>
  <c r="AI53" i="8"/>
  <c r="AP53" i="8"/>
  <c r="AV53" i="8"/>
  <c r="C54" i="8"/>
  <c r="I54" i="8"/>
  <c r="O54" i="8"/>
  <c r="U54" i="8"/>
  <c r="AA54" i="8"/>
  <c r="AG54" i="8"/>
  <c r="AN54" i="8"/>
  <c r="AT54" i="8"/>
  <c r="BA54" i="8"/>
  <c r="BB54" i="8" s="1"/>
  <c r="H55" i="8"/>
  <c r="N55" i="8"/>
  <c r="T55" i="8"/>
  <c r="Z55" i="8"/>
  <c r="AF55" i="8"/>
  <c r="AM55" i="8"/>
  <c r="AS55" i="8"/>
  <c r="AZ55" i="8"/>
  <c r="F56" i="8"/>
  <c r="L56" i="8"/>
  <c r="R56" i="8"/>
  <c r="X56" i="8"/>
  <c r="AD56" i="8"/>
  <c r="AJ56" i="8"/>
  <c r="AQ56" i="8"/>
  <c r="AW56" i="8"/>
  <c r="AX56" i="8" s="1"/>
  <c r="E57" i="8"/>
  <c r="K57" i="8"/>
  <c r="Q57" i="8"/>
  <c r="W57" i="8"/>
  <c r="AC57" i="8"/>
  <c r="AI57" i="8"/>
  <c r="AP57" i="8"/>
  <c r="AV57" i="8"/>
  <c r="C58" i="8"/>
  <c r="I58" i="8"/>
  <c r="O58" i="8"/>
  <c r="U58" i="8"/>
  <c r="AA58" i="8"/>
  <c r="AG58" i="8"/>
  <c r="AN58" i="8"/>
  <c r="AT58" i="8"/>
  <c r="BA58" i="8"/>
  <c r="BB58" i="8" s="1"/>
  <c r="H59" i="8"/>
  <c r="N59" i="8"/>
  <c r="T59" i="8"/>
  <c r="Z59" i="8"/>
  <c r="AF59" i="8"/>
  <c r="AM59" i="8"/>
  <c r="AS59" i="8"/>
  <c r="AZ59" i="8"/>
  <c r="F60" i="8"/>
  <c r="L60" i="8"/>
  <c r="R60" i="8"/>
  <c r="X60" i="8"/>
  <c r="AD60" i="8"/>
  <c r="AJ60" i="8"/>
  <c r="AQ60" i="8"/>
  <c r="AW60" i="8"/>
  <c r="AX60" i="8" s="1"/>
  <c r="E61" i="8"/>
  <c r="K61" i="8"/>
  <c r="M61" i="8" s="1"/>
  <c r="Q61" i="8"/>
  <c r="W61" i="8"/>
  <c r="AC61" i="8"/>
  <c r="AI61" i="8"/>
  <c r="AP61" i="8"/>
  <c r="AV61" i="8"/>
  <c r="C62" i="8"/>
  <c r="I62" i="8"/>
  <c r="O62" i="8"/>
  <c r="U62" i="8"/>
  <c r="AA62" i="8"/>
  <c r="AG62" i="8"/>
  <c r="AN62" i="8"/>
  <c r="AT62" i="8"/>
  <c r="BA62" i="8"/>
  <c r="BB62" i="8" s="1"/>
  <c r="H63" i="8"/>
  <c r="N63" i="8"/>
  <c r="T63" i="8"/>
  <c r="Z63" i="8"/>
  <c r="AF63" i="8"/>
  <c r="AM63" i="8"/>
  <c r="AS63" i="8"/>
  <c r="AZ63" i="8"/>
  <c r="F64" i="8"/>
  <c r="L64" i="8"/>
  <c r="R64" i="8"/>
  <c r="X64" i="8"/>
  <c r="AD64" i="8"/>
  <c r="AJ64" i="8"/>
  <c r="AQ64" i="8"/>
  <c r="AW64" i="8"/>
  <c r="AX64" i="8" s="1"/>
  <c r="E65" i="8"/>
  <c r="K65" i="8"/>
  <c r="Q65" i="8"/>
  <c r="W65" i="8"/>
  <c r="AC65" i="8"/>
  <c r="AI65" i="8"/>
  <c r="AP65" i="8"/>
  <c r="AV65" i="8"/>
  <c r="C66" i="8"/>
  <c r="I66" i="8"/>
  <c r="O66" i="8"/>
  <c r="U66" i="8"/>
  <c r="AA66" i="8"/>
  <c r="AG66" i="8"/>
  <c r="AN66" i="8"/>
  <c r="AT66" i="8"/>
  <c r="BA66" i="8"/>
  <c r="BB66" i="8" s="1"/>
  <c r="H67" i="8"/>
  <c r="N67" i="8"/>
  <c r="T67" i="8"/>
  <c r="Z67" i="8"/>
  <c r="AF67" i="8"/>
  <c r="AM67" i="8"/>
  <c r="AS67" i="8"/>
  <c r="AZ67" i="8"/>
  <c r="F68" i="8"/>
  <c r="L68" i="8"/>
  <c r="R68" i="8"/>
  <c r="X68" i="8"/>
  <c r="AD68" i="8"/>
  <c r="AJ68" i="8"/>
  <c r="AQ68" i="8"/>
  <c r="AW68" i="8"/>
  <c r="AX68" i="8" s="1"/>
  <c r="E69" i="8"/>
  <c r="K69" i="8"/>
  <c r="Q69" i="8"/>
  <c r="W69" i="8"/>
  <c r="AC69" i="8"/>
  <c r="AI69" i="8"/>
  <c r="AP69" i="8"/>
  <c r="AV69" i="8"/>
  <c r="C70" i="8"/>
  <c r="I70" i="8"/>
  <c r="O70" i="8"/>
  <c r="U70" i="8"/>
  <c r="AA70" i="8"/>
  <c r="AG70" i="8"/>
  <c r="AN70" i="8"/>
  <c r="AT70" i="8"/>
  <c r="BA70" i="8"/>
  <c r="BB70" i="8" s="1"/>
  <c r="H71" i="8"/>
  <c r="N71" i="8"/>
  <c r="T71" i="8"/>
  <c r="Z71" i="8"/>
  <c r="AF71" i="8"/>
  <c r="AM71" i="8"/>
  <c r="AS71" i="8"/>
  <c r="AZ71" i="8"/>
  <c r="F72" i="8"/>
  <c r="L72" i="8"/>
  <c r="R72" i="8"/>
  <c r="X72" i="8"/>
  <c r="AD72" i="8"/>
  <c r="AJ72" i="8"/>
  <c r="AQ72" i="8"/>
  <c r="AW72" i="8"/>
  <c r="AX72" i="8" s="1"/>
  <c r="E73" i="8"/>
  <c r="K73" i="8"/>
  <c r="Q73" i="8"/>
  <c r="W73" i="8"/>
  <c r="AC73" i="8"/>
  <c r="AI73" i="8"/>
  <c r="AP73" i="8"/>
  <c r="AV73" i="8"/>
  <c r="C74" i="8"/>
  <c r="I74" i="8"/>
  <c r="O74" i="8"/>
  <c r="U74" i="8"/>
  <c r="AA74" i="8"/>
  <c r="AG74" i="8"/>
  <c r="AN74" i="8"/>
  <c r="AT74" i="8"/>
  <c r="BA74" i="8"/>
  <c r="BB74" i="8" s="1"/>
  <c r="H75" i="8"/>
  <c r="N75" i="8"/>
  <c r="P75" i="8" s="1"/>
  <c r="T75" i="8"/>
  <c r="Z75" i="8"/>
  <c r="AF75" i="8"/>
  <c r="AM75" i="8"/>
  <c r="AS75" i="8"/>
  <c r="AZ75" i="8"/>
  <c r="F76" i="8"/>
  <c r="L76" i="8"/>
  <c r="R76" i="8"/>
  <c r="X76" i="8"/>
  <c r="AD76" i="8"/>
  <c r="AJ76" i="8"/>
  <c r="AQ76" i="8"/>
  <c r="AW76" i="8"/>
  <c r="AX76" i="8" s="1"/>
  <c r="E77" i="8"/>
  <c r="K77" i="8"/>
  <c r="Q77" i="8"/>
  <c r="W77" i="8"/>
  <c r="AC77" i="8"/>
  <c r="AI77" i="8"/>
  <c r="AP77" i="8"/>
  <c r="AV77" i="8"/>
  <c r="C78" i="8"/>
  <c r="I78" i="8"/>
  <c r="O78" i="8"/>
  <c r="U78" i="8"/>
  <c r="AA78" i="8"/>
  <c r="AG78" i="8"/>
  <c r="AN78" i="8"/>
  <c r="AT78" i="8"/>
  <c r="BA78" i="8"/>
  <c r="BB78" i="8" s="1"/>
  <c r="H79" i="8"/>
  <c r="N79" i="8"/>
  <c r="T79" i="8"/>
  <c r="Z79" i="8"/>
  <c r="AF79" i="8"/>
  <c r="AM79" i="8"/>
  <c r="AS79" i="8"/>
  <c r="AZ79" i="8"/>
  <c r="F80" i="8"/>
  <c r="L80" i="8"/>
  <c r="R80" i="8"/>
  <c r="X80" i="8"/>
  <c r="AD80" i="8"/>
  <c r="AJ80" i="8"/>
  <c r="AQ80" i="8"/>
  <c r="AW80" i="8"/>
  <c r="AX80" i="8" s="1"/>
  <c r="E81" i="8"/>
  <c r="K81" i="8"/>
  <c r="Q81" i="8"/>
  <c r="W81" i="8"/>
  <c r="AC81" i="8"/>
  <c r="AI81" i="8"/>
  <c r="AP81" i="8"/>
  <c r="AV81" i="8"/>
  <c r="C82" i="8"/>
  <c r="I82" i="8"/>
  <c r="O82" i="8"/>
  <c r="U82" i="8"/>
  <c r="AA82" i="8"/>
  <c r="AG82" i="8"/>
  <c r="AN82" i="8"/>
  <c r="AT82" i="8"/>
  <c r="BA82" i="8"/>
  <c r="BB82" i="8" s="1"/>
  <c r="H83" i="8"/>
  <c r="N83" i="8"/>
  <c r="T83" i="8"/>
  <c r="Z83" i="8"/>
  <c r="AF83" i="8"/>
  <c r="AM83" i="8"/>
  <c r="AS83" i="8"/>
  <c r="AZ83" i="8"/>
  <c r="F84" i="8"/>
  <c r="L84" i="8"/>
  <c r="R84" i="8"/>
  <c r="X84" i="8"/>
  <c r="AD84" i="8"/>
  <c r="AJ84" i="8"/>
  <c r="AQ84" i="8"/>
  <c r="AW84" i="8"/>
  <c r="E85" i="8"/>
  <c r="K85" i="8"/>
  <c r="Q85" i="8"/>
  <c r="W85" i="8"/>
  <c r="AC85" i="8"/>
  <c r="AI85" i="8"/>
  <c r="AP85" i="8"/>
  <c r="AV85" i="8"/>
  <c r="C86" i="8"/>
  <c r="I86" i="8"/>
  <c r="O86" i="8"/>
  <c r="U86" i="8"/>
  <c r="AA86" i="8"/>
  <c r="AG86" i="8"/>
  <c r="AN86" i="8"/>
  <c r="AT86" i="8"/>
  <c r="BA86" i="8"/>
  <c r="BB86" i="8" s="1"/>
  <c r="H87" i="8"/>
  <c r="N87" i="8"/>
  <c r="T87" i="8"/>
  <c r="Z87" i="8"/>
  <c r="AF87" i="8"/>
  <c r="AM87" i="8"/>
  <c r="AS87" i="8"/>
  <c r="AZ87" i="8"/>
  <c r="F88" i="8"/>
  <c r="L88" i="8"/>
  <c r="R88" i="8"/>
  <c r="X88" i="8"/>
  <c r="AD88" i="8"/>
  <c r="AJ88" i="8"/>
  <c r="AQ88" i="8"/>
  <c r="AW88" i="8"/>
  <c r="AX88" i="8" s="1"/>
  <c r="E89" i="8"/>
  <c r="K89" i="8"/>
  <c r="Q89" i="8"/>
  <c r="W89" i="8"/>
  <c r="AC89" i="8"/>
  <c r="AI89" i="8"/>
  <c r="AP89" i="8"/>
  <c r="AV89" i="8"/>
  <c r="C90" i="8"/>
  <c r="I90" i="8"/>
  <c r="O90" i="8"/>
  <c r="U90" i="8"/>
  <c r="AA90" i="8"/>
  <c r="AG90" i="8"/>
  <c r="AN90" i="8"/>
  <c r="AT90" i="8"/>
  <c r="BA90" i="8"/>
  <c r="BB90" i="8" s="1"/>
  <c r="H91" i="8"/>
  <c r="N91" i="8"/>
  <c r="T91" i="8"/>
  <c r="Z91" i="8"/>
  <c r="AF91" i="8"/>
  <c r="AM91" i="8"/>
  <c r="AS91" i="8"/>
  <c r="AZ91" i="8"/>
  <c r="F92" i="8"/>
  <c r="L92" i="8"/>
  <c r="R92" i="8"/>
  <c r="X92" i="8"/>
  <c r="AD92" i="8"/>
  <c r="AJ92" i="8"/>
  <c r="AQ92" i="8"/>
  <c r="AW92" i="8"/>
  <c r="AX92" i="8" s="1"/>
  <c r="E93" i="8"/>
  <c r="K93" i="8"/>
  <c r="Q93" i="8"/>
  <c r="W93" i="8"/>
  <c r="AC93" i="8"/>
  <c r="AI93" i="8"/>
  <c r="AP93" i="8"/>
  <c r="AV93" i="8"/>
  <c r="C94" i="8"/>
  <c r="I94" i="8"/>
  <c r="O94" i="8"/>
  <c r="U94" i="8"/>
  <c r="AA94" i="8"/>
  <c r="AG94" i="8"/>
  <c r="AN94" i="8"/>
  <c r="AT94" i="8"/>
  <c r="BA94" i="8"/>
  <c r="BB94" i="8" s="1"/>
  <c r="H95" i="8"/>
  <c r="N95" i="8"/>
  <c r="T95" i="8"/>
  <c r="Z95" i="8"/>
  <c r="AF95" i="8"/>
  <c r="AM95" i="8"/>
  <c r="AS95" i="8"/>
  <c r="AZ95" i="8"/>
  <c r="F96" i="8"/>
  <c r="L96" i="8"/>
  <c r="R96" i="8"/>
  <c r="X96" i="8"/>
  <c r="AD96" i="8"/>
  <c r="AJ96" i="8"/>
  <c r="AQ96" i="8"/>
  <c r="AW96" i="8"/>
  <c r="AX96" i="8" s="1"/>
  <c r="E97" i="8"/>
  <c r="K97" i="8"/>
  <c r="Q97" i="8"/>
  <c r="W97" i="8"/>
  <c r="AC97" i="8"/>
  <c r="AI97" i="8"/>
  <c r="AP97" i="8"/>
  <c r="AV97" i="8"/>
  <c r="C98" i="8"/>
  <c r="I98" i="8"/>
  <c r="O98" i="8"/>
  <c r="U98" i="8"/>
  <c r="AA98" i="8"/>
  <c r="AG98" i="8"/>
  <c r="AN98" i="8"/>
  <c r="AT98" i="8"/>
  <c r="BA98" i="8"/>
  <c r="BB98" i="8" s="1"/>
  <c r="H99" i="8"/>
  <c r="N99" i="8"/>
  <c r="T99" i="8"/>
  <c r="Z99" i="8"/>
  <c r="AF99" i="8"/>
  <c r="AM99" i="8"/>
  <c r="AS99" i="8"/>
  <c r="AZ99" i="8"/>
  <c r="F100" i="8"/>
  <c r="L100" i="8"/>
  <c r="R100" i="8"/>
  <c r="X100" i="8"/>
  <c r="AD100" i="8"/>
  <c r="AJ100" i="8"/>
  <c r="AQ100" i="8"/>
  <c r="AW100" i="8"/>
  <c r="AX100" i="8" s="1"/>
  <c r="E101" i="8"/>
  <c r="K101" i="8"/>
  <c r="Q101" i="8"/>
  <c r="W101" i="8"/>
  <c r="AC101" i="8"/>
  <c r="AI101" i="8"/>
  <c r="AP101" i="8"/>
  <c r="AV101" i="8"/>
  <c r="C102" i="8"/>
  <c r="I102" i="8"/>
  <c r="O102" i="8"/>
  <c r="U102" i="8"/>
  <c r="AA102" i="8"/>
  <c r="AG102" i="8"/>
  <c r="AN102" i="8"/>
  <c r="AT102" i="8"/>
  <c r="BA102" i="8"/>
  <c r="BB102" i="8" s="1"/>
  <c r="H103" i="8"/>
  <c r="N103" i="8"/>
  <c r="T103" i="8"/>
  <c r="Z103" i="8"/>
  <c r="AF103" i="8"/>
  <c r="AM103" i="8"/>
  <c r="AS103" i="8"/>
  <c r="AZ103" i="8"/>
  <c r="F104" i="8"/>
  <c r="L104" i="8"/>
  <c r="R104" i="8"/>
  <c r="X104" i="8"/>
  <c r="AD104" i="8"/>
  <c r="AJ104" i="8"/>
  <c r="AQ104" i="8"/>
  <c r="AW104" i="8"/>
  <c r="AX104" i="8" s="1"/>
  <c r="E105" i="8"/>
  <c r="K105" i="8"/>
  <c r="Q105" i="8"/>
  <c r="W105" i="8"/>
  <c r="AC105" i="8"/>
  <c r="AI105" i="8"/>
  <c r="AP105" i="8"/>
  <c r="AV105" i="8"/>
  <c r="C106" i="8"/>
  <c r="I106" i="8"/>
  <c r="O106" i="8"/>
  <c r="U106" i="8"/>
  <c r="AA106" i="8"/>
  <c r="AG106" i="8"/>
  <c r="AN106" i="8"/>
  <c r="AT106" i="8"/>
  <c r="BA106" i="8"/>
  <c r="BB106" i="8" s="1"/>
  <c r="H107" i="8"/>
  <c r="N107" i="8"/>
  <c r="T107" i="8"/>
  <c r="Z107" i="8"/>
  <c r="AF107" i="8"/>
  <c r="AM107" i="8"/>
  <c r="AS107" i="8"/>
  <c r="AZ107" i="8"/>
  <c r="F108" i="8"/>
  <c r="L108" i="8"/>
  <c r="R108" i="8"/>
  <c r="X108" i="8"/>
  <c r="AD108" i="8"/>
  <c r="AJ108" i="8"/>
  <c r="AQ108" i="8"/>
  <c r="AW108" i="8"/>
  <c r="AX108" i="8" s="1"/>
  <c r="E109" i="8"/>
  <c r="K109" i="8"/>
  <c r="Q109" i="8"/>
  <c r="W109" i="8"/>
  <c r="AC109" i="8"/>
  <c r="AI109" i="8"/>
  <c r="AP109" i="8"/>
  <c r="AV109" i="8"/>
  <c r="C110" i="8"/>
  <c r="I110" i="8"/>
  <c r="O110" i="8"/>
  <c r="U110" i="8"/>
  <c r="AA110" i="8"/>
  <c r="AG110" i="8"/>
  <c r="AN110" i="8"/>
  <c r="AT110" i="8"/>
  <c r="BA110" i="8"/>
  <c r="BB110" i="8" s="1"/>
  <c r="H111" i="8"/>
  <c r="N111" i="8"/>
  <c r="T111" i="8"/>
  <c r="Z111" i="8"/>
  <c r="AF111" i="8"/>
  <c r="AM111" i="8"/>
  <c r="AS111" i="8"/>
  <c r="AZ111" i="8"/>
  <c r="F112" i="8"/>
  <c r="L112" i="8"/>
  <c r="R112" i="8"/>
  <c r="X112" i="8"/>
  <c r="AD112" i="8"/>
  <c r="AJ112" i="8"/>
  <c r="AQ112" i="8"/>
  <c r="AW112" i="8"/>
  <c r="AX112" i="8" s="1"/>
  <c r="E113" i="8"/>
  <c r="K113" i="8"/>
  <c r="Q113" i="8"/>
  <c r="W113" i="8"/>
  <c r="AC113" i="8"/>
  <c r="AI113" i="8"/>
  <c r="AP113" i="8"/>
  <c r="AV113" i="8"/>
  <c r="C114" i="8"/>
  <c r="I114" i="8"/>
  <c r="O114" i="8"/>
  <c r="U114" i="8"/>
  <c r="AA114" i="8"/>
  <c r="AG114" i="8"/>
  <c r="AN114" i="8"/>
  <c r="AT114" i="8"/>
  <c r="BA114" i="8"/>
  <c r="BB114" i="8" s="1"/>
  <c r="H115" i="8"/>
  <c r="N115" i="8"/>
  <c r="T115" i="8"/>
  <c r="Z115" i="8"/>
  <c r="AF115" i="8"/>
  <c r="AM115" i="8"/>
  <c r="AS115" i="8"/>
  <c r="AZ115" i="8"/>
  <c r="F116" i="8"/>
  <c r="L116" i="8"/>
  <c r="R116" i="8"/>
  <c r="X116" i="8"/>
  <c r="AD116" i="8"/>
  <c r="AJ116" i="8"/>
  <c r="AQ116" i="8"/>
  <c r="AW116" i="8"/>
  <c r="AX116" i="8" s="1"/>
  <c r="E117" i="8"/>
  <c r="K117" i="8"/>
  <c r="Q117" i="8"/>
  <c r="W117" i="8"/>
  <c r="AC117" i="8"/>
  <c r="AI117" i="8"/>
  <c r="AP117" i="8"/>
  <c r="AV117" i="8"/>
  <c r="C118" i="8"/>
  <c r="I118" i="8"/>
  <c r="O118" i="8"/>
  <c r="U118" i="8"/>
  <c r="AA118" i="8"/>
  <c r="AG118" i="8"/>
  <c r="AN118" i="8"/>
  <c r="AT118" i="8"/>
  <c r="BA118" i="8"/>
  <c r="BB118" i="8" s="1"/>
  <c r="H119" i="8"/>
  <c r="N119" i="8"/>
  <c r="T119" i="8"/>
  <c r="Z119" i="8"/>
  <c r="AF119" i="8"/>
  <c r="AM119" i="8"/>
  <c r="AS119" i="8"/>
  <c r="AZ119" i="8"/>
  <c r="F120" i="8"/>
  <c r="L120" i="8"/>
  <c r="R120" i="8"/>
  <c r="X120" i="8"/>
  <c r="AD120" i="8"/>
  <c r="AJ120" i="8"/>
  <c r="AQ120" i="8"/>
  <c r="AW120" i="8"/>
  <c r="AX120" i="8" s="1"/>
  <c r="E121" i="8"/>
  <c r="K121" i="8"/>
  <c r="Q121" i="8"/>
  <c r="W121" i="8"/>
  <c r="AC121" i="8"/>
  <c r="AI121" i="8"/>
  <c r="AP121" i="8"/>
  <c r="AV121" i="8"/>
  <c r="C122" i="8"/>
  <c r="I122" i="8"/>
  <c r="O122" i="8"/>
  <c r="U122" i="8"/>
  <c r="AA122" i="8"/>
  <c r="AG122" i="8"/>
  <c r="AN122" i="8"/>
  <c r="AT122" i="8"/>
  <c r="BA122" i="8"/>
  <c r="BB122" i="8" s="1"/>
  <c r="H123" i="8"/>
  <c r="N123" i="8"/>
  <c r="T123" i="8"/>
  <c r="Z123" i="8"/>
  <c r="AF123" i="8"/>
  <c r="AM123" i="8"/>
  <c r="AS123" i="8"/>
  <c r="AZ123" i="8"/>
  <c r="F124" i="8"/>
  <c r="L124" i="8"/>
  <c r="R124" i="8"/>
  <c r="X124" i="8"/>
  <c r="AD124" i="8"/>
  <c r="AJ124" i="8"/>
  <c r="AQ124" i="8"/>
  <c r="AW124" i="8"/>
  <c r="AX124" i="8" s="1"/>
  <c r="E125" i="8"/>
  <c r="K125" i="8"/>
  <c r="Q125" i="8"/>
  <c r="W125" i="8"/>
  <c r="AC125" i="8"/>
  <c r="AI125" i="8"/>
  <c r="AP125" i="8"/>
  <c r="AV125" i="8"/>
  <c r="C126" i="8"/>
  <c r="I126" i="8"/>
  <c r="O126" i="8"/>
  <c r="U126" i="8"/>
  <c r="AA126" i="8"/>
  <c r="AG126" i="8"/>
  <c r="AN126" i="8"/>
  <c r="AT126" i="8"/>
  <c r="BA126" i="8"/>
  <c r="BB126" i="8" s="1"/>
  <c r="H127" i="8"/>
  <c r="N127" i="8"/>
  <c r="T127" i="8"/>
  <c r="Z127" i="8"/>
  <c r="AF127" i="8"/>
  <c r="AM127" i="8"/>
  <c r="AS127" i="8"/>
  <c r="AZ127" i="8"/>
  <c r="F128" i="8"/>
  <c r="L128" i="8"/>
  <c r="R128" i="8"/>
  <c r="X128" i="8"/>
  <c r="AD128" i="8"/>
  <c r="AJ128" i="8"/>
  <c r="AQ128" i="8"/>
  <c r="AW128" i="8"/>
  <c r="AX128" i="8" s="1"/>
  <c r="E129" i="8"/>
  <c r="K129" i="8"/>
  <c r="Q129" i="8"/>
  <c r="W129" i="8"/>
  <c r="AC129" i="8"/>
  <c r="AI129" i="8"/>
  <c r="AP129" i="8"/>
  <c r="AV129" i="8"/>
  <c r="C130" i="8"/>
  <c r="I130" i="8"/>
  <c r="O130" i="8"/>
  <c r="U130" i="8"/>
  <c r="AA130" i="8"/>
  <c r="AG130" i="8"/>
  <c r="AN130" i="8"/>
  <c r="AT130" i="8"/>
  <c r="BA130" i="8"/>
  <c r="BB130" i="8" s="1"/>
  <c r="H131" i="8"/>
  <c r="N131" i="8"/>
  <c r="T131" i="8"/>
  <c r="Z131" i="8"/>
  <c r="AF131" i="8"/>
  <c r="AM131" i="8"/>
  <c r="AS131" i="8"/>
  <c r="AZ131" i="8"/>
  <c r="F132" i="8"/>
  <c r="L132" i="8"/>
  <c r="R132" i="8"/>
  <c r="X132" i="8"/>
  <c r="AD132" i="8"/>
  <c r="AJ132" i="8"/>
  <c r="AQ132" i="8"/>
  <c r="AW132" i="8"/>
  <c r="AX132" i="8" s="1"/>
  <c r="E133" i="8"/>
  <c r="K133" i="8"/>
  <c r="Q133" i="8"/>
  <c r="W133" i="8"/>
  <c r="AC133" i="8"/>
  <c r="AI133" i="8"/>
  <c r="AP133" i="8"/>
  <c r="AV133" i="8"/>
  <c r="C134" i="8"/>
  <c r="I134" i="8"/>
  <c r="O134" i="8"/>
  <c r="U134" i="8"/>
  <c r="AA134" i="8"/>
  <c r="AG134" i="8"/>
  <c r="AN134" i="8"/>
  <c r="AT134" i="8"/>
  <c r="BA134" i="8"/>
  <c r="BB134" i="8" s="1"/>
  <c r="H135" i="8"/>
  <c r="N135" i="8"/>
  <c r="T135" i="8"/>
  <c r="Z135" i="8"/>
  <c r="AF135" i="8"/>
  <c r="AM135" i="8"/>
  <c r="AS135" i="8"/>
  <c r="AZ135" i="8"/>
  <c r="F136" i="8"/>
  <c r="L136" i="8"/>
  <c r="R136" i="8"/>
  <c r="X136" i="8"/>
  <c r="AD136" i="8"/>
  <c r="AJ136" i="8"/>
  <c r="AQ136" i="8"/>
  <c r="AW136" i="8"/>
  <c r="AX136" i="8" s="1"/>
  <c r="E137" i="8"/>
  <c r="K137" i="8"/>
  <c r="Q137" i="8"/>
  <c r="W137" i="8"/>
  <c r="AC137" i="8"/>
  <c r="AI137" i="8"/>
  <c r="AP137" i="8"/>
  <c r="AV137" i="8"/>
  <c r="C138" i="8"/>
  <c r="I138" i="8"/>
  <c r="O138" i="8"/>
  <c r="U138" i="8"/>
  <c r="AA138" i="8"/>
  <c r="AG138" i="8"/>
  <c r="AN138" i="8"/>
  <c r="AT138" i="8"/>
  <c r="BA138" i="8"/>
  <c r="BB138" i="8" s="1"/>
  <c r="H139" i="8"/>
  <c r="N139" i="8"/>
  <c r="T139" i="8"/>
  <c r="Z139" i="8"/>
  <c r="AF139" i="8"/>
  <c r="AM139" i="8"/>
  <c r="AS139" i="8"/>
  <c r="AZ139" i="8"/>
  <c r="F140" i="8"/>
  <c r="L140" i="8"/>
  <c r="R140" i="8"/>
  <c r="X140" i="8"/>
  <c r="AD140" i="8"/>
  <c r="AJ140" i="8"/>
  <c r="AQ140" i="8"/>
  <c r="AW140" i="8"/>
  <c r="AX140" i="8" s="1"/>
  <c r="E141" i="8"/>
  <c r="K141" i="8"/>
  <c r="Q141" i="8"/>
  <c r="W141" i="8"/>
  <c r="AC141" i="8"/>
  <c r="AI141" i="8"/>
  <c r="AP141" i="8"/>
  <c r="AV141" i="8"/>
  <c r="C142" i="8"/>
  <c r="I142" i="8"/>
  <c r="O142" i="8"/>
  <c r="U142" i="8"/>
  <c r="AA142" i="8"/>
  <c r="AG142" i="8"/>
  <c r="AN142" i="8"/>
  <c r="AT142" i="8"/>
  <c r="BA142" i="8"/>
  <c r="BB142" i="8" s="1"/>
  <c r="H143" i="8"/>
  <c r="N143" i="8"/>
  <c r="T143" i="8"/>
  <c r="Z143" i="8"/>
  <c r="AF143" i="8"/>
  <c r="AM143" i="8"/>
  <c r="AS143" i="8"/>
  <c r="AZ143" i="8"/>
  <c r="F144" i="8"/>
  <c r="L144" i="8"/>
  <c r="R144" i="8"/>
  <c r="X144" i="8"/>
  <c r="AD144" i="8"/>
  <c r="AJ144" i="8"/>
  <c r="AQ144" i="8"/>
  <c r="AW144" i="8"/>
  <c r="AX144" i="8" s="1"/>
  <c r="E145" i="8"/>
  <c r="K145" i="8"/>
  <c r="Q145" i="8"/>
  <c r="W145" i="8"/>
  <c r="AC145" i="8"/>
  <c r="AI145" i="8"/>
  <c r="AP145" i="8"/>
  <c r="AV145" i="8"/>
  <c r="C146" i="8"/>
  <c r="I146" i="8"/>
  <c r="O146" i="8"/>
  <c r="U146" i="8"/>
  <c r="AA146" i="8"/>
  <c r="AG146" i="8"/>
  <c r="AN146" i="8"/>
  <c r="AT146" i="8"/>
  <c r="BA146" i="8"/>
  <c r="H147" i="8"/>
  <c r="N147" i="8"/>
  <c r="T147" i="8"/>
  <c r="Z147" i="8"/>
  <c r="AF147" i="8"/>
  <c r="AM147" i="8"/>
  <c r="AS147" i="8"/>
  <c r="AZ147" i="8"/>
  <c r="F148" i="8"/>
  <c r="L148" i="8"/>
  <c r="R148" i="8"/>
  <c r="X148" i="8"/>
  <c r="AD148" i="8"/>
  <c r="AJ148" i="8"/>
  <c r="AQ148" i="8"/>
  <c r="AW148" i="8"/>
  <c r="E149" i="8"/>
  <c r="K149" i="8"/>
  <c r="Q149" i="8"/>
  <c r="W149" i="8"/>
  <c r="AC149" i="8"/>
  <c r="AI149" i="8"/>
  <c r="AP149" i="8"/>
  <c r="AV149" i="8"/>
  <c r="C150" i="8"/>
  <c r="I150" i="8"/>
  <c r="O150" i="8"/>
  <c r="U150" i="8"/>
  <c r="AA150" i="8"/>
  <c r="AG150" i="8"/>
  <c r="AN150" i="8"/>
  <c r="AT150" i="8"/>
  <c r="BA150" i="8"/>
  <c r="BB150" i="8" s="1"/>
  <c r="H151" i="8"/>
  <c r="N151" i="8"/>
  <c r="T151" i="8"/>
  <c r="Z151" i="8"/>
  <c r="AF151" i="8"/>
  <c r="AM151" i="8"/>
  <c r="AS151" i="8"/>
  <c r="AZ151" i="8"/>
  <c r="F152" i="8"/>
  <c r="L152" i="8"/>
  <c r="R152" i="8"/>
  <c r="X152" i="8"/>
  <c r="AD152" i="8"/>
  <c r="AJ152" i="8"/>
  <c r="AQ152" i="8"/>
  <c r="AW152" i="8"/>
  <c r="AX152" i="8" s="1"/>
  <c r="E153" i="8"/>
  <c r="K153" i="8"/>
  <c r="Q153" i="8"/>
  <c r="S153" i="8" s="1"/>
  <c r="W153" i="8"/>
  <c r="AC153" i="8"/>
  <c r="AI153" i="8"/>
  <c r="AP153" i="8"/>
  <c r="AV153" i="8"/>
  <c r="C154" i="8"/>
  <c r="I154" i="8"/>
  <c r="O154" i="8"/>
  <c r="U154" i="8"/>
  <c r="AA154" i="8"/>
  <c r="AG154" i="8"/>
  <c r="AN154" i="8"/>
  <c r="AT154" i="8"/>
  <c r="BA154" i="8"/>
  <c r="BB154" i="8" s="1"/>
  <c r="H155" i="8"/>
  <c r="N155" i="8"/>
  <c r="P155" i="8" s="1"/>
  <c r="T155" i="8"/>
  <c r="Z155" i="8"/>
  <c r="AF155" i="8"/>
  <c r="AM155" i="8"/>
  <c r="AS155" i="8"/>
  <c r="AZ155" i="8"/>
  <c r="F156" i="8"/>
  <c r="L156" i="8"/>
  <c r="R156" i="8"/>
  <c r="X156" i="8"/>
  <c r="AD156" i="8"/>
  <c r="AJ156" i="8"/>
  <c r="AQ156" i="8"/>
  <c r="AW156" i="8"/>
  <c r="AX156" i="8" s="1"/>
  <c r="E157" i="8"/>
  <c r="K157" i="8"/>
  <c r="Q157" i="8"/>
  <c r="W157" i="8"/>
  <c r="AC157" i="8"/>
  <c r="AI157" i="8"/>
  <c r="AP157" i="8"/>
  <c r="AV157" i="8"/>
  <c r="C158" i="8"/>
  <c r="I158" i="8"/>
  <c r="O158" i="8"/>
  <c r="U158" i="8"/>
  <c r="AA158" i="8"/>
  <c r="AG158" i="8"/>
  <c r="AN158" i="8"/>
  <c r="AT158" i="8"/>
  <c r="BA158" i="8"/>
  <c r="BB158" i="8" s="1"/>
  <c r="H159" i="8"/>
  <c r="N159" i="8"/>
  <c r="T159" i="8"/>
  <c r="Z159" i="8"/>
  <c r="AF159" i="8"/>
  <c r="AM159" i="8"/>
  <c r="AS159" i="8"/>
  <c r="AZ159" i="8"/>
  <c r="F160" i="8"/>
  <c r="L160" i="8"/>
  <c r="R160" i="8"/>
  <c r="X160" i="8"/>
  <c r="AD160" i="8"/>
  <c r="AJ160" i="8"/>
  <c r="AQ160" i="8"/>
  <c r="AW160" i="8"/>
  <c r="AX160" i="8" s="1"/>
  <c r="E161" i="8"/>
  <c r="K161" i="8"/>
  <c r="Q161" i="8"/>
  <c r="W161" i="8"/>
  <c r="AC161" i="8"/>
  <c r="AI161" i="8"/>
  <c r="AP161" i="8"/>
  <c r="AV161" i="8"/>
  <c r="C162" i="8"/>
  <c r="I162" i="8"/>
  <c r="O162" i="8"/>
  <c r="U162" i="8"/>
  <c r="AA162" i="8"/>
  <c r="AG162" i="8"/>
  <c r="AN162" i="8"/>
  <c r="AT162" i="8"/>
  <c r="BA162" i="8"/>
  <c r="BB162" i="8" s="1"/>
  <c r="H163" i="8"/>
  <c r="N163" i="8"/>
  <c r="T163" i="8"/>
  <c r="Z163" i="8"/>
  <c r="AF163" i="8"/>
  <c r="AM163" i="8"/>
  <c r="AS163" i="8"/>
  <c r="AZ163" i="8"/>
  <c r="F164" i="8"/>
  <c r="L164" i="8"/>
  <c r="R164" i="8"/>
  <c r="X164" i="8"/>
  <c r="AD164" i="8"/>
  <c r="AJ164" i="8"/>
  <c r="AQ164" i="8"/>
  <c r="AW164" i="8"/>
  <c r="E165" i="8"/>
  <c r="K165" i="8"/>
  <c r="Q165" i="8"/>
  <c r="W165" i="8"/>
  <c r="AC165" i="8"/>
  <c r="AI165" i="8"/>
  <c r="AP165" i="8"/>
  <c r="AV165" i="8"/>
  <c r="C166" i="8"/>
  <c r="I166" i="8"/>
  <c r="O166" i="8"/>
  <c r="U166" i="8"/>
  <c r="AA166" i="8"/>
  <c r="AG166" i="8"/>
  <c r="AN166" i="8"/>
  <c r="AT166" i="8"/>
  <c r="BA166" i="8"/>
  <c r="BB166" i="8" s="1"/>
  <c r="H167" i="8"/>
  <c r="N167" i="8"/>
  <c r="T167" i="8"/>
  <c r="Z167" i="8"/>
  <c r="AF167" i="8"/>
  <c r="AM167" i="8"/>
  <c r="AS167" i="8"/>
  <c r="AZ167" i="8"/>
  <c r="F168" i="8"/>
  <c r="L168" i="8"/>
  <c r="R168" i="8"/>
  <c r="X168" i="8"/>
  <c r="AD168" i="8"/>
  <c r="AJ168" i="8"/>
  <c r="AQ168" i="8"/>
  <c r="AW168" i="8"/>
  <c r="AX168" i="8" s="1"/>
  <c r="E169" i="8"/>
  <c r="K169" i="8"/>
  <c r="Q169" i="8"/>
  <c r="W169" i="8"/>
  <c r="AC169" i="8"/>
  <c r="AI169" i="8"/>
  <c r="AP169" i="8"/>
  <c r="AV169" i="8"/>
  <c r="C170" i="8"/>
  <c r="I170" i="8"/>
  <c r="O170" i="8"/>
  <c r="U170" i="8"/>
  <c r="AA170" i="8"/>
  <c r="AG170" i="8"/>
  <c r="AN170" i="8"/>
  <c r="AT170" i="8"/>
  <c r="BA170" i="8"/>
  <c r="BB170" i="8" s="1"/>
  <c r="H171" i="8"/>
  <c r="N171" i="8"/>
  <c r="T171" i="8"/>
  <c r="Z171" i="8"/>
  <c r="AF171" i="8"/>
  <c r="AM171" i="8"/>
  <c r="AS171" i="8"/>
  <c r="AZ171" i="8"/>
  <c r="F172" i="8"/>
  <c r="L172" i="8"/>
  <c r="R172" i="8"/>
  <c r="X172" i="8"/>
  <c r="AD172" i="8"/>
  <c r="AJ172" i="8"/>
  <c r="AQ172" i="8"/>
  <c r="AW172" i="8"/>
  <c r="AX172" i="8" s="1"/>
  <c r="B172" i="8"/>
  <c r="B168" i="8"/>
  <c r="B164" i="8"/>
  <c r="B160" i="8"/>
  <c r="B156" i="8"/>
  <c r="B152" i="8"/>
  <c r="B148" i="8"/>
  <c r="B144" i="8"/>
  <c r="B140" i="8"/>
  <c r="B136" i="8"/>
  <c r="B132" i="8"/>
  <c r="B128" i="8"/>
  <c r="B124" i="8"/>
  <c r="B120" i="8"/>
  <c r="B116" i="8"/>
  <c r="B112" i="8"/>
  <c r="B108" i="8"/>
  <c r="B104" i="8"/>
  <c r="B100" i="8"/>
  <c r="B96" i="8"/>
  <c r="B92" i="8"/>
  <c r="B88" i="8"/>
  <c r="B84" i="8"/>
  <c r="B80" i="8"/>
  <c r="B76" i="8"/>
  <c r="B72" i="8"/>
  <c r="B68" i="8"/>
  <c r="B64" i="8"/>
  <c r="B60" i="8"/>
  <c r="B56" i="8"/>
  <c r="B52" i="8"/>
  <c r="B48" i="8"/>
  <c r="B44" i="8"/>
  <c r="B40" i="8"/>
  <c r="B36" i="8"/>
  <c r="B32" i="8"/>
  <c r="B28" i="8"/>
  <c r="B24" i="8"/>
  <c r="B20" i="8"/>
  <c r="B16" i="8"/>
  <c r="B12" i="8"/>
  <c r="B8" i="8"/>
  <c r="B4" i="8"/>
  <c r="H3" i="8"/>
  <c r="N3" i="8"/>
  <c r="T3" i="8"/>
  <c r="Z3" i="8"/>
  <c r="AF3" i="8"/>
  <c r="AJ3" i="8"/>
  <c r="AQ3" i="8"/>
  <c r="AW3" i="8"/>
  <c r="E4" i="8"/>
  <c r="K4" i="8"/>
  <c r="Q4" i="8"/>
  <c r="W4" i="8"/>
  <c r="AC4" i="8"/>
  <c r="AJ4" i="8"/>
  <c r="AQ4" i="8"/>
  <c r="AW4" i="8"/>
  <c r="E5" i="8"/>
  <c r="K5" i="8"/>
  <c r="Q5" i="8"/>
  <c r="W5" i="8"/>
  <c r="AC5" i="8"/>
  <c r="AI5" i="8"/>
  <c r="AP5" i="8"/>
  <c r="AV5" i="8"/>
  <c r="C6" i="8"/>
  <c r="I6" i="8"/>
  <c r="O6" i="8"/>
  <c r="U6" i="8"/>
  <c r="AA6" i="8"/>
  <c r="AG6" i="8"/>
  <c r="AN6" i="8"/>
  <c r="AT6" i="8"/>
  <c r="BA6" i="8"/>
  <c r="H7" i="8"/>
  <c r="N7" i="8"/>
  <c r="T7" i="8"/>
  <c r="Z7" i="8"/>
  <c r="AF7" i="8"/>
  <c r="AM7" i="8"/>
  <c r="AS7" i="8"/>
  <c r="AZ7" i="8"/>
  <c r="F8" i="8"/>
  <c r="L8" i="8"/>
  <c r="R8" i="8"/>
  <c r="X8" i="8"/>
  <c r="AD8" i="8"/>
  <c r="AJ8" i="8"/>
  <c r="AK8" i="8" s="1"/>
  <c r="AQ8" i="8"/>
  <c r="AW8" i="8"/>
  <c r="E9" i="8"/>
  <c r="K9" i="8"/>
  <c r="Q9" i="8"/>
  <c r="W9" i="8"/>
  <c r="AC9" i="8"/>
  <c r="AI9" i="8"/>
  <c r="AP9" i="8"/>
  <c r="AV9" i="8"/>
  <c r="C10" i="8"/>
  <c r="I10" i="8"/>
  <c r="O10" i="8"/>
  <c r="U10" i="8"/>
  <c r="AA10" i="8"/>
  <c r="AG10" i="8"/>
  <c r="AH10" i="8" s="1"/>
  <c r="AN10" i="8"/>
  <c r="AT10" i="8"/>
  <c r="BA10" i="8"/>
  <c r="H11" i="8"/>
  <c r="N11" i="8"/>
  <c r="T11" i="8"/>
  <c r="Z11" i="8"/>
  <c r="AF11" i="8"/>
  <c r="AM11" i="8"/>
  <c r="AS11" i="8"/>
  <c r="AZ11" i="8"/>
  <c r="F12" i="8"/>
  <c r="L12" i="8"/>
  <c r="R12" i="8"/>
  <c r="X12" i="8"/>
  <c r="AD12" i="8"/>
  <c r="AJ12" i="8"/>
  <c r="AQ12" i="8"/>
  <c r="AW12" i="8"/>
  <c r="E13" i="8"/>
  <c r="K13" i="8"/>
  <c r="Q13" i="8"/>
  <c r="W13" i="8"/>
  <c r="AC13" i="8"/>
  <c r="AI13" i="8"/>
  <c r="AP13" i="8"/>
  <c r="AV13" i="8"/>
  <c r="C14" i="8"/>
  <c r="I14" i="8"/>
  <c r="O14" i="8"/>
  <c r="U14" i="8"/>
  <c r="AA14" i="8"/>
  <c r="AG14" i="8"/>
  <c r="AN14" i="8"/>
  <c r="AT14" i="8"/>
  <c r="BA14" i="8"/>
  <c r="H15" i="8"/>
  <c r="N15" i="8"/>
  <c r="T15" i="8"/>
  <c r="Z15" i="8"/>
  <c r="AF15" i="8"/>
  <c r="AM15" i="8"/>
  <c r="AS15" i="8"/>
  <c r="AZ15" i="8"/>
  <c r="F16" i="8"/>
  <c r="L16" i="8"/>
  <c r="R16" i="8"/>
  <c r="X16" i="8"/>
  <c r="AD16" i="8"/>
  <c r="AJ16" i="8"/>
  <c r="AQ16" i="8"/>
  <c r="AW16" i="8"/>
  <c r="E17" i="8"/>
  <c r="K17" i="8"/>
  <c r="Q17" i="8"/>
  <c r="W17" i="8"/>
  <c r="AC17" i="8"/>
  <c r="AI17" i="8"/>
  <c r="AP17" i="8"/>
  <c r="AV17" i="8"/>
  <c r="C18" i="8"/>
  <c r="I18" i="8"/>
  <c r="O18" i="8"/>
  <c r="U18" i="8"/>
  <c r="AA18" i="8"/>
  <c r="AG18" i="8"/>
  <c r="AN18" i="8"/>
  <c r="AT18" i="8"/>
  <c r="BA18" i="8"/>
  <c r="H19" i="8"/>
  <c r="N19" i="8"/>
  <c r="T19" i="8"/>
  <c r="Z19" i="8"/>
  <c r="AF19" i="8"/>
  <c r="AM19" i="8"/>
  <c r="AS19" i="8"/>
  <c r="AZ19" i="8"/>
  <c r="F20" i="8"/>
  <c r="L20" i="8"/>
  <c r="R20" i="8"/>
  <c r="Z20" i="8"/>
  <c r="AF20" i="8"/>
  <c r="AM20" i="8"/>
  <c r="AS20" i="8"/>
  <c r="AZ20" i="8"/>
  <c r="F21" i="8"/>
  <c r="L21" i="8"/>
  <c r="R21" i="8"/>
  <c r="X21" i="8"/>
  <c r="AD21" i="8"/>
  <c r="AJ21" i="8"/>
  <c r="AQ21" i="8"/>
  <c r="AW21" i="8"/>
  <c r="E22" i="8"/>
  <c r="K22" i="8"/>
  <c r="Q22" i="8"/>
  <c r="W22" i="8"/>
  <c r="AC22" i="8"/>
  <c r="AI22" i="8"/>
  <c r="AP22" i="8"/>
  <c r="AV22" i="8"/>
  <c r="C23" i="8"/>
  <c r="I23" i="8"/>
  <c r="O23" i="8"/>
  <c r="P23" i="8" s="1"/>
  <c r="U23" i="8"/>
  <c r="AA23" i="8"/>
  <c r="AG23" i="8"/>
  <c r="AN23" i="8"/>
  <c r="AT23" i="8"/>
  <c r="BA23" i="8"/>
  <c r="H24" i="8"/>
  <c r="N24" i="8"/>
  <c r="T24" i="8"/>
  <c r="Z24" i="8"/>
  <c r="AF24" i="8"/>
  <c r="AM24" i="8"/>
  <c r="AS24" i="8"/>
  <c r="AZ24" i="8"/>
  <c r="F25" i="8"/>
  <c r="L25" i="8"/>
  <c r="R25" i="8"/>
  <c r="X25" i="8"/>
  <c r="AD25" i="8"/>
  <c r="AJ25" i="8"/>
  <c r="AQ25" i="8"/>
  <c r="AW25" i="8"/>
  <c r="E26" i="8"/>
  <c r="K26" i="8"/>
  <c r="Q26" i="8"/>
  <c r="W26" i="8"/>
  <c r="AC26" i="8"/>
  <c r="AI26" i="8"/>
  <c r="AP26" i="8"/>
  <c r="AV26" i="8"/>
  <c r="C27" i="8"/>
  <c r="I27" i="8"/>
  <c r="O27" i="8"/>
  <c r="U27" i="8"/>
  <c r="AA27" i="8"/>
  <c r="AG27" i="8"/>
  <c r="AN27" i="8"/>
  <c r="AT27" i="8"/>
  <c r="BA27" i="8"/>
  <c r="H28" i="8"/>
  <c r="N28" i="8"/>
  <c r="T28" i="8"/>
  <c r="Z28" i="8"/>
  <c r="AF28" i="8"/>
  <c r="AM28" i="8"/>
  <c r="AS28" i="8"/>
  <c r="AZ28" i="8"/>
  <c r="F29" i="8"/>
  <c r="L29" i="8"/>
  <c r="R29" i="8"/>
  <c r="X29" i="8"/>
  <c r="AD29" i="8"/>
  <c r="AJ29" i="8"/>
  <c r="AQ29" i="8"/>
  <c r="AW29" i="8"/>
  <c r="E30" i="8"/>
  <c r="K30" i="8"/>
  <c r="Q30" i="8"/>
  <c r="W30" i="8"/>
  <c r="AC30" i="8"/>
  <c r="AI30" i="8"/>
  <c r="AP30" i="8"/>
  <c r="AV30" i="8"/>
  <c r="C31" i="8"/>
  <c r="I31" i="8"/>
  <c r="O31" i="8"/>
  <c r="U31" i="8"/>
  <c r="AA31" i="8"/>
  <c r="AG31" i="8"/>
  <c r="AN31" i="8"/>
  <c r="AT31" i="8"/>
  <c r="BA31" i="8"/>
  <c r="H32" i="8"/>
  <c r="N32" i="8"/>
  <c r="T32" i="8"/>
  <c r="Z32" i="8"/>
  <c r="AF32" i="8"/>
  <c r="AM32" i="8"/>
  <c r="AS32" i="8"/>
  <c r="AZ32" i="8"/>
  <c r="F33" i="8"/>
  <c r="L33" i="8"/>
  <c r="R33" i="8"/>
  <c r="X33" i="8"/>
  <c r="AD33" i="8"/>
  <c r="AJ33" i="8"/>
  <c r="AQ33" i="8"/>
  <c r="AW33" i="8"/>
  <c r="E34" i="8"/>
  <c r="K34" i="8"/>
  <c r="Q34" i="8"/>
  <c r="W34" i="8"/>
  <c r="AC34" i="8"/>
  <c r="AI34" i="8"/>
  <c r="AP34" i="8"/>
  <c r="AV34" i="8"/>
  <c r="C35" i="8"/>
  <c r="I35" i="8"/>
  <c r="O35" i="8"/>
  <c r="U35" i="8"/>
  <c r="AA35" i="8"/>
  <c r="AG35" i="8"/>
  <c r="AN35" i="8"/>
  <c r="AT35" i="8"/>
  <c r="AU35" i="8" s="1"/>
  <c r="BA35" i="8"/>
  <c r="H36" i="8"/>
  <c r="N36" i="8"/>
  <c r="T36" i="8"/>
  <c r="Z36" i="8"/>
  <c r="AF36" i="8"/>
  <c r="AM36" i="8"/>
  <c r="AS36" i="8"/>
  <c r="AZ36" i="8"/>
  <c r="F37" i="8"/>
  <c r="L37" i="8"/>
  <c r="R37" i="8"/>
  <c r="X37" i="8"/>
  <c r="AD37" i="8"/>
  <c r="AJ37" i="8"/>
  <c r="AQ37" i="8"/>
  <c r="AW37" i="8"/>
  <c r="E38" i="8"/>
  <c r="K38" i="8"/>
  <c r="Q38" i="8"/>
  <c r="W38" i="8"/>
  <c r="AC38" i="8"/>
  <c r="AI38" i="8"/>
  <c r="AP38" i="8"/>
  <c r="AV38" i="8"/>
  <c r="C39" i="8"/>
  <c r="I39" i="8"/>
  <c r="O39" i="8"/>
  <c r="P39" i="8" s="1"/>
  <c r="U39" i="8"/>
  <c r="AA39" i="8"/>
  <c r="AG39" i="8"/>
  <c r="AN39" i="8"/>
  <c r="AT39" i="8"/>
  <c r="BA39" i="8"/>
  <c r="H40" i="8"/>
  <c r="N40" i="8"/>
  <c r="T40" i="8"/>
  <c r="Z40" i="8"/>
  <c r="AF40" i="8"/>
  <c r="AM40" i="8"/>
  <c r="AS40" i="8"/>
  <c r="AZ40" i="8"/>
  <c r="F41" i="8"/>
  <c r="L41" i="8"/>
  <c r="R41" i="8"/>
  <c r="X41" i="8"/>
  <c r="AD41" i="8"/>
  <c r="AJ41" i="8"/>
  <c r="AQ41" i="8"/>
  <c r="AW41" i="8"/>
  <c r="E42" i="8"/>
  <c r="K42" i="8"/>
  <c r="Q42" i="8"/>
  <c r="W42" i="8"/>
  <c r="AC42" i="8"/>
  <c r="AI42" i="8"/>
  <c r="AP42" i="8"/>
  <c r="AV42" i="8"/>
  <c r="C43" i="8"/>
  <c r="I43" i="8"/>
  <c r="O43" i="8"/>
  <c r="U43" i="8"/>
  <c r="AA43" i="8"/>
  <c r="AG43" i="8"/>
  <c r="AN43" i="8"/>
  <c r="AT43" i="8"/>
  <c r="BA43" i="8"/>
  <c r="H44" i="8"/>
  <c r="N44" i="8"/>
  <c r="T44" i="8"/>
  <c r="Z44" i="8"/>
  <c r="AF44" i="8"/>
  <c r="AM44" i="8"/>
  <c r="AS44" i="8"/>
  <c r="AZ44" i="8"/>
  <c r="F45" i="8"/>
  <c r="L45" i="8"/>
  <c r="R45" i="8"/>
  <c r="X45" i="8"/>
  <c r="AD45" i="8"/>
  <c r="AJ45" i="8"/>
  <c r="AQ45" i="8"/>
  <c r="AW45" i="8"/>
  <c r="E46" i="8"/>
  <c r="K46" i="8"/>
  <c r="Q46" i="8"/>
  <c r="W46" i="8"/>
  <c r="AC46" i="8"/>
  <c r="AI46" i="8"/>
  <c r="AP46" i="8"/>
  <c r="AV46" i="8"/>
  <c r="C47" i="8"/>
  <c r="I47" i="8"/>
  <c r="O47" i="8"/>
  <c r="U47" i="8"/>
  <c r="AA47" i="8"/>
  <c r="AG47" i="8"/>
  <c r="AN47" i="8"/>
  <c r="AT47" i="8"/>
  <c r="BA47" i="8"/>
  <c r="H48" i="8"/>
  <c r="N48" i="8"/>
  <c r="T48" i="8"/>
  <c r="Z48" i="8"/>
  <c r="AF48" i="8"/>
  <c r="AM48" i="8"/>
  <c r="AS48" i="8"/>
  <c r="AZ48" i="8"/>
  <c r="F49" i="8"/>
  <c r="L49" i="8"/>
  <c r="R49" i="8"/>
  <c r="X49" i="8"/>
  <c r="AD49" i="8"/>
  <c r="AJ49" i="8"/>
  <c r="AQ49" i="8"/>
  <c r="AW49" i="8"/>
  <c r="E50" i="8"/>
  <c r="K50" i="8"/>
  <c r="Q50" i="8"/>
  <c r="W50" i="8"/>
  <c r="AC50" i="8"/>
  <c r="AI50" i="8"/>
  <c r="AP50" i="8"/>
  <c r="AV50" i="8"/>
  <c r="C51" i="8"/>
  <c r="I51" i="8"/>
  <c r="O51" i="8"/>
  <c r="U51" i="8"/>
  <c r="AA51" i="8"/>
  <c r="AG51" i="8"/>
  <c r="AN51" i="8"/>
  <c r="AT51" i="8"/>
  <c r="BA51" i="8"/>
  <c r="H52" i="8"/>
  <c r="N52" i="8"/>
  <c r="T52" i="8"/>
  <c r="Z52" i="8"/>
  <c r="AF52" i="8"/>
  <c r="AM52" i="8"/>
  <c r="AS52" i="8"/>
  <c r="AZ52" i="8"/>
  <c r="F53" i="8"/>
  <c r="L53" i="8"/>
  <c r="R53" i="8"/>
  <c r="X53" i="8"/>
  <c r="AD53" i="8"/>
  <c r="AJ53" i="8"/>
  <c r="AQ53" i="8"/>
  <c r="AW53" i="8"/>
  <c r="E54" i="8"/>
  <c r="K54" i="8"/>
  <c r="Q54" i="8"/>
  <c r="W54" i="8"/>
  <c r="AC54" i="8"/>
  <c r="AI54" i="8"/>
  <c r="AP54" i="8"/>
  <c r="AV54" i="8"/>
  <c r="C55" i="8"/>
  <c r="I55" i="8"/>
  <c r="O55" i="8"/>
  <c r="P55" i="8" s="1"/>
  <c r="U55" i="8"/>
  <c r="AA55" i="8"/>
  <c r="AG55" i="8"/>
  <c r="AN55" i="8"/>
  <c r="AT55" i="8"/>
  <c r="BA55" i="8"/>
  <c r="H56" i="8"/>
  <c r="N56" i="8"/>
  <c r="T56" i="8"/>
  <c r="Z56" i="8"/>
  <c r="AF56" i="8"/>
  <c r="AM56" i="8"/>
  <c r="AS56" i="8"/>
  <c r="AZ56" i="8"/>
  <c r="F57" i="8"/>
  <c r="L57" i="8"/>
  <c r="R57" i="8"/>
  <c r="X57" i="8"/>
  <c r="AD57" i="8"/>
  <c r="AJ57" i="8"/>
  <c r="AQ57" i="8"/>
  <c r="AW57" i="8"/>
  <c r="E58" i="8"/>
  <c r="K58" i="8"/>
  <c r="Q58" i="8"/>
  <c r="W58" i="8"/>
  <c r="AC58" i="8"/>
  <c r="AI58" i="8"/>
  <c r="AP58" i="8"/>
  <c r="AV58" i="8"/>
  <c r="C59" i="8"/>
  <c r="I59" i="8"/>
  <c r="J59" i="8" s="1"/>
  <c r="O59" i="8"/>
  <c r="U59" i="8"/>
  <c r="AA59" i="8"/>
  <c r="AG59" i="8"/>
  <c r="AN59" i="8"/>
  <c r="AT59" i="8"/>
  <c r="BA59" i="8"/>
  <c r="H60" i="8"/>
  <c r="N60" i="8"/>
  <c r="T60" i="8"/>
  <c r="Z60" i="8"/>
  <c r="AF60" i="8"/>
  <c r="AM60" i="8"/>
  <c r="AS60" i="8"/>
  <c r="AZ60" i="8"/>
  <c r="F61" i="8"/>
  <c r="L61" i="8"/>
  <c r="R61" i="8"/>
  <c r="X61" i="8"/>
  <c r="AD61" i="8"/>
  <c r="AJ61" i="8"/>
  <c r="AQ61" i="8"/>
  <c r="AW61" i="8"/>
  <c r="E62" i="8"/>
  <c r="K62" i="8"/>
  <c r="Q62" i="8"/>
  <c r="W62" i="8"/>
  <c r="AC62" i="8"/>
  <c r="AI62" i="8"/>
  <c r="AP62" i="8"/>
  <c r="AV62" i="8"/>
  <c r="C63" i="8"/>
  <c r="I63" i="8"/>
  <c r="O63" i="8"/>
  <c r="U63" i="8"/>
  <c r="AA63" i="8"/>
  <c r="AG63" i="8"/>
  <c r="AN63" i="8"/>
  <c r="AT63" i="8"/>
  <c r="BA63" i="8"/>
  <c r="H64" i="8"/>
  <c r="N64" i="8"/>
  <c r="T64" i="8"/>
  <c r="Z64" i="8"/>
  <c r="AF64" i="8"/>
  <c r="AM64" i="8"/>
  <c r="AS64" i="8"/>
  <c r="AZ64" i="8"/>
  <c r="F65" i="8"/>
  <c r="L65" i="8"/>
  <c r="R65" i="8"/>
  <c r="X65" i="8"/>
  <c r="AD65" i="8"/>
  <c r="AJ65" i="8"/>
  <c r="AQ65" i="8"/>
  <c r="AW65" i="8"/>
  <c r="E66" i="8"/>
  <c r="K66" i="8"/>
  <c r="Q66" i="8"/>
  <c r="W66" i="8"/>
  <c r="AC66" i="8"/>
  <c r="AI66" i="8"/>
  <c r="AP66" i="8"/>
  <c r="AV66" i="8"/>
  <c r="C67" i="8"/>
  <c r="I67" i="8"/>
  <c r="O67" i="8"/>
  <c r="U67" i="8"/>
  <c r="V67" i="8" s="1"/>
  <c r="AA67" i="8"/>
  <c r="AG67" i="8"/>
  <c r="AN67" i="8"/>
  <c r="AT67" i="8"/>
  <c r="BA67" i="8"/>
  <c r="H68" i="8"/>
  <c r="N68" i="8"/>
  <c r="T68" i="8"/>
  <c r="Z68" i="8"/>
  <c r="AF68" i="8"/>
  <c r="AM68" i="8"/>
  <c r="AS68" i="8"/>
  <c r="AZ68" i="8"/>
  <c r="F69" i="8"/>
  <c r="L69" i="8"/>
  <c r="R69" i="8"/>
  <c r="X69" i="8"/>
  <c r="AD69" i="8"/>
  <c r="AJ69" i="8"/>
  <c r="AQ69" i="8"/>
  <c r="AW69" i="8"/>
  <c r="E70" i="8"/>
  <c r="K70" i="8"/>
  <c r="Q70" i="8"/>
  <c r="W70" i="8"/>
  <c r="AC70" i="8"/>
  <c r="AI70" i="8"/>
  <c r="AP70" i="8"/>
  <c r="AV70" i="8"/>
  <c r="C71" i="8"/>
  <c r="I71" i="8"/>
  <c r="O71" i="8"/>
  <c r="P71" i="8" s="1"/>
  <c r="U71" i="8"/>
  <c r="AA71" i="8"/>
  <c r="AG71" i="8"/>
  <c r="AN71" i="8"/>
  <c r="AT71" i="8"/>
  <c r="BA71" i="8"/>
  <c r="H72" i="8"/>
  <c r="N72" i="8"/>
  <c r="T72" i="8"/>
  <c r="Z72" i="8"/>
  <c r="AF72" i="8"/>
  <c r="AM72" i="8"/>
  <c r="AS72" i="8"/>
  <c r="AZ72" i="8"/>
  <c r="F73" i="8"/>
  <c r="L73" i="8"/>
  <c r="M73" i="8" s="1"/>
  <c r="R73" i="8"/>
  <c r="X73" i="8"/>
  <c r="AD73" i="8"/>
  <c r="AJ73" i="8"/>
  <c r="AQ73" i="8"/>
  <c r="AW73" i="8"/>
  <c r="E74" i="8"/>
  <c r="K74" i="8"/>
  <c r="Q74" i="8"/>
  <c r="W74" i="8"/>
  <c r="AC74" i="8"/>
  <c r="AI74" i="8"/>
  <c r="AP74" i="8"/>
  <c r="AV74" i="8"/>
  <c r="C75" i="8"/>
  <c r="I75" i="8"/>
  <c r="O75" i="8"/>
  <c r="U75" i="8"/>
  <c r="AA75" i="8"/>
  <c r="AG75" i="8"/>
  <c r="AN75" i="8"/>
  <c r="AT75" i="8"/>
  <c r="BA75" i="8"/>
  <c r="H76" i="8"/>
  <c r="N76" i="8"/>
  <c r="T76" i="8"/>
  <c r="Z76" i="8"/>
  <c r="AF76" i="8"/>
  <c r="AM76" i="8"/>
  <c r="AS76" i="8"/>
  <c r="AZ76" i="8"/>
  <c r="F77" i="8"/>
  <c r="L77" i="8"/>
  <c r="R77" i="8"/>
  <c r="X77" i="8"/>
  <c r="AD77" i="8"/>
  <c r="AJ77" i="8"/>
  <c r="AQ77" i="8"/>
  <c r="AW77" i="8"/>
  <c r="E78" i="8"/>
  <c r="K78" i="8"/>
  <c r="Q78" i="8"/>
  <c r="W78" i="8"/>
  <c r="AC78" i="8"/>
  <c r="AI78" i="8"/>
  <c r="AP78" i="8"/>
  <c r="AV78" i="8"/>
  <c r="C79" i="8"/>
  <c r="I79" i="8"/>
  <c r="O79" i="8"/>
  <c r="U79" i="8"/>
  <c r="AA79" i="8"/>
  <c r="AG79" i="8"/>
  <c r="AN79" i="8"/>
  <c r="AT79" i="8"/>
  <c r="BA79" i="8"/>
  <c r="H80" i="8"/>
  <c r="N80" i="8"/>
  <c r="T80" i="8"/>
  <c r="Z80" i="8"/>
  <c r="AF80" i="8"/>
  <c r="AM80" i="8"/>
  <c r="AS80" i="8"/>
  <c r="AZ80" i="8"/>
  <c r="F81" i="8"/>
  <c r="L81" i="8"/>
  <c r="R81" i="8"/>
  <c r="X81" i="8"/>
  <c r="AD81" i="8"/>
  <c r="AJ81" i="8"/>
  <c r="AQ81" i="8"/>
  <c r="AW81" i="8"/>
  <c r="E82" i="8"/>
  <c r="K82" i="8"/>
  <c r="Q82" i="8"/>
  <c r="W82" i="8"/>
  <c r="AC82" i="8"/>
  <c r="AI82" i="8"/>
  <c r="AP82" i="8"/>
  <c r="AV82" i="8"/>
  <c r="C83" i="8"/>
  <c r="I83" i="8"/>
  <c r="O83" i="8"/>
  <c r="U83" i="8"/>
  <c r="AA83" i="8"/>
  <c r="AG83" i="8"/>
  <c r="AN83" i="8"/>
  <c r="AT83" i="8"/>
  <c r="AU83" i="8" s="1"/>
  <c r="BA83" i="8"/>
  <c r="H84" i="8"/>
  <c r="N84" i="8"/>
  <c r="T84" i="8"/>
  <c r="Z84" i="8"/>
  <c r="AF84" i="8"/>
  <c r="AM84" i="8"/>
  <c r="AS84" i="8"/>
  <c r="AZ84" i="8"/>
  <c r="F85" i="8"/>
  <c r="L85" i="8"/>
  <c r="R85" i="8"/>
  <c r="X85" i="8"/>
  <c r="AD85" i="8"/>
  <c r="AJ85" i="8"/>
  <c r="AQ85" i="8"/>
  <c r="AW85" i="8"/>
  <c r="E86" i="8"/>
  <c r="K86" i="8"/>
  <c r="Q86" i="8"/>
  <c r="W86" i="8"/>
  <c r="AC86" i="8"/>
  <c r="AI86" i="8"/>
  <c r="AP86" i="8"/>
  <c r="AV86" i="8"/>
  <c r="C87" i="8"/>
  <c r="I87" i="8"/>
  <c r="O87" i="8"/>
  <c r="P87" i="8" s="1"/>
  <c r="U87" i="8"/>
  <c r="AA87" i="8"/>
  <c r="AG87" i="8"/>
  <c r="AN87" i="8"/>
  <c r="AT87" i="8"/>
  <c r="BA87" i="8"/>
  <c r="H88" i="8"/>
  <c r="N88" i="8"/>
  <c r="T88" i="8"/>
  <c r="Z88" i="8"/>
  <c r="AF88" i="8"/>
  <c r="AM88" i="8"/>
  <c r="AS88" i="8"/>
  <c r="AZ88" i="8"/>
  <c r="F89" i="8"/>
  <c r="L89" i="8"/>
  <c r="R89" i="8"/>
  <c r="X89" i="8"/>
  <c r="AD89" i="8"/>
  <c r="AJ89" i="8"/>
  <c r="AQ89" i="8"/>
  <c r="AW89" i="8"/>
  <c r="E90" i="8"/>
  <c r="K90" i="8"/>
  <c r="Q90" i="8"/>
  <c r="W90" i="8"/>
  <c r="AC90" i="8"/>
  <c r="AI90" i="8"/>
  <c r="AP90" i="8"/>
  <c r="AV90" i="8"/>
  <c r="C91" i="8"/>
  <c r="I91" i="8"/>
  <c r="O91" i="8"/>
  <c r="U91" i="8"/>
  <c r="AA91" i="8"/>
  <c r="AG91" i="8"/>
  <c r="AN91" i="8"/>
  <c r="AT91" i="8"/>
  <c r="BA91" i="8"/>
  <c r="H92" i="8"/>
  <c r="N92" i="8"/>
  <c r="T92" i="8"/>
  <c r="Z92" i="8"/>
  <c r="AF92" i="8"/>
  <c r="AM92" i="8"/>
  <c r="AS92" i="8"/>
  <c r="AZ92" i="8"/>
  <c r="F93" i="8"/>
  <c r="L93" i="8"/>
  <c r="R93" i="8"/>
  <c r="X93" i="8"/>
  <c r="AD93" i="8"/>
  <c r="AJ93" i="8"/>
  <c r="AQ93" i="8"/>
  <c r="AW93" i="8"/>
  <c r="E94" i="8"/>
  <c r="K94" i="8"/>
  <c r="Q94" i="8"/>
  <c r="W94" i="8"/>
  <c r="AC94" i="8"/>
  <c r="AI94" i="8"/>
  <c r="AP94" i="8"/>
  <c r="AV94" i="8"/>
  <c r="C95" i="8"/>
  <c r="I95" i="8"/>
  <c r="O95" i="8"/>
  <c r="U95" i="8"/>
  <c r="AA95" i="8"/>
  <c r="AG95" i="8"/>
  <c r="AN95" i="8"/>
  <c r="AT95" i="8"/>
  <c r="BA95" i="8"/>
  <c r="BB95" i="8" s="1"/>
  <c r="H96" i="8"/>
  <c r="N96" i="8"/>
  <c r="T96" i="8"/>
  <c r="Z96" i="8"/>
  <c r="AF96" i="8"/>
  <c r="AM96" i="8"/>
  <c r="AS96" i="8"/>
  <c r="AZ96" i="8"/>
  <c r="F97" i="8"/>
  <c r="L97" i="8"/>
  <c r="R97" i="8"/>
  <c r="X97" i="8"/>
  <c r="AD97" i="8"/>
  <c r="AJ97" i="8"/>
  <c r="AQ97" i="8"/>
  <c r="AW97" i="8"/>
  <c r="E98" i="8"/>
  <c r="K98" i="8"/>
  <c r="Q98" i="8"/>
  <c r="W98" i="8"/>
  <c r="AC98" i="8"/>
  <c r="AI98" i="8"/>
  <c r="AP98" i="8"/>
  <c r="AV98" i="8"/>
  <c r="C99" i="8"/>
  <c r="I99" i="8"/>
  <c r="O99" i="8"/>
  <c r="U99" i="8"/>
  <c r="AA99" i="8"/>
  <c r="AG99" i="8"/>
  <c r="AN99" i="8"/>
  <c r="AT99" i="8"/>
  <c r="BA99" i="8"/>
  <c r="H100" i="8"/>
  <c r="N100" i="8"/>
  <c r="T100" i="8"/>
  <c r="Z100" i="8"/>
  <c r="AF100" i="8"/>
  <c r="AM100" i="8"/>
  <c r="AS100" i="8"/>
  <c r="AZ100" i="8"/>
  <c r="F101" i="8"/>
  <c r="L101" i="8"/>
  <c r="R101" i="8"/>
  <c r="X101" i="8"/>
  <c r="AD101" i="8"/>
  <c r="AJ101" i="8"/>
  <c r="AQ101" i="8"/>
  <c r="AW101" i="8"/>
  <c r="E102" i="8"/>
  <c r="K102" i="8"/>
  <c r="Q102" i="8"/>
  <c r="W102" i="8"/>
  <c r="AC102" i="8"/>
  <c r="AI102" i="8"/>
  <c r="AP102" i="8"/>
  <c r="AV102" i="8"/>
  <c r="C103" i="8"/>
  <c r="I103" i="8"/>
  <c r="O103" i="8"/>
  <c r="P103" i="8" s="1"/>
  <c r="U103" i="8"/>
  <c r="AA103" i="8"/>
  <c r="AG103" i="8"/>
  <c r="AN103" i="8"/>
  <c r="AT103" i="8"/>
  <c r="BA103" i="8"/>
  <c r="H104" i="8"/>
  <c r="N104" i="8"/>
  <c r="T104" i="8"/>
  <c r="Z104" i="8"/>
  <c r="AF104" i="8"/>
  <c r="AM104" i="8"/>
  <c r="AS104" i="8"/>
  <c r="AZ104" i="8"/>
  <c r="F105" i="8"/>
  <c r="L105" i="8"/>
  <c r="M105" i="8" s="1"/>
  <c r="R105" i="8"/>
  <c r="X105" i="8"/>
  <c r="AD105" i="8"/>
  <c r="AJ105" i="8"/>
  <c r="AQ105" i="8"/>
  <c r="AW105" i="8"/>
  <c r="E106" i="8"/>
  <c r="K106" i="8"/>
  <c r="Q106" i="8"/>
  <c r="W106" i="8"/>
  <c r="AC106" i="8"/>
  <c r="AI106" i="8"/>
  <c r="AP106" i="8"/>
  <c r="AV106" i="8"/>
  <c r="C107" i="8"/>
  <c r="I107" i="8"/>
  <c r="J107" i="8" s="1"/>
  <c r="O107" i="8"/>
  <c r="U107" i="8"/>
  <c r="AA107" i="8"/>
  <c r="AG107" i="8"/>
  <c r="AN107" i="8"/>
  <c r="AT107" i="8"/>
  <c r="BA107" i="8"/>
  <c r="H108" i="8"/>
  <c r="N108" i="8"/>
  <c r="T108" i="8"/>
  <c r="Z108" i="8"/>
  <c r="AF108" i="8"/>
  <c r="AM108" i="8"/>
  <c r="AS108" i="8"/>
  <c r="AZ108" i="8"/>
  <c r="F109" i="8"/>
  <c r="L109" i="8"/>
  <c r="R109" i="8"/>
  <c r="X109" i="8"/>
  <c r="AD109" i="8"/>
  <c r="AJ109" i="8"/>
  <c r="AQ109" i="8"/>
  <c r="AW109" i="8"/>
  <c r="E110" i="8"/>
  <c r="K110" i="8"/>
  <c r="Q110" i="8"/>
  <c r="W110" i="8"/>
  <c r="AC110" i="8"/>
  <c r="AI110" i="8"/>
  <c r="AP110" i="8"/>
  <c r="AV110" i="8"/>
  <c r="C111" i="8"/>
  <c r="I111" i="8"/>
  <c r="O111" i="8"/>
  <c r="U111" i="8"/>
  <c r="AA111" i="8"/>
  <c r="AG111" i="8"/>
  <c r="AN111" i="8"/>
  <c r="AT111" i="8"/>
  <c r="BA111" i="8"/>
  <c r="H112" i="8"/>
  <c r="N112" i="8"/>
  <c r="T112" i="8"/>
  <c r="Z112" i="8"/>
  <c r="AF112" i="8"/>
  <c r="AM112" i="8"/>
  <c r="AS112" i="8"/>
  <c r="AZ112" i="8"/>
  <c r="F113" i="8"/>
  <c r="L113" i="8"/>
  <c r="R113" i="8"/>
  <c r="X113" i="8"/>
  <c r="Y113" i="8" s="1"/>
  <c r="AD113" i="8"/>
  <c r="AJ113" i="8"/>
  <c r="AQ113" i="8"/>
  <c r="AW113" i="8"/>
  <c r="E114" i="8"/>
  <c r="K114" i="8"/>
  <c r="Q114" i="8"/>
  <c r="W114" i="8"/>
  <c r="AC114" i="8"/>
  <c r="AI114" i="8"/>
  <c r="AP114" i="8"/>
  <c r="AV114" i="8"/>
  <c r="C115" i="8"/>
  <c r="I115" i="8"/>
  <c r="O115" i="8"/>
  <c r="U115" i="8"/>
  <c r="AA115" i="8"/>
  <c r="AG115" i="8"/>
  <c r="AN115" i="8"/>
  <c r="AT115" i="8"/>
  <c r="BA115" i="8"/>
  <c r="H116" i="8"/>
  <c r="N116" i="8"/>
  <c r="T116" i="8"/>
  <c r="Z116" i="8"/>
  <c r="AF116" i="8"/>
  <c r="AM116" i="8"/>
  <c r="AS116" i="8"/>
  <c r="AZ116" i="8"/>
  <c r="F117" i="8"/>
  <c r="L117" i="8"/>
  <c r="R117" i="8"/>
  <c r="X117" i="8"/>
  <c r="AD117" i="8"/>
  <c r="AJ117" i="8"/>
  <c r="AQ117" i="8"/>
  <c r="AW117" i="8"/>
  <c r="E118" i="8"/>
  <c r="K118" i="8"/>
  <c r="Q118" i="8"/>
  <c r="W118" i="8"/>
  <c r="AC118" i="8"/>
  <c r="AI118" i="8"/>
  <c r="AP118" i="8"/>
  <c r="AV118" i="8"/>
  <c r="C119" i="8"/>
  <c r="I119" i="8"/>
  <c r="O119" i="8"/>
  <c r="P119" i="8" s="1"/>
  <c r="U119" i="8"/>
  <c r="AA119" i="8"/>
  <c r="AG119" i="8"/>
  <c r="AN119" i="8"/>
  <c r="AT119" i="8"/>
  <c r="BA119" i="8"/>
  <c r="H120" i="8"/>
  <c r="N120" i="8"/>
  <c r="T120" i="8"/>
  <c r="Z120" i="8"/>
  <c r="AF120" i="8"/>
  <c r="AM120" i="8"/>
  <c r="AS120" i="8"/>
  <c r="AZ120" i="8"/>
  <c r="F121" i="8"/>
  <c r="L121" i="8"/>
  <c r="R121" i="8"/>
  <c r="X121" i="8"/>
  <c r="AD121" i="8"/>
  <c r="AJ121" i="8"/>
  <c r="AQ121" i="8"/>
  <c r="AW121" i="8"/>
  <c r="E122" i="8"/>
  <c r="K122" i="8"/>
  <c r="Q122" i="8"/>
  <c r="W122" i="8"/>
  <c r="AC122" i="8"/>
  <c r="AI122" i="8"/>
  <c r="AP122" i="8"/>
  <c r="AV122" i="8"/>
  <c r="C123" i="8"/>
  <c r="I123" i="8"/>
  <c r="O123" i="8"/>
  <c r="U123" i="8"/>
  <c r="AA123" i="8"/>
  <c r="AG123" i="8"/>
  <c r="AN123" i="8"/>
  <c r="AT123" i="8"/>
  <c r="BA123" i="8"/>
  <c r="H124" i="8"/>
  <c r="N124" i="8"/>
  <c r="T124" i="8"/>
  <c r="Z124" i="8"/>
  <c r="AF124" i="8"/>
  <c r="AM124" i="8"/>
  <c r="AS124" i="8"/>
  <c r="AZ124" i="8"/>
  <c r="F125" i="8"/>
  <c r="L125" i="8"/>
  <c r="R125" i="8"/>
  <c r="X125" i="8"/>
  <c r="AD125" i="8"/>
  <c r="AJ125" i="8"/>
  <c r="AQ125" i="8"/>
  <c r="AW125" i="8"/>
  <c r="E126" i="8"/>
  <c r="K126" i="8"/>
  <c r="Q126" i="8"/>
  <c r="W126" i="8"/>
  <c r="AC126" i="8"/>
  <c r="AI126" i="8"/>
  <c r="AP126" i="8"/>
  <c r="AV126" i="8"/>
  <c r="C127" i="8"/>
  <c r="I127" i="8"/>
  <c r="O127" i="8"/>
  <c r="U127" i="8"/>
  <c r="AA127" i="8"/>
  <c r="AG127" i="8"/>
  <c r="AN127" i="8"/>
  <c r="AT127" i="8"/>
  <c r="BA127" i="8"/>
  <c r="H128" i="8"/>
  <c r="N128" i="8"/>
  <c r="T128" i="8"/>
  <c r="Z128" i="8"/>
  <c r="AF128" i="8"/>
  <c r="AM128" i="8"/>
  <c r="AS128" i="8"/>
  <c r="AZ128" i="8"/>
  <c r="F129" i="8"/>
  <c r="L129" i="8"/>
  <c r="R129" i="8"/>
  <c r="X129" i="8"/>
  <c r="AD129" i="8"/>
  <c r="AJ129" i="8"/>
  <c r="AQ129" i="8"/>
  <c r="AW129" i="8"/>
  <c r="AX129" i="8" s="1"/>
  <c r="E130" i="8"/>
  <c r="K130" i="8"/>
  <c r="Q130" i="8"/>
  <c r="W130" i="8"/>
  <c r="AC130" i="8"/>
  <c r="AI130" i="8"/>
  <c r="AP130" i="8"/>
  <c r="AV130" i="8"/>
  <c r="C131" i="8"/>
  <c r="I131" i="8"/>
  <c r="O131" i="8"/>
  <c r="U131" i="8"/>
  <c r="V131" i="8" s="1"/>
  <c r="AA131" i="8"/>
  <c r="AG131" i="8"/>
  <c r="AN131" i="8"/>
  <c r="AT131" i="8"/>
  <c r="BA131" i="8"/>
  <c r="H132" i="8"/>
  <c r="N132" i="8"/>
  <c r="T132" i="8"/>
  <c r="Z132" i="8"/>
  <c r="AF132" i="8"/>
  <c r="AM132" i="8"/>
  <c r="AS132" i="8"/>
  <c r="AZ132" i="8"/>
  <c r="F133" i="8"/>
  <c r="L133" i="8"/>
  <c r="R133" i="8"/>
  <c r="X133" i="8"/>
  <c r="AD133" i="8"/>
  <c r="AJ133" i="8"/>
  <c r="AQ133" i="8"/>
  <c r="AW133" i="8"/>
  <c r="E134" i="8"/>
  <c r="K134" i="8"/>
  <c r="Q134" i="8"/>
  <c r="W134" i="8"/>
  <c r="AC134" i="8"/>
  <c r="AI134" i="8"/>
  <c r="AP134" i="8"/>
  <c r="AV134" i="8"/>
  <c r="C135" i="8"/>
  <c r="I135" i="8"/>
  <c r="O135" i="8"/>
  <c r="P135" i="8" s="1"/>
  <c r="U135" i="8"/>
  <c r="AA135" i="8"/>
  <c r="AG135" i="8"/>
  <c r="AN135" i="8"/>
  <c r="AT135" i="8"/>
  <c r="BA135" i="8"/>
  <c r="H136" i="8"/>
  <c r="N136" i="8"/>
  <c r="T136" i="8"/>
  <c r="Z136" i="8"/>
  <c r="AF136" i="8"/>
  <c r="AM136" i="8"/>
  <c r="AS136" i="8"/>
  <c r="AZ136" i="8"/>
  <c r="F137" i="8"/>
  <c r="L137" i="8"/>
  <c r="R137" i="8"/>
  <c r="X137" i="8"/>
  <c r="AD137" i="8"/>
  <c r="AJ137" i="8"/>
  <c r="AQ137" i="8"/>
  <c r="AW137" i="8"/>
  <c r="E138" i="8"/>
  <c r="K138" i="8"/>
  <c r="Q138" i="8"/>
  <c r="W138" i="8"/>
  <c r="AC138" i="8"/>
  <c r="AI138" i="8"/>
  <c r="AP138" i="8"/>
  <c r="AV138" i="8"/>
  <c r="C139" i="8"/>
  <c r="I139" i="8"/>
  <c r="J139" i="8" s="1"/>
  <c r="O139" i="8"/>
  <c r="U139" i="8"/>
  <c r="AA139" i="8"/>
  <c r="AG139" i="8"/>
  <c r="AN139" i="8"/>
  <c r="AT139" i="8"/>
  <c r="BA139" i="8"/>
  <c r="H140" i="8"/>
  <c r="N140" i="8"/>
  <c r="T140" i="8"/>
  <c r="Z140" i="8"/>
  <c r="AF140" i="8"/>
  <c r="AM140" i="8"/>
  <c r="AS140" i="8"/>
  <c r="AZ140" i="8"/>
  <c r="F141" i="8"/>
  <c r="L141" i="8"/>
  <c r="R141" i="8"/>
  <c r="X141" i="8"/>
  <c r="AD141" i="8"/>
  <c r="AE141" i="8" s="1"/>
  <c r="AJ141" i="8"/>
  <c r="AQ141" i="8"/>
  <c r="AW141" i="8"/>
  <c r="E142" i="8"/>
  <c r="K142" i="8"/>
  <c r="Q142" i="8"/>
  <c r="W142" i="8"/>
  <c r="AC142" i="8"/>
  <c r="AI142" i="8"/>
  <c r="AP142" i="8"/>
  <c r="AV142" i="8"/>
  <c r="C143" i="8"/>
  <c r="I143" i="8"/>
  <c r="O143" i="8"/>
  <c r="U143" i="8"/>
  <c r="AA143" i="8"/>
  <c r="AG143" i="8"/>
  <c r="AN143" i="8"/>
  <c r="AT143" i="8"/>
  <c r="BA143" i="8"/>
  <c r="H144" i="8"/>
  <c r="N144" i="8"/>
  <c r="T144" i="8"/>
  <c r="Z144" i="8"/>
  <c r="AF144" i="8"/>
  <c r="AM144" i="8"/>
  <c r="AS144" i="8"/>
  <c r="AZ144" i="8"/>
  <c r="F145" i="8"/>
  <c r="L145" i="8"/>
  <c r="R145" i="8"/>
  <c r="X145" i="8"/>
  <c r="AD145" i="8"/>
  <c r="AJ145" i="8"/>
  <c r="AQ145" i="8"/>
  <c r="AW145" i="8"/>
  <c r="E146" i="8"/>
  <c r="K146" i="8"/>
  <c r="Q146" i="8"/>
  <c r="W146" i="8"/>
  <c r="AC146" i="8"/>
  <c r="AI146" i="8"/>
  <c r="AP146" i="8"/>
  <c r="AV146" i="8"/>
  <c r="C147" i="8"/>
  <c r="I147" i="8"/>
  <c r="O147" i="8"/>
  <c r="U147" i="8"/>
  <c r="AA147" i="8"/>
  <c r="AG147" i="8"/>
  <c r="AN147" i="8"/>
  <c r="AT147" i="8"/>
  <c r="BA147" i="8"/>
  <c r="H148" i="8"/>
  <c r="N148" i="8"/>
  <c r="T148" i="8"/>
  <c r="Z148" i="8"/>
  <c r="AF148" i="8"/>
  <c r="AM148" i="8"/>
  <c r="AS148" i="8"/>
  <c r="AZ148" i="8"/>
  <c r="F149" i="8"/>
  <c r="L149" i="8"/>
  <c r="R149" i="8"/>
  <c r="X149" i="8"/>
  <c r="AD149" i="8"/>
  <c r="AJ149" i="8"/>
  <c r="AQ149" i="8"/>
  <c r="AW149" i="8"/>
  <c r="E150" i="8"/>
  <c r="K150" i="8"/>
  <c r="Q150" i="8"/>
  <c r="W150" i="8"/>
  <c r="AC150" i="8"/>
  <c r="AI150" i="8"/>
  <c r="AP150" i="8"/>
  <c r="AV150" i="8"/>
  <c r="C151" i="8"/>
  <c r="I151" i="8"/>
  <c r="O151" i="8"/>
  <c r="U151" i="8"/>
  <c r="AA151" i="8"/>
  <c r="AG151" i="8"/>
  <c r="AN151" i="8"/>
  <c r="AT151" i="8"/>
  <c r="BA151" i="8"/>
  <c r="H152" i="8"/>
  <c r="N152" i="8"/>
  <c r="T152" i="8"/>
  <c r="Z152" i="8"/>
  <c r="AF152" i="8"/>
  <c r="AM152" i="8"/>
  <c r="AS152" i="8"/>
  <c r="AZ152" i="8"/>
  <c r="F153" i="8"/>
  <c r="L153" i="8"/>
  <c r="R153" i="8"/>
  <c r="X153" i="8"/>
  <c r="AD153" i="8"/>
  <c r="AJ153" i="8"/>
  <c r="AQ153" i="8"/>
  <c r="AW153" i="8"/>
  <c r="E154" i="8"/>
  <c r="K154" i="8"/>
  <c r="Q154" i="8"/>
  <c r="W154" i="8"/>
  <c r="AC154" i="8"/>
  <c r="AI154" i="8"/>
  <c r="AP154" i="8"/>
  <c r="AV154" i="8"/>
  <c r="C155" i="8"/>
  <c r="I155" i="8"/>
  <c r="O155" i="8"/>
  <c r="U155" i="8"/>
  <c r="AA155" i="8"/>
  <c r="AG155" i="8"/>
  <c r="AN155" i="8"/>
  <c r="AT155" i="8"/>
  <c r="BA155" i="8"/>
  <c r="H156" i="8"/>
  <c r="N156" i="8"/>
  <c r="T156" i="8"/>
  <c r="Z156" i="8"/>
  <c r="AF156" i="8"/>
  <c r="AM156" i="8"/>
  <c r="AS156" i="8"/>
  <c r="AZ156" i="8"/>
  <c r="F157" i="8"/>
  <c r="L157" i="8"/>
  <c r="R157" i="8"/>
  <c r="X157" i="8"/>
  <c r="AD157" i="8"/>
  <c r="AJ157" i="8"/>
  <c r="AQ157" i="8"/>
  <c r="AW157" i="8"/>
  <c r="E158" i="8"/>
  <c r="K158" i="8"/>
  <c r="Q158" i="8"/>
  <c r="W158" i="8"/>
  <c r="AC158" i="8"/>
  <c r="AI158" i="8"/>
  <c r="AP158" i="8"/>
  <c r="AV158" i="8"/>
  <c r="C159" i="8"/>
  <c r="I159" i="8"/>
  <c r="O159" i="8"/>
  <c r="U159" i="8"/>
  <c r="AA159" i="8"/>
  <c r="AG159" i="8"/>
  <c r="AN159" i="8"/>
  <c r="AT159" i="8"/>
  <c r="BA159" i="8"/>
  <c r="H160" i="8"/>
  <c r="N160" i="8"/>
  <c r="T160" i="8"/>
  <c r="Z160" i="8"/>
  <c r="AF160" i="8"/>
  <c r="AM160" i="8"/>
  <c r="AS160" i="8"/>
  <c r="AZ160" i="8"/>
  <c r="F161" i="8"/>
  <c r="L161" i="8"/>
  <c r="R161" i="8"/>
  <c r="X161" i="8"/>
  <c r="AD161" i="8"/>
  <c r="AJ161" i="8"/>
  <c r="AQ161" i="8"/>
  <c r="AW161" i="8"/>
  <c r="E162" i="8"/>
  <c r="K162" i="8"/>
  <c r="Q162" i="8"/>
  <c r="W162" i="8"/>
  <c r="AC162" i="8"/>
  <c r="AI162" i="8"/>
  <c r="AP162" i="8"/>
  <c r="AV162" i="8"/>
  <c r="C163" i="8"/>
  <c r="I163" i="8"/>
  <c r="O163" i="8"/>
  <c r="U163" i="8"/>
  <c r="AA163" i="8"/>
  <c r="AG163" i="8"/>
  <c r="AN163" i="8"/>
  <c r="AT163" i="8"/>
  <c r="BA163" i="8"/>
  <c r="H164" i="8"/>
  <c r="N164" i="8"/>
  <c r="T164" i="8"/>
  <c r="Z164" i="8"/>
  <c r="AF164" i="8"/>
  <c r="AM164" i="8"/>
  <c r="AS164" i="8"/>
  <c r="AZ164" i="8"/>
  <c r="F165" i="8"/>
  <c r="L165" i="8"/>
  <c r="R165" i="8"/>
  <c r="X165" i="8"/>
  <c r="AD165" i="8"/>
  <c r="AJ165" i="8"/>
  <c r="AQ165" i="8"/>
  <c r="AW165" i="8"/>
  <c r="E166" i="8"/>
  <c r="K166" i="8"/>
  <c r="Q166" i="8"/>
  <c r="W166" i="8"/>
  <c r="AC166" i="8"/>
  <c r="AI166" i="8"/>
  <c r="AP166" i="8"/>
  <c r="AV166" i="8"/>
  <c r="C167" i="8"/>
  <c r="I167" i="8"/>
  <c r="O167" i="8"/>
  <c r="P167" i="8" s="1"/>
  <c r="U167" i="8"/>
  <c r="AA167" i="8"/>
  <c r="AG167" i="8"/>
  <c r="AN167" i="8"/>
  <c r="AT167" i="8"/>
  <c r="BA167" i="8"/>
  <c r="H168" i="8"/>
  <c r="N168" i="8"/>
  <c r="T168" i="8"/>
  <c r="Z168" i="8"/>
  <c r="AF168" i="8"/>
  <c r="AM168" i="8"/>
  <c r="AS168" i="8"/>
  <c r="AZ168" i="8"/>
  <c r="F169" i="8"/>
  <c r="L169" i="8"/>
  <c r="R169" i="8"/>
  <c r="X169" i="8"/>
  <c r="AD169" i="8"/>
  <c r="AJ169" i="8"/>
  <c r="AQ169" i="8"/>
  <c r="AW169" i="8"/>
  <c r="E170" i="8"/>
  <c r="K170" i="8"/>
  <c r="Q170" i="8"/>
  <c r="W170" i="8"/>
  <c r="AC170" i="8"/>
  <c r="AI170" i="8"/>
  <c r="AP170" i="8"/>
  <c r="AV170" i="8"/>
  <c r="C171" i="8"/>
  <c r="I171" i="8"/>
  <c r="O171" i="8"/>
  <c r="U171" i="8"/>
  <c r="AA171" i="8"/>
  <c r="AG171" i="8"/>
  <c r="AN171" i="8"/>
  <c r="AT171" i="8"/>
  <c r="BA171" i="8"/>
  <c r="H172" i="8"/>
  <c r="N172" i="8"/>
  <c r="T172" i="8"/>
  <c r="Z172" i="8"/>
  <c r="AF172" i="8"/>
  <c r="AM172" i="8"/>
  <c r="AS172" i="8"/>
  <c r="AZ172" i="8"/>
  <c r="B171" i="8"/>
  <c r="B167" i="8"/>
  <c r="B163" i="8"/>
  <c r="B159" i="8"/>
  <c r="B155" i="8"/>
  <c r="B151" i="8"/>
  <c r="B147" i="8"/>
  <c r="B143" i="8"/>
  <c r="B139" i="8"/>
  <c r="B135" i="8"/>
  <c r="B131" i="8"/>
  <c r="B127" i="8"/>
  <c r="B123" i="8"/>
  <c r="B119" i="8"/>
  <c r="B115" i="8"/>
  <c r="B111" i="8"/>
  <c r="B107" i="8"/>
  <c r="B103" i="8"/>
  <c r="B99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C3" i="8"/>
  <c r="I3" i="8"/>
  <c r="O3" i="8"/>
  <c r="U3" i="8"/>
  <c r="AA3" i="8"/>
  <c r="AF4" i="8"/>
  <c r="AM3" i="8"/>
  <c r="AS3" i="8"/>
  <c r="F4" i="8"/>
  <c r="L4" i="8"/>
  <c r="R4" i="8"/>
  <c r="X4" i="8"/>
  <c r="AD4" i="8"/>
  <c r="AM4" i="8"/>
  <c r="AS4" i="8"/>
  <c r="AZ4" i="8"/>
  <c r="BB4" i="8" s="1"/>
  <c r="F5" i="8"/>
  <c r="L5" i="8"/>
  <c r="R5" i="8"/>
  <c r="X5" i="8"/>
  <c r="AD5" i="8"/>
  <c r="AJ5" i="8"/>
  <c r="AQ5" i="8"/>
  <c r="AW5" i="8"/>
  <c r="E6" i="8"/>
  <c r="K6" i="8"/>
  <c r="Q6" i="8"/>
  <c r="W6" i="8"/>
  <c r="AC6" i="8"/>
  <c r="AI6" i="8"/>
  <c r="AP6" i="8"/>
  <c r="AV6" i="8"/>
  <c r="AX6" i="8" s="1"/>
  <c r="C7" i="8"/>
  <c r="I7" i="8"/>
  <c r="O7" i="8"/>
  <c r="U7" i="8"/>
  <c r="AA7" i="8"/>
  <c r="AG7" i="8"/>
  <c r="AN7" i="8"/>
  <c r="AT7" i="8"/>
  <c r="BA7" i="8"/>
  <c r="H8" i="8"/>
  <c r="N8" i="8"/>
  <c r="T8" i="8"/>
  <c r="Z8" i="8"/>
  <c r="AF8" i="8"/>
  <c r="AM8" i="8"/>
  <c r="AS8" i="8"/>
  <c r="AZ8" i="8"/>
  <c r="BB8" i="8" s="1"/>
  <c r="F9" i="8"/>
  <c r="L9" i="8"/>
  <c r="R9" i="8"/>
  <c r="X9" i="8"/>
  <c r="AD9" i="8"/>
  <c r="AJ9" i="8"/>
  <c r="AQ9" i="8"/>
  <c r="AR9" i="8" s="1"/>
  <c r="AW9" i="8"/>
  <c r="E10" i="8"/>
  <c r="K10" i="8"/>
  <c r="Q10" i="8"/>
  <c r="W10" i="8"/>
  <c r="AC10" i="8"/>
  <c r="AI10" i="8"/>
  <c r="AP10" i="8"/>
  <c r="AV10" i="8"/>
  <c r="AX10" i="8" s="1"/>
  <c r="C11" i="8"/>
  <c r="I11" i="8"/>
  <c r="O11" i="8"/>
  <c r="P11" i="8" s="1"/>
  <c r="U11" i="8"/>
  <c r="AA11" i="8"/>
  <c r="AG11" i="8"/>
  <c r="AN11" i="8"/>
  <c r="AT11" i="8"/>
  <c r="BA11" i="8"/>
  <c r="H12" i="8"/>
  <c r="N12" i="8"/>
  <c r="T12" i="8"/>
  <c r="Z12" i="8"/>
  <c r="AF12" i="8"/>
  <c r="AM12" i="8"/>
  <c r="AS12" i="8"/>
  <c r="AZ12" i="8"/>
  <c r="BB12" i="8" s="1"/>
  <c r="F13" i="8"/>
  <c r="L13" i="8"/>
  <c r="R13" i="8"/>
  <c r="X13" i="8"/>
  <c r="AD13" i="8"/>
  <c r="AJ13" i="8"/>
  <c r="AQ13" i="8"/>
  <c r="AW13" i="8"/>
  <c r="E14" i="8"/>
  <c r="K14" i="8"/>
  <c r="Q14" i="8"/>
  <c r="W14" i="8"/>
  <c r="AC14" i="8"/>
  <c r="AI14" i="8"/>
  <c r="AP14" i="8"/>
  <c r="AV14" i="8"/>
  <c r="AX14" i="8" s="1"/>
  <c r="C15" i="8"/>
  <c r="I15" i="8"/>
  <c r="O15" i="8"/>
  <c r="U15" i="8"/>
  <c r="AA15" i="8"/>
  <c r="AG15" i="8"/>
  <c r="AN15" i="8"/>
  <c r="AT15" i="8"/>
  <c r="BA15" i="8"/>
  <c r="H16" i="8"/>
  <c r="N16" i="8"/>
  <c r="T16" i="8"/>
  <c r="Z16" i="8"/>
  <c r="AF16" i="8"/>
  <c r="AM16" i="8"/>
  <c r="AS16" i="8"/>
  <c r="AZ16" i="8"/>
  <c r="BB16" i="8" s="1"/>
  <c r="F17" i="8"/>
  <c r="L17" i="8"/>
  <c r="R17" i="8"/>
  <c r="X17" i="8"/>
  <c r="AD17" i="8"/>
  <c r="AJ17" i="8"/>
  <c r="AQ17" i="8"/>
  <c r="AW17" i="8"/>
  <c r="E18" i="8"/>
  <c r="K18" i="8"/>
  <c r="Q18" i="8"/>
  <c r="W18" i="8"/>
  <c r="AC18" i="8"/>
  <c r="AI18" i="8"/>
  <c r="AP18" i="8"/>
  <c r="AV18" i="8"/>
  <c r="AX18" i="8" s="1"/>
  <c r="C19" i="8"/>
  <c r="I19" i="8"/>
  <c r="O19" i="8"/>
  <c r="U19" i="8"/>
  <c r="AA19" i="8"/>
  <c r="AG19" i="8"/>
  <c r="AN19" i="8"/>
  <c r="AT19" i="8"/>
  <c r="BA19" i="8"/>
  <c r="H20" i="8"/>
  <c r="N20" i="8"/>
  <c r="T20" i="8"/>
  <c r="AA20" i="8"/>
  <c r="AG20" i="8"/>
  <c r="AN20" i="8"/>
  <c r="AT20" i="8"/>
  <c r="BA20" i="8"/>
  <c r="H21" i="8"/>
  <c r="N21" i="8"/>
  <c r="T21" i="8"/>
  <c r="Z21" i="8"/>
  <c r="AF21" i="8"/>
  <c r="AM21" i="8"/>
  <c r="AS21" i="8"/>
  <c r="AZ21" i="8"/>
  <c r="F22" i="8"/>
  <c r="L22" i="8"/>
  <c r="R22" i="8"/>
  <c r="X22" i="8"/>
  <c r="AD22" i="8"/>
  <c r="AJ22" i="8"/>
  <c r="AQ22" i="8"/>
  <c r="AW22" i="8"/>
  <c r="E23" i="8"/>
  <c r="K23" i="8"/>
  <c r="Q23" i="8"/>
  <c r="W23" i="8"/>
  <c r="AC23" i="8"/>
  <c r="AI23" i="8"/>
  <c r="AP23" i="8"/>
  <c r="AV23" i="8"/>
  <c r="AX23" i="8" s="1"/>
  <c r="C24" i="8"/>
  <c r="I24" i="8"/>
  <c r="O24" i="8"/>
  <c r="U24" i="8"/>
  <c r="AA24" i="8"/>
  <c r="AG24" i="8"/>
  <c r="AN24" i="8"/>
  <c r="AT24" i="8"/>
  <c r="BA24" i="8"/>
  <c r="H25" i="8"/>
  <c r="N25" i="8"/>
  <c r="T25" i="8"/>
  <c r="Z25" i="8"/>
  <c r="AF25" i="8"/>
  <c r="AM25" i="8"/>
  <c r="AS25" i="8"/>
  <c r="AZ25" i="8"/>
  <c r="BB25" i="8" s="1"/>
  <c r="F26" i="8"/>
  <c r="L26" i="8"/>
  <c r="R26" i="8"/>
  <c r="X26" i="8"/>
  <c r="AD26" i="8"/>
  <c r="AJ26" i="8"/>
  <c r="AQ26" i="8"/>
  <c r="AW26" i="8"/>
  <c r="E27" i="8"/>
  <c r="K27" i="8"/>
  <c r="Q27" i="8"/>
  <c r="W27" i="8"/>
  <c r="AC27" i="8"/>
  <c r="AI27" i="8"/>
  <c r="AP27" i="8"/>
  <c r="AV27" i="8"/>
  <c r="AX27" i="8" s="1"/>
  <c r="C28" i="8"/>
  <c r="I28" i="8"/>
  <c r="O28" i="8"/>
  <c r="U28" i="8"/>
  <c r="AA28" i="8"/>
  <c r="AG28" i="8"/>
  <c r="AN28" i="8"/>
  <c r="AT28" i="8"/>
  <c r="BA28" i="8"/>
  <c r="H29" i="8"/>
  <c r="N29" i="8"/>
  <c r="T29" i="8"/>
  <c r="Z29" i="8"/>
  <c r="AF29" i="8"/>
  <c r="AM29" i="8"/>
  <c r="AS29" i="8"/>
  <c r="AZ29" i="8"/>
  <c r="BB29" i="8" s="1"/>
  <c r="F30" i="8"/>
  <c r="L30" i="8"/>
  <c r="R30" i="8"/>
  <c r="X30" i="8"/>
  <c r="AD30" i="8"/>
  <c r="AJ30" i="8"/>
  <c r="AQ30" i="8"/>
  <c r="AW30" i="8"/>
  <c r="E31" i="8"/>
  <c r="K31" i="8"/>
  <c r="Q31" i="8"/>
  <c r="W31" i="8"/>
  <c r="AC31" i="8"/>
  <c r="AI31" i="8"/>
  <c r="AP31" i="8"/>
  <c r="AV31" i="8"/>
  <c r="AX31" i="8" s="1"/>
  <c r="C32" i="8"/>
  <c r="I32" i="8"/>
  <c r="O32" i="8"/>
  <c r="U32" i="8"/>
  <c r="AA32" i="8"/>
  <c r="AG32" i="8"/>
  <c r="AN32" i="8"/>
  <c r="AT32" i="8"/>
  <c r="BA32" i="8"/>
  <c r="H33" i="8"/>
  <c r="N33" i="8"/>
  <c r="T33" i="8"/>
  <c r="Z33" i="8"/>
  <c r="AF33" i="8"/>
  <c r="AM33" i="8"/>
  <c r="AS33" i="8"/>
  <c r="AZ33" i="8"/>
  <c r="BB33" i="8" s="1"/>
  <c r="F34" i="8"/>
  <c r="L34" i="8"/>
  <c r="R34" i="8"/>
  <c r="X34" i="8"/>
  <c r="AD34" i="8"/>
  <c r="AJ34" i="8"/>
  <c r="AQ34" i="8"/>
  <c r="AW34" i="8"/>
  <c r="E35" i="8"/>
  <c r="K35" i="8"/>
  <c r="Q35" i="8"/>
  <c r="W35" i="8"/>
  <c r="AC35" i="8"/>
  <c r="AI35" i="8"/>
  <c r="AP35" i="8"/>
  <c r="AV35" i="8"/>
  <c r="AX35" i="8" s="1"/>
  <c r="C36" i="8"/>
  <c r="I36" i="8"/>
  <c r="O36" i="8"/>
  <c r="U36" i="8"/>
  <c r="AA36" i="8"/>
  <c r="AG36" i="8"/>
  <c r="AN36" i="8"/>
  <c r="AT36" i="8"/>
  <c r="BA36" i="8"/>
  <c r="H37" i="8"/>
  <c r="N37" i="8"/>
  <c r="T37" i="8"/>
  <c r="Z37" i="8"/>
  <c r="AF37" i="8"/>
  <c r="AM37" i="8"/>
  <c r="AS37" i="8"/>
  <c r="AZ37" i="8"/>
  <c r="F38" i="8"/>
  <c r="L38" i="8"/>
  <c r="R38" i="8"/>
  <c r="X38" i="8"/>
  <c r="AD38" i="8"/>
  <c r="AJ38" i="8"/>
  <c r="AQ38" i="8"/>
  <c r="AW38" i="8"/>
  <c r="E39" i="8"/>
  <c r="K39" i="8"/>
  <c r="Q39" i="8"/>
  <c r="W39" i="8"/>
  <c r="AC39" i="8"/>
  <c r="AI39" i="8"/>
  <c r="AP39" i="8"/>
  <c r="AV39" i="8"/>
  <c r="AX39" i="8" s="1"/>
  <c r="C40" i="8"/>
  <c r="I40" i="8"/>
  <c r="O40" i="8"/>
  <c r="U40" i="8"/>
  <c r="AA40" i="8"/>
  <c r="AG40" i="8"/>
  <c r="AN40" i="8"/>
  <c r="AT40" i="8"/>
  <c r="BA40" i="8"/>
  <c r="H41" i="8"/>
  <c r="N41" i="8"/>
  <c r="T41" i="8"/>
  <c r="Z41" i="8"/>
  <c r="AF41" i="8"/>
  <c r="AM41" i="8"/>
  <c r="AS41" i="8"/>
  <c r="AZ41" i="8"/>
  <c r="F42" i="8"/>
  <c r="L42" i="8"/>
  <c r="R42" i="8"/>
  <c r="X42" i="8"/>
  <c r="AD42" i="8"/>
  <c r="AJ42" i="8"/>
  <c r="AQ42" i="8"/>
  <c r="AW42" i="8"/>
  <c r="E43" i="8"/>
  <c r="K43" i="8"/>
  <c r="Q43" i="8"/>
  <c r="W43" i="8"/>
  <c r="AC43" i="8"/>
  <c r="AI43" i="8"/>
  <c r="AP43" i="8"/>
  <c r="AV43" i="8"/>
  <c r="AX43" i="8" s="1"/>
  <c r="C44" i="8"/>
  <c r="I44" i="8"/>
  <c r="O44" i="8"/>
  <c r="U44" i="8"/>
  <c r="AA44" i="8"/>
  <c r="AG44" i="8"/>
  <c r="AN44" i="8"/>
  <c r="AT44" i="8"/>
  <c r="BA44" i="8"/>
  <c r="H45" i="8"/>
  <c r="N45" i="8"/>
  <c r="T45" i="8"/>
  <c r="Z45" i="8"/>
  <c r="AF45" i="8"/>
  <c r="AM45" i="8"/>
  <c r="AS45" i="8"/>
  <c r="AZ45" i="8"/>
  <c r="BB45" i="8" s="1"/>
  <c r="F46" i="8"/>
  <c r="L46" i="8"/>
  <c r="R46" i="8"/>
  <c r="X46" i="8"/>
  <c r="AD46" i="8"/>
  <c r="AJ46" i="8"/>
  <c r="AQ46" i="8"/>
  <c r="AW46" i="8"/>
  <c r="E47" i="8"/>
  <c r="K47" i="8"/>
  <c r="Q47" i="8"/>
  <c r="W47" i="8"/>
  <c r="AC47" i="8"/>
  <c r="AI47" i="8"/>
  <c r="AP47" i="8"/>
  <c r="AV47" i="8"/>
  <c r="AX47" i="8" s="1"/>
  <c r="C48" i="8"/>
  <c r="I48" i="8"/>
  <c r="O48" i="8"/>
  <c r="U48" i="8"/>
  <c r="AA48" i="8"/>
  <c r="AG48" i="8"/>
  <c r="AN48" i="8"/>
  <c r="AT48" i="8"/>
  <c r="BA48" i="8"/>
  <c r="H49" i="8"/>
  <c r="N49" i="8"/>
  <c r="T49" i="8"/>
  <c r="Z49" i="8"/>
  <c r="AF49" i="8"/>
  <c r="AM49" i="8"/>
  <c r="AS49" i="8"/>
  <c r="AZ49" i="8"/>
  <c r="BB49" i="8" s="1"/>
  <c r="F50" i="8"/>
  <c r="L50" i="8"/>
  <c r="R50" i="8"/>
  <c r="X50" i="8"/>
  <c r="AD50" i="8"/>
  <c r="AJ50" i="8"/>
  <c r="AQ50" i="8"/>
  <c r="AW50" i="8"/>
  <c r="E51" i="8"/>
  <c r="K51" i="8"/>
  <c r="Q51" i="8"/>
  <c r="W51" i="8"/>
  <c r="AC51" i="8"/>
  <c r="AI51" i="8"/>
  <c r="AP51" i="8"/>
  <c r="AV51" i="8"/>
  <c r="AX51" i="8" s="1"/>
  <c r="C52" i="8"/>
  <c r="I52" i="8"/>
  <c r="O52" i="8"/>
  <c r="U52" i="8"/>
  <c r="AA52" i="8"/>
  <c r="AG52" i="8"/>
  <c r="AN52" i="8"/>
  <c r="AT52" i="8"/>
  <c r="BA52" i="8"/>
  <c r="H53" i="8"/>
  <c r="N53" i="8"/>
  <c r="T53" i="8"/>
  <c r="Z53" i="8"/>
  <c r="AF53" i="8"/>
  <c r="AM53" i="8"/>
  <c r="AS53" i="8"/>
  <c r="AZ53" i="8"/>
  <c r="F54" i="8"/>
  <c r="L54" i="8"/>
  <c r="R54" i="8"/>
  <c r="X54" i="8"/>
  <c r="AD54" i="8"/>
  <c r="AJ54" i="8"/>
  <c r="AQ54" i="8"/>
  <c r="AW54" i="8"/>
  <c r="E55" i="8"/>
  <c r="K55" i="8"/>
  <c r="Q55" i="8"/>
  <c r="W55" i="8"/>
  <c r="AC55" i="8"/>
  <c r="AI55" i="8"/>
  <c r="AP55" i="8"/>
  <c r="AV55" i="8"/>
  <c r="AX55" i="8" s="1"/>
  <c r="C56" i="8"/>
  <c r="I56" i="8"/>
  <c r="O56" i="8"/>
  <c r="U56" i="8"/>
  <c r="AA56" i="8"/>
  <c r="AG56" i="8"/>
  <c r="AN56" i="8"/>
  <c r="AT56" i="8"/>
  <c r="BA56" i="8"/>
  <c r="H57" i="8"/>
  <c r="N57" i="8"/>
  <c r="T57" i="8"/>
  <c r="Z57" i="8"/>
  <c r="AF57" i="8"/>
  <c r="AM57" i="8"/>
  <c r="AS57" i="8"/>
  <c r="AZ57" i="8"/>
  <c r="F58" i="8"/>
  <c r="L58" i="8"/>
  <c r="R58" i="8"/>
  <c r="X58" i="8"/>
  <c r="AD58" i="8"/>
  <c r="AJ58" i="8"/>
  <c r="AQ58" i="8"/>
  <c r="AW58" i="8"/>
  <c r="E59" i="8"/>
  <c r="K59" i="8"/>
  <c r="Q59" i="8"/>
  <c r="W59" i="8"/>
  <c r="AC59" i="8"/>
  <c r="AI59" i="8"/>
  <c r="AP59" i="8"/>
  <c r="AV59" i="8"/>
  <c r="AX59" i="8" s="1"/>
  <c r="C60" i="8"/>
  <c r="I60" i="8"/>
  <c r="O60" i="8"/>
  <c r="U60" i="8"/>
  <c r="AA60" i="8"/>
  <c r="AG60" i="8"/>
  <c r="AN60" i="8"/>
  <c r="AT60" i="8"/>
  <c r="BA60" i="8"/>
  <c r="H61" i="8"/>
  <c r="N61" i="8"/>
  <c r="T61" i="8"/>
  <c r="Z61" i="8"/>
  <c r="AF61" i="8"/>
  <c r="AM61" i="8"/>
  <c r="AS61" i="8"/>
  <c r="AZ61" i="8"/>
  <c r="BB61" i="8" s="1"/>
  <c r="F62" i="8"/>
  <c r="L62" i="8"/>
  <c r="R62" i="8"/>
  <c r="X62" i="8"/>
  <c r="AD62" i="8"/>
  <c r="AJ62" i="8"/>
  <c r="AQ62" i="8"/>
  <c r="AW62" i="8"/>
  <c r="E63" i="8"/>
  <c r="K63" i="8"/>
  <c r="Q63" i="8"/>
  <c r="W63" i="8"/>
  <c r="AC63" i="8"/>
  <c r="AI63" i="8"/>
  <c r="AP63" i="8"/>
  <c r="AV63" i="8"/>
  <c r="AX63" i="8" s="1"/>
  <c r="C64" i="8"/>
  <c r="I64" i="8"/>
  <c r="O64" i="8"/>
  <c r="U64" i="8"/>
  <c r="AA64" i="8"/>
  <c r="AG64" i="8"/>
  <c r="AN64" i="8"/>
  <c r="AT64" i="8"/>
  <c r="BA64" i="8"/>
  <c r="H65" i="8"/>
  <c r="N65" i="8"/>
  <c r="T65" i="8"/>
  <c r="Z65" i="8"/>
  <c r="AF65" i="8"/>
  <c r="AM65" i="8"/>
  <c r="AS65" i="8"/>
  <c r="AZ65" i="8"/>
  <c r="BB65" i="8" s="1"/>
  <c r="F66" i="8"/>
  <c r="L66" i="8"/>
  <c r="R66" i="8"/>
  <c r="X66" i="8"/>
  <c r="AD66" i="8"/>
  <c r="AJ66" i="8"/>
  <c r="AQ66" i="8"/>
  <c r="AW66" i="8"/>
  <c r="E67" i="8"/>
  <c r="K67" i="8"/>
  <c r="Q67" i="8"/>
  <c r="W67" i="8"/>
  <c r="AC67" i="8"/>
  <c r="AI67" i="8"/>
  <c r="AP67" i="8"/>
  <c r="AV67" i="8"/>
  <c r="AX67" i="8" s="1"/>
  <c r="C68" i="8"/>
  <c r="I68" i="8"/>
  <c r="O68" i="8"/>
  <c r="U68" i="8"/>
  <c r="AA68" i="8"/>
  <c r="AG68" i="8"/>
  <c r="AN68" i="8"/>
  <c r="AT68" i="8"/>
  <c r="BA68" i="8"/>
  <c r="H69" i="8"/>
  <c r="N69" i="8"/>
  <c r="T69" i="8"/>
  <c r="Z69" i="8"/>
  <c r="AF69" i="8"/>
  <c r="AM69" i="8"/>
  <c r="AS69" i="8"/>
  <c r="AZ69" i="8"/>
  <c r="F70" i="8"/>
  <c r="L70" i="8"/>
  <c r="R70" i="8"/>
  <c r="X70" i="8"/>
  <c r="AD70" i="8"/>
  <c r="AJ70" i="8"/>
  <c r="AQ70" i="8"/>
  <c r="AW70" i="8"/>
  <c r="E71" i="8"/>
  <c r="K71" i="8"/>
  <c r="Q71" i="8"/>
  <c r="W71" i="8"/>
  <c r="AC71" i="8"/>
  <c r="AI71" i="8"/>
  <c r="AP71" i="8"/>
  <c r="AV71" i="8"/>
  <c r="AX71" i="8" s="1"/>
  <c r="C72" i="8"/>
  <c r="I72" i="8"/>
  <c r="O72" i="8"/>
  <c r="U72" i="8"/>
  <c r="AA72" i="8"/>
  <c r="AG72" i="8"/>
  <c r="AN72" i="8"/>
  <c r="AT72" i="8"/>
  <c r="BA72" i="8"/>
  <c r="H73" i="8"/>
  <c r="N73" i="8"/>
  <c r="T73" i="8"/>
  <c r="Z73" i="8"/>
  <c r="AF73" i="8"/>
  <c r="AM73" i="8"/>
  <c r="AS73" i="8"/>
  <c r="AZ73" i="8"/>
  <c r="F74" i="8"/>
  <c r="L74" i="8"/>
  <c r="R74" i="8"/>
  <c r="X74" i="8"/>
  <c r="AD74" i="8"/>
  <c r="AJ74" i="8"/>
  <c r="AQ74" i="8"/>
  <c r="AW74" i="8"/>
  <c r="E75" i="8"/>
  <c r="K75" i="8"/>
  <c r="Q75" i="8"/>
  <c r="W75" i="8"/>
  <c r="AC75" i="8"/>
  <c r="AI75" i="8"/>
  <c r="AP75" i="8"/>
  <c r="AV75" i="8"/>
  <c r="AX75" i="8" s="1"/>
  <c r="C76" i="8"/>
  <c r="I76" i="8"/>
  <c r="O76" i="8"/>
  <c r="U76" i="8"/>
  <c r="AA76" i="8"/>
  <c r="AG76" i="8"/>
  <c r="AN76" i="8"/>
  <c r="AT76" i="8"/>
  <c r="BA76" i="8"/>
  <c r="H77" i="8"/>
  <c r="N77" i="8"/>
  <c r="T77" i="8"/>
  <c r="Z77" i="8"/>
  <c r="AF77" i="8"/>
  <c r="AM77" i="8"/>
  <c r="AS77" i="8"/>
  <c r="AZ77" i="8"/>
  <c r="BB77" i="8" s="1"/>
  <c r="F78" i="8"/>
  <c r="L78" i="8"/>
  <c r="R78" i="8"/>
  <c r="X78" i="8"/>
  <c r="AD78" i="8"/>
  <c r="AJ78" i="8"/>
  <c r="AQ78" i="8"/>
  <c r="AW78" i="8"/>
  <c r="E79" i="8"/>
  <c r="K79" i="8"/>
  <c r="Q79" i="8"/>
  <c r="W79" i="8"/>
  <c r="AC79" i="8"/>
  <c r="AI79" i="8"/>
  <c r="AP79" i="8"/>
  <c r="AV79" i="8"/>
  <c r="AX79" i="8" s="1"/>
  <c r="C80" i="8"/>
  <c r="I80" i="8"/>
  <c r="O80" i="8"/>
  <c r="U80" i="8"/>
  <c r="AA80" i="8"/>
  <c r="AG80" i="8"/>
  <c r="AN80" i="8"/>
  <c r="AT80" i="8"/>
  <c r="BA80" i="8"/>
  <c r="H81" i="8"/>
  <c r="N81" i="8"/>
  <c r="T81" i="8"/>
  <c r="Z81" i="8"/>
  <c r="AF81" i="8"/>
  <c r="AM81" i="8"/>
  <c r="AS81" i="8"/>
  <c r="AZ81" i="8"/>
  <c r="BB81" i="8" s="1"/>
  <c r="F82" i="8"/>
  <c r="L82" i="8"/>
  <c r="R82" i="8"/>
  <c r="X82" i="8"/>
  <c r="AD82" i="8"/>
  <c r="AJ82" i="8"/>
  <c r="AQ82" i="8"/>
  <c r="AW82" i="8"/>
  <c r="E83" i="8"/>
  <c r="K83" i="8"/>
  <c r="Q83" i="8"/>
  <c r="W83" i="8"/>
  <c r="AC83" i="8"/>
  <c r="AI83" i="8"/>
  <c r="AP83" i="8"/>
  <c r="AV83" i="8"/>
  <c r="AX83" i="8" s="1"/>
  <c r="C84" i="8"/>
  <c r="I84" i="8"/>
  <c r="O84" i="8"/>
  <c r="U84" i="8"/>
  <c r="AA84" i="8"/>
  <c r="AG84" i="8"/>
  <c r="AN84" i="8"/>
  <c r="AT84" i="8"/>
  <c r="BA84" i="8"/>
  <c r="H85" i="8"/>
  <c r="N85" i="8"/>
  <c r="T85" i="8"/>
  <c r="Z85" i="8"/>
  <c r="AF85" i="8"/>
  <c r="AM85" i="8"/>
  <c r="AS85" i="8"/>
  <c r="AZ85" i="8"/>
  <c r="F86" i="8"/>
  <c r="L86" i="8"/>
  <c r="R86" i="8"/>
  <c r="X86" i="8"/>
  <c r="AD86" i="8"/>
  <c r="AJ86" i="8"/>
  <c r="AQ86" i="8"/>
  <c r="AW86" i="8"/>
  <c r="E87" i="8"/>
  <c r="K87" i="8"/>
  <c r="Q87" i="8"/>
  <c r="W87" i="8"/>
  <c r="AC87" i="8"/>
  <c r="AI87" i="8"/>
  <c r="AP87" i="8"/>
  <c r="AV87" i="8"/>
  <c r="AX87" i="8" s="1"/>
  <c r="C88" i="8"/>
  <c r="I88" i="8"/>
  <c r="O88" i="8"/>
  <c r="U88" i="8"/>
  <c r="AA88" i="8"/>
  <c r="AG88" i="8"/>
  <c r="AN88" i="8"/>
  <c r="AT88" i="8"/>
  <c r="BA88" i="8"/>
  <c r="H89" i="8"/>
  <c r="N89" i="8"/>
  <c r="T89" i="8"/>
  <c r="Z89" i="8"/>
  <c r="AF89" i="8"/>
  <c r="AM89" i="8"/>
  <c r="AS89" i="8"/>
  <c r="AZ89" i="8"/>
  <c r="F90" i="8"/>
  <c r="L90" i="8"/>
  <c r="R90" i="8"/>
  <c r="X90" i="8"/>
  <c r="AD90" i="8"/>
  <c r="AJ90" i="8"/>
  <c r="AQ90" i="8"/>
  <c r="AW90" i="8"/>
  <c r="E91" i="8"/>
  <c r="K91" i="8"/>
  <c r="Q91" i="8"/>
  <c r="W91" i="8"/>
  <c r="AC91" i="8"/>
  <c r="AI91" i="8"/>
  <c r="AP91" i="8"/>
  <c r="AV91" i="8"/>
  <c r="AX91" i="8" s="1"/>
  <c r="C92" i="8"/>
  <c r="I92" i="8"/>
  <c r="O92" i="8"/>
  <c r="U92" i="8"/>
  <c r="AA92" i="8"/>
  <c r="AG92" i="8"/>
  <c r="AN92" i="8"/>
  <c r="AT92" i="8"/>
  <c r="BA92" i="8"/>
  <c r="H93" i="8"/>
  <c r="N93" i="8"/>
  <c r="T93" i="8"/>
  <c r="Z93" i="8"/>
  <c r="AF93" i="8"/>
  <c r="AM93" i="8"/>
  <c r="AS93" i="8"/>
  <c r="AZ93" i="8"/>
  <c r="BB93" i="8" s="1"/>
  <c r="F94" i="8"/>
  <c r="L94" i="8"/>
  <c r="R94" i="8"/>
  <c r="X94" i="8"/>
  <c r="AD94" i="8"/>
  <c r="AJ94" i="8"/>
  <c r="AQ94" i="8"/>
  <c r="AW94" i="8"/>
  <c r="E95" i="8"/>
  <c r="K95" i="8"/>
  <c r="Q95" i="8"/>
  <c r="W95" i="8"/>
  <c r="AC95" i="8"/>
  <c r="AI95" i="8"/>
  <c r="AP95" i="8"/>
  <c r="AV95" i="8"/>
  <c r="AX95" i="8" s="1"/>
  <c r="C96" i="8"/>
  <c r="I96" i="8"/>
  <c r="O96" i="8"/>
  <c r="U96" i="8"/>
  <c r="AA96" i="8"/>
  <c r="AG96" i="8"/>
  <c r="AN96" i="8"/>
  <c r="AT96" i="8"/>
  <c r="BA96" i="8"/>
  <c r="H97" i="8"/>
  <c r="N97" i="8"/>
  <c r="T97" i="8"/>
  <c r="Z97" i="8"/>
  <c r="AF97" i="8"/>
  <c r="AM97" i="8"/>
  <c r="AS97" i="8"/>
  <c r="AZ97" i="8"/>
  <c r="F98" i="8"/>
  <c r="L98" i="8"/>
  <c r="R98" i="8"/>
  <c r="X98" i="8"/>
  <c r="AD98" i="8"/>
  <c r="AJ98" i="8"/>
  <c r="AQ98" i="8"/>
  <c r="AW98" i="8"/>
  <c r="E99" i="8"/>
  <c r="K99" i="8"/>
  <c r="Q99" i="8"/>
  <c r="W99" i="8"/>
  <c r="AC99" i="8"/>
  <c r="AI99" i="8"/>
  <c r="AP99" i="8"/>
  <c r="AV99" i="8"/>
  <c r="AX99" i="8" s="1"/>
  <c r="C100" i="8"/>
  <c r="I100" i="8"/>
  <c r="O100" i="8"/>
  <c r="U100" i="8"/>
  <c r="AA100" i="8"/>
  <c r="AB100" i="8" s="1"/>
  <c r="AG100" i="8"/>
  <c r="AN100" i="8"/>
  <c r="AT100" i="8"/>
  <c r="BA100" i="8"/>
  <c r="H101" i="8"/>
  <c r="N101" i="8"/>
  <c r="T101" i="8"/>
  <c r="Z101" i="8"/>
  <c r="AF101" i="8"/>
  <c r="AM101" i="8"/>
  <c r="AS101" i="8"/>
  <c r="AZ101" i="8"/>
  <c r="F102" i="8"/>
  <c r="L102" i="8"/>
  <c r="R102" i="8"/>
  <c r="X102" i="8"/>
  <c r="AD102" i="8"/>
  <c r="AJ102" i="8"/>
  <c r="AQ102" i="8"/>
  <c r="AW102" i="8"/>
  <c r="E103" i="8"/>
  <c r="K103" i="8"/>
  <c r="Q103" i="8"/>
  <c r="W103" i="8"/>
  <c r="AC103" i="8"/>
  <c r="AI103" i="8"/>
  <c r="AP103" i="8"/>
  <c r="AV103" i="8"/>
  <c r="AX103" i="8" s="1"/>
  <c r="C104" i="8"/>
  <c r="I104" i="8"/>
  <c r="O104" i="8"/>
  <c r="U104" i="8"/>
  <c r="AA104" i="8"/>
  <c r="AG104" i="8"/>
  <c r="AN104" i="8"/>
  <c r="AT104" i="8"/>
  <c r="BA104" i="8"/>
  <c r="H105" i="8"/>
  <c r="N105" i="8"/>
  <c r="T105" i="8"/>
  <c r="Z105" i="8"/>
  <c r="AF105" i="8"/>
  <c r="AM105" i="8"/>
  <c r="AS105" i="8"/>
  <c r="AZ105" i="8"/>
  <c r="F106" i="8"/>
  <c r="L106" i="8"/>
  <c r="R106" i="8"/>
  <c r="X106" i="8"/>
  <c r="AD106" i="8"/>
  <c r="AJ106" i="8"/>
  <c r="AQ106" i="8"/>
  <c r="AW106" i="8"/>
  <c r="E107" i="8"/>
  <c r="K107" i="8"/>
  <c r="Q107" i="8"/>
  <c r="W107" i="8"/>
  <c r="AC107" i="8"/>
  <c r="AI107" i="8"/>
  <c r="AP107" i="8"/>
  <c r="AV107" i="8"/>
  <c r="AX107" i="8" s="1"/>
  <c r="C108" i="8"/>
  <c r="I108" i="8"/>
  <c r="O108" i="8"/>
  <c r="U108" i="8"/>
  <c r="AA108" i="8"/>
  <c r="AG108" i="8"/>
  <c r="AN108" i="8"/>
  <c r="AT108" i="8"/>
  <c r="BA108" i="8"/>
  <c r="H109" i="8"/>
  <c r="N109" i="8"/>
  <c r="T109" i="8"/>
  <c r="Z109" i="8"/>
  <c r="AF109" i="8"/>
  <c r="AM109" i="8"/>
  <c r="AS109" i="8"/>
  <c r="AZ109" i="8"/>
  <c r="F110" i="8"/>
  <c r="L110" i="8"/>
  <c r="R110" i="8"/>
  <c r="X110" i="8"/>
  <c r="AD110" i="8"/>
  <c r="AJ110" i="8"/>
  <c r="AQ110" i="8"/>
  <c r="AW110" i="8"/>
  <c r="E111" i="8"/>
  <c r="K111" i="8"/>
  <c r="Q111" i="8"/>
  <c r="W111" i="8"/>
  <c r="AC111" i="8"/>
  <c r="AI111" i="8"/>
  <c r="AP111" i="8"/>
  <c r="AV111" i="8"/>
  <c r="AX111" i="8" s="1"/>
  <c r="C112" i="8"/>
  <c r="I112" i="8"/>
  <c r="O112" i="8"/>
  <c r="U112" i="8"/>
  <c r="AA112" i="8"/>
  <c r="AG112" i="8"/>
  <c r="AN112" i="8"/>
  <c r="AT112" i="8"/>
  <c r="BA112" i="8"/>
  <c r="H113" i="8"/>
  <c r="N113" i="8"/>
  <c r="T113" i="8"/>
  <c r="Z113" i="8"/>
  <c r="AF113" i="8"/>
  <c r="AM113" i="8"/>
  <c r="AS113" i="8"/>
  <c r="AZ113" i="8"/>
  <c r="F114" i="8"/>
  <c r="L114" i="8"/>
  <c r="R114" i="8"/>
  <c r="X114" i="8"/>
  <c r="AD114" i="8"/>
  <c r="AJ114" i="8"/>
  <c r="AQ114" i="8"/>
  <c r="AW114" i="8"/>
  <c r="E115" i="8"/>
  <c r="K115" i="8"/>
  <c r="Q115" i="8"/>
  <c r="W115" i="8"/>
  <c r="AC115" i="8"/>
  <c r="AI115" i="8"/>
  <c r="AP115" i="8"/>
  <c r="AV115" i="8"/>
  <c r="AX115" i="8" s="1"/>
  <c r="C116" i="8"/>
  <c r="I116" i="8"/>
  <c r="O116" i="8"/>
  <c r="U116" i="8"/>
  <c r="AA116" i="8"/>
  <c r="AG116" i="8"/>
  <c r="AN116" i="8"/>
  <c r="AT116" i="8"/>
  <c r="BA116" i="8"/>
  <c r="H117" i="8"/>
  <c r="N117" i="8"/>
  <c r="T117" i="8"/>
  <c r="Z117" i="8"/>
  <c r="AF117" i="8"/>
  <c r="AM117" i="8"/>
  <c r="AS117" i="8"/>
  <c r="AZ117" i="8"/>
  <c r="F118" i="8"/>
  <c r="L118" i="8"/>
  <c r="R118" i="8"/>
  <c r="X118" i="8"/>
  <c r="AD118" i="8"/>
  <c r="AJ118" i="8"/>
  <c r="AQ118" i="8"/>
  <c r="AW118" i="8"/>
  <c r="E119" i="8"/>
  <c r="K119" i="8"/>
  <c r="Q119" i="8"/>
  <c r="W119" i="8"/>
  <c r="AC119" i="8"/>
  <c r="AI119" i="8"/>
  <c r="AP119" i="8"/>
  <c r="AV119" i="8"/>
  <c r="AX119" i="8" s="1"/>
  <c r="C120" i="8"/>
  <c r="I120" i="8"/>
  <c r="O120" i="8"/>
  <c r="U120" i="8"/>
  <c r="AA120" i="8"/>
  <c r="AG120" i="8"/>
  <c r="AN120" i="8"/>
  <c r="AT120" i="8"/>
  <c r="BA120" i="8"/>
  <c r="H121" i="8"/>
  <c r="N121" i="8"/>
  <c r="T121" i="8"/>
  <c r="Z121" i="8"/>
  <c r="AF121" i="8"/>
  <c r="AM121" i="8"/>
  <c r="AS121" i="8"/>
  <c r="AZ121" i="8"/>
  <c r="F122" i="8"/>
  <c r="L122" i="8"/>
  <c r="R122" i="8"/>
  <c r="X122" i="8"/>
  <c r="AD122" i="8"/>
  <c r="AJ122" i="8"/>
  <c r="AQ122" i="8"/>
  <c r="AW122" i="8"/>
  <c r="E123" i="8"/>
  <c r="K123" i="8"/>
  <c r="Q123" i="8"/>
  <c r="W123" i="8"/>
  <c r="AC123" i="8"/>
  <c r="AI123" i="8"/>
  <c r="AP123" i="8"/>
  <c r="AV123" i="8"/>
  <c r="AX123" i="8" s="1"/>
  <c r="C124" i="8"/>
  <c r="I124" i="8"/>
  <c r="O124" i="8"/>
  <c r="U124" i="8"/>
  <c r="AA124" i="8"/>
  <c r="AG124" i="8"/>
  <c r="AN124" i="8"/>
  <c r="AT124" i="8"/>
  <c r="BA124" i="8"/>
  <c r="H125" i="8"/>
  <c r="N125" i="8"/>
  <c r="T125" i="8"/>
  <c r="Z125" i="8"/>
  <c r="AF125" i="8"/>
  <c r="AM125" i="8"/>
  <c r="AS125" i="8"/>
  <c r="AZ125" i="8"/>
  <c r="F126" i="8"/>
  <c r="L126" i="8"/>
  <c r="R126" i="8"/>
  <c r="X126" i="8"/>
  <c r="AD126" i="8"/>
  <c r="AJ126" i="8"/>
  <c r="AQ126" i="8"/>
  <c r="AW126" i="8"/>
  <c r="E127" i="8"/>
  <c r="K127" i="8"/>
  <c r="Q127" i="8"/>
  <c r="W127" i="8"/>
  <c r="AC127" i="8"/>
  <c r="AI127" i="8"/>
  <c r="AP127" i="8"/>
  <c r="AV127" i="8"/>
  <c r="AX127" i="8" s="1"/>
  <c r="C128" i="8"/>
  <c r="I128" i="8"/>
  <c r="O128" i="8"/>
  <c r="U128" i="8"/>
  <c r="AA128" i="8"/>
  <c r="AG128" i="8"/>
  <c r="AN128" i="8"/>
  <c r="AT128" i="8"/>
  <c r="BA128" i="8"/>
  <c r="H129" i="8"/>
  <c r="N129" i="8"/>
  <c r="T129" i="8"/>
  <c r="Z129" i="8"/>
  <c r="AF129" i="8"/>
  <c r="AM129" i="8"/>
  <c r="AS129" i="8"/>
  <c r="AZ129" i="8"/>
  <c r="F130" i="8"/>
  <c r="L130" i="8"/>
  <c r="R130" i="8"/>
  <c r="X130" i="8"/>
  <c r="AD130" i="8"/>
  <c r="AJ130" i="8"/>
  <c r="AQ130" i="8"/>
  <c r="AW130" i="8"/>
  <c r="E131" i="8"/>
  <c r="K131" i="8"/>
  <c r="Q131" i="8"/>
  <c r="W131" i="8"/>
  <c r="AC131" i="8"/>
  <c r="AI131" i="8"/>
  <c r="AP131" i="8"/>
  <c r="AV131" i="8"/>
  <c r="AX131" i="8" s="1"/>
  <c r="C132" i="8"/>
  <c r="I132" i="8"/>
  <c r="O132" i="8"/>
  <c r="U132" i="8"/>
  <c r="AA132" i="8"/>
  <c r="AG132" i="8"/>
  <c r="AN132" i="8"/>
  <c r="AT132" i="8"/>
  <c r="BA132" i="8"/>
  <c r="H133" i="8"/>
  <c r="N133" i="8"/>
  <c r="T133" i="8"/>
  <c r="Z133" i="8"/>
  <c r="AF133" i="8"/>
  <c r="AM133" i="8"/>
  <c r="AS133" i="8"/>
  <c r="AZ133" i="8"/>
  <c r="F134" i="8"/>
  <c r="L134" i="8"/>
  <c r="R134" i="8"/>
  <c r="X134" i="8"/>
  <c r="AD134" i="8"/>
  <c r="AJ134" i="8"/>
  <c r="AQ134" i="8"/>
  <c r="AW134" i="8"/>
  <c r="E135" i="8"/>
  <c r="K135" i="8"/>
  <c r="Q135" i="8"/>
  <c r="W135" i="8"/>
  <c r="AC135" i="8"/>
  <c r="AI135" i="8"/>
  <c r="AP135" i="8"/>
  <c r="AV135" i="8"/>
  <c r="AX135" i="8" s="1"/>
  <c r="C136" i="8"/>
  <c r="I136" i="8"/>
  <c r="O136" i="8"/>
  <c r="U136" i="8"/>
  <c r="AA136" i="8"/>
  <c r="AG136" i="8"/>
  <c r="AN136" i="8"/>
  <c r="AT136" i="8"/>
  <c r="BA136" i="8"/>
  <c r="H137" i="8"/>
  <c r="N137" i="8"/>
  <c r="T137" i="8"/>
  <c r="Z137" i="8"/>
  <c r="AF137" i="8"/>
  <c r="AM137" i="8"/>
  <c r="AS137" i="8"/>
  <c r="AZ137" i="8"/>
  <c r="F138" i="8"/>
  <c r="L138" i="8"/>
  <c r="R138" i="8"/>
  <c r="X138" i="8"/>
  <c r="AD138" i="8"/>
  <c r="AJ138" i="8"/>
  <c r="AQ138" i="8"/>
  <c r="AW138" i="8"/>
  <c r="E139" i="8"/>
  <c r="K139" i="8"/>
  <c r="Q139" i="8"/>
  <c r="W139" i="8"/>
  <c r="AC139" i="8"/>
  <c r="AI139" i="8"/>
  <c r="AP139" i="8"/>
  <c r="AV139" i="8"/>
  <c r="AX139" i="8" s="1"/>
  <c r="C140" i="8"/>
  <c r="I140" i="8"/>
  <c r="O140" i="8"/>
  <c r="U140" i="8"/>
  <c r="AA140" i="8"/>
  <c r="AG140" i="8"/>
  <c r="AN140" i="8"/>
  <c r="AT140" i="8"/>
  <c r="BA140" i="8"/>
  <c r="H141" i="8"/>
  <c r="N141" i="8"/>
  <c r="T141" i="8"/>
  <c r="Z141" i="8"/>
  <c r="AF141" i="8"/>
  <c r="AM141" i="8"/>
  <c r="AS141" i="8"/>
  <c r="AZ141" i="8"/>
  <c r="F142" i="8"/>
  <c r="L142" i="8"/>
  <c r="R142" i="8"/>
  <c r="X142" i="8"/>
  <c r="AD142" i="8"/>
  <c r="AJ142" i="8"/>
  <c r="AQ142" i="8"/>
  <c r="AW142" i="8"/>
  <c r="E143" i="8"/>
  <c r="K143" i="8"/>
  <c r="Q143" i="8"/>
  <c r="W143" i="8"/>
  <c r="AC143" i="8"/>
  <c r="AI143" i="8"/>
  <c r="AP143" i="8"/>
  <c r="AV143" i="8"/>
  <c r="AX143" i="8" s="1"/>
  <c r="C144" i="8"/>
  <c r="I144" i="8"/>
  <c r="O144" i="8"/>
  <c r="U144" i="8"/>
  <c r="AA144" i="8"/>
  <c r="AG144" i="8"/>
  <c r="AN144" i="8"/>
  <c r="AT144" i="8"/>
  <c r="BA144" i="8"/>
  <c r="H145" i="8"/>
  <c r="N145" i="8"/>
  <c r="T145" i="8"/>
  <c r="Z145" i="8"/>
  <c r="AF145" i="8"/>
  <c r="AM145" i="8"/>
  <c r="AS145" i="8"/>
  <c r="AZ145" i="8"/>
  <c r="F146" i="8"/>
  <c r="L146" i="8"/>
  <c r="R146" i="8"/>
  <c r="X146" i="8"/>
  <c r="AD146" i="8"/>
  <c r="AJ146" i="8"/>
  <c r="AQ146" i="8"/>
  <c r="AW146" i="8"/>
  <c r="E147" i="8"/>
  <c r="K147" i="8"/>
  <c r="Q147" i="8"/>
  <c r="W147" i="8"/>
  <c r="AC147" i="8"/>
  <c r="AI147" i="8"/>
  <c r="AP147" i="8"/>
  <c r="AV147" i="8"/>
  <c r="AX147" i="8" s="1"/>
  <c r="C148" i="8"/>
  <c r="I148" i="8"/>
  <c r="O148" i="8"/>
  <c r="U148" i="8"/>
  <c r="AA148" i="8"/>
  <c r="AG148" i="8"/>
  <c r="AN148" i="8"/>
  <c r="AT148" i="8"/>
  <c r="BA148" i="8"/>
  <c r="H149" i="8"/>
  <c r="N149" i="8"/>
  <c r="T149" i="8"/>
  <c r="Z149" i="8"/>
  <c r="AF149" i="8"/>
  <c r="AM149" i="8"/>
  <c r="AS149" i="8"/>
  <c r="AZ149" i="8"/>
  <c r="F150" i="8"/>
  <c r="L150" i="8"/>
  <c r="R150" i="8"/>
  <c r="X150" i="8"/>
  <c r="AD150" i="8"/>
  <c r="AJ150" i="8"/>
  <c r="AQ150" i="8"/>
  <c r="AW150" i="8"/>
  <c r="E151" i="8"/>
  <c r="K151" i="8"/>
  <c r="Q151" i="8"/>
  <c r="W151" i="8"/>
  <c r="AC151" i="8"/>
  <c r="AI151" i="8"/>
  <c r="AP151" i="8"/>
  <c r="AV151" i="8"/>
  <c r="AX151" i="8" s="1"/>
  <c r="C152" i="8"/>
  <c r="I152" i="8"/>
  <c r="O152" i="8"/>
  <c r="U152" i="8"/>
  <c r="AA152" i="8"/>
  <c r="AG152" i="8"/>
  <c r="AN152" i="8"/>
  <c r="AT152" i="8"/>
  <c r="BA152" i="8"/>
  <c r="H153" i="8"/>
  <c r="N153" i="8"/>
  <c r="T153" i="8"/>
  <c r="Z153" i="8"/>
  <c r="AF153" i="8"/>
  <c r="AM153" i="8"/>
  <c r="AS153" i="8"/>
  <c r="AZ153" i="8"/>
  <c r="F154" i="8"/>
  <c r="L154" i="8"/>
  <c r="R154" i="8"/>
  <c r="X154" i="8"/>
  <c r="AD154" i="8"/>
  <c r="AJ154" i="8"/>
  <c r="AQ154" i="8"/>
  <c r="AW154" i="8"/>
  <c r="E155" i="8"/>
  <c r="K155" i="8"/>
  <c r="Q155" i="8"/>
  <c r="W155" i="8"/>
  <c r="AC155" i="8"/>
  <c r="AI155" i="8"/>
  <c r="AP155" i="8"/>
  <c r="AV155" i="8"/>
  <c r="AX155" i="8" s="1"/>
  <c r="C156" i="8"/>
  <c r="I156" i="8"/>
  <c r="O156" i="8"/>
  <c r="U156" i="8"/>
  <c r="AA156" i="8"/>
  <c r="AG156" i="8"/>
  <c r="AN156" i="8"/>
  <c r="AT156" i="8"/>
  <c r="BA156" i="8"/>
  <c r="H157" i="8"/>
  <c r="N157" i="8"/>
  <c r="T157" i="8"/>
  <c r="Z157" i="8"/>
  <c r="AF157" i="8"/>
  <c r="AM157" i="8"/>
  <c r="AS157" i="8"/>
  <c r="AZ157" i="8"/>
  <c r="F158" i="8"/>
  <c r="L158" i="8"/>
  <c r="R158" i="8"/>
  <c r="X158" i="8"/>
  <c r="AD158" i="8"/>
  <c r="AJ158" i="8"/>
  <c r="AQ158" i="8"/>
  <c r="AW158" i="8"/>
  <c r="E159" i="8"/>
  <c r="K159" i="8"/>
  <c r="Q159" i="8"/>
  <c r="W159" i="8"/>
  <c r="AC159" i="8"/>
  <c r="AI159" i="8"/>
  <c r="AP159" i="8"/>
  <c r="AV159" i="8"/>
  <c r="AX159" i="8" s="1"/>
  <c r="C160" i="8"/>
  <c r="I160" i="8"/>
  <c r="O160" i="8"/>
  <c r="U160" i="8"/>
  <c r="AA160" i="8"/>
  <c r="AG160" i="8"/>
  <c r="AN160" i="8"/>
  <c r="AT160" i="8"/>
  <c r="BA160" i="8"/>
  <c r="H161" i="8"/>
  <c r="N161" i="8"/>
  <c r="T161" i="8"/>
  <c r="Z161" i="8"/>
  <c r="AF161" i="8"/>
  <c r="AM161" i="8"/>
  <c r="AS161" i="8"/>
  <c r="AZ161" i="8"/>
  <c r="F162" i="8"/>
  <c r="L162" i="8"/>
  <c r="R162" i="8"/>
  <c r="X162" i="8"/>
  <c r="AD162" i="8"/>
  <c r="AJ162" i="8"/>
  <c r="AQ162" i="8"/>
  <c r="AW162" i="8"/>
  <c r="E163" i="8"/>
  <c r="K163" i="8"/>
  <c r="Q163" i="8"/>
  <c r="W163" i="8"/>
  <c r="AC163" i="8"/>
  <c r="AI163" i="8"/>
  <c r="AP163" i="8"/>
  <c r="AV163" i="8"/>
  <c r="AX163" i="8" s="1"/>
  <c r="C164" i="8"/>
  <c r="I164" i="8"/>
  <c r="O164" i="8"/>
  <c r="U164" i="8"/>
  <c r="AA164" i="8"/>
  <c r="AG164" i="8"/>
  <c r="AN164" i="8"/>
  <c r="AT164" i="8"/>
  <c r="BA164" i="8"/>
  <c r="H165" i="8"/>
  <c r="N165" i="8"/>
  <c r="T165" i="8"/>
  <c r="Z165" i="8"/>
  <c r="AF165" i="8"/>
  <c r="AM165" i="8"/>
  <c r="AS165" i="8"/>
  <c r="AZ165" i="8"/>
  <c r="F166" i="8"/>
  <c r="L166" i="8"/>
  <c r="R166" i="8"/>
  <c r="X166" i="8"/>
  <c r="AD166" i="8"/>
  <c r="AJ166" i="8"/>
  <c r="AQ166" i="8"/>
  <c r="AW166" i="8"/>
  <c r="E167" i="8"/>
  <c r="K167" i="8"/>
  <c r="Q167" i="8"/>
  <c r="W167" i="8"/>
  <c r="AC167" i="8"/>
  <c r="AI167" i="8"/>
  <c r="AP167" i="8"/>
  <c r="AV167" i="8"/>
  <c r="AX167" i="8" s="1"/>
  <c r="C168" i="8"/>
  <c r="I168" i="8"/>
  <c r="O168" i="8"/>
  <c r="U168" i="8"/>
  <c r="AA168" i="8"/>
  <c r="AG168" i="8"/>
  <c r="AN168" i="8"/>
  <c r="AT168" i="8"/>
  <c r="BA168" i="8"/>
  <c r="H169" i="8"/>
  <c r="N169" i="8"/>
  <c r="T169" i="8"/>
  <c r="Z169" i="8"/>
  <c r="AF169" i="8"/>
  <c r="AM169" i="8"/>
  <c r="AS169" i="8"/>
  <c r="AZ169" i="8"/>
  <c r="F170" i="8"/>
  <c r="L170" i="8"/>
  <c r="R170" i="8"/>
  <c r="X170" i="8"/>
  <c r="AD170" i="8"/>
  <c r="AJ170" i="8"/>
  <c r="AQ170" i="8"/>
  <c r="AW170" i="8"/>
  <c r="E171" i="8"/>
  <c r="K171" i="8"/>
  <c r="Q171" i="8"/>
  <c r="W171" i="8"/>
  <c r="AC171" i="8"/>
  <c r="AI171" i="8"/>
  <c r="AP171" i="8"/>
  <c r="AV171" i="8"/>
  <c r="AX171" i="8" s="1"/>
  <c r="C172" i="8"/>
  <c r="I172" i="8"/>
  <c r="O172" i="8"/>
  <c r="U172" i="8"/>
  <c r="AA172" i="8"/>
  <c r="AG172" i="8"/>
  <c r="AN172" i="8"/>
  <c r="AT172" i="8"/>
  <c r="BA172" i="8"/>
  <c r="B170" i="8"/>
  <c r="B166" i="8"/>
  <c r="D166" i="8" s="1"/>
  <c r="B162" i="8"/>
  <c r="B158" i="8"/>
  <c r="B154" i="8"/>
  <c r="B150" i="8"/>
  <c r="D150" i="8" s="1"/>
  <c r="B146" i="8"/>
  <c r="B142" i="8"/>
  <c r="B138" i="8"/>
  <c r="B134" i="8"/>
  <c r="D134" i="8" s="1"/>
  <c r="B130" i="8"/>
  <c r="B126" i="8"/>
  <c r="B122" i="8"/>
  <c r="B118" i="8"/>
  <c r="D118" i="8" s="1"/>
  <c r="B114" i="8"/>
  <c r="B110" i="8"/>
  <c r="B106" i="8"/>
  <c r="B102" i="8"/>
  <c r="D102" i="8" s="1"/>
  <c r="B98" i="8"/>
  <c r="B94" i="8"/>
  <c r="B90" i="8"/>
  <c r="B86" i="8"/>
  <c r="D86" i="8" s="1"/>
  <c r="B82" i="8"/>
  <c r="B78" i="8"/>
  <c r="D78" i="8" s="1"/>
  <c r="B74" i="8"/>
  <c r="B70" i="8"/>
  <c r="B66" i="8"/>
  <c r="B62" i="8"/>
  <c r="B58" i="8"/>
  <c r="B54" i="8"/>
  <c r="D54" i="8" s="1"/>
  <c r="B50" i="8"/>
  <c r="B46" i="8"/>
  <c r="D46" i="8" s="1"/>
  <c r="B42" i="8"/>
  <c r="B38" i="8"/>
  <c r="B34" i="8"/>
  <c r="B30" i="8"/>
  <c r="B26" i="8"/>
  <c r="B22" i="8"/>
  <c r="D22" i="8" s="1"/>
  <c r="B18" i="8"/>
  <c r="D18" i="8" s="1"/>
  <c r="B14" i="8"/>
  <c r="B10" i="8"/>
  <c r="D10" i="8" s="1"/>
  <c r="B6" i="8"/>
  <c r="E3" i="8"/>
  <c r="K3" i="8"/>
  <c r="Q3" i="8"/>
  <c r="U20" i="8"/>
  <c r="AC3" i="8"/>
  <c r="AG3" i="8"/>
  <c r="AN3" i="8"/>
  <c r="AT3" i="8"/>
  <c r="BA3" i="8"/>
  <c r="H4" i="8"/>
  <c r="N4" i="8"/>
  <c r="T4" i="8"/>
  <c r="Z4" i="8"/>
  <c r="AG4" i="8"/>
  <c r="AN4" i="8"/>
  <c r="AT4" i="8"/>
  <c r="H5" i="8"/>
  <c r="N5" i="8"/>
  <c r="T5" i="8"/>
  <c r="Z5" i="8"/>
  <c r="AB5" i="8" s="1"/>
  <c r="AF5" i="8"/>
  <c r="AM5" i="8"/>
  <c r="AO5" i="8" s="1"/>
  <c r="AS5" i="8"/>
  <c r="F6" i="8"/>
  <c r="L6" i="8"/>
  <c r="R6" i="8"/>
  <c r="X6" i="8"/>
  <c r="AD6" i="8"/>
  <c r="AJ6" i="8"/>
  <c r="AQ6" i="8"/>
  <c r="E7" i="8"/>
  <c r="K7" i="8"/>
  <c r="Q7" i="8"/>
  <c r="W7" i="8"/>
  <c r="AC7" i="8"/>
  <c r="AI7" i="8"/>
  <c r="AP7" i="8"/>
  <c r="C8" i="8"/>
  <c r="I8" i="8"/>
  <c r="O8" i="8"/>
  <c r="U8" i="8"/>
  <c r="AA8" i="8"/>
  <c r="AG8" i="8"/>
  <c r="AN8" i="8"/>
  <c r="AT8" i="8"/>
  <c r="H9" i="8"/>
  <c r="N9" i="8"/>
  <c r="T9" i="8"/>
  <c r="Z9" i="8"/>
  <c r="AF9" i="8"/>
  <c r="AM9" i="8"/>
  <c r="AS9" i="8"/>
  <c r="AU9" i="8" s="1"/>
  <c r="F10" i="8"/>
  <c r="L10" i="8"/>
  <c r="R10" i="8"/>
  <c r="X10" i="8"/>
  <c r="AD10" i="8"/>
  <c r="AJ10" i="8"/>
  <c r="AQ10" i="8"/>
  <c r="E11" i="8"/>
  <c r="K11" i="8"/>
  <c r="Q11" i="8"/>
  <c r="W11" i="8"/>
  <c r="AC11" i="8"/>
  <c r="AI11" i="8"/>
  <c r="AP11" i="8"/>
  <c r="C12" i="8"/>
  <c r="I12" i="8"/>
  <c r="O12" i="8"/>
  <c r="U12" i="8"/>
  <c r="AA12" i="8"/>
  <c r="AG12" i="8"/>
  <c r="AN12" i="8"/>
  <c r="AT12" i="8"/>
  <c r="H13" i="8"/>
  <c r="N13" i="8"/>
  <c r="P13" i="8" s="1"/>
  <c r="T13" i="8"/>
  <c r="Z13" i="8"/>
  <c r="AF13" i="8"/>
  <c r="AH13" i="8" s="1"/>
  <c r="AM13" i="8"/>
  <c r="AO13" i="8" s="1"/>
  <c r="AS13" i="8"/>
  <c r="F14" i="8"/>
  <c r="L14" i="8"/>
  <c r="R14" i="8"/>
  <c r="X14" i="8"/>
  <c r="AD14" i="8"/>
  <c r="AJ14" i="8"/>
  <c r="AQ14" i="8"/>
  <c r="E15" i="8"/>
  <c r="K15" i="8"/>
  <c r="Q15" i="8"/>
  <c r="W15" i="8"/>
  <c r="AC15" i="8"/>
  <c r="AI15" i="8"/>
  <c r="AP15" i="8"/>
  <c r="C16" i="8"/>
  <c r="I16" i="8"/>
  <c r="O16" i="8"/>
  <c r="U16" i="8"/>
  <c r="AA16" i="8"/>
  <c r="AG16" i="8"/>
  <c r="AN16" i="8"/>
  <c r="AT16" i="8"/>
  <c r="H17" i="8"/>
  <c r="J17" i="8" s="1"/>
  <c r="N17" i="8"/>
  <c r="T17" i="8"/>
  <c r="V17" i="8" s="1"/>
  <c r="Z17" i="8"/>
  <c r="AB17" i="8" s="1"/>
  <c r="AF17" i="8"/>
  <c r="AM17" i="8"/>
  <c r="AS17" i="8"/>
  <c r="F18" i="8"/>
  <c r="L18" i="8"/>
  <c r="R18" i="8"/>
  <c r="X18" i="8"/>
  <c r="AD18" i="8"/>
  <c r="AJ18" i="8"/>
  <c r="AQ18" i="8"/>
  <c r="E19" i="8"/>
  <c r="K19" i="8"/>
  <c r="Q19" i="8"/>
  <c r="W19" i="8"/>
  <c r="AC19" i="8"/>
  <c r="AI19" i="8"/>
  <c r="AP19" i="8"/>
  <c r="C20" i="8"/>
  <c r="I20" i="8"/>
  <c r="O20" i="8"/>
  <c r="W20" i="8"/>
  <c r="Y20" i="8" s="1"/>
  <c r="AC20" i="8"/>
  <c r="AI20" i="8"/>
  <c r="AP20" i="8"/>
  <c r="AR20" i="8" s="1"/>
  <c r="C21" i="8"/>
  <c r="I21" i="8"/>
  <c r="O21" i="8"/>
  <c r="U21" i="8"/>
  <c r="AA21" i="8"/>
  <c r="AG21" i="8"/>
  <c r="AN21" i="8"/>
  <c r="AT21" i="8"/>
  <c r="H22" i="8"/>
  <c r="J22" i="8" s="1"/>
  <c r="N22" i="8"/>
  <c r="P22" i="8" s="1"/>
  <c r="T22" i="8"/>
  <c r="V22" i="8" s="1"/>
  <c r="Z22" i="8"/>
  <c r="AB22" i="8" s="1"/>
  <c r="AF22" i="8"/>
  <c r="AH22" i="8" s="1"/>
  <c r="AM22" i="8"/>
  <c r="AO22" i="8" s="1"/>
  <c r="AS22" i="8"/>
  <c r="AU22" i="8" s="1"/>
  <c r="F23" i="8"/>
  <c r="L23" i="8"/>
  <c r="R23" i="8"/>
  <c r="X23" i="8"/>
  <c r="AD23" i="8"/>
  <c r="AJ23" i="8"/>
  <c r="AQ23" i="8"/>
  <c r="E24" i="8"/>
  <c r="K24" i="8"/>
  <c r="Q24" i="8"/>
  <c r="W24" i="8"/>
  <c r="AC24" i="8"/>
  <c r="AI24" i="8"/>
  <c r="AP24" i="8"/>
  <c r="C25" i="8"/>
  <c r="I25" i="8"/>
  <c r="O25" i="8"/>
  <c r="U25" i="8"/>
  <c r="AA25" i="8"/>
  <c r="AG25" i="8"/>
  <c r="AN25" i="8"/>
  <c r="AT25" i="8"/>
  <c r="H26" i="8"/>
  <c r="J26" i="8" s="1"/>
  <c r="N26" i="8"/>
  <c r="P26" i="8" s="1"/>
  <c r="T26" i="8"/>
  <c r="V26" i="8" s="1"/>
  <c r="Z26" i="8"/>
  <c r="AB26" i="8" s="1"/>
  <c r="AF26" i="8"/>
  <c r="AH26" i="8" s="1"/>
  <c r="AM26" i="8"/>
  <c r="AO26" i="8" s="1"/>
  <c r="AS26" i="8"/>
  <c r="AU26" i="8" s="1"/>
  <c r="F27" i="8"/>
  <c r="L27" i="8"/>
  <c r="R27" i="8"/>
  <c r="X27" i="8"/>
  <c r="AD27" i="8"/>
  <c r="AJ27" i="8"/>
  <c r="AQ27" i="8"/>
  <c r="E28" i="8"/>
  <c r="G28" i="8" s="1"/>
  <c r="K28" i="8"/>
  <c r="Q28" i="8"/>
  <c r="W28" i="8"/>
  <c r="AC28" i="8"/>
  <c r="AI28" i="8"/>
  <c r="AP28" i="8"/>
  <c r="C29" i="8"/>
  <c r="I29" i="8"/>
  <c r="O29" i="8"/>
  <c r="U29" i="8"/>
  <c r="AA29" i="8"/>
  <c r="AG29" i="8"/>
  <c r="AN29" i="8"/>
  <c r="AT29" i="8"/>
  <c r="H30" i="8"/>
  <c r="J30" i="8" s="1"/>
  <c r="N30" i="8"/>
  <c r="P30" i="8" s="1"/>
  <c r="T30" i="8"/>
  <c r="V30" i="8" s="1"/>
  <c r="Z30" i="8"/>
  <c r="AB30" i="8" s="1"/>
  <c r="AF30" i="8"/>
  <c r="AH30" i="8" s="1"/>
  <c r="AM30" i="8"/>
  <c r="AS30" i="8"/>
  <c r="AU30" i="8" s="1"/>
  <c r="F31" i="8"/>
  <c r="L31" i="8"/>
  <c r="R31" i="8"/>
  <c r="X31" i="8"/>
  <c r="Y31" i="8" s="1"/>
  <c r="AD31" i="8"/>
  <c r="AJ31" i="8"/>
  <c r="AQ31" i="8"/>
  <c r="E32" i="8"/>
  <c r="K32" i="8"/>
  <c r="Q32" i="8"/>
  <c r="W32" i="8"/>
  <c r="AC32" i="8"/>
  <c r="AI32" i="8"/>
  <c r="AP32" i="8"/>
  <c r="C33" i="8"/>
  <c r="I33" i="8"/>
  <c r="O33" i="8"/>
  <c r="U33" i="8"/>
  <c r="AA33" i="8"/>
  <c r="AG33" i="8"/>
  <c r="AN33" i="8"/>
  <c r="AT33" i="8"/>
  <c r="H34" i="8"/>
  <c r="J34" i="8" s="1"/>
  <c r="N34" i="8"/>
  <c r="P34" i="8" s="1"/>
  <c r="T34" i="8"/>
  <c r="V34" i="8" s="1"/>
  <c r="Z34" i="8"/>
  <c r="AB34" i="8" s="1"/>
  <c r="AF34" i="8"/>
  <c r="AH34" i="8" s="1"/>
  <c r="AM34" i="8"/>
  <c r="AO34" i="8" s="1"/>
  <c r="AS34" i="8"/>
  <c r="AU34" i="8" s="1"/>
  <c r="F35" i="8"/>
  <c r="L35" i="8"/>
  <c r="R35" i="8"/>
  <c r="X35" i="8"/>
  <c r="AD35" i="8"/>
  <c r="AJ35" i="8"/>
  <c r="AQ35" i="8"/>
  <c r="AR35" i="8" s="1"/>
  <c r="E36" i="8"/>
  <c r="K36" i="8"/>
  <c r="Q36" i="8"/>
  <c r="W36" i="8"/>
  <c r="Y36" i="8" s="1"/>
  <c r="AC36" i="8"/>
  <c r="AI36" i="8"/>
  <c r="AP36" i="8"/>
  <c r="C37" i="8"/>
  <c r="I37" i="8"/>
  <c r="O37" i="8"/>
  <c r="U37" i="8"/>
  <c r="AA37" i="8"/>
  <c r="AG37" i="8"/>
  <c r="AN37" i="8"/>
  <c r="AT37" i="8"/>
  <c r="H38" i="8"/>
  <c r="J38" i="8" s="1"/>
  <c r="N38" i="8"/>
  <c r="P38" i="8" s="1"/>
  <c r="T38" i="8"/>
  <c r="V38" i="8" s="1"/>
  <c r="Z38" i="8"/>
  <c r="AF38" i="8"/>
  <c r="AH38" i="8" s="1"/>
  <c r="AM38" i="8"/>
  <c r="AO38" i="8" s="1"/>
  <c r="AS38" i="8"/>
  <c r="AU38" i="8" s="1"/>
  <c r="F39" i="8"/>
  <c r="L39" i="8"/>
  <c r="R39" i="8"/>
  <c r="X39" i="8"/>
  <c r="AD39" i="8"/>
  <c r="AJ39" i="8"/>
  <c r="AQ39" i="8"/>
  <c r="E40" i="8"/>
  <c r="K40" i="8"/>
  <c r="M40" i="8" s="1"/>
  <c r="Q40" i="8"/>
  <c r="W40" i="8"/>
  <c r="AC40" i="8"/>
  <c r="AI40" i="8"/>
  <c r="AP40" i="8"/>
  <c r="C41" i="8"/>
  <c r="I41" i="8"/>
  <c r="O41" i="8"/>
  <c r="U41" i="8"/>
  <c r="AA41" i="8"/>
  <c r="AG41" i="8"/>
  <c r="AN41" i="8"/>
  <c r="AT41" i="8"/>
  <c r="H42" i="8"/>
  <c r="J42" i="8" s="1"/>
  <c r="N42" i="8"/>
  <c r="P42" i="8" s="1"/>
  <c r="T42" i="8"/>
  <c r="V42" i="8" s="1"/>
  <c r="Z42" i="8"/>
  <c r="AB42" i="8" s="1"/>
  <c r="AF42" i="8"/>
  <c r="AH42" i="8" s="1"/>
  <c r="AM42" i="8"/>
  <c r="AS42" i="8"/>
  <c r="AU42" i="8" s="1"/>
  <c r="F43" i="8"/>
  <c r="L43" i="8"/>
  <c r="R43" i="8"/>
  <c r="X43" i="8"/>
  <c r="AD43" i="8"/>
  <c r="AJ43" i="8"/>
  <c r="AQ43" i="8"/>
  <c r="E44" i="8"/>
  <c r="K44" i="8"/>
  <c r="Q44" i="8"/>
  <c r="W44" i="8"/>
  <c r="AC44" i="8"/>
  <c r="AI44" i="8"/>
  <c r="AP44" i="8"/>
  <c r="C45" i="8"/>
  <c r="I45" i="8"/>
  <c r="O45" i="8"/>
  <c r="U45" i="8"/>
  <c r="AA45" i="8"/>
  <c r="AG45" i="8"/>
  <c r="AN45" i="8"/>
  <c r="AT45" i="8"/>
  <c r="H46" i="8"/>
  <c r="J46" i="8" s="1"/>
  <c r="N46" i="8"/>
  <c r="P46" i="8" s="1"/>
  <c r="T46" i="8"/>
  <c r="V46" i="8" s="1"/>
  <c r="Z46" i="8"/>
  <c r="AB46" i="8" s="1"/>
  <c r="AF46" i="8"/>
  <c r="AH46" i="8" s="1"/>
  <c r="AM46" i="8"/>
  <c r="AO46" i="8" s="1"/>
  <c r="AS46" i="8"/>
  <c r="AU46" i="8" s="1"/>
  <c r="F47" i="8"/>
  <c r="L47" i="8"/>
  <c r="R47" i="8"/>
  <c r="X47" i="8"/>
  <c r="AD47" i="8"/>
  <c r="AJ47" i="8"/>
  <c r="AQ47" i="8"/>
  <c r="E48" i="8"/>
  <c r="G48" i="8" s="1"/>
  <c r="K48" i="8"/>
  <c r="Q48" i="8"/>
  <c r="W48" i="8"/>
  <c r="AC48" i="8"/>
  <c r="AI48" i="8"/>
  <c r="AP48" i="8"/>
  <c r="C49" i="8"/>
  <c r="I49" i="8"/>
  <c r="O49" i="8"/>
  <c r="U49" i="8"/>
  <c r="AA49" i="8"/>
  <c r="AG49" i="8"/>
  <c r="AN49" i="8"/>
  <c r="AT49" i="8"/>
  <c r="H50" i="8"/>
  <c r="J50" i="8" s="1"/>
  <c r="N50" i="8"/>
  <c r="P50" i="8" s="1"/>
  <c r="T50" i="8"/>
  <c r="V50" i="8" s="1"/>
  <c r="Z50" i="8"/>
  <c r="AB50" i="8" s="1"/>
  <c r="AF50" i="8"/>
  <c r="AH50" i="8" s="1"/>
  <c r="AM50" i="8"/>
  <c r="AS50" i="8"/>
  <c r="AU50" i="8" s="1"/>
  <c r="F51" i="8"/>
  <c r="L51" i="8"/>
  <c r="R51" i="8"/>
  <c r="X51" i="8"/>
  <c r="AD51" i="8"/>
  <c r="AJ51" i="8"/>
  <c r="AQ51" i="8"/>
  <c r="AR51" i="8" s="1"/>
  <c r="E52" i="8"/>
  <c r="K52" i="8"/>
  <c r="Q52" i="8"/>
  <c r="W52" i="8"/>
  <c r="AC52" i="8"/>
  <c r="AI52" i="8"/>
  <c r="AP52" i="8"/>
  <c r="C53" i="8"/>
  <c r="D53" i="8" s="1"/>
  <c r="I53" i="8"/>
  <c r="O53" i="8"/>
  <c r="U53" i="8"/>
  <c r="AA53" i="8"/>
  <c r="AG53" i="8"/>
  <c r="AN53" i="8"/>
  <c r="AT53" i="8"/>
  <c r="H54" i="8"/>
  <c r="J54" i="8" s="1"/>
  <c r="N54" i="8"/>
  <c r="T54" i="8"/>
  <c r="V54" i="8" s="1"/>
  <c r="Z54" i="8"/>
  <c r="AB54" i="8" s="1"/>
  <c r="AF54" i="8"/>
  <c r="AH54" i="8" s="1"/>
  <c r="AM54" i="8"/>
  <c r="AS54" i="8"/>
  <c r="AU54" i="8" s="1"/>
  <c r="F55" i="8"/>
  <c r="L55" i="8"/>
  <c r="R55" i="8"/>
  <c r="X55" i="8"/>
  <c r="AD55" i="8"/>
  <c r="AJ55" i="8"/>
  <c r="AQ55" i="8"/>
  <c r="E56" i="8"/>
  <c r="K56" i="8"/>
  <c r="Q56" i="8"/>
  <c r="W56" i="8"/>
  <c r="AC56" i="8"/>
  <c r="AI56" i="8"/>
  <c r="AP56" i="8"/>
  <c r="C57" i="8"/>
  <c r="I57" i="8"/>
  <c r="O57" i="8"/>
  <c r="U57" i="8"/>
  <c r="AA57" i="8"/>
  <c r="AG57" i="8"/>
  <c r="AN57" i="8"/>
  <c r="AT57" i="8"/>
  <c r="H58" i="8"/>
  <c r="J58" i="8" s="1"/>
  <c r="N58" i="8"/>
  <c r="P58" i="8" s="1"/>
  <c r="T58" i="8"/>
  <c r="V58" i="8" s="1"/>
  <c r="Z58" i="8"/>
  <c r="AB58" i="8" s="1"/>
  <c r="AF58" i="8"/>
  <c r="AH58" i="8" s="1"/>
  <c r="AM58" i="8"/>
  <c r="AO58" i="8" s="1"/>
  <c r="AS58" i="8"/>
  <c r="AU58" i="8" s="1"/>
  <c r="F59" i="8"/>
  <c r="L59" i="8"/>
  <c r="R59" i="8"/>
  <c r="X59" i="8"/>
  <c r="AD59" i="8"/>
  <c r="AJ59" i="8"/>
  <c r="AQ59" i="8"/>
  <c r="E60" i="8"/>
  <c r="K60" i="8"/>
  <c r="Q60" i="8"/>
  <c r="W60" i="8"/>
  <c r="AC60" i="8"/>
  <c r="AI60" i="8"/>
  <c r="AP60" i="8"/>
  <c r="C61" i="8"/>
  <c r="I61" i="8"/>
  <c r="O61" i="8"/>
  <c r="U61" i="8"/>
  <c r="AA61" i="8"/>
  <c r="AG61" i="8"/>
  <c r="AN61" i="8"/>
  <c r="AT61" i="8"/>
  <c r="H62" i="8"/>
  <c r="J62" i="8" s="1"/>
  <c r="N62" i="8"/>
  <c r="P62" i="8" s="1"/>
  <c r="T62" i="8"/>
  <c r="V62" i="8" s="1"/>
  <c r="Z62" i="8"/>
  <c r="AB62" i="8" s="1"/>
  <c r="AF62" i="8"/>
  <c r="AH62" i="8" s="1"/>
  <c r="AM62" i="8"/>
  <c r="AO62" i="8" s="1"/>
  <c r="AS62" i="8"/>
  <c r="AU62" i="8" s="1"/>
  <c r="F63" i="8"/>
  <c r="L63" i="8"/>
  <c r="R63" i="8"/>
  <c r="X63" i="8"/>
  <c r="Y63" i="8" s="1"/>
  <c r="AD63" i="8"/>
  <c r="AJ63" i="8"/>
  <c r="AQ63" i="8"/>
  <c r="E64" i="8"/>
  <c r="K64" i="8"/>
  <c r="Q64" i="8"/>
  <c r="W64" i="8"/>
  <c r="AC64" i="8"/>
  <c r="AI64" i="8"/>
  <c r="AP64" i="8"/>
  <c r="C65" i="8"/>
  <c r="I65" i="8"/>
  <c r="O65" i="8"/>
  <c r="U65" i="8"/>
  <c r="AA65" i="8"/>
  <c r="AG65" i="8"/>
  <c r="AN65" i="8"/>
  <c r="AT65" i="8"/>
  <c r="H66" i="8"/>
  <c r="J66" i="8" s="1"/>
  <c r="N66" i="8"/>
  <c r="P66" i="8" s="1"/>
  <c r="T66" i="8"/>
  <c r="V66" i="8" s="1"/>
  <c r="Z66" i="8"/>
  <c r="AB66" i="8" s="1"/>
  <c r="AF66" i="8"/>
  <c r="AH66" i="8" s="1"/>
  <c r="AM66" i="8"/>
  <c r="AO66" i="8" s="1"/>
  <c r="AS66" i="8"/>
  <c r="AU66" i="8" s="1"/>
  <c r="F67" i="8"/>
  <c r="L67" i="8"/>
  <c r="R67" i="8"/>
  <c r="X67" i="8"/>
  <c r="AD67" i="8"/>
  <c r="AJ67" i="8"/>
  <c r="AQ67" i="8"/>
  <c r="AR67" i="8" s="1"/>
  <c r="E68" i="8"/>
  <c r="K68" i="8"/>
  <c r="Q68" i="8"/>
  <c r="W68" i="8"/>
  <c r="AC68" i="8"/>
  <c r="AI68" i="8"/>
  <c r="AP68" i="8"/>
  <c r="C69" i="8"/>
  <c r="I69" i="8"/>
  <c r="O69" i="8"/>
  <c r="U69" i="8"/>
  <c r="AA69" i="8"/>
  <c r="AG69" i="8"/>
  <c r="AN69" i="8"/>
  <c r="AT69" i="8"/>
  <c r="H70" i="8"/>
  <c r="J70" i="8" s="1"/>
  <c r="N70" i="8"/>
  <c r="P70" i="8" s="1"/>
  <c r="T70" i="8"/>
  <c r="V70" i="8" s="1"/>
  <c r="Z70" i="8"/>
  <c r="AF70" i="8"/>
  <c r="AH70" i="8" s="1"/>
  <c r="AM70" i="8"/>
  <c r="AO70" i="8" s="1"/>
  <c r="AS70" i="8"/>
  <c r="AU70" i="8" s="1"/>
  <c r="F71" i="8"/>
  <c r="L71" i="8"/>
  <c r="R71" i="8"/>
  <c r="X71" i="8"/>
  <c r="AD71" i="8"/>
  <c r="AJ71" i="8"/>
  <c r="AQ71" i="8"/>
  <c r="E72" i="8"/>
  <c r="K72" i="8"/>
  <c r="Q72" i="8"/>
  <c r="S72" i="8" s="1"/>
  <c r="W72" i="8"/>
  <c r="AC72" i="8"/>
  <c r="AI72" i="8"/>
  <c r="AP72" i="8"/>
  <c r="C73" i="8"/>
  <c r="I73" i="8"/>
  <c r="O73" i="8"/>
  <c r="U73" i="8"/>
  <c r="AA73" i="8"/>
  <c r="AG73" i="8"/>
  <c r="AN73" i="8"/>
  <c r="AT73" i="8"/>
  <c r="H74" i="8"/>
  <c r="J74" i="8" s="1"/>
  <c r="N74" i="8"/>
  <c r="P74" i="8" s="1"/>
  <c r="T74" i="8"/>
  <c r="V74" i="8" s="1"/>
  <c r="Z74" i="8"/>
  <c r="AB74" i="8" s="1"/>
  <c r="AF74" i="8"/>
  <c r="AH74" i="8" s="1"/>
  <c r="AM74" i="8"/>
  <c r="AO74" i="8" s="1"/>
  <c r="AS74" i="8"/>
  <c r="AU74" i="8" s="1"/>
  <c r="F75" i="8"/>
  <c r="L75" i="8"/>
  <c r="R75" i="8"/>
  <c r="X75" i="8"/>
  <c r="AD75" i="8"/>
  <c r="AJ75" i="8"/>
  <c r="AQ75" i="8"/>
  <c r="E76" i="8"/>
  <c r="K76" i="8"/>
  <c r="Q76" i="8"/>
  <c r="W76" i="8"/>
  <c r="AC76" i="8"/>
  <c r="AE76" i="8" s="1"/>
  <c r="AI76" i="8"/>
  <c r="AP76" i="8"/>
  <c r="C77" i="8"/>
  <c r="I77" i="8"/>
  <c r="O77" i="8"/>
  <c r="U77" i="8"/>
  <c r="AA77" i="8"/>
  <c r="AG77" i="8"/>
  <c r="AN77" i="8"/>
  <c r="AT77" i="8"/>
  <c r="H78" i="8"/>
  <c r="J78" i="8" s="1"/>
  <c r="N78" i="8"/>
  <c r="P78" i="8" s="1"/>
  <c r="T78" i="8"/>
  <c r="V78" i="8" s="1"/>
  <c r="Z78" i="8"/>
  <c r="AB78" i="8" s="1"/>
  <c r="AF78" i="8"/>
  <c r="AH78" i="8" s="1"/>
  <c r="AM78" i="8"/>
  <c r="AO78" i="8" s="1"/>
  <c r="AS78" i="8"/>
  <c r="AU78" i="8" s="1"/>
  <c r="F79" i="8"/>
  <c r="L79" i="8"/>
  <c r="R79" i="8"/>
  <c r="X79" i="8"/>
  <c r="AD79" i="8"/>
  <c r="AJ79" i="8"/>
  <c r="AQ79" i="8"/>
  <c r="E80" i="8"/>
  <c r="K80" i="8"/>
  <c r="Q80" i="8"/>
  <c r="W80" i="8"/>
  <c r="AC80" i="8"/>
  <c r="AI80" i="8"/>
  <c r="AP80" i="8"/>
  <c r="C81" i="8"/>
  <c r="I81" i="8"/>
  <c r="O81" i="8"/>
  <c r="U81" i="8"/>
  <c r="AA81" i="8"/>
  <c r="AG81" i="8"/>
  <c r="AN81" i="8"/>
  <c r="AT81" i="8"/>
  <c r="H82" i="8"/>
  <c r="J82" i="8" s="1"/>
  <c r="N82" i="8"/>
  <c r="P82" i="8" s="1"/>
  <c r="T82" i="8"/>
  <c r="V82" i="8" s="1"/>
  <c r="Z82" i="8"/>
  <c r="AB82" i="8" s="1"/>
  <c r="AF82" i="8"/>
  <c r="AH82" i="8" s="1"/>
  <c r="AM82" i="8"/>
  <c r="AO82" i="8" s="1"/>
  <c r="AS82" i="8"/>
  <c r="AU82" i="8" s="1"/>
  <c r="F83" i="8"/>
  <c r="L83" i="8"/>
  <c r="R83" i="8"/>
  <c r="S83" i="8" s="1"/>
  <c r="X83" i="8"/>
  <c r="AD83" i="8"/>
  <c r="AJ83" i="8"/>
  <c r="AQ83" i="8"/>
  <c r="AR83" i="8" s="1"/>
  <c r="E84" i="8"/>
  <c r="K84" i="8"/>
  <c r="Q84" i="8"/>
  <c r="W84" i="8"/>
  <c r="AC84" i="8"/>
  <c r="AI84" i="8"/>
  <c r="AP84" i="8"/>
  <c r="C85" i="8"/>
  <c r="I85" i="8"/>
  <c r="O85" i="8"/>
  <c r="U85" i="8"/>
  <c r="AA85" i="8"/>
  <c r="AG85" i="8"/>
  <c r="AN85" i="8"/>
  <c r="AT85" i="8"/>
  <c r="H86" i="8"/>
  <c r="J86" i="8" s="1"/>
  <c r="N86" i="8"/>
  <c r="P86" i="8" s="1"/>
  <c r="T86" i="8"/>
  <c r="V86" i="8" s="1"/>
  <c r="Z86" i="8"/>
  <c r="AB86" i="8" s="1"/>
  <c r="AF86" i="8"/>
  <c r="AH86" i="8" s="1"/>
  <c r="AM86" i="8"/>
  <c r="AO86" i="8" s="1"/>
  <c r="AS86" i="8"/>
  <c r="AU86" i="8" s="1"/>
  <c r="F87" i="8"/>
  <c r="L87" i="8"/>
  <c r="R87" i="8"/>
  <c r="X87" i="8"/>
  <c r="AD87" i="8"/>
  <c r="AJ87" i="8"/>
  <c r="AK87" i="8" s="1"/>
  <c r="AQ87" i="8"/>
  <c r="E88" i="8"/>
  <c r="K88" i="8"/>
  <c r="Q88" i="8"/>
  <c r="W88" i="8"/>
  <c r="AC88" i="8"/>
  <c r="AI88" i="8"/>
  <c r="AP88" i="8"/>
  <c r="C89" i="8"/>
  <c r="I89" i="8"/>
  <c r="O89" i="8"/>
  <c r="U89" i="8"/>
  <c r="AA89" i="8"/>
  <c r="AG89" i="8"/>
  <c r="AN89" i="8"/>
  <c r="AT89" i="8"/>
  <c r="H90" i="8"/>
  <c r="J90" i="8" s="1"/>
  <c r="N90" i="8"/>
  <c r="P90" i="8" s="1"/>
  <c r="T90" i="8"/>
  <c r="V90" i="8" s="1"/>
  <c r="Z90" i="8"/>
  <c r="AB90" i="8" s="1"/>
  <c r="AF90" i="8"/>
  <c r="AH90" i="8" s="1"/>
  <c r="AM90" i="8"/>
  <c r="AO90" i="8" s="1"/>
  <c r="AS90" i="8"/>
  <c r="AU90" i="8" s="1"/>
  <c r="F91" i="8"/>
  <c r="L91" i="8"/>
  <c r="R91" i="8"/>
  <c r="X91" i="8"/>
  <c r="AD91" i="8"/>
  <c r="AJ91" i="8"/>
  <c r="AQ91" i="8"/>
  <c r="E92" i="8"/>
  <c r="K92" i="8"/>
  <c r="Q92" i="8"/>
  <c r="W92" i="8"/>
  <c r="AC92" i="8"/>
  <c r="AE92" i="8" s="1"/>
  <c r="AI92" i="8"/>
  <c r="AP92" i="8"/>
  <c r="C93" i="8"/>
  <c r="I93" i="8"/>
  <c r="O93" i="8"/>
  <c r="U93" i="8"/>
  <c r="AA93" i="8"/>
  <c r="AG93" i="8"/>
  <c r="AN93" i="8"/>
  <c r="AT93" i="8"/>
  <c r="H94" i="8"/>
  <c r="J94" i="8" s="1"/>
  <c r="N94" i="8"/>
  <c r="P94" i="8" s="1"/>
  <c r="T94" i="8"/>
  <c r="V94" i="8" s="1"/>
  <c r="Z94" i="8"/>
  <c r="AB94" i="8" s="1"/>
  <c r="AF94" i="8"/>
  <c r="AH94" i="8" s="1"/>
  <c r="AM94" i="8"/>
  <c r="AO94" i="8" s="1"/>
  <c r="AS94" i="8"/>
  <c r="AU94" i="8" s="1"/>
  <c r="F95" i="8"/>
  <c r="L95" i="8"/>
  <c r="R95" i="8"/>
  <c r="X95" i="8"/>
  <c r="AD95" i="8"/>
  <c r="AJ95" i="8"/>
  <c r="AQ95" i="8"/>
  <c r="E96" i="8"/>
  <c r="K96" i="8"/>
  <c r="Q96" i="8"/>
  <c r="W96" i="8"/>
  <c r="Y96" i="8" s="1"/>
  <c r="AC96" i="8"/>
  <c r="AI96" i="8"/>
  <c r="AP96" i="8"/>
  <c r="C97" i="8"/>
  <c r="I97" i="8"/>
  <c r="O97" i="8"/>
  <c r="U97" i="8"/>
  <c r="AA97" i="8"/>
  <c r="AG97" i="8"/>
  <c r="AN97" i="8"/>
  <c r="AT97" i="8"/>
  <c r="H98" i="8"/>
  <c r="J98" i="8" s="1"/>
  <c r="N98" i="8"/>
  <c r="P98" i="8" s="1"/>
  <c r="T98" i="8"/>
  <c r="V98" i="8" s="1"/>
  <c r="Z98" i="8"/>
  <c r="AB98" i="8" s="1"/>
  <c r="AF98" i="8"/>
  <c r="AH98" i="8" s="1"/>
  <c r="AM98" i="8"/>
  <c r="AO98" i="8" s="1"/>
  <c r="AS98" i="8"/>
  <c r="AU98" i="8" s="1"/>
  <c r="F99" i="8"/>
  <c r="L99" i="8"/>
  <c r="R99" i="8"/>
  <c r="X99" i="8"/>
  <c r="AD99" i="8"/>
  <c r="AJ99" i="8"/>
  <c r="AQ99" i="8"/>
  <c r="AR99" i="8" s="1"/>
  <c r="E100" i="8"/>
  <c r="K100" i="8"/>
  <c r="Q100" i="8"/>
  <c r="W100" i="8"/>
  <c r="Y100" i="8" s="1"/>
  <c r="AC100" i="8"/>
  <c r="AI100" i="8"/>
  <c r="AP100" i="8"/>
  <c r="C101" i="8"/>
  <c r="I101" i="8"/>
  <c r="O101" i="8"/>
  <c r="U101" i="8"/>
  <c r="AA101" i="8"/>
  <c r="AG101" i="8"/>
  <c r="AN101" i="8"/>
  <c r="AT101" i="8"/>
  <c r="H102" i="8"/>
  <c r="J102" i="8" s="1"/>
  <c r="N102" i="8"/>
  <c r="P102" i="8" s="1"/>
  <c r="T102" i="8"/>
  <c r="V102" i="8" s="1"/>
  <c r="Z102" i="8"/>
  <c r="AB102" i="8" s="1"/>
  <c r="AF102" i="8"/>
  <c r="AH102" i="8" s="1"/>
  <c r="AM102" i="8"/>
  <c r="AO102" i="8" s="1"/>
  <c r="AS102" i="8"/>
  <c r="AU102" i="8" s="1"/>
  <c r="F103" i="8"/>
  <c r="L103" i="8"/>
  <c r="R103" i="8"/>
  <c r="X103" i="8"/>
  <c r="AD103" i="8"/>
  <c r="AJ103" i="8"/>
  <c r="AQ103" i="8"/>
  <c r="E104" i="8"/>
  <c r="K104" i="8"/>
  <c r="Q104" i="8"/>
  <c r="W104" i="8"/>
  <c r="AC104" i="8"/>
  <c r="AI104" i="8"/>
  <c r="AP104" i="8"/>
  <c r="C105" i="8"/>
  <c r="I105" i="8"/>
  <c r="O105" i="8"/>
  <c r="U105" i="8"/>
  <c r="AA105" i="8"/>
  <c r="AG105" i="8"/>
  <c r="AN105" i="8"/>
  <c r="AT105" i="8"/>
  <c r="H106" i="8"/>
  <c r="J106" i="8" s="1"/>
  <c r="N106" i="8"/>
  <c r="P106" i="8" s="1"/>
  <c r="T106" i="8"/>
  <c r="V106" i="8" s="1"/>
  <c r="Z106" i="8"/>
  <c r="AB106" i="8" s="1"/>
  <c r="AF106" i="8"/>
  <c r="AH106" i="8" s="1"/>
  <c r="AM106" i="8"/>
  <c r="AO106" i="8" s="1"/>
  <c r="AS106" i="8"/>
  <c r="AU106" i="8" s="1"/>
  <c r="F107" i="8"/>
  <c r="L107" i="8"/>
  <c r="R107" i="8"/>
  <c r="X107" i="8"/>
  <c r="AD107" i="8"/>
  <c r="AJ107" i="8"/>
  <c r="AQ107" i="8"/>
  <c r="E108" i="8"/>
  <c r="G108" i="8" s="1"/>
  <c r="K108" i="8"/>
  <c r="M108" i="8" s="1"/>
  <c r="Q108" i="8"/>
  <c r="W108" i="8"/>
  <c r="AC108" i="8"/>
  <c r="AI108" i="8"/>
  <c r="AP108" i="8"/>
  <c r="C109" i="8"/>
  <c r="I109" i="8"/>
  <c r="O109" i="8"/>
  <c r="U109" i="8"/>
  <c r="AA109" i="8"/>
  <c r="AG109" i="8"/>
  <c r="AN109" i="8"/>
  <c r="AT109" i="8"/>
  <c r="H110" i="8"/>
  <c r="J110" i="8" s="1"/>
  <c r="N110" i="8"/>
  <c r="P110" i="8" s="1"/>
  <c r="T110" i="8"/>
  <c r="V110" i="8" s="1"/>
  <c r="Z110" i="8"/>
  <c r="AB110" i="8" s="1"/>
  <c r="AF110" i="8"/>
  <c r="AH110" i="8" s="1"/>
  <c r="AM110" i="8"/>
  <c r="AO110" i="8" s="1"/>
  <c r="AS110" i="8"/>
  <c r="AU110" i="8" s="1"/>
  <c r="F111" i="8"/>
  <c r="L111" i="8"/>
  <c r="R111" i="8"/>
  <c r="X111" i="8"/>
  <c r="AD111" i="8"/>
  <c r="AJ111" i="8"/>
  <c r="AQ111" i="8"/>
  <c r="E112" i="8"/>
  <c r="K112" i="8"/>
  <c r="Q112" i="8"/>
  <c r="W112" i="8"/>
  <c r="Y112" i="8" s="1"/>
  <c r="AC112" i="8"/>
  <c r="AI112" i="8"/>
  <c r="AP112" i="8"/>
  <c r="C113" i="8"/>
  <c r="I113" i="8"/>
  <c r="O113" i="8"/>
  <c r="U113" i="8"/>
  <c r="AA113" i="8"/>
  <c r="AG113" i="8"/>
  <c r="AN113" i="8"/>
  <c r="AT113" i="8"/>
  <c r="H114" i="8"/>
  <c r="J114" i="8" s="1"/>
  <c r="N114" i="8"/>
  <c r="P114" i="8" s="1"/>
  <c r="T114" i="8"/>
  <c r="V114" i="8" s="1"/>
  <c r="Z114" i="8"/>
  <c r="AB114" i="8" s="1"/>
  <c r="AF114" i="8"/>
  <c r="AH114" i="8" s="1"/>
  <c r="AM114" i="8"/>
  <c r="AO114" i="8" s="1"/>
  <c r="AS114" i="8"/>
  <c r="AU114" i="8" s="1"/>
  <c r="F115" i="8"/>
  <c r="L115" i="8"/>
  <c r="R115" i="8"/>
  <c r="S115" i="8" s="1"/>
  <c r="X115" i="8"/>
  <c r="AD115" i="8"/>
  <c r="AJ115" i="8"/>
  <c r="AQ115" i="8"/>
  <c r="AR115" i="8" s="1"/>
  <c r="E116" i="8"/>
  <c r="K116" i="8"/>
  <c r="Q116" i="8"/>
  <c r="W116" i="8"/>
  <c r="Y116" i="8" s="1"/>
  <c r="AC116" i="8"/>
  <c r="AI116" i="8"/>
  <c r="AP116" i="8"/>
  <c r="C117" i="8"/>
  <c r="I117" i="8"/>
  <c r="O117" i="8"/>
  <c r="U117" i="8"/>
  <c r="AA117" i="8"/>
  <c r="AG117" i="8"/>
  <c r="AN117" i="8"/>
  <c r="AT117" i="8"/>
  <c r="H118" i="8"/>
  <c r="J118" i="8" s="1"/>
  <c r="N118" i="8"/>
  <c r="P118" i="8" s="1"/>
  <c r="T118" i="8"/>
  <c r="V118" i="8" s="1"/>
  <c r="Z118" i="8"/>
  <c r="AB118" i="8" s="1"/>
  <c r="AF118" i="8"/>
  <c r="AH118" i="8" s="1"/>
  <c r="AM118" i="8"/>
  <c r="AO118" i="8" s="1"/>
  <c r="AS118" i="8"/>
  <c r="AU118" i="8" s="1"/>
  <c r="F119" i="8"/>
  <c r="L119" i="8"/>
  <c r="R119" i="8"/>
  <c r="X119" i="8"/>
  <c r="AD119" i="8"/>
  <c r="AJ119" i="8"/>
  <c r="AQ119" i="8"/>
  <c r="E120" i="8"/>
  <c r="K120" i="8"/>
  <c r="Q120" i="8"/>
  <c r="W120" i="8"/>
  <c r="AC120" i="8"/>
  <c r="AI120" i="8"/>
  <c r="AP120" i="8"/>
  <c r="C121" i="8"/>
  <c r="I121" i="8"/>
  <c r="O121" i="8"/>
  <c r="U121" i="8"/>
  <c r="AA121" i="8"/>
  <c r="AG121" i="8"/>
  <c r="AN121" i="8"/>
  <c r="AT121" i="8"/>
  <c r="H122" i="8"/>
  <c r="J122" i="8" s="1"/>
  <c r="N122" i="8"/>
  <c r="P122" i="8" s="1"/>
  <c r="T122" i="8"/>
  <c r="V122" i="8" s="1"/>
  <c r="Z122" i="8"/>
  <c r="AB122" i="8" s="1"/>
  <c r="AF122" i="8"/>
  <c r="AH122" i="8" s="1"/>
  <c r="AM122" i="8"/>
  <c r="AO122" i="8" s="1"/>
  <c r="AS122" i="8"/>
  <c r="AU122" i="8" s="1"/>
  <c r="F123" i="8"/>
  <c r="L123" i="8"/>
  <c r="R123" i="8"/>
  <c r="X123" i="8"/>
  <c r="AD123" i="8"/>
  <c r="AJ123" i="8"/>
  <c r="AQ123" i="8"/>
  <c r="E124" i="8"/>
  <c r="K124" i="8"/>
  <c r="Q124" i="8"/>
  <c r="W124" i="8"/>
  <c r="AC124" i="8"/>
  <c r="AI124" i="8"/>
  <c r="AP124" i="8"/>
  <c r="C125" i="8"/>
  <c r="I125" i="8"/>
  <c r="O125" i="8"/>
  <c r="U125" i="8"/>
  <c r="AA125" i="8"/>
  <c r="AG125" i="8"/>
  <c r="AN125" i="8"/>
  <c r="AT125" i="8"/>
  <c r="H126" i="8"/>
  <c r="J126" i="8" s="1"/>
  <c r="N126" i="8"/>
  <c r="P126" i="8" s="1"/>
  <c r="T126" i="8"/>
  <c r="V126" i="8" s="1"/>
  <c r="Z126" i="8"/>
  <c r="AB126" i="8" s="1"/>
  <c r="AF126" i="8"/>
  <c r="AH126" i="8" s="1"/>
  <c r="AM126" i="8"/>
  <c r="AO126" i="8" s="1"/>
  <c r="AS126" i="8"/>
  <c r="AU126" i="8" s="1"/>
  <c r="F127" i="8"/>
  <c r="L127" i="8"/>
  <c r="R127" i="8"/>
  <c r="X127" i="8"/>
  <c r="AD127" i="8"/>
  <c r="AJ127" i="8"/>
  <c r="AQ127" i="8"/>
  <c r="E128" i="8"/>
  <c r="K128" i="8"/>
  <c r="Q128" i="8"/>
  <c r="W128" i="8"/>
  <c r="Y128" i="8" s="1"/>
  <c r="AC128" i="8"/>
  <c r="AI128" i="8"/>
  <c r="AP128" i="8"/>
  <c r="C129" i="8"/>
  <c r="I129" i="8"/>
  <c r="O129" i="8"/>
  <c r="U129" i="8"/>
  <c r="AA129" i="8"/>
  <c r="AG129" i="8"/>
  <c r="AN129" i="8"/>
  <c r="AT129" i="8"/>
  <c r="H130" i="8"/>
  <c r="J130" i="8" s="1"/>
  <c r="N130" i="8"/>
  <c r="P130" i="8" s="1"/>
  <c r="T130" i="8"/>
  <c r="V130" i="8" s="1"/>
  <c r="Z130" i="8"/>
  <c r="AB130" i="8" s="1"/>
  <c r="AF130" i="8"/>
  <c r="AH130" i="8" s="1"/>
  <c r="AM130" i="8"/>
  <c r="AO130" i="8" s="1"/>
  <c r="AS130" i="8"/>
  <c r="AU130" i="8" s="1"/>
  <c r="F131" i="8"/>
  <c r="L131" i="8"/>
  <c r="R131" i="8"/>
  <c r="X131" i="8"/>
  <c r="AD131" i="8"/>
  <c r="AJ131" i="8"/>
  <c r="AQ131" i="8"/>
  <c r="AR131" i="8" s="1"/>
  <c r="E132" i="8"/>
  <c r="K132" i="8"/>
  <c r="Q132" i="8"/>
  <c r="W132" i="8"/>
  <c r="AC132" i="8"/>
  <c r="AI132" i="8"/>
  <c r="AP132" i="8"/>
  <c r="C133" i="8"/>
  <c r="I133" i="8"/>
  <c r="O133" i="8"/>
  <c r="U133" i="8"/>
  <c r="AA133" i="8"/>
  <c r="AG133" i="8"/>
  <c r="AN133" i="8"/>
  <c r="AT133" i="8"/>
  <c r="H134" i="8"/>
  <c r="J134" i="8" s="1"/>
  <c r="N134" i="8"/>
  <c r="P134" i="8" s="1"/>
  <c r="T134" i="8"/>
  <c r="V134" i="8" s="1"/>
  <c r="Z134" i="8"/>
  <c r="AB134" i="8" s="1"/>
  <c r="AF134" i="8"/>
  <c r="AH134" i="8" s="1"/>
  <c r="AM134" i="8"/>
  <c r="AO134" i="8" s="1"/>
  <c r="AS134" i="8"/>
  <c r="AU134" i="8" s="1"/>
  <c r="F135" i="8"/>
  <c r="L135" i="8"/>
  <c r="R135" i="8"/>
  <c r="X135" i="8"/>
  <c r="AD135" i="8"/>
  <c r="AJ135" i="8"/>
  <c r="AQ135" i="8"/>
  <c r="E136" i="8"/>
  <c r="K136" i="8"/>
  <c r="Q136" i="8"/>
  <c r="S136" i="8" s="1"/>
  <c r="W136" i="8"/>
  <c r="AC136" i="8"/>
  <c r="AI136" i="8"/>
  <c r="AP136" i="8"/>
  <c r="C137" i="8"/>
  <c r="I137" i="8"/>
  <c r="O137" i="8"/>
  <c r="U137" i="8"/>
  <c r="AA137" i="8"/>
  <c r="AG137" i="8"/>
  <c r="AN137" i="8"/>
  <c r="AT137" i="8"/>
  <c r="H138" i="8"/>
  <c r="J138" i="8" s="1"/>
  <c r="N138" i="8"/>
  <c r="P138" i="8" s="1"/>
  <c r="T138" i="8"/>
  <c r="V138" i="8" s="1"/>
  <c r="Z138" i="8"/>
  <c r="AB138" i="8" s="1"/>
  <c r="AF138" i="8"/>
  <c r="AH138" i="8" s="1"/>
  <c r="AM138" i="8"/>
  <c r="AO138" i="8" s="1"/>
  <c r="AS138" i="8"/>
  <c r="AU138" i="8" s="1"/>
  <c r="F139" i="8"/>
  <c r="L139" i="8"/>
  <c r="R139" i="8"/>
  <c r="X139" i="8"/>
  <c r="AD139" i="8"/>
  <c r="AJ139" i="8"/>
  <c r="AQ139" i="8"/>
  <c r="AR139" i="8" s="1"/>
  <c r="E140" i="8"/>
  <c r="G140" i="8" s="1"/>
  <c r="K140" i="8"/>
  <c r="M140" i="8" s="1"/>
  <c r="Q140" i="8"/>
  <c r="W140" i="8"/>
  <c r="AC140" i="8"/>
  <c r="AE140" i="8" s="1"/>
  <c r="AI140" i="8"/>
  <c r="AP140" i="8"/>
  <c r="C141" i="8"/>
  <c r="I141" i="8"/>
  <c r="O141" i="8"/>
  <c r="U141" i="8"/>
  <c r="AA141" i="8"/>
  <c r="AG141" i="8"/>
  <c r="AN141" i="8"/>
  <c r="AT141" i="8"/>
  <c r="H142" i="8"/>
  <c r="J142" i="8" s="1"/>
  <c r="N142" i="8"/>
  <c r="P142" i="8" s="1"/>
  <c r="T142" i="8"/>
  <c r="V142" i="8" s="1"/>
  <c r="Z142" i="8"/>
  <c r="AB142" i="8" s="1"/>
  <c r="AF142" i="8"/>
  <c r="AH142" i="8" s="1"/>
  <c r="AM142" i="8"/>
  <c r="AO142" i="8" s="1"/>
  <c r="AS142" i="8"/>
  <c r="AU142" i="8" s="1"/>
  <c r="F143" i="8"/>
  <c r="L143" i="8"/>
  <c r="R143" i="8"/>
  <c r="X143" i="8"/>
  <c r="AD143" i="8"/>
  <c r="AJ143" i="8"/>
  <c r="AQ143" i="8"/>
  <c r="E144" i="8"/>
  <c r="K144" i="8"/>
  <c r="Q144" i="8"/>
  <c r="W144" i="8"/>
  <c r="Y144" i="8" s="1"/>
  <c r="AC144" i="8"/>
  <c r="AE144" i="8" s="1"/>
  <c r="AI144" i="8"/>
  <c r="AP144" i="8"/>
  <c r="C145" i="8"/>
  <c r="I145" i="8"/>
  <c r="O145" i="8"/>
  <c r="U145" i="8"/>
  <c r="AA145" i="8"/>
  <c r="AG145" i="8"/>
  <c r="AN145" i="8"/>
  <c r="AT145" i="8"/>
  <c r="H146" i="8"/>
  <c r="J146" i="8" s="1"/>
  <c r="N146" i="8"/>
  <c r="P146" i="8" s="1"/>
  <c r="T146" i="8"/>
  <c r="V146" i="8" s="1"/>
  <c r="Z146" i="8"/>
  <c r="AB146" i="8" s="1"/>
  <c r="AF146" i="8"/>
  <c r="AH146" i="8" s="1"/>
  <c r="AM146" i="8"/>
  <c r="AO146" i="8" s="1"/>
  <c r="AS146" i="8"/>
  <c r="AU146" i="8" s="1"/>
  <c r="F147" i="8"/>
  <c r="L147" i="8"/>
  <c r="R147" i="8"/>
  <c r="S147" i="8" s="1"/>
  <c r="X147" i="8"/>
  <c r="AD147" i="8"/>
  <c r="AJ147" i="8"/>
  <c r="AQ147" i="8"/>
  <c r="AR147" i="8" s="1"/>
  <c r="E148" i="8"/>
  <c r="K148" i="8"/>
  <c r="Q148" i="8"/>
  <c r="W148" i="8"/>
  <c r="Y148" i="8" s="1"/>
  <c r="AC148" i="8"/>
  <c r="AI148" i="8"/>
  <c r="AP148" i="8"/>
  <c r="C149" i="8"/>
  <c r="D149" i="8" s="1"/>
  <c r="I149" i="8"/>
  <c r="O149" i="8"/>
  <c r="U149" i="8"/>
  <c r="AA149" i="8"/>
  <c r="AG149" i="8"/>
  <c r="AN149" i="8"/>
  <c r="AT149" i="8"/>
  <c r="H150" i="8"/>
  <c r="J150" i="8" s="1"/>
  <c r="N150" i="8"/>
  <c r="P150" i="8" s="1"/>
  <c r="T150" i="8"/>
  <c r="V150" i="8" s="1"/>
  <c r="Z150" i="8"/>
  <c r="AB150" i="8" s="1"/>
  <c r="AF150" i="8"/>
  <c r="AH150" i="8" s="1"/>
  <c r="AM150" i="8"/>
  <c r="AO150" i="8" s="1"/>
  <c r="AS150" i="8"/>
  <c r="AU150" i="8" s="1"/>
  <c r="F151" i="8"/>
  <c r="L151" i="8"/>
  <c r="R151" i="8"/>
  <c r="X151" i="8"/>
  <c r="AD151" i="8"/>
  <c r="AJ151" i="8"/>
  <c r="AQ151" i="8"/>
  <c r="E152" i="8"/>
  <c r="K152" i="8"/>
  <c r="Q152" i="8"/>
  <c r="W152" i="8"/>
  <c r="AC152" i="8"/>
  <c r="AI152" i="8"/>
  <c r="AP152" i="8"/>
  <c r="C153" i="8"/>
  <c r="D153" i="8" s="1"/>
  <c r="I153" i="8"/>
  <c r="O153" i="8"/>
  <c r="U153" i="8"/>
  <c r="AA153" i="8"/>
  <c r="AG153" i="8"/>
  <c r="AN153" i="8"/>
  <c r="AT153" i="8"/>
  <c r="H154" i="8"/>
  <c r="J154" i="8" s="1"/>
  <c r="N154" i="8"/>
  <c r="P154" i="8" s="1"/>
  <c r="T154" i="8"/>
  <c r="V154" i="8" s="1"/>
  <c r="Z154" i="8"/>
  <c r="AB154" i="8" s="1"/>
  <c r="AF154" i="8"/>
  <c r="AH154" i="8" s="1"/>
  <c r="AM154" i="8"/>
  <c r="AO154" i="8" s="1"/>
  <c r="AS154" i="8"/>
  <c r="AU154" i="8" s="1"/>
  <c r="F155" i="8"/>
  <c r="L155" i="8"/>
  <c r="R155" i="8"/>
  <c r="X155" i="8"/>
  <c r="AD155" i="8"/>
  <c r="AJ155" i="8"/>
  <c r="AQ155" i="8"/>
  <c r="E156" i="8"/>
  <c r="G156" i="8" s="1"/>
  <c r="K156" i="8"/>
  <c r="M156" i="8" s="1"/>
  <c r="Q156" i="8"/>
  <c r="W156" i="8"/>
  <c r="AC156" i="8"/>
  <c r="AE156" i="8" s="1"/>
  <c r="AI156" i="8"/>
  <c r="AP156" i="8"/>
  <c r="C157" i="8"/>
  <c r="I157" i="8"/>
  <c r="O157" i="8"/>
  <c r="U157" i="8"/>
  <c r="AA157" i="8"/>
  <c r="AG157" i="8"/>
  <c r="AN157" i="8"/>
  <c r="AT157" i="8"/>
  <c r="H158" i="8"/>
  <c r="J158" i="8" s="1"/>
  <c r="N158" i="8"/>
  <c r="P158" i="8" s="1"/>
  <c r="T158" i="8"/>
  <c r="V158" i="8" s="1"/>
  <c r="Z158" i="8"/>
  <c r="AB158" i="8" s="1"/>
  <c r="AF158" i="8"/>
  <c r="AH158" i="8" s="1"/>
  <c r="AM158" i="8"/>
  <c r="AO158" i="8" s="1"/>
  <c r="AS158" i="8"/>
  <c r="AU158" i="8" s="1"/>
  <c r="F159" i="8"/>
  <c r="L159" i="8"/>
  <c r="R159" i="8"/>
  <c r="X159" i="8"/>
  <c r="AD159" i="8"/>
  <c r="AJ159" i="8"/>
  <c r="AQ159" i="8"/>
  <c r="E160" i="8"/>
  <c r="K160" i="8"/>
  <c r="Q160" i="8"/>
  <c r="W160" i="8"/>
  <c r="Y160" i="8" s="1"/>
  <c r="AC160" i="8"/>
  <c r="AE160" i="8" s="1"/>
  <c r="AI160" i="8"/>
  <c r="AP160" i="8"/>
  <c r="C161" i="8"/>
  <c r="I161" i="8"/>
  <c r="O161" i="8"/>
  <c r="U161" i="8"/>
  <c r="AA161" i="8"/>
  <c r="AG161" i="8"/>
  <c r="AN161" i="8"/>
  <c r="AT161" i="8"/>
  <c r="H162" i="8"/>
  <c r="J162" i="8" s="1"/>
  <c r="N162" i="8"/>
  <c r="P162" i="8" s="1"/>
  <c r="T162" i="8"/>
  <c r="V162" i="8" s="1"/>
  <c r="Z162" i="8"/>
  <c r="AB162" i="8" s="1"/>
  <c r="AF162" i="8"/>
  <c r="AH162" i="8" s="1"/>
  <c r="AM162" i="8"/>
  <c r="AO162" i="8" s="1"/>
  <c r="AS162" i="8"/>
  <c r="AU162" i="8" s="1"/>
  <c r="F163" i="8"/>
  <c r="L163" i="8"/>
  <c r="R163" i="8"/>
  <c r="X163" i="8"/>
  <c r="AD163" i="8"/>
  <c r="AJ163" i="8"/>
  <c r="AQ163" i="8"/>
  <c r="AR163" i="8" s="1"/>
  <c r="E164" i="8"/>
  <c r="K164" i="8"/>
  <c r="Q164" i="8"/>
  <c r="W164" i="8"/>
  <c r="Y164" i="8" s="1"/>
  <c r="AC164" i="8"/>
  <c r="AI164" i="8"/>
  <c r="AP164" i="8"/>
  <c r="C165" i="8"/>
  <c r="I165" i="8"/>
  <c r="O165" i="8"/>
  <c r="U165" i="8"/>
  <c r="AA165" i="8"/>
  <c r="AG165" i="8"/>
  <c r="AN165" i="8"/>
  <c r="AT165" i="8"/>
  <c r="H166" i="8"/>
  <c r="J166" i="8" s="1"/>
  <c r="N166" i="8"/>
  <c r="P166" i="8" s="1"/>
  <c r="T166" i="8"/>
  <c r="V166" i="8" s="1"/>
  <c r="Z166" i="8"/>
  <c r="AB166" i="8" s="1"/>
  <c r="AF166" i="8"/>
  <c r="AH166" i="8" s="1"/>
  <c r="AM166" i="8"/>
  <c r="AO166" i="8" s="1"/>
  <c r="AS166" i="8"/>
  <c r="AU166" i="8" s="1"/>
  <c r="F167" i="8"/>
  <c r="L167" i="8"/>
  <c r="R167" i="8"/>
  <c r="X167" i="8"/>
  <c r="AD167" i="8"/>
  <c r="AJ167" i="8"/>
  <c r="AQ167" i="8"/>
  <c r="E168" i="8"/>
  <c r="K168" i="8"/>
  <c r="Q168" i="8"/>
  <c r="W168" i="8"/>
  <c r="AC168" i="8"/>
  <c r="AI168" i="8"/>
  <c r="AP168" i="8"/>
  <c r="C169" i="8"/>
  <c r="I169" i="8"/>
  <c r="O169" i="8"/>
  <c r="U169" i="8"/>
  <c r="AA169" i="8"/>
  <c r="AG169" i="8"/>
  <c r="AN169" i="8"/>
  <c r="AT169" i="8"/>
  <c r="H170" i="8"/>
  <c r="J170" i="8" s="1"/>
  <c r="N170" i="8"/>
  <c r="P170" i="8" s="1"/>
  <c r="T170" i="8"/>
  <c r="V170" i="8" s="1"/>
  <c r="Z170" i="8"/>
  <c r="AB170" i="8" s="1"/>
  <c r="AF170" i="8"/>
  <c r="AH170" i="8" s="1"/>
  <c r="AM170" i="8"/>
  <c r="AO170" i="8" s="1"/>
  <c r="AS170" i="8"/>
  <c r="AU170" i="8" s="1"/>
  <c r="F171" i="8"/>
  <c r="L171" i="8"/>
  <c r="R171" i="8"/>
  <c r="X171" i="8"/>
  <c r="AD171" i="8"/>
  <c r="AJ171" i="8"/>
  <c r="AQ171" i="8"/>
  <c r="E172" i="8"/>
  <c r="G172" i="8" s="1"/>
  <c r="K172" i="8"/>
  <c r="M172" i="8" s="1"/>
  <c r="Q172" i="8"/>
  <c r="W172" i="8"/>
  <c r="AC172" i="8"/>
  <c r="AE172" i="8" s="1"/>
  <c r="AI172" i="8"/>
  <c r="AP172" i="8"/>
  <c r="BB50" i="8"/>
  <c r="BB146" i="8"/>
  <c r="AX84" i="8"/>
  <c r="AR41" i="8"/>
  <c r="Y165" i="8"/>
  <c r="V39" i="8"/>
  <c r="V135" i="8"/>
  <c r="P27" i="8"/>
  <c r="P43" i="8"/>
  <c r="P107" i="8"/>
  <c r="P171" i="8"/>
  <c r="AX148" i="8"/>
  <c r="AX164" i="8"/>
  <c r="H204" i="5"/>
  <c r="G204" i="5"/>
  <c r="H203" i="5"/>
  <c r="H205" i="5"/>
  <c r="B215" i="5" l="1"/>
  <c r="B219" i="5"/>
  <c r="B223" i="5"/>
  <c r="G215" i="5"/>
  <c r="D215" i="5" s="1"/>
  <c r="G219" i="5"/>
  <c r="D219" i="5" s="1"/>
  <c r="G223" i="5"/>
  <c r="D223" i="5" s="1"/>
  <c r="B222" i="5"/>
  <c r="G222" i="5"/>
  <c r="D222" i="5" s="1"/>
  <c r="B216" i="5"/>
  <c r="B220" i="5"/>
  <c r="B224" i="5"/>
  <c r="G216" i="5"/>
  <c r="D216" i="5" s="1"/>
  <c r="G220" i="5"/>
  <c r="D220" i="5" s="1"/>
  <c r="G224" i="5"/>
  <c r="D224" i="5" s="1"/>
  <c r="B218" i="5"/>
  <c r="G214" i="5"/>
  <c r="D214" i="5" s="1"/>
  <c r="B217" i="5"/>
  <c r="B221" i="5"/>
  <c r="B213" i="5"/>
  <c r="G217" i="5"/>
  <c r="D217" i="5" s="1"/>
  <c r="G221" i="5"/>
  <c r="D221" i="5" s="1"/>
  <c r="G213" i="5"/>
  <c r="D213" i="5" s="1"/>
  <c r="D225" i="5"/>
  <c r="B214" i="5"/>
  <c r="G218" i="5"/>
  <c r="D218" i="5" s="1"/>
  <c r="C215" i="5"/>
  <c r="C219" i="5"/>
  <c r="C223" i="5"/>
  <c r="C217" i="5"/>
  <c r="C213" i="5"/>
  <c r="C216" i="5"/>
  <c r="C224" i="5"/>
  <c r="C214" i="5"/>
  <c r="C218" i="5"/>
  <c r="C222" i="5"/>
  <c r="C221" i="5"/>
  <c r="C220" i="5"/>
  <c r="C76" i="5"/>
  <c r="C75" i="5"/>
  <c r="C74" i="5"/>
  <c r="C70" i="5"/>
  <c r="J21" i="4" a="1"/>
  <c r="J21" i="4" s="1"/>
  <c r="C72" i="5"/>
  <c r="C71" i="5"/>
  <c r="C69" i="5"/>
  <c r="C73" i="5"/>
  <c r="C77" i="5"/>
  <c r="C78" i="5"/>
  <c r="C68" i="5"/>
  <c r="C79" i="5"/>
  <c r="B70" i="5"/>
  <c r="B74" i="5"/>
  <c r="B78" i="5"/>
  <c r="B69" i="5"/>
  <c r="B71" i="5"/>
  <c r="B75" i="5"/>
  <c r="B79" i="5"/>
  <c r="B72" i="5"/>
  <c r="B76" i="5"/>
  <c r="B68" i="5"/>
  <c r="B73" i="5"/>
  <c r="B77" i="5"/>
  <c r="K38" i="4"/>
  <c r="K37" i="4"/>
  <c r="J2" i="4" a="1"/>
  <c r="J2" i="4" s="1"/>
  <c r="L36" i="4"/>
  <c r="K36" i="4"/>
  <c r="G18" i="8"/>
  <c r="S10" i="8"/>
  <c r="G166" i="8"/>
  <c r="J164" i="8"/>
  <c r="AX154" i="8"/>
  <c r="G150" i="8"/>
  <c r="J148" i="8"/>
  <c r="AO144" i="8"/>
  <c r="S142" i="8"/>
  <c r="AE134" i="8"/>
  <c r="AO128" i="8"/>
  <c r="AY128" i="8" s="1"/>
  <c r="S126" i="8"/>
  <c r="V124" i="8"/>
  <c r="AX122" i="8"/>
  <c r="BB120" i="8"/>
  <c r="BC120" i="8" s="1"/>
  <c r="AE118" i="8"/>
  <c r="AO112" i="8"/>
  <c r="V108" i="8"/>
  <c r="G102" i="8"/>
  <c r="S94" i="8"/>
  <c r="AU92" i="8"/>
  <c r="V92" i="8"/>
  <c r="BB88" i="8"/>
  <c r="S78" i="8"/>
  <c r="AX74" i="8"/>
  <c r="G70" i="8"/>
  <c r="V60" i="8"/>
  <c r="AX58" i="8"/>
  <c r="BB56" i="8"/>
  <c r="AE54" i="8"/>
  <c r="AX42" i="8"/>
  <c r="BC42" i="8" s="1"/>
  <c r="BB40" i="8"/>
  <c r="G38" i="8"/>
  <c r="AR30" i="8"/>
  <c r="S30" i="8"/>
  <c r="AE22" i="8"/>
  <c r="AH19" i="8"/>
  <c r="AK17" i="8"/>
  <c r="AO15" i="8"/>
  <c r="P15" i="8"/>
  <c r="AR13" i="8"/>
  <c r="AU11" i="8"/>
  <c r="Y9" i="8"/>
  <c r="BB7" i="8"/>
  <c r="J3" i="8"/>
  <c r="Y19" i="8"/>
  <c r="AH16" i="8"/>
  <c r="AE15" i="8"/>
  <c r="AO12" i="8"/>
  <c r="P12" i="8"/>
  <c r="AK11" i="8"/>
  <c r="M11" i="8"/>
  <c r="AU8" i="8"/>
  <c r="AR7" i="8"/>
  <c r="D34" i="8"/>
  <c r="D50" i="8"/>
  <c r="D66" i="8"/>
  <c r="D82" i="8"/>
  <c r="D98" i="8"/>
  <c r="D114" i="8"/>
  <c r="D130" i="8"/>
  <c r="D146" i="8"/>
  <c r="D162" i="8"/>
  <c r="S105" i="8"/>
  <c r="AU103" i="8"/>
  <c r="V103" i="8"/>
  <c r="Y101" i="8"/>
  <c r="BB99" i="8"/>
  <c r="AB99" i="8"/>
  <c r="AE97" i="8"/>
  <c r="G97" i="8"/>
  <c r="AH95" i="8"/>
  <c r="J95" i="8"/>
  <c r="AK93" i="8"/>
  <c r="M93" i="8"/>
  <c r="P91" i="8"/>
  <c r="AR89" i="8"/>
  <c r="AU87" i="8"/>
  <c r="V87" i="8"/>
  <c r="Y85" i="8"/>
  <c r="BB83" i="8"/>
  <c r="AB83" i="8"/>
  <c r="AH79" i="8"/>
  <c r="J79" i="8"/>
  <c r="AK77" i="8"/>
  <c r="M77" i="8"/>
  <c r="AR73" i="8"/>
  <c r="V71" i="8"/>
  <c r="Y69" i="8"/>
  <c r="AB67" i="8"/>
  <c r="J63" i="8"/>
  <c r="AR57" i="8"/>
  <c r="AU55" i="8"/>
  <c r="V55" i="8"/>
  <c r="Y53" i="8"/>
  <c r="BB51" i="8"/>
  <c r="BC51" i="8" s="1"/>
  <c r="AB51" i="8"/>
  <c r="AE49" i="8"/>
  <c r="G49" i="8"/>
  <c r="AH47" i="8"/>
  <c r="J47" i="8"/>
  <c r="AK45" i="8"/>
  <c r="M45" i="8"/>
  <c r="AO43" i="8"/>
  <c r="AU39" i="8"/>
  <c r="BB35" i="8"/>
  <c r="AB35" i="8"/>
  <c r="AE33" i="8"/>
  <c r="G33" i="8"/>
  <c r="AH31" i="8"/>
  <c r="M29" i="8"/>
  <c r="AO27" i="8"/>
  <c r="AY27" i="8" s="1"/>
  <c r="AR25" i="8"/>
  <c r="AU23" i="8"/>
  <c r="V23" i="8"/>
  <c r="Y21" i="8"/>
  <c r="AB18" i="8"/>
  <c r="AE16" i="8"/>
  <c r="AK12" i="8"/>
  <c r="P10" i="8"/>
  <c r="S8" i="8"/>
  <c r="AU6" i="8"/>
  <c r="V6" i="8"/>
  <c r="AX4" i="8"/>
  <c r="AY4" i="8" s="1"/>
  <c r="AX3" i="8"/>
  <c r="D63" i="8"/>
  <c r="P19" i="8"/>
  <c r="J147" i="8"/>
  <c r="BB119" i="8"/>
  <c r="S14" i="8"/>
  <c r="AX126" i="8"/>
  <c r="BC126" i="8" s="1"/>
  <c r="V96" i="8"/>
  <c r="J88" i="8"/>
  <c r="BB44" i="8"/>
  <c r="BC44" i="8" s="1"/>
  <c r="AH40" i="8"/>
  <c r="AU32" i="8"/>
  <c r="D27" i="8"/>
  <c r="D43" i="8"/>
  <c r="D59" i="8"/>
  <c r="D75" i="8"/>
  <c r="D91" i="8"/>
  <c r="D107" i="8"/>
  <c r="D123" i="8"/>
  <c r="D139" i="8"/>
  <c r="D155" i="8"/>
  <c r="D171" i="8"/>
  <c r="BB123" i="8"/>
  <c r="AR33" i="8"/>
  <c r="BB3" i="8"/>
  <c r="BC3" i="8" s="1"/>
  <c r="D80" i="8"/>
  <c r="D48" i="8"/>
  <c r="D32" i="8"/>
  <c r="AR121" i="8"/>
  <c r="AU119" i="8"/>
  <c r="V119" i="8"/>
  <c r="Y117" i="8"/>
  <c r="AB115" i="8"/>
  <c r="AE113" i="8"/>
  <c r="G113" i="8"/>
  <c r="J111" i="8"/>
  <c r="D65" i="8"/>
  <c r="P20" i="8"/>
  <c r="AU16" i="8"/>
  <c r="V16" i="8"/>
  <c r="AB12" i="8"/>
  <c r="AH8" i="8"/>
  <c r="J8" i="8"/>
  <c r="AO4" i="8"/>
  <c r="D11" i="8"/>
  <c r="AL11" i="8" s="1"/>
  <c r="D24" i="8"/>
  <c r="D40" i="8"/>
  <c r="D56" i="8"/>
  <c r="BB171" i="8"/>
  <c r="BC171" i="8" s="1"/>
  <c r="AB171" i="8"/>
  <c r="AE169" i="8"/>
  <c r="G169" i="8"/>
  <c r="AH167" i="8"/>
  <c r="J167" i="8"/>
  <c r="AK165" i="8"/>
  <c r="AL165" i="8" s="1"/>
  <c r="M165" i="8"/>
  <c r="P163" i="8"/>
  <c r="AU159" i="8"/>
  <c r="V159" i="8"/>
  <c r="Y157" i="8"/>
  <c r="BB155" i="8"/>
  <c r="BC155" i="8" s="1"/>
  <c r="AB155" i="8"/>
  <c r="AE153" i="8"/>
  <c r="G153" i="8"/>
  <c r="AH151" i="8"/>
  <c r="J151" i="8"/>
  <c r="P147" i="8"/>
  <c r="AU143" i="8"/>
  <c r="V143" i="8"/>
  <c r="Y141" i="8"/>
  <c r="BB139" i="8"/>
  <c r="BC139" i="8" s="1"/>
  <c r="AB139" i="8"/>
  <c r="AE137" i="8"/>
  <c r="G137" i="8"/>
  <c r="AH135" i="8"/>
  <c r="J135" i="8"/>
  <c r="AK133" i="8"/>
  <c r="M133" i="8"/>
  <c r="P131" i="8"/>
  <c r="S129" i="8"/>
  <c r="AU127" i="8"/>
  <c r="V127" i="8"/>
  <c r="Y125" i="8"/>
  <c r="AB123" i="8"/>
  <c r="AE121" i="8"/>
  <c r="G121" i="8"/>
  <c r="AH119" i="8"/>
  <c r="J119" i="8"/>
  <c r="P115" i="8"/>
  <c r="AU111" i="8"/>
  <c r="V111" i="8"/>
  <c r="Y109" i="8"/>
  <c r="BB107" i="8"/>
  <c r="AB107" i="8"/>
  <c r="AE105" i="8"/>
  <c r="G105" i="8"/>
  <c r="AH103" i="8"/>
  <c r="J103" i="8"/>
  <c r="AK101" i="8"/>
  <c r="AL101" i="8" s="1"/>
  <c r="M101" i="8"/>
  <c r="P99" i="8"/>
  <c r="AR97" i="8"/>
  <c r="AU95" i="8"/>
  <c r="V95" i="8"/>
  <c r="Y93" i="8"/>
  <c r="BB91" i="8"/>
  <c r="BC91" i="8" s="1"/>
  <c r="AB91" i="8"/>
  <c r="AE89" i="8"/>
  <c r="G89" i="8"/>
  <c r="AH87" i="8"/>
  <c r="J87" i="8"/>
  <c r="AK85" i="8"/>
  <c r="AO83" i="8"/>
  <c r="P83" i="8"/>
  <c r="AR81" i="8"/>
  <c r="S81" i="8"/>
  <c r="AU79" i="8"/>
  <c r="V79" i="8"/>
  <c r="AX77" i="8"/>
  <c r="AY77" i="8" s="1"/>
  <c r="Y77" i="8"/>
  <c r="BB75" i="8"/>
  <c r="BC75" i="8" s="1"/>
  <c r="AB75" i="8"/>
  <c r="V171" i="8"/>
  <c r="Y169" i="8"/>
  <c r="BB167" i="8"/>
  <c r="BC167" i="8" s="1"/>
  <c r="AE165" i="8"/>
  <c r="AH163" i="8"/>
  <c r="AU155" i="8"/>
  <c r="V155" i="8"/>
  <c r="AB151" i="8"/>
  <c r="AK145" i="8"/>
  <c r="AB135" i="8"/>
  <c r="AE133" i="8"/>
  <c r="J131" i="8"/>
  <c r="AU123" i="8"/>
  <c r="V123" i="8"/>
  <c r="AB119" i="8"/>
  <c r="S109" i="8"/>
  <c r="G101" i="8"/>
  <c r="J99" i="8"/>
  <c r="P95" i="8"/>
  <c r="V91" i="8"/>
  <c r="BB87" i="8"/>
  <c r="BC87" i="8" s="1"/>
  <c r="AB87" i="8"/>
  <c r="J83" i="8"/>
  <c r="AK81" i="8"/>
  <c r="P79" i="8"/>
  <c r="AR77" i="8"/>
  <c r="AU75" i="8"/>
  <c r="V75" i="8"/>
  <c r="AX73" i="8"/>
  <c r="AR60" i="8"/>
  <c r="AE73" i="8"/>
  <c r="G73" i="8"/>
  <c r="AH71" i="8"/>
  <c r="J71" i="8"/>
  <c r="AK69" i="8"/>
  <c r="M69" i="8"/>
  <c r="AO67" i="8"/>
  <c r="AY67" i="8" s="1"/>
  <c r="P67" i="8"/>
  <c r="AR65" i="8"/>
  <c r="S65" i="8"/>
  <c r="AU63" i="8"/>
  <c r="V63" i="8"/>
  <c r="Y61" i="8"/>
  <c r="BB59" i="8"/>
  <c r="BC59" i="8" s="1"/>
  <c r="AB59" i="8"/>
  <c r="AE57" i="8"/>
  <c r="G57" i="8"/>
  <c r="AH55" i="8"/>
  <c r="J55" i="8"/>
  <c r="AK53" i="8"/>
  <c r="M53" i="8"/>
  <c r="AO51" i="8"/>
  <c r="AY51" i="8" s="1"/>
  <c r="P51" i="8"/>
  <c r="AR49" i="8"/>
  <c r="S49" i="8"/>
  <c r="AU47" i="8"/>
  <c r="V47" i="8"/>
  <c r="Y45" i="8"/>
  <c r="BB43" i="8"/>
  <c r="AB43" i="8"/>
  <c r="AE41" i="8"/>
  <c r="G41" i="8"/>
  <c r="AH39" i="8"/>
  <c r="J39" i="8"/>
  <c r="AK37" i="8"/>
  <c r="AL37" i="8" s="1"/>
  <c r="M37" i="8"/>
  <c r="AO35" i="8"/>
  <c r="P35" i="8"/>
  <c r="S33" i="8"/>
  <c r="AU31" i="8"/>
  <c r="V31" i="8"/>
  <c r="Y29" i="8"/>
  <c r="BB27" i="8"/>
  <c r="BC27" i="8" s="1"/>
  <c r="AB27" i="8"/>
  <c r="AE25" i="8"/>
  <c r="G25" i="8"/>
  <c r="AH23" i="8"/>
  <c r="J23" i="8"/>
  <c r="AK21" i="8"/>
  <c r="M21" i="8"/>
  <c r="P18" i="8"/>
  <c r="AR16" i="8"/>
  <c r="S16" i="8"/>
  <c r="AU14" i="8"/>
  <c r="V14" i="8"/>
  <c r="AX12" i="8"/>
  <c r="Y12" i="8"/>
  <c r="AB10" i="8"/>
  <c r="AE8" i="8"/>
  <c r="G8" i="8"/>
  <c r="AH6" i="8"/>
  <c r="J6" i="8"/>
  <c r="AK4" i="8"/>
  <c r="AL4" i="8" s="1"/>
  <c r="AK3" i="8"/>
  <c r="D13" i="8"/>
  <c r="AO47" i="8"/>
  <c r="AY47" i="8" s="1"/>
  <c r="AR45" i="8"/>
  <c r="AU43" i="8"/>
  <c r="Y41" i="8"/>
  <c r="P31" i="8"/>
  <c r="AU27" i="8"/>
  <c r="V27" i="8"/>
  <c r="BB23" i="8"/>
  <c r="BC23" i="8" s="1"/>
  <c r="G20" i="8"/>
  <c r="M16" i="8"/>
  <c r="V10" i="8"/>
  <c r="D5" i="8"/>
  <c r="S131" i="8"/>
  <c r="Y79" i="8"/>
  <c r="AK71" i="8"/>
  <c r="AK23" i="8"/>
  <c r="M87" i="8"/>
  <c r="M71" i="8"/>
  <c r="AK55" i="8"/>
  <c r="Y47" i="8"/>
  <c r="AK39" i="8"/>
  <c r="M23" i="8"/>
  <c r="G170" i="8"/>
  <c r="V160" i="8"/>
  <c r="AO148" i="8"/>
  <c r="G138" i="8"/>
  <c r="P84" i="8"/>
  <c r="AU80" i="8"/>
  <c r="V64" i="8"/>
  <c r="AO19" i="8"/>
  <c r="AY19" i="8" s="1"/>
  <c r="BB11" i="8"/>
  <c r="BC11" i="8" s="1"/>
  <c r="AE9" i="8"/>
  <c r="M55" i="8"/>
  <c r="M39" i="8"/>
  <c r="M19" i="8"/>
  <c r="D74" i="8"/>
  <c r="D106" i="8"/>
  <c r="D170" i="8"/>
  <c r="AR159" i="8"/>
  <c r="AR143" i="8"/>
  <c r="AR127" i="8"/>
  <c r="AR111" i="8"/>
  <c r="AR95" i="8"/>
  <c r="AK67" i="8"/>
  <c r="AK35" i="8"/>
  <c r="AR31" i="8"/>
  <c r="Y27" i="8"/>
  <c r="D31" i="8"/>
  <c r="D47" i="8"/>
  <c r="D79" i="8"/>
  <c r="D95" i="8"/>
  <c r="D111" i="8"/>
  <c r="D127" i="8"/>
  <c r="D159" i="8"/>
  <c r="AU144" i="8"/>
  <c r="AE138" i="8"/>
  <c r="AH136" i="8"/>
  <c r="V128" i="8"/>
  <c r="BB124" i="8"/>
  <c r="G122" i="8"/>
  <c r="AE106" i="8"/>
  <c r="AO100" i="8"/>
  <c r="AY100" i="8" s="1"/>
  <c r="AX94" i="8"/>
  <c r="AY94" i="8" s="1"/>
  <c r="AB92" i="8"/>
  <c r="AR82" i="8"/>
  <c r="AH72" i="8"/>
  <c r="AO68" i="8"/>
  <c r="S66" i="8"/>
  <c r="AU64" i="8"/>
  <c r="BB60" i="8"/>
  <c r="G58" i="8"/>
  <c r="J56" i="8"/>
  <c r="P52" i="8"/>
  <c r="AR50" i="8"/>
  <c r="AB44" i="8"/>
  <c r="G42" i="8"/>
  <c r="S34" i="8"/>
  <c r="AB28" i="8"/>
  <c r="G26" i="8"/>
  <c r="AH24" i="8"/>
  <c r="J24" i="8"/>
  <c r="V15" i="8"/>
  <c r="G9" i="8"/>
  <c r="M4" i="8"/>
  <c r="D12" i="8"/>
  <c r="AL12" i="8" s="1"/>
  <c r="AK19" i="8"/>
  <c r="D26" i="8"/>
  <c r="D58" i="8"/>
  <c r="D122" i="8"/>
  <c r="D154" i="8"/>
  <c r="AR79" i="8"/>
  <c r="M67" i="8"/>
  <c r="AR63" i="8"/>
  <c r="AR47" i="8"/>
  <c r="Y43" i="8"/>
  <c r="M35" i="8"/>
  <c r="AR14" i="8"/>
  <c r="AE170" i="8"/>
  <c r="AH168" i="8"/>
  <c r="J168" i="8"/>
  <c r="AO164" i="8"/>
  <c r="AY164" i="8" s="1"/>
  <c r="S162" i="8"/>
  <c r="AU160" i="8"/>
  <c r="AX158" i="8"/>
  <c r="AY158" i="8" s="1"/>
  <c r="AE154" i="8"/>
  <c r="G154" i="8"/>
  <c r="AH152" i="8"/>
  <c r="J152" i="8"/>
  <c r="P148" i="8"/>
  <c r="S146" i="8"/>
  <c r="V144" i="8"/>
  <c r="AX142" i="8"/>
  <c r="AY142" i="8" s="1"/>
  <c r="S130" i="8"/>
  <c r="AE122" i="8"/>
  <c r="AH120" i="8"/>
  <c r="AO116" i="8"/>
  <c r="S114" i="8"/>
  <c r="AU112" i="8"/>
  <c r="V112" i="8"/>
  <c r="AX110" i="8"/>
  <c r="AY110" i="8" s="1"/>
  <c r="G106" i="8"/>
  <c r="AH104" i="8"/>
  <c r="S98" i="8"/>
  <c r="G90" i="8"/>
  <c r="AX78" i="8"/>
  <c r="AY78" i="8" s="1"/>
  <c r="BB76" i="8"/>
  <c r="BC76" i="8" s="1"/>
  <c r="G74" i="8"/>
  <c r="J72" i="8"/>
  <c r="AX62" i="8"/>
  <c r="AY62" i="8" s="1"/>
  <c r="AO52" i="8"/>
  <c r="AY52" i="8" s="1"/>
  <c r="S50" i="8"/>
  <c r="AU48" i="8"/>
  <c r="AE42" i="8"/>
  <c r="AO36" i="8"/>
  <c r="AY36" i="8" s="1"/>
  <c r="AX30" i="8"/>
  <c r="BB28" i="8"/>
  <c r="AE26" i="8"/>
  <c r="S17" i="8"/>
  <c r="AU15" i="8"/>
  <c r="AH7" i="8"/>
  <c r="M5" i="8"/>
  <c r="P3" i="8"/>
  <c r="D44" i="8"/>
  <c r="D92" i="8"/>
  <c r="D33" i="8"/>
  <c r="D81" i="8"/>
  <c r="D129" i="8"/>
  <c r="AR15" i="8"/>
  <c r="Y11" i="8"/>
  <c r="D42" i="8"/>
  <c r="D90" i="8"/>
  <c r="D138" i="8"/>
  <c r="AK51" i="8"/>
  <c r="M51" i="8"/>
  <c r="AE6" i="8"/>
  <c r="G6" i="8"/>
  <c r="D143" i="8"/>
  <c r="J136" i="8"/>
  <c r="AO132" i="8"/>
  <c r="AB124" i="8"/>
  <c r="J120" i="8"/>
  <c r="BB108" i="8"/>
  <c r="J104" i="8"/>
  <c r="BB92" i="8"/>
  <c r="BC92" i="8" s="1"/>
  <c r="AE90" i="8"/>
  <c r="AH88" i="8"/>
  <c r="AO84" i="8"/>
  <c r="S82" i="8"/>
  <c r="V80" i="8"/>
  <c r="AB76" i="8"/>
  <c r="AE74" i="8"/>
  <c r="P68" i="8"/>
  <c r="AR66" i="8"/>
  <c r="AE58" i="8"/>
  <c r="AH56" i="8"/>
  <c r="V48" i="8"/>
  <c r="AX46" i="8"/>
  <c r="AY46" i="8" s="1"/>
  <c r="J40" i="8"/>
  <c r="AR34" i="8"/>
  <c r="V32" i="8"/>
  <c r="AO20" i="8"/>
  <c r="AR17" i="8"/>
  <c r="AB11" i="8"/>
  <c r="J7" i="8"/>
  <c r="AK5" i="8"/>
  <c r="D28" i="8"/>
  <c r="D76" i="8"/>
  <c r="D49" i="8"/>
  <c r="D113" i="8"/>
  <c r="AE168" i="8"/>
  <c r="P165" i="8"/>
  <c r="AU161" i="8"/>
  <c r="S160" i="8"/>
  <c r="D157" i="8"/>
  <c r="AE152" i="8"/>
  <c r="Y140" i="8"/>
  <c r="AE136" i="8"/>
  <c r="AO133" i="8"/>
  <c r="AK132" i="8"/>
  <c r="AU129" i="8"/>
  <c r="S128" i="8"/>
  <c r="D125" i="8"/>
  <c r="AO117" i="8"/>
  <c r="M116" i="8"/>
  <c r="J105" i="8"/>
  <c r="AO101" i="8"/>
  <c r="AK100" i="8"/>
  <c r="D93" i="8"/>
  <c r="AL93" i="8" s="1"/>
  <c r="P85" i="8"/>
  <c r="V81" i="8"/>
  <c r="AR80" i="8"/>
  <c r="S80" i="8"/>
  <c r="AB77" i="8"/>
  <c r="D77" i="8"/>
  <c r="Y76" i="8"/>
  <c r="AE72" i="8"/>
  <c r="G72" i="8"/>
  <c r="AO69" i="8"/>
  <c r="P69" i="8"/>
  <c r="V65" i="8"/>
  <c r="AR64" i="8"/>
  <c r="S64" i="8"/>
  <c r="AB61" i="8"/>
  <c r="D61" i="8"/>
  <c r="Y60" i="8"/>
  <c r="AE56" i="8"/>
  <c r="G56" i="8"/>
  <c r="AO53" i="8"/>
  <c r="P53" i="8"/>
  <c r="AU49" i="8"/>
  <c r="V49" i="8"/>
  <c r="AR48" i="8"/>
  <c r="S48" i="8"/>
  <c r="AB45" i="8"/>
  <c r="D45" i="8"/>
  <c r="Y44" i="8"/>
  <c r="AE40" i="8"/>
  <c r="G40" i="8"/>
  <c r="AO37" i="8"/>
  <c r="P37" i="8"/>
  <c r="AU33" i="8"/>
  <c r="V33" i="8"/>
  <c r="AR32" i="8"/>
  <c r="S32" i="8"/>
  <c r="AB29" i="8"/>
  <c r="D29" i="8"/>
  <c r="Y28" i="8"/>
  <c r="J25" i="8"/>
  <c r="AE24" i="8"/>
  <c r="G24" i="8"/>
  <c r="P21" i="8"/>
  <c r="P16" i="8"/>
  <c r="AK15" i="8"/>
  <c r="M15" i="8"/>
  <c r="AU12" i="8"/>
  <c r="V12" i="8"/>
  <c r="AR11" i="8"/>
  <c r="AB8" i="8"/>
  <c r="D8" i="8"/>
  <c r="Y7" i="8"/>
  <c r="AH4" i="8"/>
  <c r="J4" i="8"/>
  <c r="M3" i="8"/>
  <c r="D14" i="8"/>
  <c r="Y172" i="8"/>
  <c r="J169" i="8"/>
  <c r="G168" i="8"/>
  <c r="AO165" i="8"/>
  <c r="AY165" i="8" s="1"/>
  <c r="AK164" i="8"/>
  <c r="M164" i="8"/>
  <c r="AB157" i="8"/>
  <c r="Y156" i="8"/>
  <c r="J153" i="8"/>
  <c r="G152" i="8"/>
  <c r="AO149" i="8"/>
  <c r="AK148" i="8"/>
  <c r="M148" i="8"/>
  <c r="AU145" i="8"/>
  <c r="S144" i="8"/>
  <c r="D141" i="8"/>
  <c r="J137" i="8"/>
  <c r="G136" i="8"/>
  <c r="M132" i="8"/>
  <c r="AB125" i="8"/>
  <c r="Y124" i="8"/>
  <c r="J121" i="8"/>
  <c r="G120" i="8"/>
  <c r="AK116" i="8"/>
  <c r="AU113" i="8"/>
  <c r="S112" i="8"/>
  <c r="AB109" i="8"/>
  <c r="Y108" i="8"/>
  <c r="G104" i="8"/>
  <c r="P101" i="8"/>
  <c r="M100" i="8"/>
  <c r="AU97" i="8"/>
  <c r="AB93" i="8"/>
  <c r="Y92" i="8"/>
  <c r="AE88" i="8"/>
  <c r="G88" i="8"/>
  <c r="AO85" i="8"/>
  <c r="AU169" i="8"/>
  <c r="AO157" i="8"/>
  <c r="S172" i="8"/>
  <c r="AB169" i="8"/>
  <c r="Y168" i="8"/>
  <c r="J165" i="8"/>
  <c r="AE164" i="8"/>
  <c r="G164" i="8"/>
  <c r="AO161" i="8"/>
  <c r="P161" i="8"/>
  <c r="AK160" i="8"/>
  <c r="M160" i="8"/>
  <c r="AU157" i="8"/>
  <c r="S156" i="8"/>
  <c r="AB153" i="8"/>
  <c r="Y152" i="8"/>
  <c r="J149" i="8"/>
  <c r="AE148" i="8"/>
  <c r="G148" i="8"/>
  <c r="AO145" i="8"/>
  <c r="P145" i="8"/>
  <c r="AK144" i="8"/>
  <c r="M144" i="8"/>
  <c r="AU141" i="8"/>
  <c r="S140" i="8"/>
  <c r="Y136" i="8"/>
  <c r="J133" i="8"/>
  <c r="AO129" i="8"/>
  <c r="AY129" i="8" s="1"/>
  <c r="P129" i="8"/>
  <c r="AK128" i="8"/>
  <c r="M128" i="8"/>
  <c r="AU125" i="8"/>
  <c r="Y120" i="8"/>
  <c r="J117" i="8"/>
  <c r="G116" i="8"/>
  <c r="AK112" i="8"/>
  <c r="M112" i="8"/>
  <c r="AU109" i="8"/>
  <c r="S108" i="8"/>
  <c r="AB105" i="8"/>
  <c r="Y104" i="8"/>
  <c r="J101" i="8"/>
  <c r="AE100" i="8"/>
  <c r="G100" i="8"/>
  <c r="AO97" i="8"/>
  <c r="AK96" i="8"/>
  <c r="AL96" i="8" s="1"/>
  <c r="AH145" i="8"/>
  <c r="J145" i="8"/>
  <c r="AO141" i="8"/>
  <c r="AO125" i="8"/>
  <c r="J113" i="8"/>
  <c r="AO109" i="8"/>
  <c r="P109" i="8"/>
  <c r="AU105" i="8"/>
  <c r="AH97" i="8"/>
  <c r="J97" i="8"/>
  <c r="AB69" i="8"/>
  <c r="AH65" i="8"/>
  <c r="AB53" i="8"/>
  <c r="P45" i="8"/>
  <c r="P29" i="8"/>
  <c r="AB21" i="8"/>
  <c r="AE18" i="8"/>
  <c r="D3" i="8"/>
  <c r="AU172" i="8"/>
  <c r="V172" i="8"/>
  <c r="AU171" i="8"/>
  <c r="AX170" i="8"/>
  <c r="AY170" i="8" s="1"/>
  <c r="AB167" i="8"/>
  <c r="AE166" i="8"/>
  <c r="G165" i="8"/>
  <c r="AH164" i="8"/>
  <c r="J163" i="8"/>
  <c r="AK161" i="8"/>
  <c r="M161" i="8"/>
  <c r="AO160" i="8"/>
  <c r="P159" i="8"/>
  <c r="S158" i="8"/>
  <c r="AU156" i="8"/>
  <c r="V156" i="8"/>
  <c r="Y153" i="8"/>
  <c r="AB152" i="8"/>
  <c r="BB151" i="8"/>
  <c r="AE150" i="8"/>
  <c r="AE149" i="8"/>
  <c r="G149" i="8"/>
  <c r="AH148" i="8"/>
  <c r="AH147" i="8"/>
  <c r="M145" i="8"/>
  <c r="P144" i="8"/>
  <c r="P143" i="8"/>
  <c r="AU140" i="8"/>
  <c r="V140" i="8"/>
  <c r="AU139" i="8"/>
  <c r="V139" i="8"/>
  <c r="AX138" i="8"/>
  <c r="AX137" i="8"/>
  <c r="AB136" i="8"/>
  <c r="BB135" i="8"/>
  <c r="M96" i="8"/>
  <c r="AU93" i="8"/>
  <c r="V93" i="8"/>
  <c r="AB89" i="8"/>
  <c r="Y88" i="8"/>
  <c r="AE84" i="8"/>
  <c r="G84" i="8"/>
  <c r="AO81" i="8"/>
  <c r="P81" i="8"/>
  <c r="AK80" i="8"/>
  <c r="AL80" i="8" s="1"/>
  <c r="M80" i="8"/>
  <c r="AU77" i="8"/>
  <c r="V77" i="8"/>
  <c r="AR76" i="8"/>
  <c r="S76" i="8"/>
  <c r="AB73" i="8"/>
  <c r="Y72" i="8"/>
  <c r="AE68" i="8"/>
  <c r="G68" i="8"/>
  <c r="AO65" i="8"/>
  <c r="P65" i="8"/>
  <c r="AK64" i="8"/>
  <c r="M64" i="8"/>
  <c r="AU61" i="8"/>
  <c r="V61" i="8"/>
  <c r="S60" i="8"/>
  <c r="AB57" i="8"/>
  <c r="Y56" i="8"/>
  <c r="AE52" i="8"/>
  <c r="G52" i="8"/>
  <c r="AO49" i="8"/>
  <c r="AK48" i="8"/>
  <c r="M48" i="8"/>
  <c r="AU45" i="8"/>
  <c r="V45" i="8"/>
  <c r="AB41" i="8"/>
  <c r="Y40" i="8"/>
  <c r="AE36" i="8"/>
  <c r="G36" i="8"/>
  <c r="AK32" i="8"/>
  <c r="M32" i="8"/>
  <c r="AU29" i="8"/>
  <c r="V29" i="8"/>
  <c r="Y24" i="8"/>
  <c r="AE20" i="8"/>
  <c r="AR18" i="8"/>
  <c r="S18" i="8"/>
  <c r="AO17" i="8"/>
  <c r="AU13" i="8"/>
  <c r="V13" i="8"/>
  <c r="AE10" i="8"/>
  <c r="G10" i="8"/>
  <c r="AB9" i="8"/>
  <c r="AH172" i="8"/>
  <c r="J172" i="8"/>
  <c r="AO169" i="8"/>
  <c r="AO168" i="8"/>
  <c r="S166" i="8"/>
  <c r="AU165" i="8"/>
  <c r="AU164" i="8"/>
  <c r="V164" i="8"/>
  <c r="AX162" i="8"/>
  <c r="AY162" i="8" s="1"/>
  <c r="AE158" i="8"/>
  <c r="G158" i="8"/>
  <c r="AH157" i="8"/>
  <c r="J157" i="8"/>
  <c r="AH156" i="8"/>
  <c r="J156" i="8"/>
  <c r="AO152" i="8"/>
  <c r="AY152" i="8" s="1"/>
  <c r="S150" i="8"/>
  <c r="AU149" i="8"/>
  <c r="AU148" i="8"/>
  <c r="V148" i="8"/>
  <c r="AX146" i="8"/>
  <c r="AY146" i="8" s="1"/>
  <c r="AE142" i="8"/>
  <c r="G142" i="8"/>
  <c r="AH141" i="8"/>
  <c r="J141" i="8"/>
  <c r="AH140" i="8"/>
  <c r="J140" i="8"/>
  <c r="AO137" i="8"/>
  <c r="P137" i="8"/>
  <c r="AO136" i="8"/>
  <c r="S134" i="8"/>
  <c r="AU133" i="8"/>
  <c r="V132" i="8"/>
  <c r="AX130" i="8"/>
  <c r="AY130" i="8" s="1"/>
  <c r="AB129" i="8"/>
  <c r="BB128" i="8"/>
  <c r="AE126" i="8"/>
  <c r="G126" i="8"/>
  <c r="AH125" i="8"/>
  <c r="J125" i="8"/>
  <c r="AH124" i="8"/>
  <c r="J124" i="8"/>
  <c r="AO120" i="8"/>
  <c r="S118" i="8"/>
  <c r="AU117" i="8"/>
  <c r="V116" i="8"/>
  <c r="AX114" i="8"/>
  <c r="AY114" i="8" s="1"/>
  <c r="AB113" i="8"/>
  <c r="BB112" i="8"/>
  <c r="BC112" i="8" s="1"/>
  <c r="AE110" i="8"/>
  <c r="G110" i="8"/>
  <c r="AH109" i="8"/>
  <c r="J109" i="8"/>
  <c r="AH108" i="8"/>
  <c r="J108" i="8"/>
  <c r="AO105" i="8"/>
  <c r="AO104" i="8"/>
  <c r="AY104" i="8" s="1"/>
  <c r="S102" i="8"/>
  <c r="AU101" i="8"/>
  <c r="AU100" i="8"/>
  <c r="V100" i="8"/>
  <c r="AX98" i="8"/>
  <c r="AY98" i="8" s="1"/>
  <c r="AE94" i="8"/>
  <c r="G94" i="8"/>
  <c r="AH93" i="8"/>
  <c r="J93" i="8"/>
  <c r="AH92" i="8"/>
  <c r="J92" i="8"/>
  <c r="AO89" i="8"/>
  <c r="AO88" i="8"/>
  <c r="P88" i="8"/>
  <c r="AR86" i="8"/>
  <c r="G134" i="8"/>
  <c r="G133" i="8"/>
  <c r="AH132" i="8"/>
  <c r="J132" i="8"/>
  <c r="AH131" i="8"/>
  <c r="AK129" i="8"/>
  <c r="M129" i="8"/>
  <c r="P127" i="8"/>
  <c r="AU124" i="8"/>
  <c r="Y121" i="8"/>
  <c r="AB120" i="8"/>
  <c r="G118" i="8"/>
  <c r="AE117" i="8"/>
  <c r="G117" i="8"/>
  <c r="AH116" i="8"/>
  <c r="J116" i="8"/>
  <c r="AH115" i="8"/>
  <c r="J115" i="8"/>
  <c r="P111" i="8"/>
  <c r="S110" i="8"/>
  <c r="AU108" i="8"/>
  <c r="AU107" i="8"/>
  <c r="V107" i="8"/>
  <c r="AX106" i="8"/>
  <c r="AY106" i="8" s="1"/>
  <c r="AX105" i="8"/>
  <c r="Y105" i="8"/>
  <c r="BB104" i="8"/>
  <c r="BB103" i="8"/>
  <c r="BC103" i="8" s="1"/>
  <c r="AB103" i="8"/>
  <c r="AE102" i="8"/>
  <c r="AE101" i="8"/>
  <c r="AH100" i="8"/>
  <c r="J100" i="8"/>
  <c r="S86" i="8"/>
  <c r="AU84" i="8"/>
  <c r="AY83" i="8"/>
  <c r="AX82" i="8"/>
  <c r="AY82" i="8" s="1"/>
  <c r="AB81" i="8"/>
  <c r="BB80" i="8"/>
  <c r="AB80" i="8"/>
  <c r="AE78" i="8"/>
  <c r="G78" i="8"/>
  <c r="AH77" i="8"/>
  <c r="AH76" i="8"/>
  <c r="J76" i="8"/>
  <c r="AO72" i="8"/>
  <c r="AR70" i="8"/>
  <c r="S70" i="8"/>
  <c r="AU68" i="8"/>
  <c r="AX66" i="8"/>
  <c r="AY66" i="8" s="1"/>
  <c r="AB65" i="8"/>
  <c r="BB64" i="8"/>
  <c r="BC64" i="8" s="1"/>
  <c r="AE62" i="8"/>
  <c r="G62" i="8"/>
  <c r="J61" i="8"/>
  <c r="AH60" i="8"/>
  <c r="J60" i="8"/>
  <c r="AO56" i="8"/>
  <c r="P56" i="8"/>
  <c r="AR54" i="8"/>
  <c r="S54" i="8"/>
  <c r="AU52" i="8"/>
  <c r="AX50" i="8"/>
  <c r="BC50" i="8" s="1"/>
  <c r="AB49" i="8"/>
  <c r="BB48" i="8"/>
  <c r="AB48" i="8"/>
  <c r="AE46" i="8"/>
  <c r="G46" i="8"/>
  <c r="J45" i="8"/>
  <c r="AO41" i="8"/>
  <c r="AO40" i="8"/>
  <c r="AY40" i="8" s="1"/>
  <c r="P40" i="8"/>
  <c r="AR38" i="8"/>
  <c r="S38" i="8"/>
  <c r="AU36" i="8"/>
  <c r="AX34" i="8"/>
  <c r="AY34" i="8" s="1"/>
  <c r="AB33" i="8"/>
  <c r="BB32" i="8"/>
  <c r="BC32" i="8" s="1"/>
  <c r="AB32" i="8"/>
  <c r="AE30" i="8"/>
  <c r="G30" i="8"/>
  <c r="AO25" i="8"/>
  <c r="AO24" i="8"/>
  <c r="AY24" i="8" s="1"/>
  <c r="P24" i="8"/>
  <c r="AR22" i="8"/>
  <c r="S22" i="8"/>
  <c r="AU20" i="8"/>
  <c r="AU19" i="8"/>
  <c r="V19" i="8"/>
  <c r="Y17" i="8"/>
  <c r="BB15" i="8"/>
  <c r="BC15" i="8" s="1"/>
  <c r="AB15" i="8"/>
  <c r="D15" i="8"/>
  <c r="AE13" i="8"/>
  <c r="G13" i="8"/>
  <c r="AH11" i="8"/>
  <c r="J11" i="8"/>
  <c r="AK9" i="8"/>
  <c r="M9" i="8"/>
  <c r="AO8" i="8"/>
  <c r="P7" i="8"/>
  <c r="AR5" i="8"/>
  <c r="V3" i="8"/>
  <c r="D7" i="8"/>
  <c r="AL7" i="8" s="1"/>
  <c r="AH99" i="8"/>
  <c r="AK97" i="8"/>
  <c r="M97" i="8"/>
  <c r="AO96" i="8"/>
  <c r="AR93" i="8"/>
  <c r="AU91" i="8"/>
  <c r="AX90" i="8"/>
  <c r="AY90" i="8" s="1"/>
  <c r="Y89" i="8"/>
  <c r="AE86" i="8"/>
  <c r="G86" i="8"/>
  <c r="AH83" i="8"/>
  <c r="P80" i="8"/>
  <c r="AO79" i="8"/>
  <c r="AU76" i="8"/>
  <c r="V76" i="8"/>
  <c r="BB72" i="8"/>
  <c r="AB72" i="8"/>
  <c r="BB71" i="8"/>
  <c r="BC71" i="8" s="1"/>
  <c r="AB71" i="8"/>
  <c r="AE70" i="8"/>
  <c r="AH67" i="8"/>
  <c r="J67" i="8"/>
  <c r="AK65" i="8"/>
  <c r="M65" i="8"/>
  <c r="AO63" i="8"/>
  <c r="P63" i="8"/>
  <c r="S62" i="8"/>
  <c r="AR61" i="8"/>
  <c r="AU60" i="8"/>
  <c r="AU59" i="8"/>
  <c r="V59" i="8"/>
  <c r="AX57" i="8"/>
  <c r="AB56" i="8"/>
  <c r="BB55" i="8"/>
  <c r="BC55" i="8" s="1"/>
  <c r="AB55" i="8"/>
  <c r="G54" i="8"/>
  <c r="AH51" i="8"/>
  <c r="J51" i="8"/>
  <c r="P47" i="8"/>
  <c r="AR46" i="8"/>
  <c r="S46" i="8"/>
  <c r="S45" i="8"/>
  <c r="AU44" i="8"/>
  <c r="V44" i="8"/>
  <c r="V43" i="8"/>
  <c r="AB40" i="8"/>
  <c r="BB39" i="8"/>
  <c r="BC39" i="8" s="1"/>
  <c r="AB39" i="8"/>
  <c r="AE38" i="8"/>
  <c r="AH35" i="8"/>
  <c r="J35" i="8"/>
  <c r="AO31" i="8"/>
  <c r="AR29" i="8"/>
  <c r="S29" i="8"/>
  <c r="AU28" i="8"/>
  <c r="V28" i="8"/>
  <c r="AX26" i="8"/>
  <c r="AY26" i="8" s="1"/>
  <c r="Y25" i="8"/>
  <c r="BB24" i="8"/>
  <c r="AB24" i="8"/>
  <c r="AB23" i="8"/>
  <c r="G22" i="8"/>
  <c r="J19" i="8"/>
  <c r="AH18" i="8"/>
  <c r="J18" i="8"/>
  <c r="M17" i="8"/>
  <c r="AK16" i="8"/>
  <c r="P14" i="8"/>
  <c r="S13" i="8"/>
  <c r="AR12" i="8"/>
  <c r="V11" i="8"/>
  <c r="AU10" i="8"/>
  <c r="AX8" i="8"/>
  <c r="Y8" i="8"/>
  <c r="AB7" i="8"/>
  <c r="AE4" i="8"/>
  <c r="D17" i="8"/>
  <c r="D4" i="8"/>
  <c r="D9" i="8"/>
  <c r="BC124" i="8"/>
  <c r="AY84" i="8"/>
  <c r="AY68" i="8"/>
  <c r="G160" i="8"/>
  <c r="G144" i="8"/>
  <c r="Y132" i="8"/>
  <c r="M124" i="8"/>
  <c r="S120" i="8"/>
  <c r="AE112" i="8"/>
  <c r="AK92" i="8"/>
  <c r="S88" i="8"/>
  <c r="P8" i="8"/>
  <c r="AU4" i="8"/>
  <c r="AU3" i="8"/>
  <c r="D23" i="8"/>
  <c r="D39" i="8"/>
  <c r="D55" i="8"/>
  <c r="AL55" i="8" s="1"/>
  <c r="D71" i="8"/>
  <c r="D87" i="8"/>
  <c r="D103" i="8"/>
  <c r="D119" i="8"/>
  <c r="D135" i="8"/>
  <c r="D151" i="8"/>
  <c r="D167" i="8"/>
  <c r="AU167" i="8"/>
  <c r="V167" i="8"/>
  <c r="BB163" i="8"/>
  <c r="BC163" i="8" s="1"/>
  <c r="AB163" i="8"/>
  <c r="AE161" i="8"/>
  <c r="G161" i="8"/>
  <c r="AH159" i="8"/>
  <c r="AU151" i="8"/>
  <c r="V151" i="8"/>
  <c r="Y149" i="8"/>
  <c r="BB147" i="8"/>
  <c r="BC147" i="8" s="1"/>
  <c r="AB147" i="8"/>
  <c r="G145" i="8"/>
  <c r="AH143" i="8"/>
  <c r="M141" i="8"/>
  <c r="AU135" i="8"/>
  <c r="Y133" i="8"/>
  <c r="BB131" i="8"/>
  <c r="BC131" i="8" s="1"/>
  <c r="AB131" i="8"/>
  <c r="AE129" i="8"/>
  <c r="G129" i="8"/>
  <c r="AH127" i="8"/>
  <c r="J127" i="8"/>
  <c r="P123" i="8"/>
  <c r="AH171" i="8"/>
  <c r="J171" i="8"/>
  <c r="AK169" i="8"/>
  <c r="M169" i="8"/>
  <c r="AK168" i="8"/>
  <c r="M168" i="8"/>
  <c r="AO167" i="8"/>
  <c r="AY167" i="8" s="1"/>
  <c r="S165" i="8"/>
  <c r="S164" i="8"/>
  <c r="AU163" i="8"/>
  <c r="V163" i="8"/>
  <c r="AX161" i="8"/>
  <c r="Y161" i="8"/>
  <c r="BB159" i="8"/>
  <c r="BC159" i="8" s="1"/>
  <c r="AB159" i="8"/>
  <c r="AE157" i="8"/>
  <c r="G157" i="8"/>
  <c r="AH155" i="8"/>
  <c r="J155" i="8"/>
  <c r="M153" i="8"/>
  <c r="AK152" i="8"/>
  <c r="M152" i="8"/>
  <c r="AO151" i="8"/>
  <c r="AY151" i="8" s="1"/>
  <c r="P151" i="8"/>
  <c r="AR149" i="8"/>
  <c r="S149" i="8"/>
  <c r="S148" i="8"/>
  <c r="AU147" i="8"/>
  <c r="V147" i="8"/>
  <c r="AX145" i="8"/>
  <c r="Y145" i="8"/>
  <c r="BB143" i="8"/>
  <c r="BC143" i="8" s="1"/>
  <c r="AB143" i="8"/>
  <c r="G141" i="8"/>
  <c r="AH139" i="8"/>
  <c r="AK137" i="8"/>
  <c r="M137" i="8"/>
  <c r="AK136" i="8"/>
  <c r="M136" i="8"/>
  <c r="AO135" i="8"/>
  <c r="AY135" i="8" s="1"/>
  <c r="AR133" i="8"/>
  <c r="S133" i="8"/>
  <c r="S132" i="8"/>
  <c r="AU131" i="8"/>
  <c r="BB127" i="8"/>
  <c r="BC127" i="8" s="1"/>
  <c r="AB127" i="8"/>
  <c r="AE125" i="8"/>
  <c r="G125" i="8"/>
  <c r="G124" i="8"/>
  <c r="AH123" i="8"/>
  <c r="J123" i="8"/>
  <c r="AK120" i="8"/>
  <c r="M120" i="8"/>
  <c r="AO119" i="8"/>
  <c r="AY119" i="8" s="1"/>
  <c r="AR117" i="8"/>
  <c r="S117" i="8"/>
  <c r="AU115" i="8"/>
  <c r="V115" i="8"/>
  <c r="BB111" i="8"/>
  <c r="AB111" i="8"/>
  <c r="AE109" i="8"/>
  <c r="G109" i="8"/>
  <c r="AH107" i="8"/>
  <c r="AK105" i="8"/>
  <c r="AK104" i="8"/>
  <c r="M104" i="8"/>
  <c r="AO103" i="8"/>
  <c r="AR101" i="8"/>
  <c r="S101" i="8"/>
  <c r="AU99" i="8"/>
  <c r="V99" i="8"/>
  <c r="AX97" i="8"/>
  <c r="AB95" i="8"/>
  <c r="AE93" i="8"/>
  <c r="G93" i="8"/>
  <c r="G92" i="8"/>
  <c r="AH91" i="8"/>
  <c r="J91" i="8"/>
  <c r="AO87" i="8"/>
  <c r="AY87" i="8" s="1"/>
  <c r="AR85" i="8"/>
  <c r="S85" i="8"/>
  <c r="S84" i="8"/>
  <c r="V83" i="8"/>
  <c r="Y81" i="8"/>
  <c r="BB79" i="8"/>
  <c r="BC79" i="8" s="1"/>
  <c r="AB79" i="8"/>
  <c r="AE77" i="8"/>
  <c r="G77" i="8"/>
  <c r="G76" i="8"/>
  <c r="AH75" i="8"/>
  <c r="J75" i="8"/>
  <c r="AK73" i="8"/>
  <c r="AO71" i="8"/>
  <c r="AY71" i="8" s="1"/>
  <c r="AR69" i="8"/>
  <c r="G80" i="8"/>
  <c r="AK76" i="8"/>
  <c r="AE64" i="8"/>
  <c r="AK60" i="8"/>
  <c r="Y52" i="8"/>
  <c r="AK44" i="8"/>
  <c r="G32" i="8"/>
  <c r="AK28" i="8"/>
  <c r="AR24" i="8"/>
  <c r="J13" i="8"/>
  <c r="AO9" i="8"/>
  <c r="P9" i="8"/>
  <c r="D69" i="8"/>
  <c r="D85" i="8"/>
  <c r="D117" i="8"/>
  <c r="D165" i="8"/>
  <c r="S69" i="8"/>
  <c r="AU67" i="8"/>
  <c r="BB63" i="8"/>
  <c r="BC63" i="8" s="1"/>
  <c r="AB63" i="8"/>
  <c r="AE61" i="8"/>
  <c r="G61" i="8"/>
  <c r="AE60" i="8"/>
  <c r="G60" i="8"/>
  <c r="AH59" i="8"/>
  <c r="AK57" i="8"/>
  <c r="M57" i="8"/>
  <c r="AK56" i="8"/>
  <c r="M56" i="8"/>
  <c r="AO55" i="8"/>
  <c r="AY55" i="8" s="1"/>
  <c r="AR53" i="8"/>
  <c r="S53" i="8"/>
  <c r="AU51" i="8"/>
  <c r="V51" i="8"/>
  <c r="Y49" i="8"/>
  <c r="BB47" i="8"/>
  <c r="BC47" i="8" s="1"/>
  <c r="AB47" i="8"/>
  <c r="AE45" i="8"/>
  <c r="G45" i="8"/>
  <c r="AE44" i="8"/>
  <c r="G44" i="8"/>
  <c r="AH43" i="8"/>
  <c r="J43" i="8"/>
  <c r="AK41" i="8"/>
  <c r="M41" i="8"/>
  <c r="AK40" i="8"/>
  <c r="AO39" i="8"/>
  <c r="AR37" i="8"/>
  <c r="S37" i="8"/>
  <c r="AR36" i="8"/>
  <c r="S36" i="8"/>
  <c r="V35" i="8"/>
  <c r="AX33" i="8"/>
  <c r="BC33" i="8" s="1"/>
  <c r="BB31" i="8"/>
  <c r="AB31" i="8"/>
  <c r="AE29" i="8"/>
  <c r="G29" i="8"/>
  <c r="AE28" i="8"/>
  <c r="AH27" i="8"/>
  <c r="J27" i="8"/>
  <c r="AK25" i="8"/>
  <c r="M25" i="8"/>
  <c r="AK24" i="8"/>
  <c r="AL24" i="8" s="1"/>
  <c r="M24" i="8"/>
  <c r="AO23" i="8"/>
  <c r="AY23" i="8" s="1"/>
  <c r="AR21" i="8"/>
  <c r="S21" i="8"/>
  <c r="S20" i="8"/>
  <c r="AU18" i="8"/>
  <c r="V18" i="8"/>
  <c r="AX16" i="8"/>
  <c r="BC16" i="8" s="1"/>
  <c r="BB14" i="8"/>
  <c r="BC14" i="8" s="1"/>
  <c r="AB14" i="8"/>
  <c r="AE12" i="8"/>
  <c r="G12" i="8"/>
  <c r="J10" i="8"/>
  <c r="M8" i="8"/>
  <c r="AK7" i="8"/>
  <c r="AO6" i="8"/>
  <c r="P6" i="8"/>
  <c r="AR4" i="8"/>
  <c r="P4" i="8"/>
  <c r="AR3" i="8"/>
  <c r="AR167" i="8"/>
  <c r="AR135" i="8"/>
  <c r="AR151" i="8"/>
  <c r="AR171" i="8"/>
  <c r="AR155" i="8"/>
  <c r="S155" i="8"/>
  <c r="AR123" i="8"/>
  <c r="AR43" i="8"/>
  <c r="AE127" i="8"/>
  <c r="AY122" i="8"/>
  <c r="S123" i="8"/>
  <c r="AR107" i="8"/>
  <c r="AE99" i="8"/>
  <c r="AR91" i="8"/>
  <c r="AR75" i="8"/>
  <c r="AR59" i="8"/>
  <c r="AR27" i="8"/>
  <c r="J16" i="8"/>
  <c r="V8" i="8"/>
  <c r="D19" i="8"/>
  <c r="AY138" i="8"/>
  <c r="AR119" i="8"/>
  <c r="S119" i="8"/>
  <c r="AR103" i="8"/>
  <c r="AK91" i="8"/>
  <c r="AL91" i="8" s="1"/>
  <c r="M91" i="8"/>
  <c r="AR87" i="8"/>
  <c r="Y83" i="8"/>
  <c r="AK75" i="8"/>
  <c r="AL75" i="8" s="1"/>
  <c r="M75" i="8"/>
  <c r="AR71" i="8"/>
  <c r="Y67" i="8"/>
  <c r="AK59" i="8"/>
  <c r="M59" i="8"/>
  <c r="AR55" i="8"/>
  <c r="Y51" i="8"/>
  <c r="AK43" i="8"/>
  <c r="M43" i="8"/>
  <c r="AR39" i="8"/>
  <c r="S39" i="8"/>
  <c r="Y35" i="8"/>
  <c r="AK27" i="8"/>
  <c r="AL27" i="8" s="1"/>
  <c r="M27" i="8"/>
  <c r="AR23" i="8"/>
  <c r="Y18" i="8"/>
  <c r="AE14" i="8"/>
  <c r="G14" i="8"/>
  <c r="AK10" i="8"/>
  <c r="M10" i="8"/>
  <c r="AR6" i="8"/>
  <c r="S6" i="8"/>
  <c r="G17" i="8"/>
  <c r="AY154" i="8"/>
  <c r="AY74" i="8"/>
  <c r="AY58" i="8"/>
  <c r="BC119" i="8"/>
  <c r="BC108" i="8"/>
  <c r="BC104" i="8"/>
  <c r="AH3" i="8"/>
  <c r="AX165" i="8"/>
  <c r="J159" i="8"/>
  <c r="AE145" i="8"/>
  <c r="J143" i="8"/>
  <c r="P139" i="8"/>
  <c r="BB115" i="8"/>
  <c r="AH111" i="8"/>
  <c r="AU71" i="8"/>
  <c r="BB67" i="8"/>
  <c r="AH63" i="8"/>
  <c r="P59" i="8"/>
  <c r="J31" i="8"/>
  <c r="S25" i="8"/>
  <c r="G16" i="8"/>
  <c r="AH14" i="8"/>
  <c r="M12" i="8"/>
  <c r="AR8" i="8"/>
  <c r="AO172" i="8"/>
  <c r="AR170" i="8"/>
  <c r="S170" i="8"/>
  <c r="AU168" i="8"/>
  <c r="V168" i="8"/>
  <c r="AX166" i="8"/>
  <c r="AY166" i="8" s="1"/>
  <c r="Y166" i="8"/>
  <c r="BB164" i="8"/>
  <c r="D163" i="8"/>
  <c r="AE162" i="8"/>
  <c r="G162" i="8"/>
  <c r="AH160" i="8"/>
  <c r="J160" i="8"/>
  <c r="AK158" i="8"/>
  <c r="M158" i="8"/>
  <c r="AO156" i="8"/>
  <c r="P156" i="8"/>
  <c r="AR154" i="8"/>
  <c r="S154" i="8"/>
  <c r="AU152" i="8"/>
  <c r="V152" i="8"/>
  <c r="AX150" i="8"/>
  <c r="AY150" i="8" s="1"/>
  <c r="Y150" i="8"/>
  <c r="BB148" i="8"/>
  <c r="D147" i="8"/>
  <c r="AE146" i="8"/>
  <c r="G146" i="8"/>
  <c r="AH144" i="8"/>
  <c r="J144" i="8"/>
  <c r="AK142" i="8"/>
  <c r="M142" i="8"/>
  <c r="AO140" i="8"/>
  <c r="AR138" i="8"/>
  <c r="S138" i="8"/>
  <c r="AU136" i="8"/>
  <c r="V136" i="8"/>
  <c r="AX134" i="8"/>
  <c r="AY134" i="8" s="1"/>
  <c r="Y134" i="8"/>
  <c r="BB132" i="8"/>
  <c r="BC132" i="8" s="1"/>
  <c r="D131" i="8"/>
  <c r="AE130" i="8"/>
  <c r="G130" i="8"/>
  <c r="AH128" i="8"/>
  <c r="J128" i="8"/>
  <c r="AK126" i="8"/>
  <c r="M126" i="8"/>
  <c r="AO124" i="8"/>
  <c r="AY124" i="8" s="1"/>
  <c r="AR122" i="8"/>
  <c r="S122" i="8"/>
  <c r="V120" i="8"/>
  <c r="AX118" i="8"/>
  <c r="AY118" i="8" s="1"/>
  <c r="Y118" i="8"/>
  <c r="BB116" i="8"/>
  <c r="BC116" i="8" s="1"/>
  <c r="AB116" i="8"/>
  <c r="D115" i="8"/>
  <c r="AE114" i="8"/>
  <c r="G114" i="8"/>
  <c r="AH112" i="8"/>
  <c r="J112" i="8"/>
  <c r="AK110" i="8"/>
  <c r="M110" i="8"/>
  <c r="AO108" i="8"/>
  <c r="AY108" i="8" s="1"/>
  <c r="AR106" i="8"/>
  <c r="S106" i="8"/>
  <c r="AU104" i="8"/>
  <c r="V104" i="8"/>
  <c r="AX102" i="8"/>
  <c r="AY102" i="8" s="1"/>
  <c r="Y102" i="8"/>
  <c r="BB100" i="8"/>
  <c r="BC100" i="8" s="1"/>
  <c r="BC99" i="8"/>
  <c r="D99" i="8"/>
  <c r="AE98" i="8"/>
  <c r="G98" i="8"/>
  <c r="AH96" i="8"/>
  <c r="J96" i="8"/>
  <c r="AK94" i="8"/>
  <c r="M94" i="8"/>
  <c r="AO92" i="8"/>
  <c r="AY92" i="8" s="1"/>
  <c r="P92" i="8"/>
  <c r="AR90" i="8"/>
  <c r="S90" i="8"/>
  <c r="AU88" i="8"/>
  <c r="V88" i="8"/>
  <c r="AX86" i="8"/>
  <c r="AY86" i="8" s="1"/>
  <c r="Y86" i="8"/>
  <c r="AB84" i="8"/>
  <c r="D83" i="8"/>
  <c r="AE82" i="8"/>
  <c r="G82" i="8"/>
  <c r="AH80" i="8"/>
  <c r="J80" i="8"/>
  <c r="AK78" i="8"/>
  <c r="AL78" i="8" s="1"/>
  <c r="M78" i="8"/>
  <c r="AO76" i="8"/>
  <c r="AY76" i="8" s="1"/>
  <c r="P76" i="8"/>
  <c r="AR74" i="8"/>
  <c r="S74" i="8"/>
  <c r="AU72" i="8"/>
  <c r="V72" i="8"/>
  <c r="AX70" i="8"/>
  <c r="AY70" i="8" s="1"/>
  <c r="Y70" i="8"/>
  <c r="AB68" i="8"/>
  <c r="D67" i="8"/>
  <c r="AE66" i="8"/>
  <c r="G66" i="8"/>
  <c r="AH64" i="8"/>
  <c r="J64" i="8"/>
  <c r="AK62" i="8"/>
  <c r="M62" i="8"/>
  <c r="AO60" i="8"/>
  <c r="AY60" i="8" s="1"/>
  <c r="P60" i="8"/>
  <c r="AR58" i="8"/>
  <c r="S58" i="8"/>
  <c r="AU56" i="8"/>
  <c r="V56" i="8"/>
  <c r="AX54" i="8"/>
  <c r="Y54" i="8"/>
  <c r="AB52" i="8"/>
  <c r="D51" i="8"/>
  <c r="AE50" i="8"/>
  <c r="G50" i="8"/>
  <c r="AH48" i="8"/>
  <c r="J48" i="8"/>
  <c r="AK46" i="8"/>
  <c r="AL46" i="8" s="1"/>
  <c r="M46" i="8"/>
  <c r="AO44" i="8"/>
  <c r="AY44" i="8" s="1"/>
  <c r="P44" i="8"/>
  <c r="AR42" i="8"/>
  <c r="S42" i="8"/>
  <c r="AU40" i="8"/>
  <c r="V40" i="8"/>
  <c r="AX38" i="8"/>
  <c r="AY38" i="8" s="1"/>
  <c r="Y38" i="8"/>
  <c r="AB36" i="8"/>
  <c r="BC35" i="8"/>
  <c r="D35" i="8"/>
  <c r="AE34" i="8"/>
  <c r="G34" i="8"/>
  <c r="AH32" i="8"/>
  <c r="J32" i="8"/>
  <c r="AK30" i="8"/>
  <c r="M30" i="8"/>
  <c r="AO28" i="8"/>
  <c r="AY28" i="8" s="1"/>
  <c r="P28" i="8"/>
  <c r="AR26" i="8"/>
  <c r="S26" i="8"/>
  <c r="AU24" i="8"/>
  <c r="V24" i="8"/>
  <c r="AX22" i="8"/>
  <c r="AY22" i="8" s="1"/>
  <c r="Y22" i="8"/>
  <c r="AB20" i="8"/>
  <c r="BB19" i="8"/>
  <c r="BC19" i="8" s="1"/>
  <c r="AB19" i="8"/>
  <c r="AE17" i="8"/>
  <c r="AH15" i="8"/>
  <c r="J15" i="8"/>
  <c r="AK13" i="8"/>
  <c r="M13" i="8"/>
  <c r="AO11" i="8"/>
  <c r="AY11" i="8" s="1"/>
  <c r="AU7" i="8"/>
  <c r="V7" i="8"/>
  <c r="Y5" i="8"/>
  <c r="Y4" i="8"/>
  <c r="AB3" i="8"/>
  <c r="D20" i="8"/>
  <c r="D36" i="8"/>
  <c r="D52" i="8"/>
  <c r="D68" i="8"/>
  <c r="D84" i="8"/>
  <c r="D94" i="8"/>
  <c r="AL94" i="8" s="1"/>
  <c r="D62" i="8"/>
  <c r="AL62" i="8" s="1"/>
  <c r="D30" i="8"/>
  <c r="AU17" i="8"/>
  <c r="AB13" i="8"/>
  <c r="AH9" i="8"/>
  <c r="P5" i="8"/>
  <c r="D41" i="8"/>
  <c r="D57" i="8"/>
  <c r="AL57" i="8" s="1"/>
  <c r="D73" i="8"/>
  <c r="D89" i="8"/>
  <c r="D121" i="8"/>
  <c r="D169" i="8"/>
  <c r="AL169" i="8" s="1"/>
  <c r="AY79" i="8"/>
  <c r="AK172" i="8"/>
  <c r="S168" i="8"/>
  <c r="AB165" i="8"/>
  <c r="AH161" i="8"/>
  <c r="J161" i="8"/>
  <c r="AK156" i="8"/>
  <c r="AU153" i="8"/>
  <c r="S152" i="8"/>
  <c r="AK140" i="8"/>
  <c r="AU137" i="8"/>
  <c r="AB133" i="8"/>
  <c r="J129" i="8"/>
  <c r="G128" i="8"/>
  <c r="AK124" i="8"/>
  <c r="AU121" i="8"/>
  <c r="AK108" i="8"/>
  <c r="S104" i="8"/>
  <c r="AE96" i="8"/>
  <c r="G96" i="8"/>
  <c r="AO93" i="8"/>
  <c r="P93" i="8"/>
  <c r="M92" i="8"/>
  <c r="AU89" i="8"/>
  <c r="AR88" i="8"/>
  <c r="AB85" i="8"/>
  <c r="Y84" i="8"/>
  <c r="J81" i="8"/>
  <c r="AE80" i="8"/>
  <c r="AO77" i="8"/>
  <c r="P77" i="8"/>
  <c r="M76" i="8"/>
  <c r="AU73" i="8"/>
  <c r="AR72" i="8"/>
  <c r="Y68" i="8"/>
  <c r="J65" i="8"/>
  <c r="G64" i="8"/>
  <c r="AO61" i="8"/>
  <c r="P61" i="8"/>
  <c r="M60" i="8"/>
  <c r="AU57" i="8"/>
  <c r="AR56" i="8"/>
  <c r="S56" i="8"/>
  <c r="J49" i="8"/>
  <c r="AE48" i="8"/>
  <c r="AO45" i="8"/>
  <c r="M44" i="8"/>
  <c r="AU41" i="8"/>
  <c r="AB37" i="8"/>
  <c r="D37" i="8"/>
  <c r="AE32" i="8"/>
  <c r="AO29" i="8"/>
  <c r="M28" i="8"/>
  <c r="AU25" i="8"/>
  <c r="D21" i="8"/>
  <c r="AR19" i="8"/>
  <c r="Y15" i="8"/>
  <c r="M7" i="8"/>
  <c r="D6" i="8"/>
  <c r="AK14" i="8"/>
  <c r="BC83" i="8"/>
  <c r="AK171" i="8"/>
  <c r="AL171" i="8" s="1"/>
  <c r="Y163" i="8"/>
  <c r="AK155" i="8"/>
  <c r="AK139" i="8"/>
  <c r="AL139" i="8" s="1"/>
  <c r="M107" i="8"/>
  <c r="P54" i="8"/>
  <c r="AK167" i="8"/>
  <c r="AL167" i="8" s="1"/>
  <c r="M167" i="8"/>
  <c r="Y159" i="8"/>
  <c r="AK151" i="8"/>
  <c r="M151" i="8"/>
  <c r="Y143" i="8"/>
  <c r="AK135" i="8"/>
  <c r="AL135" i="8" s="1"/>
  <c r="M135" i="8"/>
  <c r="Y127" i="8"/>
  <c r="AK119" i="8"/>
  <c r="M119" i="8"/>
  <c r="Y111" i="8"/>
  <c r="AK103" i="8"/>
  <c r="AL103" i="8" s="1"/>
  <c r="M103" i="8"/>
  <c r="Y95" i="8"/>
  <c r="AU81" i="8"/>
  <c r="AU65" i="8"/>
  <c r="Y14" i="8"/>
  <c r="AK6" i="8"/>
  <c r="M6" i="8"/>
  <c r="AO3" i="8"/>
  <c r="AY3" i="8" s="1"/>
  <c r="AK170" i="8"/>
  <c r="M170" i="8"/>
  <c r="AR166" i="8"/>
  <c r="Y162" i="8"/>
  <c r="BB160" i="8"/>
  <c r="BC160" i="8" s="1"/>
  <c r="AK154" i="8"/>
  <c r="AL154" i="8" s="1"/>
  <c r="M154" i="8"/>
  <c r="AR150" i="8"/>
  <c r="Y146" i="8"/>
  <c r="BB144" i="8"/>
  <c r="BC144" i="8" s="1"/>
  <c r="AK138" i="8"/>
  <c r="M138" i="8"/>
  <c r="AR134" i="8"/>
  <c r="Y130" i="8"/>
  <c r="AK122" i="8"/>
  <c r="M122" i="8"/>
  <c r="AR118" i="8"/>
  <c r="Y114" i="8"/>
  <c r="AK106" i="8"/>
  <c r="AL106" i="8" s="1"/>
  <c r="M106" i="8"/>
  <c r="AR102" i="8"/>
  <c r="Y98" i="8"/>
  <c r="BB96" i="8"/>
  <c r="BC96" i="8" s="1"/>
  <c r="AK90" i="8"/>
  <c r="AL90" i="8" s="1"/>
  <c r="M90" i="8"/>
  <c r="Y82" i="8"/>
  <c r="AK74" i="8"/>
  <c r="M74" i="8"/>
  <c r="Y66" i="8"/>
  <c r="AK58" i="8"/>
  <c r="M58" i="8"/>
  <c r="Y50" i="8"/>
  <c r="AK42" i="8"/>
  <c r="M42" i="8"/>
  <c r="Y34" i="8"/>
  <c r="AK26" i="8"/>
  <c r="AL26" i="8" s="1"/>
  <c r="M26" i="8"/>
  <c r="AO7" i="8"/>
  <c r="AY7" i="8" s="1"/>
  <c r="AO163" i="8"/>
  <c r="AY163" i="8" s="1"/>
  <c r="AO147" i="8"/>
  <c r="AY147" i="8" s="1"/>
  <c r="AO131" i="8"/>
  <c r="AY131" i="8" s="1"/>
  <c r="AO115" i="8"/>
  <c r="AY115" i="8" s="1"/>
  <c r="AO99" i="8"/>
  <c r="AY99" i="8" s="1"/>
  <c r="AO50" i="8"/>
  <c r="AO18" i="8"/>
  <c r="AY18" i="8" s="1"/>
  <c r="BB10" i="8"/>
  <c r="BC128" i="8"/>
  <c r="M155" i="8"/>
  <c r="AK123" i="8"/>
  <c r="AK107" i="8"/>
  <c r="AL107" i="8" s="1"/>
  <c r="AY103" i="8"/>
  <c r="AY88" i="8"/>
  <c r="Y171" i="8"/>
  <c r="AK163" i="8"/>
  <c r="AL163" i="8" s="1"/>
  <c r="M163" i="8"/>
  <c r="Y155" i="8"/>
  <c r="AK147" i="8"/>
  <c r="AL147" i="8" s="1"/>
  <c r="M147" i="8"/>
  <c r="Y139" i="8"/>
  <c r="AK131" i="8"/>
  <c r="AL131" i="8" s="1"/>
  <c r="M131" i="8"/>
  <c r="Y123" i="8"/>
  <c r="AK115" i="8"/>
  <c r="M115" i="8"/>
  <c r="Y107" i="8"/>
  <c r="AK99" i="8"/>
  <c r="M99" i="8"/>
  <c r="Y91" i="8"/>
  <c r="AK83" i="8"/>
  <c r="M83" i="8"/>
  <c r="Y75" i="8"/>
  <c r="Y59" i="8"/>
  <c r="AK18" i="8"/>
  <c r="AL18" i="8" s="1"/>
  <c r="M18" i="8"/>
  <c r="Y10" i="8"/>
  <c r="BB172" i="8"/>
  <c r="BC172" i="8" s="1"/>
  <c r="AK166" i="8"/>
  <c r="AL166" i="8" s="1"/>
  <c r="M166" i="8"/>
  <c r="AR162" i="8"/>
  <c r="Y158" i="8"/>
  <c r="BB156" i="8"/>
  <c r="BC156" i="8" s="1"/>
  <c r="AK150" i="8"/>
  <c r="AL150" i="8" s="1"/>
  <c r="M150" i="8"/>
  <c r="AR146" i="8"/>
  <c r="Y142" i="8"/>
  <c r="BB140" i="8"/>
  <c r="AK134" i="8"/>
  <c r="AL134" i="8" s="1"/>
  <c r="M134" i="8"/>
  <c r="AR130" i="8"/>
  <c r="Y126" i="8"/>
  <c r="AK118" i="8"/>
  <c r="AL118" i="8" s="1"/>
  <c r="M118" i="8"/>
  <c r="AR114" i="8"/>
  <c r="Y110" i="8"/>
  <c r="AK102" i="8"/>
  <c r="AL102" i="8" s="1"/>
  <c r="M102" i="8"/>
  <c r="AR98" i="8"/>
  <c r="Y94" i="8"/>
  <c r="AK86" i="8"/>
  <c r="AL86" i="8" s="1"/>
  <c r="M86" i="8"/>
  <c r="Y78" i="8"/>
  <c r="AK70" i="8"/>
  <c r="M70" i="8"/>
  <c r="Y62" i="8"/>
  <c r="AK54" i="8"/>
  <c r="AL54" i="8" s="1"/>
  <c r="M54" i="8"/>
  <c r="Y46" i="8"/>
  <c r="AK38" i="8"/>
  <c r="M38" i="8"/>
  <c r="Y30" i="8"/>
  <c r="AK22" i="8"/>
  <c r="AL22" i="8" s="1"/>
  <c r="M22" i="8"/>
  <c r="AO159" i="8"/>
  <c r="AY159" i="8" s="1"/>
  <c r="AO143" i="8"/>
  <c r="AY143" i="8" s="1"/>
  <c r="AO127" i="8"/>
  <c r="AY127" i="8" s="1"/>
  <c r="AO111" i="8"/>
  <c r="AY111" i="8" s="1"/>
  <c r="AO95" i="8"/>
  <c r="AY95" i="8" s="1"/>
  <c r="AB70" i="8"/>
  <c r="D70" i="8"/>
  <c r="AB38" i="8"/>
  <c r="D38" i="8"/>
  <c r="AO30" i="8"/>
  <c r="AO14" i="8"/>
  <c r="AY14" i="8" s="1"/>
  <c r="BB6" i="8"/>
  <c r="AB6" i="8"/>
  <c r="M171" i="8"/>
  <c r="Y147" i="8"/>
  <c r="M139" i="8"/>
  <c r="Y131" i="8"/>
  <c r="M123" i="8"/>
  <c r="Y115" i="8"/>
  <c r="Y99" i="8"/>
  <c r="AO54" i="8"/>
  <c r="AY54" i="8" s="1"/>
  <c r="AY39" i="8"/>
  <c r="AY12" i="8"/>
  <c r="AY63" i="8"/>
  <c r="AY43" i="8"/>
  <c r="AL42" i="8"/>
  <c r="AL10" i="8"/>
  <c r="D110" i="8"/>
  <c r="AL110" i="8" s="1"/>
  <c r="D126" i="8"/>
  <c r="AL126" i="8" s="1"/>
  <c r="D142" i="8"/>
  <c r="D158" i="8"/>
  <c r="Y167" i="8"/>
  <c r="AK159" i="8"/>
  <c r="M159" i="8"/>
  <c r="Y151" i="8"/>
  <c r="AK143" i="8"/>
  <c r="AL143" i="8" s="1"/>
  <c r="M143" i="8"/>
  <c r="Y135" i="8"/>
  <c r="AK127" i="8"/>
  <c r="AL127" i="8" s="1"/>
  <c r="M127" i="8"/>
  <c r="Y119" i="8"/>
  <c r="AK111" i="8"/>
  <c r="AL111" i="8" s="1"/>
  <c r="M111" i="8"/>
  <c r="Y103" i="8"/>
  <c r="AK95" i="8"/>
  <c r="AL95" i="8" s="1"/>
  <c r="M95" i="8"/>
  <c r="Y87" i="8"/>
  <c r="AK79" i="8"/>
  <c r="AL79" i="8" s="1"/>
  <c r="M79" i="8"/>
  <c r="Y71" i="8"/>
  <c r="AK63" i="8"/>
  <c r="M63" i="8"/>
  <c r="Y55" i="8"/>
  <c r="AK47" i="8"/>
  <c r="M47" i="8"/>
  <c r="Y39" i="8"/>
  <c r="AK31" i="8"/>
  <c r="AL31" i="8" s="1"/>
  <c r="M31" i="8"/>
  <c r="Y23" i="8"/>
  <c r="M14" i="8"/>
  <c r="AR10" i="8"/>
  <c r="Y6" i="8"/>
  <c r="Y170" i="8"/>
  <c r="BB168" i="8"/>
  <c r="BC168" i="8" s="1"/>
  <c r="AK162" i="8"/>
  <c r="AL162" i="8" s="1"/>
  <c r="M162" i="8"/>
  <c r="AR158" i="8"/>
  <c r="Y154" i="8"/>
  <c r="BB152" i="8"/>
  <c r="BC152" i="8" s="1"/>
  <c r="AK146" i="8"/>
  <c r="AL146" i="8" s="1"/>
  <c r="M146" i="8"/>
  <c r="AR142" i="8"/>
  <c r="Y138" i="8"/>
  <c r="BB136" i="8"/>
  <c r="BC136" i="8" s="1"/>
  <c r="AK130" i="8"/>
  <c r="AL130" i="8" s="1"/>
  <c r="M130" i="8"/>
  <c r="AR126" i="8"/>
  <c r="Y122" i="8"/>
  <c r="AK114" i="8"/>
  <c r="AL114" i="8" s="1"/>
  <c r="M114" i="8"/>
  <c r="AR110" i="8"/>
  <c r="Y106" i="8"/>
  <c r="AK98" i="8"/>
  <c r="AL98" i="8" s="1"/>
  <c r="M98" i="8"/>
  <c r="AR94" i="8"/>
  <c r="Y90" i="8"/>
  <c r="AK82" i="8"/>
  <c r="AL82" i="8" s="1"/>
  <c r="M82" i="8"/>
  <c r="AR78" i="8"/>
  <c r="Y74" i="8"/>
  <c r="AK66" i="8"/>
  <c r="AL66" i="8" s="1"/>
  <c r="M66" i="8"/>
  <c r="AR62" i="8"/>
  <c r="Y58" i="8"/>
  <c r="AK50" i="8"/>
  <c r="AL50" i="8" s="1"/>
  <c r="M50" i="8"/>
  <c r="Y42" i="8"/>
  <c r="AK34" i="8"/>
  <c r="AL34" i="8" s="1"/>
  <c r="M34" i="8"/>
  <c r="Y26" i="8"/>
  <c r="AO171" i="8"/>
  <c r="AY171" i="8" s="1"/>
  <c r="AO155" i="8"/>
  <c r="AY155" i="8" s="1"/>
  <c r="AO139" i="8"/>
  <c r="AY139" i="8" s="1"/>
  <c r="AO123" i="8"/>
  <c r="AY123" i="8" s="1"/>
  <c r="AO107" i="8"/>
  <c r="AY107" i="8" s="1"/>
  <c r="AO91" i="8"/>
  <c r="AY91" i="8" s="1"/>
  <c r="AE81" i="8"/>
  <c r="G81" i="8"/>
  <c r="AO75" i="8"/>
  <c r="AY75" i="8" s="1"/>
  <c r="AE65" i="8"/>
  <c r="G65" i="8"/>
  <c r="AO59" i="8"/>
  <c r="AY59" i="8" s="1"/>
  <c r="AO42" i="8"/>
  <c r="BB18" i="8"/>
  <c r="BC18" i="8" s="1"/>
  <c r="AO10" i="8"/>
  <c r="AY10" i="8" s="1"/>
  <c r="BC135" i="8"/>
  <c r="AY31" i="8"/>
  <c r="BC107" i="8"/>
  <c r="BC115" i="8"/>
  <c r="BC95" i="8"/>
  <c r="AY35" i="8"/>
  <c r="BC7" i="8"/>
  <c r="AY72" i="8"/>
  <c r="AY56" i="8"/>
  <c r="AY112" i="8"/>
  <c r="BC80" i="8"/>
  <c r="BC48" i="8"/>
  <c r="AL8" i="8"/>
  <c r="AY172" i="8"/>
  <c r="AY168" i="8"/>
  <c r="BC164" i="8"/>
  <c r="AY160" i="8"/>
  <c r="AY156" i="8"/>
  <c r="AY148" i="8"/>
  <c r="BC148" i="8"/>
  <c r="AY144" i="8"/>
  <c r="AY140" i="8"/>
  <c r="BC140" i="8"/>
  <c r="BC151" i="8"/>
  <c r="AY136" i="8"/>
  <c r="AY96" i="8"/>
  <c r="AY132" i="8"/>
  <c r="BC43" i="8"/>
  <c r="BC123" i="8"/>
  <c r="BC111" i="8"/>
  <c r="BC67" i="8"/>
  <c r="BC31" i="8"/>
  <c r="D156" i="8"/>
  <c r="P152" i="8"/>
  <c r="G151" i="8"/>
  <c r="G143" i="8"/>
  <c r="P140" i="8"/>
  <c r="G139" i="8"/>
  <c r="AE135" i="8"/>
  <c r="G135" i="8"/>
  <c r="P132" i="8"/>
  <c r="G131" i="8"/>
  <c r="AB128" i="8"/>
  <c r="G127" i="8"/>
  <c r="P124" i="8"/>
  <c r="G123" i="8"/>
  <c r="P120" i="8"/>
  <c r="G119" i="8"/>
  <c r="G99" i="8"/>
  <c r="D96" i="8"/>
  <c r="AE79" i="8"/>
  <c r="G71" i="8"/>
  <c r="S63" i="8"/>
  <c r="AE43" i="8"/>
  <c r="G43" i="8"/>
  <c r="AE31" i="8"/>
  <c r="S23" i="8"/>
  <c r="S15" i="8"/>
  <c r="AE132" i="8"/>
  <c r="AR172" i="8"/>
  <c r="P172" i="8"/>
  <c r="AE167" i="8"/>
  <c r="G167" i="8"/>
  <c r="AB164" i="8"/>
  <c r="D164" i="8"/>
  <c r="AL164" i="8" s="1"/>
  <c r="S159" i="8"/>
  <c r="AE155" i="8"/>
  <c r="AR148" i="8"/>
  <c r="P136" i="8"/>
  <c r="AB132" i="8"/>
  <c r="S127" i="8"/>
  <c r="AR116" i="8"/>
  <c r="AE111" i="8"/>
  <c r="G111" i="8"/>
  <c r="AB108" i="8"/>
  <c r="D108" i="8"/>
  <c r="AL108" i="8" s="1"/>
  <c r="S103" i="8"/>
  <c r="S91" i="8"/>
  <c r="AE75" i="8"/>
  <c r="G75" i="8"/>
  <c r="AE67" i="8"/>
  <c r="G67" i="8"/>
  <c r="AE51" i="8"/>
  <c r="G51" i="8"/>
  <c r="G19" i="8"/>
  <c r="AE11" i="8"/>
  <c r="G11" i="8"/>
  <c r="G3" i="8"/>
  <c r="AE120" i="8"/>
  <c r="AE104" i="8"/>
  <c r="S100" i="8"/>
  <c r="BC88" i="8"/>
  <c r="AL87" i="8"/>
  <c r="M81" i="8"/>
  <c r="Y65" i="8"/>
  <c r="D60" i="8"/>
  <c r="AL60" i="8" s="1"/>
  <c r="BC40" i="8"/>
  <c r="M33" i="8"/>
  <c r="AK33" i="8"/>
  <c r="J33" i="8"/>
  <c r="AH33" i="8"/>
  <c r="S28" i="8"/>
  <c r="AR28" i="8"/>
  <c r="BC8" i="8"/>
  <c r="G4" i="8"/>
  <c r="V25" i="8"/>
  <c r="AB4" i="8"/>
  <c r="S169" i="8"/>
  <c r="AX169" i="8"/>
  <c r="P169" i="8"/>
  <c r="AR169" i="8"/>
  <c r="AH165" i="8"/>
  <c r="BB165" i="8"/>
  <c r="BC165" i="8" s="1"/>
  <c r="D161" i="8"/>
  <c r="AL161" i="8" s="1"/>
  <c r="AB161" i="8"/>
  <c r="M157" i="8"/>
  <c r="V157" i="8"/>
  <c r="AX153" i="8"/>
  <c r="P153" i="8"/>
  <c r="AR153" i="8"/>
  <c r="AK149" i="8"/>
  <c r="AL149" i="8" s="1"/>
  <c r="AX149" i="8"/>
  <c r="P149" i="8"/>
  <c r="D145" i="8"/>
  <c r="AB145" i="8"/>
  <c r="AK141" i="8"/>
  <c r="AL141" i="8" s="1"/>
  <c r="V141" i="8"/>
  <c r="S137" i="8"/>
  <c r="AH137" i="8"/>
  <c r="BB137" i="8"/>
  <c r="AB137" i="8"/>
  <c r="D133" i="8"/>
  <c r="AX133" i="8"/>
  <c r="Y129" i="8"/>
  <c r="AH129" i="8"/>
  <c r="BB129" i="8"/>
  <c r="BC129" i="8" s="1"/>
  <c r="AR125" i="8"/>
  <c r="V125" i="8"/>
  <c r="P125" i="8"/>
  <c r="S121" i="8"/>
  <c r="V121" i="8"/>
  <c r="P121" i="8"/>
  <c r="AK117" i="8"/>
  <c r="V117" i="8"/>
  <c r="P113" i="8"/>
  <c r="AX113" i="8"/>
  <c r="D109" i="8"/>
  <c r="V109" i="8"/>
  <c r="D105" i="8"/>
  <c r="AH105" i="8"/>
  <c r="BB105" i="8"/>
  <c r="D101" i="8"/>
  <c r="AX101" i="8"/>
  <c r="AB101" i="8"/>
  <c r="D97" i="8"/>
  <c r="AL97" i="8" s="1"/>
  <c r="AB97" i="8"/>
  <c r="D88" i="8"/>
  <c r="M88" i="8"/>
  <c r="AK88" i="8"/>
  <c r="AE85" i="8"/>
  <c r="J77" i="8"/>
  <c r="BC77" i="8"/>
  <c r="P72" i="8"/>
  <c r="AU69" i="8"/>
  <c r="BB68" i="8"/>
  <c r="BC68" i="8" s="1"/>
  <c r="AL67" i="8"/>
  <c r="S61" i="8"/>
  <c r="G53" i="8"/>
  <c r="P49" i="8"/>
  <c r="AH44" i="8"/>
  <c r="AU37" i="8"/>
  <c r="BB36" i="8"/>
  <c r="BC36" i="8" s="1"/>
  <c r="AL35" i="8"/>
  <c r="AX29" i="8"/>
  <c r="AY29" i="8" s="1"/>
  <c r="S24" i="8"/>
  <c r="V20" i="8"/>
  <c r="Y13" i="8"/>
  <c r="G5" i="8"/>
  <c r="AO57" i="8"/>
  <c r="J57" i="8"/>
  <c r="AH57" i="8"/>
  <c r="BB57" i="8"/>
  <c r="BC57" i="8" s="1"/>
  <c r="M89" i="8"/>
  <c r="AX89" i="8"/>
  <c r="AO73" i="8"/>
  <c r="AY73" i="8" s="1"/>
  <c r="J73" i="8"/>
  <c r="AH73" i="8"/>
  <c r="BB73" i="8"/>
  <c r="BC73" i="8" s="1"/>
  <c r="M68" i="8"/>
  <c r="AK68" i="8"/>
  <c r="AL68" i="8" s="1"/>
  <c r="AX41" i="8"/>
  <c r="AY41" i="8" s="1"/>
  <c r="V9" i="8"/>
  <c r="AX85" i="8"/>
  <c r="AY85" i="8" s="1"/>
  <c r="AO80" i="8"/>
  <c r="AY80" i="8" s="1"/>
  <c r="AX69" i="8"/>
  <c r="AB64" i="8"/>
  <c r="AO64" i="8"/>
  <c r="AY64" i="8" s="1"/>
  <c r="BC60" i="8"/>
  <c r="AX53" i="8"/>
  <c r="AY53" i="8" s="1"/>
  <c r="AO48" i="8"/>
  <c r="AY48" i="8" s="1"/>
  <c r="AX37" i="8"/>
  <c r="AY37" i="8" s="1"/>
  <c r="AO32" i="8"/>
  <c r="AY32" i="8" s="1"/>
  <c r="BC28" i="8"/>
  <c r="V21" i="8"/>
  <c r="J5" i="8"/>
  <c r="AH5" i="8"/>
  <c r="BB5" i="8"/>
  <c r="BC118" i="8"/>
  <c r="BC54" i="8"/>
  <c r="BC130" i="8"/>
  <c r="BC98" i="8"/>
  <c r="BC74" i="8"/>
  <c r="BC22" i="8"/>
  <c r="G155" i="8"/>
  <c r="D148" i="8"/>
  <c r="AL148" i="8" s="1"/>
  <c r="G147" i="8"/>
  <c r="D144" i="8"/>
  <c r="AE143" i="8"/>
  <c r="AR140" i="8"/>
  <c r="D136" i="8"/>
  <c r="AE131" i="8"/>
  <c r="P128" i="8"/>
  <c r="AR124" i="8"/>
  <c r="AE123" i="8"/>
  <c r="D120" i="8"/>
  <c r="AE119" i="8"/>
  <c r="G115" i="8"/>
  <c r="S87" i="8"/>
  <c r="AE83" i="8"/>
  <c r="S79" i="8"/>
  <c r="AE59" i="8"/>
  <c r="AE39" i="8"/>
  <c r="G39" i="8"/>
  <c r="AE124" i="8"/>
  <c r="S171" i="8"/>
  <c r="AR168" i="8"/>
  <c r="P168" i="8"/>
  <c r="AE163" i="8"/>
  <c r="G163" i="8"/>
  <c r="AB160" i="8"/>
  <c r="D160" i="8"/>
  <c r="AB148" i="8"/>
  <c r="AE139" i="8"/>
  <c r="P116" i="8"/>
  <c r="AR112" i="8"/>
  <c r="P112" i="8"/>
  <c r="AE107" i="8"/>
  <c r="G107" i="8"/>
  <c r="AB104" i="8"/>
  <c r="D104" i="8"/>
  <c r="P100" i="8"/>
  <c r="AR96" i="8"/>
  <c r="AE95" i="8"/>
  <c r="G95" i="8"/>
  <c r="G83" i="8"/>
  <c r="G59" i="8"/>
  <c r="AE55" i="8"/>
  <c r="S47" i="8"/>
  <c r="AE35" i="8"/>
  <c r="S27" i="8"/>
  <c r="AE19" i="8"/>
  <c r="AE7" i="8"/>
  <c r="G7" i="8"/>
  <c r="AE3" i="8"/>
  <c r="G132" i="8"/>
  <c r="AE116" i="8"/>
  <c r="G112" i="8"/>
  <c r="AE108" i="8"/>
  <c r="S96" i="8"/>
  <c r="AL92" i="8"/>
  <c r="AX81" i="8"/>
  <c r="AY81" i="8" s="1"/>
  <c r="BC72" i="8"/>
  <c r="AL71" i="8"/>
  <c r="AB60" i="8"/>
  <c r="AK49" i="8"/>
  <c r="AL49" i="8" s="1"/>
  <c r="AX49" i="8"/>
  <c r="AO33" i="8"/>
  <c r="AX17" i="8"/>
  <c r="AY17" i="8" s="1"/>
  <c r="AX25" i="8"/>
  <c r="AH169" i="8"/>
  <c r="BB169" i="8"/>
  <c r="BC169" i="8" s="1"/>
  <c r="V161" i="8"/>
  <c r="S157" i="8"/>
  <c r="AK157" i="8"/>
  <c r="AX157" i="8"/>
  <c r="P157" i="8"/>
  <c r="AR157" i="8"/>
  <c r="AK153" i="8"/>
  <c r="AL153" i="8" s="1"/>
  <c r="AH153" i="8"/>
  <c r="BB153" i="8"/>
  <c r="M149" i="8"/>
  <c r="AH149" i="8"/>
  <c r="BB149" i="8"/>
  <c r="V145" i="8"/>
  <c r="S141" i="8"/>
  <c r="AX141" i="8"/>
  <c r="P141" i="8"/>
  <c r="AR141" i="8"/>
  <c r="D137" i="8"/>
  <c r="Y137" i="8"/>
  <c r="AR137" i="8"/>
  <c r="P133" i="8"/>
  <c r="AH133" i="8"/>
  <c r="BB133" i="8"/>
  <c r="S125" i="8"/>
  <c r="AK125" i="8"/>
  <c r="AX125" i="8"/>
  <c r="AY125" i="8" s="1"/>
  <c r="AK121" i="8"/>
  <c r="AO121" i="8"/>
  <c r="AX121" i="8"/>
  <c r="AB121" i="8"/>
  <c r="AB117" i="8"/>
  <c r="M117" i="8"/>
  <c r="P117" i="8"/>
  <c r="AX117" i="8"/>
  <c r="AY117" i="8" s="1"/>
  <c r="M113" i="8"/>
  <c r="AK113" i="8"/>
  <c r="AL113" i="8" s="1"/>
  <c r="AH113" i="8"/>
  <c r="BB113" i="8"/>
  <c r="M109" i="8"/>
  <c r="AK109" i="8"/>
  <c r="AX109" i="8"/>
  <c r="AY109" i="8" s="1"/>
  <c r="P105" i="8"/>
  <c r="AH101" i="8"/>
  <c r="BB101" i="8"/>
  <c r="BC101" i="8" s="1"/>
  <c r="Y97" i="8"/>
  <c r="V97" i="8"/>
  <c r="S93" i="8"/>
  <c r="AB88" i="8"/>
  <c r="V84" i="8"/>
  <c r="AL77" i="8"/>
  <c r="D72" i="8"/>
  <c r="M72" i="8"/>
  <c r="AK72" i="8"/>
  <c r="AE69" i="8"/>
  <c r="AX61" i="8"/>
  <c r="AY61" i="8" s="1"/>
  <c r="AU53" i="8"/>
  <c r="BB52" i="8"/>
  <c r="BC52" i="8" s="1"/>
  <c r="AX45" i="8"/>
  <c r="AY45" i="8" s="1"/>
  <c r="AE37" i="8"/>
  <c r="AK29" i="8"/>
  <c r="J29" i="8"/>
  <c r="AH29" i="8"/>
  <c r="J28" i="8"/>
  <c r="D25" i="8"/>
  <c r="G21" i="8"/>
  <c r="P17" i="8"/>
  <c r="AL13" i="8"/>
  <c r="AH12" i="8"/>
  <c r="AU5" i="8"/>
  <c r="M52" i="8"/>
  <c r="AK52" i="8"/>
  <c r="M20" i="8"/>
  <c r="AK20" i="8"/>
  <c r="AL20" i="8" s="1"/>
  <c r="AK89" i="8"/>
  <c r="AL89" i="8" s="1"/>
  <c r="J89" i="8"/>
  <c r="AH89" i="8"/>
  <c r="BB89" i="8"/>
  <c r="AR84" i="8"/>
  <c r="M84" i="8"/>
  <c r="AK84" i="8"/>
  <c r="AL84" i="8" s="1"/>
  <c r="Y73" i="8"/>
  <c r="S68" i="8"/>
  <c r="AR68" i="8"/>
  <c r="J41" i="8"/>
  <c r="AH41" i="8"/>
  <c r="BB41" i="8"/>
  <c r="S9" i="8"/>
  <c r="AX9" i="8"/>
  <c r="P89" i="8"/>
  <c r="M85" i="8"/>
  <c r="J85" i="8"/>
  <c r="AH85" i="8"/>
  <c r="BB85" i="8"/>
  <c r="J84" i="8"/>
  <c r="Y80" i="8"/>
  <c r="P73" i="8"/>
  <c r="J69" i="8"/>
  <c r="AH69" i="8"/>
  <c r="BB69" i="8"/>
  <c r="J68" i="8"/>
  <c r="Y64" i="8"/>
  <c r="P57" i="8"/>
  <c r="J53" i="8"/>
  <c r="AH53" i="8"/>
  <c r="BB53" i="8"/>
  <c r="J52" i="8"/>
  <c r="Y48" i="8"/>
  <c r="P41" i="8"/>
  <c r="J37" i="8"/>
  <c r="AH37" i="8"/>
  <c r="BB37" i="8"/>
  <c r="J36" i="8"/>
  <c r="Y32" i="8"/>
  <c r="AX21" i="8"/>
  <c r="AH20" i="8"/>
  <c r="D16" i="8"/>
  <c r="BC142" i="8"/>
  <c r="BC110" i="8"/>
  <c r="BC154" i="8"/>
  <c r="BC122" i="8"/>
  <c r="BC38" i="8"/>
  <c r="BC70" i="8"/>
  <c r="BC30" i="8"/>
  <c r="AL160" i="8"/>
  <c r="AB156" i="8"/>
  <c r="D152" i="8"/>
  <c r="AE151" i="8"/>
  <c r="AR144" i="8"/>
  <c r="S143" i="8"/>
  <c r="AB140" i="8"/>
  <c r="D140" i="8"/>
  <c r="AL140" i="8" s="1"/>
  <c r="S139" i="8"/>
  <c r="S135" i="8"/>
  <c r="AR132" i="8"/>
  <c r="D132" i="8"/>
  <c r="AL132" i="8" s="1"/>
  <c r="AR128" i="8"/>
  <c r="D124" i="8"/>
  <c r="AR120" i="8"/>
  <c r="AR100" i="8"/>
  <c r="P96" i="8"/>
  <c r="G87" i="8"/>
  <c r="G79" i="8"/>
  <c r="S71" i="8"/>
  <c r="AE63" i="8"/>
  <c r="G63" i="8"/>
  <c r="S43" i="8"/>
  <c r="S31" i="8"/>
  <c r="AE23" i="8"/>
  <c r="G15" i="8"/>
  <c r="S124" i="8"/>
  <c r="AB172" i="8"/>
  <c r="D172" i="8"/>
  <c r="AL172" i="8" s="1"/>
  <c r="S167" i="8"/>
  <c r="AR164" i="8"/>
  <c r="P164" i="8"/>
  <c r="AE159" i="8"/>
  <c r="G159" i="8"/>
  <c r="AR152" i="8"/>
  <c r="S151" i="8"/>
  <c r="AE147" i="8"/>
  <c r="AB144" i="8"/>
  <c r="AE115" i="8"/>
  <c r="S111" i="8"/>
  <c r="AR108" i="8"/>
  <c r="P108" i="8"/>
  <c r="AE103" i="8"/>
  <c r="G103" i="8"/>
  <c r="AE91" i="8"/>
  <c r="G91" i="8"/>
  <c r="S75" i="8"/>
  <c r="AE71" i="8"/>
  <c r="S67" i="8"/>
  <c r="S55" i="8"/>
  <c r="S51" i="8"/>
  <c r="G47" i="8"/>
  <c r="S35" i="8"/>
  <c r="G27" i="8"/>
  <c r="G23" i="8"/>
  <c r="S19" i="8"/>
  <c r="S11" i="8"/>
  <c r="S3" i="8"/>
  <c r="AU128" i="8"/>
  <c r="AU120" i="8"/>
  <c r="S116" i="8"/>
  <c r="AU96" i="8"/>
  <c r="S92" i="8"/>
  <c r="AR92" i="8"/>
  <c r="AH81" i="8"/>
  <c r="AX65" i="8"/>
  <c r="AY65" i="8" s="1"/>
  <c r="BC56" i="8"/>
  <c r="M49" i="8"/>
  <c r="AH49" i="8"/>
  <c r="BC49" i="8"/>
  <c r="S44" i="8"/>
  <c r="AR44" i="8"/>
  <c r="Y33" i="8"/>
  <c r="BC24" i="8"/>
  <c r="AH17" i="8"/>
  <c r="S12" i="8"/>
  <c r="AH25" i="8"/>
  <c r="V165" i="8"/>
  <c r="S161" i="8"/>
  <c r="AR161" i="8"/>
  <c r="BB157" i="8"/>
  <c r="AO153" i="8"/>
  <c r="AB149" i="8"/>
  <c r="S145" i="8"/>
  <c r="AR145" i="8"/>
  <c r="BB141" i="8"/>
  <c r="V137" i="8"/>
  <c r="AL133" i="8"/>
  <c r="AR129" i="8"/>
  <c r="V129" i="8"/>
  <c r="M125" i="8"/>
  <c r="BB125" i="8"/>
  <c r="M121" i="8"/>
  <c r="AH121" i="8"/>
  <c r="BB121" i="8"/>
  <c r="AH117" i="8"/>
  <c r="BB117" i="8"/>
  <c r="S113" i="8"/>
  <c r="AR113" i="8"/>
  <c r="AO113" i="8"/>
  <c r="AR109" i="8"/>
  <c r="BB109" i="8"/>
  <c r="AR105" i="8"/>
  <c r="V105" i="8"/>
  <c r="S97" i="8"/>
  <c r="P97" i="8"/>
  <c r="AX93" i="8"/>
  <c r="AY93" i="8" s="1"/>
  <c r="G85" i="8"/>
  <c r="S77" i="8"/>
  <c r="V68" i="8"/>
  <c r="AK61" i="8"/>
  <c r="AL61" i="8" s="1"/>
  <c r="AH61" i="8"/>
  <c r="AE53" i="8"/>
  <c r="AH45" i="8"/>
  <c r="J44" i="8"/>
  <c r="S40" i="8"/>
  <c r="AR40" i="8"/>
  <c r="V36" i="8"/>
  <c r="AU21" i="8"/>
  <c r="BB20" i="8"/>
  <c r="AL19" i="8"/>
  <c r="AX13" i="8"/>
  <c r="AY13" i="8" s="1"/>
  <c r="AE5" i="8"/>
  <c r="V4" i="8"/>
  <c r="S57" i="8"/>
  <c r="Y57" i="8"/>
  <c r="V57" i="8"/>
  <c r="S52" i="8"/>
  <c r="AR52" i="8"/>
  <c r="P36" i="8"/>
  <c r="M36" i="8"/>
  <c r="AK36" i="8"/>
  <c r="S4" i="8"/>
  <c r="S73" i="8"/>
  <c r="V73" i="8"/>
  <c r="J9" i="8"/>
  <c r="BB9" i="8"/>
  <c r="AL85" i="8"/>
  <c r="AL53" i="8"/>
  <c r="P48" i="8"/>
  <c r="P32" i="8"/>
  <c r="P25" i="8"/>
  <c r="AO21" i="8"/>
  <c r="J21" i="8"/>
  <c r="AH21" i="8"/>
  <c r="BB21" i="8"/>
  <c r="AB16" i="8"/>
  <c r="AO16" i="8"/>
  <c r="BC12" i="8"/>
  <c r="S5" i="8"/>
  <c r="V5" i="8"/>
  <c r="BC134" i="8"/>
  <c r="BC66" i="8"/>
  <c r="BC114" i="8"/>
  <c r="BC46" i="8"/>
  <c r="AE87" i="8"/>
  <c r="AE128" i="8"/>
  <c r="AE171" i="8"/>
  <c r="G171" i="8"/>
  <c r="AB168" i="8"/>
  <c r="D168" i="8"/>
  <c r="S163" i="8"/>
  <c r="AR160" i="8"/>
  <c r="P160" i="8"/>
  <c r="AR156" i="8"/>
  <c r="AR136" i="8"/>
  <c r="D128" i="8"/>
  <c r="D116" i="8"/>
  <c r="AB112" i="8"/>
  <c r="D112" i="8"/>
  <c r="AL112" i="8" s="1"/>
  <c r="S107" i="8"/>
  <c r="AR104" i="8"/>
  <c r="P104" i="8"/>
  <c r="D100" i="8"/>
  <c r="AL100" i="8" s="1"/>
  <c r="S99" i="8"/>
  <c r="AB96" i="8"/>
  <c r="S95" i="8"/>
  <c r="S59" i="8"/>
  <c r="G55" i="8"/>
  <c r="AE47" i="8"/>
  <c r="G35" i="8"/>
  <c r="G31" i="8"/>
  <c r="AE27" i="8"/>
  <c r="S7" i="8"/>
  <c r="AU132" i="8"/>
  <c r="AU116" i="8"/>
  <c r="AL81" i="8"/>
  <c r="AL17" i="8"/>
  <c r="V169" i="8"/>
  <c r="AR165" i="8"/>
  <c r="BB161" i="8"/>
  <c r="BC161" i="8" s="1"/>
  <c r="V153" i="8"/>
  <c r="V149" i="8"/>
  <c r="BB145" i="8"/>
  <c r="AB141" i="8"/>
  <c r="V133" i="8"/>
  <c r="V113" i="8"/>
  <c r="V101" i="8"/>
  <c r="BB97" i="8"/>
  <c r="AU85" i="8"/>
  <c r="BB84" i="8"/>
  <c r="BC84" i="8" s="1"/>
  <c r="G69" i="8"/>
  <c r="V52" i="8"/>
  <c r="AL45" i="8"/>
  <c r="G37" i="8"/>
  <c r="P33" i="8"/>
  <c r="AH28" i="8"/>
  <c r="AB25" i="8"/>
  <c r="AE21" i="8"/>
  <c r="J12" i="8"/>
  <c r="AY57" i="8"/>
  <c r="S89" i="8"/>
  <c r="V89" i="8"/>
  <c r="S41" i="8"/>
  <c r="V41" i="8"/>
  <c r="AY120" i="8"/>
  <c r="AY116" i="8"/>
  <c r="V85" i="8"/>
  <c r="AH84" i="8"/>
  <c r="V69" i="8"/>
  <c r="AH68" i="8"/>
  <c r="P64" i="8"/>
  <c r="D64" i="8"/>
  <c r="V53" i="8"/>
  <c r="AH52" i="8"/>
  <c r="Y37" i="8"/>
  <c r="V37" i="8"/>
  <c r="AH36" i="8"/>
  <c r="AX20" i="8"/>
  <c r="AY20" i="8" s="1"/>
  <c r="J20" i="8"/>
  <c r="Y16" i="8"/>
  <c r="AX5" i="8"/>
  <c r="AY5" i="8" s="1"/>
  <c r="BC158" i="8"/>
  <c r="BC94" i="8"/>
  <c r="BC34" i="8"/>
  <c r="BC10" i="8"/>
  <c r="BC86" i="8"/>
  <c r="BC58" i="8"/>
  <c r="BC138" i="8"/>
  <c r="BC106" i="8"/>
  <c r="BC21" i="8" l="1"/>
  <c r="AY9" i="8"/>
  <c r="AL125" i="8"/>
  <c r="BC162" i="8"/>
  <c r="BC150" i="8"/>
  <c r="AY89" i="8"/>
  <c r="AY101" i="8"/>
  <c r="AY133" i="8"/>
  <c r="AL33" i="8"/>
  <c r="BC4" i="8"/>
  <c r="AY42" i="8"/>
  <c r="AL142" i="8"/>
  <c r="AY30" i="8"/>
  <c r="AL74" i="8"/>
  <c r="AL122" i="8"/>
  <c r="AL138" i="8"/>
  <c r="AL44" i="8"/>
  <c r="AY126" i="8"/>
  <c r="BC82" i="8"/>
  <c r="AL116" i="8"/>
  <c r="BC90" i="8"/>
  <c r="AL16" i="8"/>
  <c r="AL29" i="8"/>
  <c r="AY157" i="8"/>
  <c r="AY49" i="8"/>
  <c r="AL144" i="8"/>
  <c r="AL63" i="8"/>
  <c r="AL123" i="8"/>
  <c r="AL59" i="8"/>
  <c r="AY8" i="8"/>
  <c r="AL128" i="8"/>
  <c r="BC146" i="8"/>
  <c r="AL157" i="8"/>
  <c r="AY69" i="8"/>
  <c r="BC105" i="8"/>
  <c r="AL117" i="8"/>
  <c r="AL41" i="8"/>
  <c r="AY105" i="8"/>
  <c r="AY137" i="8"/>
  <c r="AL15" i="8"/>
  <c r="AL39" i="8"/>
  <c r="AL23" i="8"/>
  <c r="AL32" i="8"/>
  <c r="AL73" i="8"/>
  <c r="AL9" i="8"/>
  <c r="AL28" i="8"/>
  <c r="AL129" i="8"/>
  <c r="AL5" i="8"/>
  <c r="AL69" i="8"/>
  <c r="AL40" i="8"/>
  <c r="AL65" i="8"/>
  <c r="AL48" i="8"/>
  <c r="AL155" i="8"/>
  <c r="AL56" i="8"/>
  <c r="AL64" i="8"/>
  <c r="AL76" i="8"/>
  <c r="AY97" i="8"/>
  <c r="AY161" i="8"/>
  <c r="BC26" i="8"/>
  <c r="BC170" i="8"/>
  <c r="AL168" i="8"/>
  <c r="BC102" i="8"/>
  <c r="BC78" i="8"/>
  <c r="AY141" i="8"/>
  <c r="AY25" i="8"/>
  <c r="AY169" i="8"/>
  <c r="AL47" i="8"/>
  <c r="AL99" i="8"/>
  <c r="AL14" i="8"/>
  <c r="AL21" i="8"/>
  <c r="AL104" i="8"/>
  <c r="BC137" i="8"/>
  <c r="AY149" i="8"/>
  <c r="AL43" i="8"/>
  <c r="BC97" i="8"/>
  <c r="AY16" i="8"/>
  <c r="AL152" i="8"/>
  <c r="BC62" i="8"/>
  <c r="AL145" i="8"/>
  <c r="AL170" i="8"/>
  <c r="AY145" i="8"/>
  <c r="AL120" i="8"/>
  <c r="AL105" i="8"/>
  <c r="AL151" i="8"/>
  <c r="AL109" i="8"/>
  <c r="BC13" i="8"/>
  <c r="AL124" i="8"/>
  <c r="AL137" i="8"/>
  <c r="AL156" i="8"/>
  <c r="AL58" i="8"/>
  <c r="AL159" i="8"/>
  <c r="AY50" i="8"/>
  <c r="AL51" i="8"/>
  <c r="AY33" i="8"/>
  <c r="AL30" i="8"/>
  <c r="BC85" i="8"/>
  <c r="AL25" i="8"/>
  <c r="AL121" i="8"/>
  <c r="AL83" i="8"/>
  <c r="BC157" i="8"/>
  <c r="AL52" i="8"/>
  <c r="BC145" i="8"/>
  <c r="BC89" i="8"/>
  <c r="BC29" i="8"/>
  <c r="AL136" i="8"/>
  <c r="AL115" i="8"/>
  <c r="AL119" i="8"/>
  <c r="AL36" i="8"/>
  <c r="BC117" i="8"/>
  <c r="BC166" i="8"/>
  <c r="BC125" i="8"/>
  <c r="BC17" i="8"/>
  <c r="AL158" i="8"/>
  <c r="BC25" i="8"/>
  <c r="AL38" i="8"/>
  <c r="BC61" i="8"/>
  <c r="BC153" i="8"/>
  <c r="BC45" i="8"/>
  <c r="BC141" i="8"/>
  <c r="AL70" i="8"/>
  <c r="BC65" i="8"/>
  <c r="BC121" i="8"/>
  <c r="BC53" i="8"/>
  <c r="BC149" i="8"/>
  <c r="BC93" i="8"/>
  <c r="BC9" i="8"/>
  <c r="BC109" i="8"/>
  <c r="BC81" i="8"/>
  <c r="BC37" i="8"/>
  <c r="BC41" i="8"/>
  <c r="BC133" i="8"/>
  <c r="AL88" i="8"/>
  <c r="BC69" i="8"/>
  <c r="BC113" i="8"/>
  <c r="AY121" i="8"/>
  <c r="AY113" i="8"/>
  <c r="BC20" i="8"/>
  <c r="AY21" i="8"/>
  <c r="BC5" i="8"/>
  <c r="AY153" i="8"/>
  <c r="AL72" i="8"/>
  <c r="C80" i="5" l="1"/>
  <c r="B80" i="5"/>
  <c r="K16" i="4" l="1"/>
  <c r="P2" i="4" a="1"/>
  <c r="K21" i="4" l="1"/>
  <c r="L31" i="4"/>
  <c r="K2" i="4"/>
  <c r="K12" i="4"/>
  <c r="L24" i="4"/>
  <c r="K24" i="4"/>
  <c r="L22" i="4"/>
  <c r="K22" i="4"/>
  <c r="L26" i="4"/>
  <c r="K26" i="4"/>
  <c r="L30" i="4"/>
  <c r="K30" i="4"/>
  <c r="K25" i="4"/>
  <c r="L28" i="4"/>
  <c r="L25" i="4"/>
  <c r="K28" i="4"/>
  <c r="K29" i="4"/>
  <c r="K23" i="4"/>
  <c r="L29" i="4"/>
  <c r="L23" i="4"/>
  <c r="K27" i="4"/>
  <c r="L27" i="4"/>
  <c r="K31" i="4"/>
  <c r="L38" i="4"/>
  <c r="L37" i="4"/>
  <c r="Q5" i="4"/>
  <c r="Q9" i="4"/>
  <c r="Q13" i="4"/>
  <c r="Q17" i="4"/>
  <c r="Q21" i="4"/>
  <c r="Q25" i="4"/>
  <c r="Q29" i="4"/>
  <c r="Q33" i="4"/>
  <c r="Q37" i="4"/>
  <c r="Q41" i="4"/>
  <c r="Q45" i="4"/>
  <c r="Q6" i="4"/>
  <c r="Q10" i="4"/>
  <c r="Q14" i="4"/>
  <c r="Q18" i="4"/>
  <c r="Q22" i="4"/>
  <c r="Q26" i="4"/>
  <c r="Q30" i="4"/>
  <c r="Q34" i="4"/>
  <c r="Q38" i="4"/>
  <c r="Q42" i="4"/>
  <c r="Q3" i="4"/>
  <c r="Q7" i="4"/>
  <c r="Q11" i="4"/>
  <c r="Q15" i="4"/>
  <c r="Q19" i="4"/>
  <c r="Q23" i="4"/>
  <c r="Q27" i="4"/>
  <c r="Q31" i="4"/>
  <c r="Q35" i="4"/>
  <c r="Q39" i="4"/>
  <c r="Q43" i="4"/>
  <c r="Q4" i="4"/>
  <c r="Q8" i="4"/>
  <c r="Q12" i="4"/>
  <c r="Q16" i="4"/>
  <c r="Q20" i="4"/>
  <c r="Q24" i="4"/>
  <c r="Q28" i="4"/>
  <c r="Q32" i="4"/>
  <c r="Q36" i="4"/>
  <c r="Q40" i="4"/>
  <c r="Q44" i="4"/>
  <c r="K3" i="4"/>
  <c r="K7" i="4"/>
  <c r="K11" i="4"/>
  <c r="K4" i="4"/>
  <c r="K8" i="4"/>
  <c r="K5" i="4"/>
  <c r="K9" i="4"/>
  <c r="K6" i="4"/>
  <c r="K10" i="4"/>
  <c r="P2" i="4"/>
  <c r="Q2" i="4" s="1"/>
  <c r="M24" i="4" l="1"/>
  <c r="L21" i="4"/>
  <c r="M21" i="4" s="1"/>
  <c r="M31" i="4"/>
  <c r="M30" i="4"/>
  <c r="M28" i="4"/>
  <c r="M22" i="4"/>
  <c r="M25" i="4"/>
  <c r="M23" i="4"/>
  <c r="M27" i="4"/>
  <c r="M26" i="4"/>
  <c r="M29" i="4"/>
  <c r="M38" i="4"/>
  <c r="M37" i="4"/>
  <c r="M36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<sst xmlns="http://schemas.openxmlformats.org/spreadsheetml/2006/main" count="2615" uniqueCount="1992">
  <si>
    <t>Descargar de Jira BUGS del filtro de Jira y pegarlos en la pestaña Jira BUGS</t>
  </si>
  <si>
    <t>C360 Auditoria BUGS OPERACIONAL</t>
  </si>
  <si>
    <t>Key</t>
  </si>
  <si>
    <t>Summary</t>
  </si>
  <si>
    <t>Días Resolucion</t>
  </si>
  <si>
    <t>Mes bug creado</t>
  </si>
  <si>
    <t>Mes creación</t>
  </si>
  <si>
    <t>Año creación</t>
  </si>
  <si>
    <t>Fecha creación</t>
  </si>
  <si>
    <t>Mes bug resolucion</t>
  </si>
  <si>
    <t>Mes resolución</t>
  </si>
  <si>
    <t>Año resolución</t>
  </si>
  <si>
    <t>Fecha resolución</t>
  </si>
  <si>
    <t>Dias abiertos</t>
  </si>
  <si>
    <t>SLA</t>
  </si>
  <si>
    <t>Cumple SLA</t>
  </si>
  <si>
    <t>Medium</t>
  </si>
  <si>
    <t>Blocked</t>
  </si>
  <si>
    <t>Tested CERT / TEST</t>
  </si>
  <si>
    <t>Highest</t>
  </si>
  <si>
    <t>In Testing PRE</t>
  </si>
  <si>
    <t>Tested PRE</t>
  </si>
  <si>
    <t>Ready to Develop</t>
  </si>
  <si>
    <t>ON HOLD</t>
  </si>
  <si>
    <t>Upstream Generic State 08</t>
  </si>
  <si>
    <t>BUGS POR FECHA DE CREACIÓN</t>
  </si>
  <si>
    <t>SLAs</t>
  </si>
  <si>
    <t>Etiquetas de fila</t>
  </si>
  <si>
    <t>Promedio de Días Resolucion</t>
  </si>
  <si>
    <t>octubre-2024</t>
  </si>
  <si>
    <t>noviembre-2024</t>
  </si>
  <si>
    <t>diciembre-2024</t>
  </si>
  <si>
    <t>enero-2025</t>
  </si>
  <si>
    <t>febrero-2025</t>
  </si>
  <si>
    <t>Total general</t>
  </si>
  <si>
    <t>BUGS POR FECHA DE RESOLUCIÓN</t>
  </si>
  <si>
    <t>Cuenta de Bugs</t>
  </si>
  <si>
    <t>BUGS CANCELADOS POR FECHA DE CREACIÓN</t>
  </si>
  <si>
    <t>ENTRADAS Y SALIDAS DE BUGS</t>
  </si>
  <si>
    <t>Mes</t>
  </si>
  <si>
    <t>Bugs Abiertos</t>
  </si>
  <si>
    <t>Bugs Cerrados</t>
  </si>
  <si>
    <t>marzo-2025</t>
  </si>
  <si>
    <t>abril-2025</t>
  </si>
  <si>
    <t>mayo-2025</t>
  </si>
  <si>
    <t>junio-2025</t>
  </si>
  <si>
    <t>julio-2025</t>
  </si>
  <si>
    <t>agosto-2025</t>
  </si>
  <si>
    <t>septiembre-2025</t>
  </si>
  <si>
    <t>octubre-2025</t>
  </si>
  <si>
    <t>noviembre-2025</t>
  </si>
  <si>
    <t>diciembre-2025</t>
  </si>
  <si>
    <t>BUGS ABIERTOS</t>
  </si>
  <si>
    <t/>
  </si>
  <si>
    <t>BUGS POR ORIGEN DE LA INCIDENCIA</t>
  </si>
  <si>
    <t>Cuenta de Key</t>
  </si>
  <si>
    <t xml:space="preserve">BUGS RESUELTOS POR EQUIPO DE DESARROLLO </t>
  </si>
  <si>
    <t>BUGS POR COMPONENTE</t>
  </si>
  <si>
    <t>(Todas)</t>
  </si>
  <si>
    <t>Dias que llevan abiertos los bugs en curso por criticidad</t>
  </si>
  <si>
    <t>Promedio de Dias abiertos</t>
  </si>
  <si>
    <t>% Bugs cerrados que cumplen SLAs según Prioridad</t>
  </si>
  <si>
    <t>Cuenta de Cumple SLA</t>
  </si>
  <si>
    <t>Prioridad</t>
  </si>
  <si>
    <t>CUMPLE</t>
  </si>
  <si>
    <t>NO CUMPLE</t>
  </si>
  <si>
    <t>High</t>
  </si>
  <si>
    <t>Tiempos medios de resolución de Bugs por criticidad cerrados por mes</t>
  </si>
  <si>
    <t>Nº Bugs resueltos</t>
  </si>
  <si>
    <t>SLA (días)</t>
  </si>
  <si>
    <t>issue</t>
  </si>
  <si>
    <t>Componente</t>
  </si>
  <si>
    <t>Origen Bug</t>
  </si>
  <si>
    <t>Columna1</t>
  </si>
  <si>
    <t>total</t>
  </si>
  <si>
    <t>Componentes quitando duplicados</t>
  </si>
  <si>
    <t>conteo</t>
  </si>
  <si>
    <t>Media dias resolucion</t>
  </si>
  <si>
    <t>Media dias resolucion mes</t>
  </si>
  <si>
    <t>total apariciones</t>
  </si>
  <si>
    <t>suma apariciones</t>
  </si>
  <si>
    <t>media mensual</t>
  </si>
  <si>
    <t>Media resolución por prioridad</t>
  </si>
  <si>
    <t>media prioridad</t>
  </si>
  <si>
    <t>tiempo max</t>
  </si>
  <si>
    <t>xxxx</t>
  </si>
  <si>
    <t>Total</t>
  </si>
  <si>
    <t>Porcentage</t>
  </si>
  <si>
    <t>highest</t>
  </si>
  <si>
    <t>&lt;7 dias</t>
  </si>
  <si>
    <t>&gt;7dias</t>
  </si>
  <si>
    <t>hight</t>
  </si>
  <si>
    <t>&lt;14 dias</t>
  </si>
  <si>
    <t>&gt;14 dias</t>
  </si>
  <si>
    <t>medium</t>
  </si>
  <si>
    <t>&lt;21dias</t>
  </si>
  <si>
    <t>&gt;21dias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</si>
  <si>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</si>
  <si>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</si>
  <si>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</si>
  <si>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</si>
  <si>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</si>
  <si>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</si>
  <si>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</si>
  <si>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</si>
  <si>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</si>
  <si>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</si>
  <si>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</si>
  <si>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</si>
  <si>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key</t>
  </si>
  <si>
    <t>Backlog</t>
  </si>
  <si>
    <t>CANCELLED</t>
  </si>
  <si>
    <t>CLOSED</t>
  </si>
  <si>
    <t>DESPRIORIZADO PO</t>
  </si>
  <si>
    <t>Developed</t>
  </si>
  <si>
    <t>Developing</t>
  </si>
  <si>
    <t>IN PROGRESS</t>
  </si>
  <si>
    <t>In Testing CERT / TEST</t>
  </si>
  <si>
    <t>OPEN</t>
  </si>
  <si>
    <t>READY</t>
  </si>
  <si>
    <t>RESOLVED</t>
  </si>
  <si>
    <t>Upstream Generic State 00</t>
  </si>
  <si>
    <t>Upstream Generic State 01</t>
  </si>
  <si>
    <t>Upstream Generic State 02</t>
  </si>
  <si>
    <t>Upstream Generic State 03</t>
  </si>
  <si>
    <t>Upstream Generic State 04</t>
  </si>
  <si>
    <t>Upstream Generic State 05</t>
  </si>
  <si>
    <t>Upstream Generic State 06</t>
  </si>
  <si>
    <t>Upstream Generic State 07</t>
  </si>
  <si>
    <t>Upstream Generic State 09</t>
  </si>
  <si>
    <t>ESPC360-10202</t>
  </si>
  <si>
    <t>2024-07-22T13:37:14.968+0200</t>
  </si>
  <si>
    <t>2024-08-27T12:23:22.352+0200</t>
  </si>
  <si>
    <t>2024-09-06T13:46:39.202+0200</t>
  </si>
  <si>
    <t>2024-07-22T13:37:28.041+0200</t>
  </si>
  <si>
    <t>2024-07-22T13:37:29.797+0200</t>
  </si>
  <si>
    <t>2024-08-20T16:05:21.037+0200</t>
  </si>
  <si>
    <t>ESPC360-10203</t>
  </si>
  <si>
    <t>2024-07-22T15:53:14.768+0200</t>
  </si>
  <si>
    <t>2024-08-01T11:43:23.950+0200</t>
  </si>
  <si>
    <t>2024-07-24T08:58:19.769+0200</t>
  </si>
  <si>
    <t>2024-07-24T08:58:21.784+0200</t>
  </si>
  <si>
    <t>2024-07-24T11:46:40.696+0200</t>
  </si>
  <si>
    <t>2024-07-24T12:20:06.774+0200</t>
  </si>
  <si>
    <t>2024-07-24T12:20:17.662+0200</t>
  </si>
  <si>
    <t>ESPC360-10218</t>
  </si>
  <si>
    <t>2024-07-23T11:01:18.159+0200</t>
  </si>
  <si>
    <t>2024-08-27T12:23:32.592+0200</t>
  </si>
  <si>
    <t>2024-09-06T13:46:55.101+0200</t>
  </si>
  <si>
    <t>2024-07-23T11:01:29.486+0200</t>
  </si>
  <si>
    <t>2024-07-23T11:01:31.583+0200</t>
  </si>
  <si>
    <t>2024-08-20T16:11:26.956+0200</t>
  </si>
  <si>
    <t>ESPC360-10231</t>
  </si>
  <si>
    <t>2024-07-23T12:29:10.996+0200</t>
  </si>
  <si>
    <t>2024-08-26T08:14:17.810+0200</t>
  </si>
  <si>
    <t>2024-07-24T08:58:09.672+0200</t>
  </si>
  <si>
    <t>2024-08-20T11:20:26.136+0200</t>
  </si>
  <si>
    <t>2024-08-20T11:20:23.581+0200</t>
  </si>
  <si>
    <t>2024-08-20T11:20:28.667+0200</t>
  </si>
  <si>
    <t>2024-08-13T12:50:51.140+0200</t>
  </si>
  <si>
    <t>2024-08-20T11:09:55.376+0200</t>
  </si>
  <si>
    <t>2024-08-20T17:45:23.849+0200</t>
  </si>
  <si>
    <t>2024-08-13T12:54:16.825+0200</t>
  </si>
  <si>
    <t>2024-08-13T12:50:54.697+0200</t>
  </si>
  <si>
    <t>2024-08-06T09:36:12.624+0200</t>
  </si>
  <si>
    <t>2024-07-24T12:20:17.997+0200</t>
  </si>
  <si>
    <t>ESPC360-10232</t>
  </si>
  <si>
    <t>2024-07-23T12:39:44.900+0200</t>
  </si>
  <si>
    <t>2024-08-01T11:43:37.077+0200</t>
  </si>
  <si>
    <t>2024-07-24T08:57:56.199+0200</t>
  </si>
  <si>
    <t>2024-07-24T08:57:58.174+0200</t>
  </si>
  <si>
    <t>2024-07-24T12:04:06.803+0200</t>
  </si>
  <si>
    <t>2024-07-24T12:20:07.275+0200</t>
  </si>
  <si>
    <t>2024-07-24T12:20:18.190+0200</t>
  </si>
  <si>
    <t>ESPC360-10233</t>
  </si>
  <si>
    <t>2024-07-23T12:49:36.829+0200</t>
  </si>
  <si>
    <t>2024-08-01T11:43:45.847+0200</t>
  </si>
  <si>
    <t>2024-07-24T08:57:40.596+0200</t>
  </si>
  <si>
    <t>2024-07-24T08:57:42.707+0200</t>
  </si>
  <si>
    <t>2024-07-24T12:03:57.333+0200</t>
  </si>
  <si>
    <t>2024-07-24T12:20:07.476+0200</t>
  </si>
  <si>
    <t>2024-07-24T12:20:18.387+0200</t>
  </si>
  <si>
    <t>ESPC360-10234</t>
  </si>
  <si>
    <t>2024-07-23T12:57:34.467+0200</t>
  </si>
  <si>
    <t>2024-08-12T14:13:53.541+0200</t>
  </si>
  <si>
    <t>2024-07-24T08:57:30.443+0200</t>
  </si>
  <si>
    <t>2024-08-06T09:36:22.244+0200</t>
  </si>
  <si>
    <t>2024-08-06T09:36:17.310+0200</t>
  </si>
  <si>
    <t>2024-08-06T09:36:13.185+0200</t>
  </si>
  <si>
    <t>2024-07-24T12:20:18.594+0200</t>
  </si>
  <si>
    <t>ESPC360-10238</t>
  </si>
  <si>
    <t>2024-07-23T15:24:08.589+0200</t>
  </si>
  <si>
    <t>2024-08-13T12:38:09.125+0200</t>
  </si>
  <si>
    <t>2024-08-26T14:11:23.707+0200</t>
  </si>
  <si>
    <t>2024-07-24T08:57:21.625+0200</t>
  </si>
  <si>
    <t>2024-08-20T11:20:34.847+0200</t>
  </si>
  <si>
    <t>2024-08-20T11:20:31.628+0200</t>
  </si>
  <si>
    <t>2024-08-20T11:20:37.695+0200</t>
  </si>
  <si>
    <t>2024-08-20T13:00:38.299+0200</t>
  </si>
  <si>
    <t>2024-08-20T11:10:13.605+0200</t>
  </si>
  <si>
    <t>2024-08-13T12:37:39.564+0200</t>
  </si>
  <si>
    <t>2024-08-13T12:54:25.488+0200</t>
  </si>
  <si>
    <t>2024-08-13T12:50:47.414+0200</t>
  </si>
  <si>
    <t>2024-08-06T09:36:13.492+0200</t>
  </si>
  <si>
    <t>2024-08-20T13:00:46.788+0200</t>
  </si>
  <si>
    <t>ESPC360-10239</t>
  </si>
  <si>
    <t>2024-07-23T15:24:47.852+0200</t>
  </si>
  <si>
    <t>2024-08-01T11:43:59.920+0200</t>
  </si>
  <si>
    <t>2024-07-24T08:57:10.888+0200</t>
  </si>
  <si>
    <t>2024-07-24T08:57:12.865+0200</t>
  </si>
  <si>
    <t>2024-07-24T12:03:34.678+0200</t>
  </si>
  <si>
    <t>2024-07-24T12:20:07.969+0200</t>
  </si>
  <si>
    <t>2024-07-24T12:20:18.991+0200</t>
  </si>
  <si>
    <t>ESPC360-10240</t>
  </si>
  <si>
    <t>2024-07-23T15:25:08.835+0200</t>
  </si>
  <si>
    <t>2024-08-01T11:44:14.440+0200</t>
  </si>
  <si>
    <t>2024-07-24T08:57:03.646+0200</t>
  </si>
  <si>
    <t>2024-07-24T08:57:05.371+0200</t>
  </si>
  <si>
    <t>2024-07-24T12:03:22.179+0200</t>
  </si>
  <si>
    <t>2024-07-24T12:20:08.204+0200</t>
  </si>
  <si>
    <t>2024-07-24T12:20:19.234+0200</t>
  </si>
  <si>
    <t>ESPC360-10241</t>
  </si>
  <si>
    <t>2024-07-23T15:26:37.443+0200</t>
  </si>
  <si>
    <t>2024-08-12T14:14:01.026+0200</t>
  </si>
  <si>
    <t>2024-07-24T08:56:50.392+0200</t>
  </si>
  <si>
    <t>2024-08-06T09:36:22.749+0200</t>
  </si>
  <si>
    <t>2024-08-06T09:36:19.506+0200</t>
  </si>
  <si>
    <t>2024-08-06T09:36:13.752+0200</t>
  </si>
  <si>
    <t>2024-07-24T12:20:19.456+0200</t>
  </si>
  <si>
    <t>ESPC360-10242</t>
  </si>
  <si>
    <t>2024-07-23T15:27:28.020+0200</t>
  </si>
  <si>
    <t>2024-08-01T11:44:29.482+0200</t>
  </si>
  <si>
    <t>2024-07-24T08:56:40.961+0200</t>
  </si>
  <si>
    <t>2024-07-24T08:56:42.369+0200</t>
  </si>
  <si>
    <t>2024-07-24T12:02:06.568+0200</t>
  </si>
  <si>
    <t>2024-07-24T12:20:08.563+0200</t>
  </si>
  <si>
    <t>2024-07-24T12:20:19.667+0200</t>
  </si>
  <si>
    <t>ESPC360-10243</t>
  </si>
  <si>
    <t>2024-07-23T15:29:02.713+0200</t>
  </si>
  <si>
    <t>2024-08-01T11:44:48.936+0200</t>
  </si>
  <si>
    <t>2024-07-24T08:56:33.414+0200</t>
  </si>
  <si>
    <t>2024-07-24T08:56:35.587+0200</t>
  </si>
  <si>
    <t>2024-07-24T12:01:56.771+0200</t>
  </si>
  <si>
    <t>2024-07-24T12:20:08.726+0200</t>
  </si>
  <si>
    <t>2024-07-24T12:20:19.856+0200</t>
  </si>
  <si>
    <t>ESPC360-10404</t>
  </si>
  <si>
    <t>2024-07-29T11:11:43.107+0200</t>
  </si>
  <si>
    <t>2024-10-17T15:35:10.706+0200</t>
  </si>
  <si>
    <t>2024-07-31T09:39:49.533+0200</t>
  </si>
  <si>
    <t>2024-09-18T15:46:46.469+0200</t>
  </si>
  <si>
    <t>2024-09-18T15:45:06.104+0200</t>
  </si>
  <si>
    <t>2024-10-17T15:34:06.294+0200</t>
  </si>
  <si>
    <t>2024-08-21T09:22:01.005+0200</t>
  </si>
  <si>
    <t>2024-10-17T15:34:10.766+0200</t>
  </si>
  <si>
    <t>2024-07-29T11:13:55.943+0200</t>
  </si>
  <si>
    <t>2024-07-31T09:39:51.437+0200</t>
  </si>
  <si>
    <t>2024-08-20T11:45:45.850+0200</t>
  </si>
  <si>
    <t>2024-08-20T16:10:21.058+0200</t>
  </si>
  <si>
    <t>2024-08-20T16:10:26.347+0200</t>
  </si>
  <si>
    <t>ESPC360-10471</t>
  </si>
  <si>
    <t>2024-07-31T13:15:47.143+0200</t>
  </si>
  <si>
    <t>2024-10-04T11:05:20.998+0200</t>
  </si>
  <si>
    <t>2024-07-31T13:15:59.114+0200</t>
  </si>
  <si>
    <t>2024-10-04T11:02:57.898+0200</t>
  </si>
  <si>
    <t>2024-10-04T11:02:53.841+0200</t>
  </si>
  <si>
    <t>2024-10-04T11:03:05.840+0200</t>
  </si>
  <si>
    <t>2024-08-20T13:56:28.196+0200</t>
  </si>
  <si>
    <t>2024-10-04T11:03:10.797+0200</t>
  </si>
  <si>
    <t>2024-07-31T13:16:01.286+0200</t>
  </si>
  <si>
    <t>2024-08-06T14:15:00.580+0200</t>
  </si>
  <si>
    <t>2024-08-06T14:15:07.506+0200</t>
  </si>
  <si>
    <t>ESPC360-10750</t>
  </si>
  <si>
    <t>2024-08-12T17:49:37.469+0200</t>
  </si>
  <si>
    <t>2024-08-21T13:38:10.050+0200</t>
  </si>
  <si>
    <t>2024-09-17T09:16:22.033+0200</t>
  </si>
  <si>
    <t>2024-08-13T09:31:41.053+0200</t>
  </si>
  <si>
    <t>2024-09-10T11:28:16.555+0200</t>
  </si>
  <si>
    <t>2024-09-10T10:12:28.299+0200</t>
  </si>
  <si>
    <t>2024-09-10T11:28:26.641+0200</t>
  </si>
  <si>
    <t>2024-09-10T09:30:49.401+0200</t>
  </si>
  <si>
    <t>2024-09-10T10:12:17.944+0200</t>
  </si>
  <si>
    <t>2024-09-10T11:28:38.904+0200</t>
  </si>
  <si>
    <t>2024-08-13T09:31:42.874+0200</t>
  </si>
  <si>
    <t>2024-09-10T09:31:03.908+0200</t>
  </si>
  <si>
    <t>2024-09-10T09:31:17.138+0200</t>
  </si>
  <si>
    <t>ESPC360-10759</t>
  </si>
  <si>
    <t>2024-08-13T16:16:15.537+0200</t>
  </si>
  <si>
    <t>2024-10-31T09:15:06.901+0100</t>
  </si>
  <si>
    <t>2024-08-13T16:16:26.395+0200</t>
  </si>
  <si>
    <t>2024-09-25T11:56:08.555+0200</t>
  </si>
  <si>
    <t>2024-09-19T15:26:37.870+0200</t>
  </si>
  <si>
    <t>2024-09-25T11:56:14.802+0200</t>
  </si>
  <si>
    <t>2024-10-16T10:44:32.330+0200</t>
  </si>
  <si>
    <t>2024-09-16T11:46:53.622+0200</t>
  </si>
  <si>
    <t>2024-10-16T10:44:37.669+0200</t>
  </si>
  <si>
    <t>2024-10-16T10:44:29.935+0200</t>
  </si>
  <si>
    <t>2024-08-13T16:16:28.109+0200</t>
  </si>
  <si>
    <t>2024-08-21T13:44:46.823+0200</t>
  </si>
  <si>
    <t>2024-08-28T12:03:44.475+0200</t>
  </si>
  <si>
    <t>ESPC360-11021</t>
  </si>
  <si>
    <t>2024-08-22T14:13:13.480+0200</t>
  </si>
  <si>
    <t>2024-09-05T16:31:51.499+0200</t>
  </si>
  <si>
    <t>2024-08-22T14:13:24.960+0200</t>
  </si>
  <si>
    <t>2024-09-04T13:35:29.327+0200</t>
  </si>
  <si>
    <t>2024-09-04T13:35:22.941+0200</t>
  </si>
  <si>
    <t>2024-09-04T15:13:36.025+0200</t>
  </si>
  <si>
    <t>2024-08-23T07:53:25.802+0200</t>
  </si>
  <si>
    <t>2024-09-04T13:35:16.305+0200</t>
  </si>
  <si>
    <t>2024-09-04T15:13:40.161+0200</t>
  </si>
  <si>
    <t>2024-08-22T15:26:41.761+0200</t>
  </si>
  <si>
    <t>2024-08-28T09:42:46.469+0200</t>
  </si>
  <si>
    <t>2024-09-02T12:08:15.193+0200</t>
  </si>
  <si>
    <t>2024-09-02T12:08:31.240+0200</t>
  </si>
  <si>
    <t>2024-09-02T12:08:44.384+0200</t>
  </si>
  <si>
    <t>2024-09-03T09:32:36.764+0200</t>
  </si>
  <si>
    <t>2024-09-03T17:28:23.638+0200</t>
  </si>
  <si>
    <t>ESPC360-11034</t>
  </si>
  <si>
    <t>2024-08-23T11:44:43.053+0200</t>
  </si>
  <si>
    <t>2024-09-03T17:21:23.375+0200</t>
  </si>
  <si>
    <t>2024-08-23T11:44:55.146+0200</t>
  </si>
  <si>
    <t>2024-09-02T10:58:35.698+0200</t>
  </si>
  <si>
    <t>2024-08-30T16:50:58.062+0200</t>
  </si>
  <si>
    <t>2024-09-02T10:58:39.217+0200</t>
  </si>
  <si>
    <t>2024-08-23T11:44:57.180+0200</t>
  </si>
  <si>
    <t>2024-08-27T12:24:11.709+0200</t>
  </si>
  <si>
    <t>ESPC360-11060</t>
  </si>
  <si>
    <t>2024-08-27T09:25:06.927+0200</t>
  </si>
  <si>
    <t>2024-10-10T17:41:36.798+0200</t>
  </si>
  <si>
    <t>2024-08-27T09:25:18.490+0200</t>
  </si>
  <si>
    <t>2024-09-06T14:00:03.564+0200</t>
  </si>
  <si>
    <t>2024-09-06T14:00:00.031+0200</t>
  </si>
  <si>
    <t>2024-09-09T09:05:10.617+0200</t>
  </si>
  <si>
    <t>2024-09-05T11:09:27.871+0200</t>
  </si>
  <si>
    <t>2024-09-13T09:14:31.463+0200</t>
  </si>
  <si>
    <t>2024-08-27T09:25:20.339+0200</t>
  </si>
  <si>
    <t>2024-08-30T09:20:48.249+0200</t>
  </si>
  <si>
    <t>2024-09-02T09:46:36.675+0200</t>
  </si>
  <si>
    <t>ESPC360-11061</t>
  </si>
  <si>
    <t>2024-08-27T09:27:10.607+0200</t>
  </si>
  <si>
    <t>2024-09-10T11:42:57.173+0200</t>
  </si>
  <si>
    <t>2024-08-27T09:42:32.220+0200</t>
  </si>
  <si>
    <t>2024-08-27T09:42:34.630+0200</t>
  </si>
  <si>
    <t>2024-09-02T11:56:59.414+0200</t>
  </si>
  <si>
    <t>ESPC360-11063</t>
  </si>
  <si>
    <t>2024-08-27T09:41:55.962+0200</t>
  </si>
  <si>
    <t>2024-09-10T11:43:35.025+0200</t>
  </si>
  <si>
    <t>2024-08-27T09:43:23.267+0200</t>
  </si>
  <si>
    <t>2024-08-27T09:43:16.600+0200</t>
  </si>
  <si>
    <t>2024-08-27T09:43:15.203+0200</t>
  </si>
  <si>
    <t>2024-08-27T09:43:36.696+0200</t>
  </si>
  <si>
    <t>2024-08-27T09:43:39.910+0200</t>
  </si>
  <si>
    <t>2024-09-06T11:25:27.484+0200</t>
  </si>
  <si>
    <t>ESPC360-11066</t>
  </si>
  <si>
    <t>2024-08-27T12:48:17.319+0200</t>
  </si>
  <si>
    <t>2024-09-10T11:41:44.145+0200</t>
  </si>
  <si>
    <t>2024-09-10T11:35:38.614+0200</t>
  </si>
  <si>
    <t>2024-08-27T12:49:28.748+0200</t>
  </si>
  <si>
    <t>2024-08-27T12:49:31.279+0200</t>
  </si>
  <si>
    <t>2024-08-27T12:49:33.082+0200</t>
  </si>
  <si>
    <t>2024-08-27T12:49:34.944+0200</t>
  </si>
  <si>
    <t>2024-08-27T12:49:36.912+0200</t>
  </si>
  <si>
    <t>2024-08-27T12:49:38.597+0200</t>
  </si>
  <si>
    <t>2024-08-27T12:49:41.072+0200</t>
  </si>
  <si>
    <t>2024-09-09T15:06:28.061+0200</t>
  </si>
  <si>
    <t>ESPC360-11074</t>
  </si>
  <si>
    <t>2024-08-27T13:57:12.142+0200</t>
  </si>
  <si>
    <t>2024-08-29T09:42:53.823+0200</t>
  </si>
  <si>
    <t>2024-11-07T13:17:25.400+0100</t>
  </si>
  <si>
    <t>2024-08-27T13:57:24.497+0200</t>
  </si>
  <si>
    <t>2024-09-18T09:46:01.422+0200</t>
  </si>
  <si>
    <t>2024-09-18T09:46:05.489+0200</t>
  </si>
  <si>
    <t>2024-08-27T13:57:26.594+0200</t>
  </si>
  <si>
    <t>ESPC360-11079</t>
  </si>
  <si>
    <t>2024-08-28T09:20:15.645+0200</t>
  </si>
  <si>
    <t>2024-10-31T09:15:06.957+0100</t>
  </si>
  <si>
    <t>2024-08-28T09:20:27.851+0200</t>
  </si>
  <si>
    <t>2024-10-15T18:01:47.260+0200</t>
  </si>
  <si>
    <t>2024-10-03T16:09:51.107+0200</t>
  </si>
  <si>
    <t>2024-10-15T18:01:53.381+0200</t>
  </si>
  <si>
    <t>2024-10-03T11:51:16.706+0200</t>
  </si>
  <si>
    <t>2024-10-16T10:06:37.206+0200</t>
  </si>
  <si>
    <t>2024-09-18T15:44:26.481+0200</t>
  </si>
  <si>
    <t>2024-09-30T16:25:15.853+0200</t>
  </si>
  <si>
    <t>ESPC360-11222</t>
  </si>
  <si>
    <t>2024-09-03T15:18:15.875+0200</t>
  </si>
  <si>
    <t>2024-09-12T12:07:14.478+0200</t>
  </si>
  <si>
    <t>2024-09-12T09:46:36.343+0200</t>
  </si>
  <si>
    <t>2024-09-12T09:46:31.465+0200</t>
  </si>
  <si>
    <t>2024-09-12T09:46:39.824+0200</t>
  </si>
  <si>
    <t>2024-09-04T08:16:17.071+0200</t>
  </si>
  <si>
    <t>2024-09-12T09:46:26.879+0200</t>
  </si>
  <si>
    <t>2024-09-12T09:46:43.043+0200</t>
  </si>
  <si>
    <t>2024-09-04T08:16:20.763+0200</t>
  </si>
  <si>
    <t>2024-09-12T09:46:13.746+0200</t>
  </si>
  <si>
    <t>2024-09-12T09:46:22.956+0200</t>
  </si>
  <si>
    <t>2024-09-12T09:46:18.865+0200</t>
  </si>
  <si>
    <t>ESPC360-11404</t>
  </si>
  <si>
    <t>2024-09-10T15:47:43.572+0200</t>
  </si>
  <si>
    <t>2024-09-12T16:24:21.520+0200</t>
  </si>
  <si>
    <t>2024-09-10T15:47:55.010+0200</t>
  </si>
  <si>
    <t>2024-09-10T15:47:57.150+0200</t>
  </si>
  <si>
    <t>ESPC360-11469</t>
  </si>
  <si>
    <t>2024-09-13T09:26:26.226+0200</t>
  </si>
  <si>
    <t>2024-09-25T17:40:05.441+0200</t>
  </si>
  <si>
    <t>2024-09-13T09:26:40.286+0200</t>
  </si>
  <si>
    <t>2024-09-13T09:26:42.282+0200</t>
  </si>
  <si>
    <t>2024-09-24T17:30:08.142+0200</t>
  </si>
  <si>
    <t>2024-09-25T11:06:19.422+0200</t>
  </si>
  <si>
    <t>ESPC360-11499</t>
  </si>
  <si>
    <t>2024-09-17T10:11:56.176+0200</t>
  </si>
  <si>
    <t>2024-09-17T10:55:14.532+0200</t>
  </si>
  <si>
    <t>2024-10-08T19:01:45.109+0200</t>
  </si>
  <si>
    <t>2024-09-17T12:04:24.375+0200</t>
  </si>
  <si>
    <t>2024-10-02T17:30:59.244+0200</t>
  </si>
  <si>
    <t>2024-09-23T10:18:09.692+0200</t>
  </si>
  <si>
    <t>2024-10-02T17:31:06.838+0200</t>
  </si>
  <si>
    <t>2024-09-17T10:55:28.248+0200</t>
  </si>
  <si>
    <t>2024-09-23T10:15:20.580+0200</t>
  </si>
  <si>
    <t>2024-10-02T17:31:11.550+0200</t>
  </si>
  <si>
    <t>2024-09-17T10:55:34.748+0200</t>
  </si>
  <si>
    <t>2024-09-17T12:18:16.700+0200</t>
  </si>
  <si>
    <t>2024-09-17T18:10:16.403+0200</t>
  </si>
  <si>
    <t>2024-09-17T18:10:23.220+0200</t>
  </si>
  <si>
    <t>2024-09-20T13:03:44.827+0200</t>
  </si>
  <si>
    <t>2024-09-20T13:04:07.228+0200</t>
  </si>
  <si>
    <t>ESPC360-11504</t>
  </si>
  <si>
    <t>2024-09-17T12:11:23.144+0200</t>
  </si>
  <si>
    <t>2024-10-31T09:15:06.967+0100</t>
  </si>
  <si>
    <t>2024-09-18T09:50:49.754+0200</t>
  </si>
  <si>
    <t>2024-10-09T09:10:09.727+0200</t>
  </si>
  <si>
    <t>2024-10-08T09:10:13.053+0200</t>
  </si>
  <si>
    <t>2024-10-09T09:41:15.438+0200</t>
  </si>
  <si>
    <t>2024-10-02T11:24:24.254+0200</t>
  </si>
  <si>
    <t>2024-10-15T10:06:12.808+0200</t>
  </si>
  <si>
    <t>2024-09-18T09:50:51.975+0200</t>
  </si>
  <si>
    <t>2024-09-25T17:32:37.760+0200</t>
  </si>
  <si>
    <t>2024-09-25T17:38:10.290+0200</t>
  </si>
  <si>
    <t>ESPC360-11523</t>
  </si>
  <si>
    <t>2024-09-18T16:25:55.720+0200</t>
  </si>
  <si>
    <t>2024-10-10T17:41:37.462+0200</t>
  </si>
  <si>
    <t>2024-09-18T16:26:11.908+0200</t>
  </si>
  <si>
    <t>2024-09-18T16:33:53.974+0200</t>
  </si>
  <si>
    <t>2024-09-18T16:26:56.162+0200</t>
  </si>
  <si>
    <t>2024-09-18T16:34:20.487+0200</t>
  </si>
  <si>
    <t>2024-09-18T16:26:14.113+0200</t>
  </si>
  <si>
    <t>ESPC360-11540</t>
  </si>
  <si>
    <t>2024-09-19T09:33:47.174+0200</t>
  </si>
  <si>
    <t>2024-10-08T19:01:44.540+0200</t>
  </si>
  <si>
    <t>2024-09-19T09:33:58.166+0200</t>
  </si>
  <si>
    <t>2024-10-08T09:26:25.134+0200</t>
  </si>
  <si>
    <t>2024-10-08T09:26:18.999+0200</t>
  </si>
  <si>
    <t>2024-10-08T09:26:32.342+0200</t>
  </si>
  <si>
    <t>2024-10-08T09:26:08.446+0200</t>
  </si>
  <si>
    <t>2024-10-08T09:26:40.346+0200</t>
  </si>
  <si>
    <t>2024-09-19T09:34:00.342+0200</t>
  </si>
  <si>
    <t>2024-09-19T12:12:39.188+0200</t>
  </si>
  <si>
    <t>2024-10-03T11:36:44.604+0200</t>
  </si>
  <si>
    <t>2024-10-04T09:42:05.507+0200</t>
  </si>
  <si>
    <t>ESPC360-11691</t>
  </si>
  <si>
    <t>2024-09-19T13:42:50.646+0200</t>
  </si>
  <si>
    <t>2024-10-09T15:09:30.252+0200</t>
  </si>
  <si>
    <t>2024-09-19T13:43:00.544+0200</t>
  </si>
  <si>
    <t>2024-10-09T15:09:13.761+0200</t>
  </si>
  <si>
    <t>2024-10-09T15:09:10.896+0200</t>
  </si>
  <si>
    <t>2024-10-09T15:09:18.190+0200</t>
  </si>
  <si>
    <t>2024-10-09T15:09:07.771+0200</t>
  </si>
  <si>
    <t>2024-10-09T15:09:20.622+0200</t>
  </si>
  <si>
    <t>2024-09-19T13:43:02.795+0200</t>
  </si>
  <si>
    <t>2024-10-04T09:06:54.784+0200</t>
  </si>
  <si>
    <t>2024-10-09T13:35:46.053+0200</t>
  </si>
  <si>
    <t>ESPC360-11717</t>
  </si>
  <si>
    <t>2024-09-23T08:56:17.443+0200</t>
  </si>
  <si>
    <t>2024-10-31T09:15:06.865+0100</t>
  </si>
  <si>
    <t>2024-09-23T09:52:09.256+0200</t>
  </si>
  <si>
    <t>2024-10-07T09:30:26.669+0200</t>
  </si>
  <si>
    <t>2024-10-04T10:00:49.942+0200</t>
  </si>
  <si>
    <t>2024-10-09T09:39:17.972+0200</t>
  </si>
  <si>
    <t>2024-10-02T11:17:19.659+0200</t>
  </si>
  <si>
    <t>2024-10-15T10:06:09.125+0200</t>
  </si>
  <si>
    <t>2024-09-23T09:52:11.279+0200</t>
  </si>
  <si>
    <t>2024-09-24T09:34:40.056+0200</t>
  </si>
  <si>
    <t>2024-09-24T13:32:02.942+0200</t>
  </si>
  <si>
    <t>ESPC360-11718</t>
  </si>
  <si>
    <t>2024-09-23T09:28:59.349+0200</t>
  </si>
  <si>
    <t>2024-10-31T09:15:06.930+0100</t>
  </si>
  <si>
    <t>2024-09-23T09:51:36.778+0200</t>
  </si>
  <si>
    <t>2024-10-09T09:10:15.140+0200</t>
  </si>
  <si>
    <t>2024-10-08T10:11:13.180+0200</t>
  </si>
  <si>
    <t>2024-10-09T09:39:49.653+0200</t>
  </si>
  <si>
    <t>2024-10-02T11:32:23.765+0200</t>
  </si>
  <si>
    <t>2024-10-15T10:06:16.735+0200</t>
  </si>
  <si>
    <t>2024-09-23T09:51:39.038+0200</t>
  </si>
  <si>
    <t>2024-09-30T09:44:01.893+0200</t>
  </si>
  <si>
    <t>2024-09-30T16:35:16.498+0200</t>
  </si>
  <si>
    <t>ESPC360-11736</t>
  </si>
  <si>
    <t>2024-09-23T10:27:44.046+0200</t>
  </si>
  <si>
    <t>2024-10-31T09:15:07.342+0100</t>
  </si>
  <si>
    <t>2024-10-09T09:22:37.216+0200</t>
  </si>
  <si>
    <t>2024-10-09T08:40:44.655+0200</t>
  </si>
  <si>
    <t>2024-10-09T09:22:42.315+0200</t>
  </si>
  <si>
    <t>2024-10-08T10:32:03.475+0200</t>
  </si>
  <si>
    <t>2024-10-15T10:06:05.093+0200</t>
  </si>
  <si>
    <t>2024-09-23T16:07:08.406+0200</t>
  </si>
  <si>
    <t>2024-09-23T16:07:13.246+0200</t>
  </si>
  <si>
    <t>2024-09-23T16:07:15.740+0200</t>
  </si>
  <si>
    <t>2024-09-23T16:07:18.415+0200</t>
  </si>
  <si>
    <t>2024-09-23T16:07:21.041+0200</t>
  </si>
  <si>
    <t>2024-09-23T16:07:37.611+0200</t>
  </si>
  <si>
    <t>2024-09-23T16:07:40.370+0200</t>
  </si>
  <si>
    <t>2024-09-30T16:59:17.009+0200</t>
  </si>
  <si>
    <t>2024-10-08T09:27:03.671+0200</t>
  </si>
  <si>
    <t>ESPC360-11780</t>
  </si>
  <si>
    <t>2024-09-23T13:07:57.471+0200</t>
  </si>
  <si>
    <t>2024-10-01T12:23:45.805+0200</t>
  </si>
  <si>
    <t>2024-10-31T09:15:07.238+0100</t>
  </si>
  <si>
    <t>2024-10-09T08:40:19.598+0200</t>
  </si>
  <si>
    <t>2024-10-03T16:13:06.522+0200</t>
  </si>
  <si>
    <t>2024-10-16T09:41:56.900+0200</t>
  </si>
  <si>
    <t>2024-10-01T12:26:37.300+0200</t>
  </si>
  <si>
    <t>2024-10-02T11:16:09.681+0200</t>
  </si>
  <si>
    <t>2024-10-16T10:25:49.817+0200</t>
  </si>
  <si>
    <t>2024-09-27T10:51:15.000+0200</t>
  </si>
  <si>
    <t>2024-09-27T11:28:40.507+0200</t>
  </si>
  <si>
    <t>2024-09-27T11:28:43.225+0200</t>
  </si>
  <si>
    <t>2024-09-27T11:28:45.580+0200</t>
  </si>
  <si>
    <t>2024-09-30T09:46:22.299+0200</t>
  </si>
  <si>
    <t>2024-09-23T16:08:12.068+0200</t>
  </si>
  <si>
    <t>2024-10-01T12:26:42.483+0200</t>
  </si>
  <si>
    <t>2024-10-01T13:20:01.629+0200</t>
  </si>
  <si>
    <t>2024-10-01T13:20:06.819+0200</t>
  </si>
  <si>
    <t>ESPC360-11800</t>
  </si>
  <si>
    <t>2024-09-23T18:24:29.854+0200</t>
  </si>
  <si>
    <t>2024-10-16T12:20:33.507+0200</t>
  </si>
  <si>
    <t>2024-09-24T09:16:40.694+0200</t>
  </si>
  <si>
    <t>2024-09-26T19:02:28.164+0200</t>
  </si>
  <si>
    <t>2024-09-26T19:02:30.455+0200</t>
  </si>
  <si>
    <t>2024-09-26T19:12:44.831+0200</t>
  </si>
  <si>
    <t>2024-09-26T19:12:47.539+0200</t>
  </si>
  <si>
    <t>2024-09-26T19:12:52.897+0200</t>
  </si>
  <si>
    <t>2024-09-26T19:12:55.909+0200</t>
  </si>
  <si>
    <t>2024-10-08T10:41:31.911+0200</t>
  </si>
  <si>
    <t>ESPC360-11803</t>
  </si>
  <si>
    <t>2024-09-24T10:31:03.179+0200</t>
  </si>
  <si>
    <t>2024-09-30T14:28:31.893+0200</t>
  </si>
  <si>
    <t>2024-09-26T19:26:58.162+0200</t>
  </si>
  <si>
    <t>2024-09-26T19:25:36.972+0200</t>
  </si>
  <si>
    <t>2024-09-26T19:25:39.084+0200</t>
  </si>
  <si>
    <t>2024-09-26T19:25:41.454+0200</t>
  </si>
  <si>
    <t>2024-09-26T19:27:13.621+0200</t>
  </si>
  <si>
    <t>2024-09-26T19:27:16.944+0200</t>
  </si>
  <si>
    <t>ESPC360-11814</t>
  </si>
  <si>
    <t>2024-09-24T16:12:33.045+0200</t>
  </si>
  <si>
    <t>2024-11-26T10:22:11.107+0100</t>
  </si>
  <si>
    <t>2024-09-24T16:12:44.537+0200</t>
  </si>
  <si>
    <t>2024-10-29T16:32:18.983+0100</t>
  </si>
  <si>
    <t>2024-10-29T16:32:14.288+0100</t>
  </si>
  <si>
    <t>2024-10-29T16:33:49.144+0100</t>
  </si>
  <si>
    <t>2024-10-16T09:33:39.466+0200</t>
  </si>
  <si>
    <t>2024-10-29T16:34:25.552+0100</t>
  </si>
  <si>
    <t>2024-09-24T16:12:46.451+0200</t>
  </si>
  <si>
    <t>ESPC360-11853</t>
  </si>
  <si>
    <t>2024-09-26T17:49:45.837+0200</t>
  </si>
  <si>
    <t>2024-10-15T10:03:54.378+0200</t>
  </si>
  <si>
    <t>2024-12-11T09:27:10.194+0100</t>
  </si>
  <si>
    <t>2024-09-26T17:49:57.036+0200</t>
  </si>
  <si>
    <t>2024-11-13T09:12:56.146+0100</t>
  </si>
  <si>
    <t>2024-11-13T09:12:51.627+0100</t>
  </si>
  <si>
    <t>2024-11-13T09:13:00.581+0100</t>
  </si>
  <si>
    <t>2024-11-13T09:12:33.991+0100</t>
  </si>
  <si>
    <t>2024-11-13T09:12:39.704+0100</t>
  </si>
  <si>
    <t>2024-11-13T09:13:17.647+0100</t>
  </si>
  <si>
    <t>2024-09-26T17:49:59.024+0200</t>
  </si>
  <si>
    <t>2024-09-26T17:57:15.700+0200</t>
  </si>
  <si>
    <t>2024-09-26T17:57:27.486+0200</t>
  </si>
  <si>
    <t>ESPC360-11855</t>
  </si>
  <si>
    <t>2024-09-26T18:00:24.429+0200</t>
  </si>
  <si>
    <t>2024-09-27T10:25:39.603+0200</t>
  </si>
  <si>
    <t>2024-09-26T18:00:36.137+0200</t>
  </si>
  <si>
    <t>2024-09-26T18:05:57.133+0200</t>
  </si>
  <si>
    <t>2024-09-26T18:00:38.107+0200</t>
  </si>
  <si>
    <t>2024-09-26T18:03:52.700+0200</t>
  </si>
  <si>
    <t>2024-09-26T18:05:26.375+0200</t>
  </si>
  <si>
    <t>2024-09-26T18:05:32.169+0200</t>
  </si>
  <si>
    <t>ESPC360-11901</t>
  </si>
  <si>
    <t>2024-10-01T09:54:59.494+0200</t>
  </si>
  <si>
    <t>2024-10-03T10:18:23.477+0200</t>
  </si>
  <si>
    <t>2024-10-07T12:53:46.974+0200</t>
  </si>
  <si>
    <t>2024-10-04T10:21:21.200+0200</t>
  </si>
  <si>
    <t>2024-10-01T12:35:07.419+0200</t>
  </si>
  <si>
    <t>ESPC360-12090</t>
  </si>
  <si>
    <t>2024-10-04T08:58:12.925+0200</t>
  </si>
  <si>
    <t>2024-10-07T12:53:11.818+0200</t>
  </si>
  <si>
    <t>2024-10-04T08:58:23.855+0200</t>
  </si>
  <si>
    <t>2024-10-04T08:58:25.862+0200</t>
  </si>
  <si>
    <t>2024-10-04T09:05:58.242+0200</t>
  </si>
  <si>
    <t>ESPC360-12143</t>
  </si>
  <si>
    <t>2024-10-07T12:47:08.195+0200</t>
  </si>
  <si>
    <t>2024-10-07T13:03:56.705+0200</t>
  </si>
  <si>
    <t>2024-10-07T12:47:17.907+0200</t>
  </si>
  <si>
    <t>2024-10-07T12:47:19.864+0200</t>
  </si>
  <si>
    <t>ESPC360-12336</t>
  </si>
  <si>
    <t>2024-10-14T12:31:58.024+0200</t>
  </si>
  <si>
    <t>2024-10-31T09:15:06.848+0100</t>
  </si>
  <si>
    <t>2024-10-14T12:52:36.852+0200</t>
  </si>
  <si>
    <t>2024-10-18T14:51:00.608+0200</t>
  </si>
  <si>
    <t>2024-10-18T14:50:54.542+0200</t>
  </si>
  <si>
    <t>2024-10-18T15:50:40.046+0200</t>
  </si>
  <si>
    <t>2024-10-18T14:50:48.267+0200</t>
  </si>
  <si>
    <t>2024-10-18T15:50:44.037+0200</t>
  </si>
  <si>
    <t>2024-10-14T12:52:38.737+0200</t>
  </si>
  <si>
    <t>2024-10-16T12:20:58.660+0200</t>
  </si>
  <si>
    <t>2024-10-17T16:11:58.831+0200</t>
  </si>
  <si>
    <t>ESPC360-12355</t>
  </si>
  <si>
    <t>2024-10-15T11:29:53.221+0200</t>
  </si>
  <si>
    <t>2024-11-26T10:22:11.753+0100</t>
  </si>
  <si>
    <t>2024-10-15T11:30:04.912+0200</t>
  </si>
  <si>
    <t>2024-10-31T16:40:35.351+0100</t>
  </si>
  <si>
    <t>2024-10-31T15:22:59.808+0100</t>
  </si>
  <si>
    <t>2024-10-31T16:40:38.799+0100</t>
  </si>
  <si>
    <t>2024-10-28T11:53:47.401+0100</t>
  </si>
  <si>
    <t>2024-11-06T09:43:03.383+0100</t>
  </si>
  <si>
    <t>2024-10-15T11:30:07.173+0200</t>
  </si>
  <si>
    <t>2024-10-17T15:57:53.623+0200</t>
  </si>
  <si>
    <t>2024-10-23T13:14:55.180+0200</t>
  </si>
  <si>
    <t>ESPC360-12363</t>
  </si>
  <si>
    <t>2024-10-15T18:10:26.329+0200</t>
  </si>
  <si>
    <t>2024-12-11T09:27:11.087+0100</t>
  </si>
  <si>
    <t>2024-10-15T18:10:36.392+0200</t>
  </si>
  <si>
    <t>2024-11-15T12:23:02.099+0100</t>
  </si>
  <si>
    <t>2024-11-14T16:38:25.805+0100</t>
  </si>
  <si>
    <t>2024-11-20T10:12:53.124+0100</t>
  </si>
  <si>
    <t>2024-11-13T11:19:49.971+0100</t>
  </si>
  <si>
    <t>2024-11-26T09:21:06.212+0100</t>
  </si>
  <si>
    <t>2024-10-29T11:45:51.415+0100</t>
  </si>
  <si>
    <t>2024-10-29T17:44:27.480+0100</t>
  </si>
  <si>
    <t>2024-10-31T11:30:23.586+0100</t>
  </si>
  <si>
    <t>ESPC360-12372</t>
  </si>
  <si>
    <t>2024-10-16T11:22:07.651+0200</t>
  </si>
  <si>
    <t>2024-10-22T15:51:43.893+0200</t>
  </si>
  <si>
    <t>2024-10-16T11:22:20.757+0200</t>
  </si>
  <si>
    <t>2024-10-16T11:22:22.827+0200</t>
  </si>
  <si>
    <t>2024-10-17T18:34:20.203+0200</t>
  </si>
  <si>
    <t>ESPC360-12379</t>
  </si>
  <si>
    <t>2024-10-16T13:28:25.347+0200</t>
  </si>
  <si>
    <t>2024-11-26T10:22:10.119+0100</t>
  </si>
  <si>
    <t>2024-10-16T13:38:03.686+0200</t>
  </si>
  <si>
    <t>2024-11-06T16:12:55.095+0100</t>
  </si>
  <si>
    <t>2024-11-06T10:27:58.743+0100</t>
  </si>
  <si>
    <t>2024-11-06T16:12:58.868+0100</t>
  </si>
  <si>
    <t>2024-10-28T09:11:32.279+0100</t>
  </si>
  <si>
    <t>2024-11-06T16:13:04.249+0100</t>
  </si>
  <si>
    <t>2024-10-16T13:38:05.692+0200</t>
  </si>
  <si>
    <t>2024-10-25T09:01:17.916+0200</t>
  </si>
  <si>
    <t>2024-10-25T09:01:23.592+0200</t>
  </si>
  <si>
    <t>ESPC360-12632</t>
  </si>
  <si>
    <t>2024-10-22T12:46:09.878+0200</t>
  </si>
  <si>
    <t>2024-11-26T16:21:08.396+0100</t>
  </si>
  <si>
    <t>2024-10-22T12:46:20.711+0200</t>
  </si>
  <si>
    <t>2024-11-26T16:23:52.155+0100</t>
  </si>
  <si>
    <t>2024-11-26T16:23:34.246+0100</t>
  </si>
  <si>
    <t>2024-11-26T16:23:58.195+0100</t>
  </si>
  <si>
    <t>2024-10-22T12:46:22.430+0200</t>
  </si>
  <si>
    <t>2024-10-30T16:03:39.389+0100</t>
  </si>
  <si>
    <t>2024-11-18T17:34:21.260+0100</t>
  </si>
  <si>
    <t>2024-11-25T10:10:58.718+0100</t>
  </si>
  <si>
    <t>ESPC360-12636</t>
  </si>
  <si>
    <t>2024-10-22T14:30:11.640+0200</t>
  </si>
  <si>
    <t>2024-12-11T09:27:11.294+0100</t>
  </si>
  <si>
    <t>2024-10-22T14:30:23.676+0200</t>
  </si>
  <si>
    <t>2024-11-15T09:51:40.202+0100</t>
  </si>
  <si>
    <t>2024-11-14T16:10:10.217+0100</t>
  </si>
  <si>
    <t>2024-11-18T09:29:00.738+0100</t>
  </si>
  <si>
    <t>2024-11-13T11:53:42.415+0100</t>
  </si>
  <si>
    <t>2024-11-26T10:11:27.304+0100</t>
  </si>
  <si>
    <t>2024-10-22T14:30:25.842+0200</t>
  </si>
  <si>
    <t>2024-10-31T12:58:52.602+0100</t>
  </si>
  <si>
    <t>2024-11-11T16:58:36.456+0100</t>
  </si>
  <si>
    <t>ESPC360-12646</t>
  </si>
  <si>
    <t>2024-10-23T18:18:59.689+0200</t>
  </si>
  <si>
    <t>2024-10-25T14:00:41.576+0200</t>
  </si>
  <si>
    <t>2024-10-23T18:19:09.175+0200</t>
  </si>
  <si>
    <t>2024-10-23T18:19:11.054+0200</t>
  </si>
  <si>
    <t>2024-10-24T12:05:41.881+0200</t>
  </si>
  <si>
    <t>ESPC360-12700</t>
  </si>
  <si>
    <t>2024-10-25T09:43:29.037+0200</t>
  </si>
  <si>
    <t>2024-11-26T10:22:10.270+0100</t>
  </si>
  <si>
    <t>2024-10-25T09:43:40.606+0200</t>
  </si>
  <si>
    <t>2024-11-05T15:56:25.096+0100</t>
  </si>
  <si>
    <t>2024-11-04T10:28:49.887+0100</t>
  </si>
  <si>
    <t>2024-11-05T15:56:32.390+0100</t>
  </si>
  <si>
    <t>2024-10-31T12:01:22.016+0100</t>
  </si>
  <si>
    <t>2024-11-06T09:43:17.922+0100</t>
  </si>
  <si>
    <t>2024-10-25T09:43:42.306+0200</t>
  </si>
  <si>
    <t>2024-10-29T11:45:59.293+0100</t>
  </si>
  <si>
    <t>2024-10-31T09:52:25.944+0100</t>
  </si>
  <si>
    <t>ESPC360-12731</t>
  </si>
  <si>
    <t>2024-10-28T09:35:37.527+0100</t>
  </si>
  <si>
    <t>2024-10-30T09:41:22.809+0100</t>
  </si>
  <si>
    <t>2024-10-28T09:35:48.035+0100</t>
  </si>
  <si>
    <t>2024-10-30T09:41:02.273+0100</t>
  </si>
  <si>
    <t>2024-10-30T09:40:57.690+0100</t>
  </si>
  <si>
    <t>2024-10-30T09:41:09.850+0100</t>
  </si>
  <si>
    <t>2024-10-30T09:40:52.517+0100</t>
  </si>
  <si>
    <t>2024-10-30T09:41:15.458+0100</t>
  </si>
  <si>
    <t>2024-10-28T09:35:50.043+0100</t>
  </si>
  <si>
    <t>2024-10-28T09:44:10.530+0100</t>
  </si>
  <si>
    <t>2024-10-29T17:44:07.543+0100</t>
  </si>
  <si>
    <t>2024-10-29T17:44:13.205+0100</t>
  </si>
  <si>
    <t>ESPC360-12732</t>
  </si>
  <si>
    <t>2024-10-28T12:47:52.277+0100</t>
  </si>
  <si>
    <t>2024-12-11T09:27:11.129+0100</t>
  </si>
  <si>
    <t>2024-10-28T12:48:03.427+0100</t>
  </si>
  <si>
    <t>2024-11-18T10:18:09.568+0100</t>
  </si>
  <si>
    <t>2024-11-18T10:18:03.991+0100</t>
  </si>
  <si>
    <t>2024-11-18T11:02:31.607+0100</t>
  </si>
  <si>
    <t>2024-11-13T11:25:56.271+0100</t>
  </si>
  <si>
    <t>2024-11-19T10:56:19.966+0100</t>
  </si>
  <si>
    <t>2024-10-28T12:48:05.433+0100</t>
  </si>
  <si>
    <t>2024-10-31T17:37:35.749+0100</t>
  </si>
  <si>
    <t>2024-10-31T18:22:47.116+0100</t>
  </si>
  <si>
    <t>ESPC360-12762</t>
  </si>
  <si>
    <t>2024-10-30T10:49:08.243+0100</t>
  </si>
  <si>
    <t>2024-11-07T16:32:42.552+0100</t>
  </si>
  <si>
    <t>2024-10-30T10:49:18.235+0100</t>
  </si>
  <si>
    <t>2024-11-06T10:24:12.104+0100</t>
  </si>
  <si>
    <t>2024-11-06T10:24:08.564+0100</t>
  </si>
  <si>
    <t>2024-11-06T10:24:15.541+0100</t>
  </si>
  <si>
    <t>2024-11-06T10:24:04.414+0100</t>
  </si>
  <si>
    <t>2024-11-06T10:24:19.660+0100</t>
  </si>
  <si>
    <t>2024-10-30T10:49:20.230+0100</t>
  </si>
  <si>
    <t>2024-11-04T09:36:50.859+0100</t>
  </si>
  <si>
    <t>2024-11-05T12:26:04.557+0100</t>
  </si>
  <si>
    <t>2024-11-05T13:25:28.484+0100</t>
  </si>
  <si>
    <t>ESPC360-12763</t>
  </si>
  <si>
    <t>2024-10-30T11:08:08.327+0100</t>
  </si>
  <si>
    <t>2024-11-07T16:32:42.346+0100</t>
  </si>
  <si>
    <t>2024-10-30T17:01:03.487+0100</t>
  </si>
  <si>
    <t>2024-11-06T10:24:46.363+0100</t>
  </si>
  <si>
    <t>2024-11-06T10:24:41.249+0100</t>
  </si>
  <si>
    <t>2024-11-06T10:26:06.119+0100</t>
  </si>
  <si>
    <t>2024-11-06T10:24:37.778+0100</t>
  </si>
  <si>
    <t>2024-11-06T10:26:08.971+0100</t>
  </si>
  <si>
    <t>2024-10-30T17:01:05.257+0100</t>
  </si>
  <si>
    <t>2024-11-04T09:36:56.542+0100</t>
  </si>
  <si>
    <t>2024-11-06T09:45:18.097+0100</t>
  </si>
  <si>
    <t>2024-11-06T09:45:22.960+0100</t>
  </si>
  <si>
    <t>ESPC360-12774</t>
  </si>
  <si>
    <t>2024-10-31T10:53:28.962+0100</t>
  </si>
  <si>
    <t>2024-10-31T15:55:35.856+0100</t>
  </si>
  <si>
    <t>2024-10-31T10:53:38.352+0100</t>
  </si>
  <si>
    <t>2024-10-31T15:41:51.168+0100</t>
  </si>
  <si>
    <t>2024-10-31T15:41:47.382+0100</t>
  </si>
  <si>
    <t>2024-10-31T15:52:13.449+0100</t>
  </si>
  <si>
    <t>2024-10-31T15:41:43.652+0100</t>
  </si>
  <si>
    <t>2024-10-31T15:52:16.523+0100</t>
  </si>
  <si>
    <t>2024-10-31T10:53:39.942+0100</t>
  </si>
  <si>
    <t>ESPC360-13108</t>
  </si>
  <si>
    <t>2024-11-11T15:59:04.202+0100</t>
  </si>
  <si>
    <t>2024-11-13T17:06:41.878+0100</t>
  </si>
  <si>
    <t>2024-11-11T16:02:55.437+0100</t>
  </si>
  <si>
    <t>2024-11-12T17:43:21.184+0100</t>
  </si>
  <si>
    <t>2024-11-12T17:43:29.369+0100</t>
  </si>
  <si>
    <t>2024-11-12T17:43:39.411+0100</t>
  </si>
  <si>
    <t>2024-11-12T17:43:47.618+0100</t>
  </si>
  <si>
    <t>ESPC360-13113</t>
  </si>
  <si>
    <t>2024-11-12T11:42:59.149+0100</t>
  </si>
  <si>
    <t>2024-11-12T13:07:21.119+0100</t>
  </si>
  <si>
    <t>2024-11-12T11:43:08.539+0100</t>
  </si>
  <si>
    <t>2024-11-12T11:43:10.172+0100</t>
  </si>
  <si>
    <t>ESPC360-13114</t>
  </si>
  <si>
    <t>2024-11-12T11:43:46.194+0100</t>
  </si>
  <si>
    <t>2024-11-13T16:13:26.847+0100</t>
  </si>
  <si>
    <t>2024-11-12T11:43:56.653+0100</t>
  </si>
  <si>
    <t>2024-11-12T11:43:58.406+0100</t>
  </si>
  <si>
    <t>2024-11-12T17:39:17.241+0100</t>
  </si>
  <si>
    <t>ESPC360-13131</t>
  </si>
  <si>
    <t>2024-11-13T13:11:21.715+0100</t>
  </si>
  <si>
    <t>2024-11-25T09:52:59.938+0100</t>
  </si>
  <si>
    <t>2024-12-16T14:08:35.134+0100</t>
  </si>
  <si>
    <t>2024-12-16T09:20:50.542+0100</t>
  </si>
  <si>
    <t>2024-12-04T10:44:57.002+0100</t>
  </si>
  <si>
    <t>2024-11-21T15:16:17.788+0100</t>
  </si>
  <si>
    <t>2024-11-25T09:53:01.839+0100</t>
  </si>
  <si>
    <t>2024-11-27T13:57:20.302+0100</t>
  </si>
  <si>
    <t>2024-12-03T09:17:15.888+0100</t>
  </si>
  <si>
    <t>ESPC360-13164</t>
  </si>
  <si>
    <t>2024-11-14T11:08:32.400+0100</t>
  </si>
  <si>
    <t>2024-11-20T12:58:29.361+0100</t>
  </si>
  <si>
    <t>2024-11-14T11:08:43.371+0100</t>
  </si>
  <si>
    <t>2024-11-14T11:08:44.852+0100</t>
  </si>
  <si>
    <t>2024-11-18T17:34:25.931+0100</t>
  </si>
  <si>
    <t>2024-11-19T13:40:40.212+0100</t>
  </si>
  <si>
    <t>ESPC360-13286</t>
  </si>
  <si>
    <t>2024-11-14T15:44:29.724+0100</t>
  </si>
  <si>
    <t>2024-11-28T15:19:16.523+0100</t>
  </si>
  <si>
    <t>2024-11-14T15:44:40.504+0100</t>
  </si>
  <si>
    <t>2024-11-21T15:21:37.085+0100</t>
  </si>
  <si>
    <t>2024-11-21T15:21:33.583+0100</t>
  </si>
  <si>
    <t>2024-11-14T15:44:42.435+0100</t>
  </si>
  <si>
    <t>2024-11-18T17:34:37.212+0100</t>
  </si>
  <si>
    <t>2024-11-20T17:13:18.197+0100</t>
  </si>
  <si>
    <t>ESPC360-13288</t>
  </si>
  <si>
    <t>2024-11-14T16:18:09.074+0100</t>
  </si>
  <si>
    <t>2024-12-05T09:55:04.462+0100</t>
  </si>
  <si>
    <t>2024-11-14T16:18:18.846+0100</t>
  </si>
  <si>
    <t>2024-11-26T08:16:49.700+0100</t>
  </si>
  <si>
    <t>2024-11-27T16:00:43.326+0100</t>
  </si>
  <si>
    <t>2024-11-28T14:03:59.219+0100</t>
  </si>
  <si>
    <t>2024-11-28T15:01:30.313+0100</t>
  </si>
  <si>
    <t>ESPC360-13291</t>
  </si>
  <si>
    <t>2024-11-14T18:20:51.555+0100</t>
  </si>
  <si>
    <t>2024-12-02T12:14:21.528+0100</t>
  </si>
  <si>
    <t>2024-12-04T12:54:19.829+0100</t>
  </si>
  <si>
    <t>2024-11-14T18:21:02.171+0100</t>
  </si>
  <si>
    <t>2024-11-14T18:21:03.956+0100</t>
  </si>
  <si>
    <t>2024-11-28T15:24:47.493+0100</t>
  </si>
  <si>
    <t>ESPC360-13309</t>
  </si>
  <si>
    <t>2024-11-18T11:30:07.781+0100</t>
  </si>
  <si>
    <t>2024-12-05T09:58:48.817+0100</t>
  </si>
  <si>
    <t>2024-11-18T11:30:23.584+0100</t>
  </si>
  <si>
    <t>2024-12-04T16:11:18.362+0100</t>
  </si>
  <si>
    <t>2024-12-05T09:58:44.952+0100</t>
  </si>
  <si>
    <t>2024-12-05T09:58:40.038+0100</t>
  </si>
  <si>
    <t>2024-12-04T16:11:22.671+0100</t>
  </si>
  <si>
    <t>2024-11-28T15:23:30.559+0100</t>
  </si>
  <si>
    <t>2024-11-27T15:57:49.629+0100</t>
  </si>
  <si>
    <t>ESPC360-13363</t>
  </si>
  <si>
    <t>2024-11-19T10:11:03.561+0100</t>
  </si>
  <si>
    <t>2024-11-19T10:11:15.394+0100</t>
  </si>
  <si>
    <t>2024-11-19T10:12:04.021+0100</t>
  </si>
  <si>
    <t>2024-12-05T09:45:06.048+0100</t>
  </si>
  <si>
    <t>2024-12-05T09:45:15.305+0100</t>
  </si>
  <si>
    <t>2024-12-05T09:45:20.005+0100</t>
  </si>
  <si>
    <t>ESPC360-13372</t>
  </si>
  <si>
    <t>2024-11-19T14:54:45.139+0100</t>
  </si>
  <si>
    <t>2024-11-19T15:47:28.479+0100</t>
  </si>
  <si>
    <t>2024-12-13T13:05:44.492+0100</t>
  </si>
  <si>
    <t>2024-11-19T14:56:35.485+0100</t>
  </si>
  <si>
    <t>2024-12-05T11:16:35.913+0100</t>
  </si>
  <si>
    <t>2024-11-19T15:04:03.357+0100</t>
  </si>
  <si>
    <t>2024-11-19T15:03:56.717+0100</t>
  </si>
  <si>
    <t>2024-11-19T15:03:53.973+0100</t>
  </si>
  <si>
    <t>2024-11-19T15:03:50.847+0100</t>
  </si>
  <si>
    <t>2024-11-19T15:03:47.575+0100</t>
  </si>
  <si>
    <t>2024-11-19T15:03:44.209+0100</t>
  </si>
  <si>
    <t>2024-12-05T11:16:46.400+0100</t>
  </si>
  <si>
    <t>2024-12-05T11:17:13.449+0100</t>
  </si>
  <si>
    <t>2024-12-05T11:17:17.500+0100</t>
  </si>
  <si>
    <t>2024-12-05T11:17:21.397+0100</t>
  </si>
  <si>
    <t>ESPC360-13375</t>
  </si>
  <si>
    <t>2024-11-19T15:15:52.179+0100</t>
  </si>
  <si>
    <t>2024-11-20T09:53:03.494+0100</t>
  </si>
  <si>
    <t>2024-11-19T15:21:38.333+0100</t>
  </si>
  <si>
    <t>2024-11-19T15:21:32.068+0100</t>
  </si>
  <si>
    <t>2024-11-19T15:21:29.077+0100</t>
  </si>
  <si>
    <t>2024-11-19T15:21:26.309+0100</t>
  </si>
  <si>
    <t>2024-11-19T15:21:23.649+0100</t>
  </si>
  <si>
    <t>2024-11-19T15:21:20.950+0100</t>
  </si>
  <si>
    <t>2024-11-20T09:53:05.096+0100</t>
  </si>
  <si>
    <t>2024-11-25T10:10:39.241+0100</t>
  </si>
  <si>
    <t>2024-11-25T10:10:42.996+0100</t>
  </si>
  <si>
    <t>2024-11-25T10:10:48.679+0100</t>
  </si>
  <si>
    <t>ESPC360-13376</t>
  </si>
  <si>
    <t>2024-11-19T15:22:33.557+0100</t>
  </si>
  <si>
    <t>2024-11-19T15:43:28.932+0100</t>
  </si>
  <si>
    <t>2024-12-05T09:41:36.556+0100</t>
  </si>
  <si>
    <t>2024-11-19T15:32:27.320+0100</t>
  </si>
  <si>
    <t>2024-11-27T13:52:24.614+0100</t>
  </si>
  <si>
    <t>2024-11-27T13:53:35.677+0100</t>
  </si>
  <si>
    <t>2024-11-19T15:26:18.432+0100</t>
  </si>
  <si>
    <t>2024-11-19T15:26:15.223+0100</t>
  </si>
  <si>
    <t>2024-11-19T15:26:12.527+0100</t>
  </si>
  <si>
    <t>2024-11-19T15:26:09.853+0100</t>
  </si>
  <si>
    <t>2024-11-19T15:26:07.230+0100</t>
  </si>
  <si>
    <t>2024-11-19T15:26:04.531+0100</t>
  </si>
  <si>
    <t>2024-11-19T15:32:29.338+0100</t>
  </si>
  <si>
    <t>2024-11-27T13:53:52.818+0100</t>
  </si>
  <si>
    <t>ESPC360-13377</t>
  </si>
  <si>
    <t>2024-11-19T15:41:49.236+0100</t>
  </si>
  <si>
    <t>2024-11-19T15:54:01.522+0100</t>
  </si>
  <si>
    <t>2024-11-26T16:22:36.667+0100</t>
  </si>
  <si>
    <t>2024-11-26T16:22:41.711+0100</t>
  </si>
  <si>
    <t>2024-11-19T15:45:35.918+0100</t>
  </si>
  <si>
    <t>2024-11-19T15:45:32.291+0100</t>
  </si>
  <si>
    <t>2024-11-19T15:45:29.318+0100</t>
  </si>
  <si>
    <t>2024-11-19T15:45:26.568+0100</t>
  </si>
  <si>
    <t>2024-11-19T15:45:23.748+0100</t>
  </si>
  <si>
    <t>2024-11-19T15:45:20.382+0100</t>
  </si>
  <si>
    <t>2024-11-19T15:54:03.443+0100</t>
  </si>
  <si>
    <t>2024-11-25T10:10:22.956+0100</t>
  </si>
  <si>
    <t>2024-11-25T10:10:28.188+0100</t>
  </si>
  <si>
    <t>2024-11-25T10:10:51.926+0100</t>
  </si>
  <si>
    <t>ESPC360-13379</t>
  </si>
  <si>
    <t>2024-11-19T17:42:47.873+0100</t>
  </si>
  <si>
    <t>2024-11-28T15:19:16.367+0100</t>
  </si>
  <si>
    <t>2024-11-20T09:32:18.818+0100</t>
  </si>
  <si>
    <t>2024-11-21T15:21:20.203+0100</t>
  </si>
  <si>
    <t>2024-11-21T15:21:07.526+0100</t>
  </si>
  <si>
    <t>2024-11-20T09:32:20.643+0100</t>
  </si>
  <si>
    <t>2024-11-20T09:54:33.268+0100</t>
  </si>
  <si>
    <t>2024-11-20T17:50:29.386+0100</t>
  </si>
  <si>
    <t>ESPC360-13411</t>
  </si>
  <si>
    <t>2024-11-21T13:01:45.051+0100</t>
  </si>
  <si>
    <t>2024-12-05T09:55:42.745+0100</t>
  </si>
  <si>
    <t>2024-11-21T13:01:54.376+0100</t>
  </si>
  <si>
    <t>2024-11-21T13:01:56.192+0100</t>
  </si>
  <si>
    <t>2024-12-04T12:42:50.836+0100</t>
  </si>
  <si>
    <t>2024-12-04T17:41:21.858+0100</t>
  </si>
  <si>
    <t>2024-12-04T17:41:29.985+0100</t>
  </si>
  <si>
    <t>ESPC360-13482</t>
  </si>
  <si>
    <t>2024-11-21T15:52:49.720+0100</t>
  </si>
  <si>
    <t>2024-11-21T15:52:59.578+0100</t>
  </si>
  <si>
    <t>2024-12-12T11:57:45.202+0100</t>
  </si>
  <si>
    <t>2024-11-21T15:53:01.433+0100</t>
  </si>
  <si>
    <t>2024-11-28T10:16:04.308+0100</t>
  </si>
  <si>
    <t>2024-12-04T17:35:11.197+0100</t>
  </si>
  <si>
    <t>ESPC360-13488</t>
  </si>
  <si>
    <t>2024-11-21T18:08:32.452+0100</t>
  </si>
  <si>
    <t>2024-12-05T09:55:47.708+0100</t>
  </si>
  <si>
    <t>2024-11-21T18:08:42.491+0100</t>
  </si>
  <si>
    <t>2024-11-21T18:08:44.240+0100</t>
  </si>
  <si>
    <t>2024-11-27T13:09:01.417+0100</t>
  </si>
  <si>
    <t>2024-11-27T13:12:25.580+0100</t>
  </si>
  <si>
    <t>2024-11-27T13:12:30.066+0100</t>
  </si>
  <si>
    <t>ESPC360-13532</t>
  </si>
  <si>
    <t>2024-11-26T08:13:47.653+0100</t>
  </si>
  <si>
    <t>2024-11-28T15:19:16.683+0100</t>
  </si>
  <si>
    <t>2024-11-26T08:13:57.320+0100</t>
  </si>
  <si>
    <t>2024-11-27T09:43:27.597+0100</t>
  </si>
  <si>
    <t>2024-11-27T09:43:32.348+0100</t>
  </si>
  <si>
    <t>2024-11-26T08:13:59.151+0100</t>
  </si>
  <si>
    <t>2024-11-26T08:16:38.276+0100</t>
  </si>
  <si>
    <t>2024-11-26T16:33:15.815+0100</t>
  </si>
  <si>
    <t>2024-11-26T16:33:19.597+0100</t>
  </si>
  <si>
    <t>ESPC360-13534</t>
  </si>
  <si>
    <t>2024-11-26T10:50:50.886+0100</t>
  </si>
  <si>
    <t>2024-11-26T10:51:02.444+0100</t>
  </si>
  <si>
    <t>2024-11-26T10:51:03.951+0100</t>
  </si>
  <si>
    <t>2024-12-04T17:41:43.164+0100</t>
  </si>
  <si>
    <t>2024-12-13T14:51:39.266+0100</t>
  </si>
  <si>
    <t>2024-12-16T09:44:49.170+0100</t>
  </si>
  <si>
    <t>ESPC360-13535</t>
  </si>
  <si>
    <t>2024-11-26T11:07:14.715+0100</t>
  </si>
  <si>
    <t>2024-11-26T11:07:24.702+0100</t>
  </si>
  <si>
    <t>2024-11-26T11:07:26.225+0100</t>
  </si>
  <si>
    <t>2024-12-04T17:41:47.081+0100</t>
  </si>
  <si>
    <t>2024-12-13T15:05:44.539+0100</t>
  </si>
  <si>
    <t>2024-12-16T09:44:58.629+0100</t>
  </si>
  <si>
    <t>ESPC360-13540</t>
  </si>
  <si>
    <t>2024-11-26T15:28:36.233+0100</t>
  </si>
  <si>
    <t>2024-11-26T15:28:47.191+0100</t>
  </si>
  <si>
    <t>2024-12-04T10:34:48.935+0100</t>
  </si>
  <si>
    <t>2024-11-26T15:28:49.092+0100</t>
  </si>
  <si>
    <t>2024-11-29T11:18:57.945+0100</t>
  </si>
  <si>
    <t>2024-11-29T11:39:41.093+0100</t>
  </si>
  <si>
    <t>ESPC360-13557</t>
  </si>
  <si>
    <t>2024-11-28T09:23:28.358+0100</t>
  </si>
  <si>
    <t>2024-11-28T09:23:39.007+0100</t>
  </si>
  <si>
    <t>2024-11-28T09:23:40.832+0100</t>
  </si>
  <si>
    <t>2024-12-13T15:28:12.473+0100</t>
  </si>
  <si>
    <t>2024-12-16T12:40:32.386+0100</t>
  </si>
  <si>
    <t>ESPC360-13803</t>
  </si>
  <si>
    <t>2024-12-02T14:59:22.690+0100</t>
  </si>
  <si>
    <t>2024-12-02T14:59:33.841+0100</t>
  </si>
  <si>
    <t>2024-12-02T14:59:35.400+0100</t>
  </si>
  <si>
    <t>ESPC360-13804</t>
  </si>
  <si>
    <t>2024-12-02T15:06:15.256+0100</t>
  </si>
  <si>
    <t>2024-12-02T15:06:28.953+0100</t>
  </si>
  <si>
    <t>2024-12-02T15:06:30.617+0100</t>
  </si>
  <si>
    <t>ESPC360-13805</t>
  </si>
  <si>
    <t>2024-12-02T15:13:51.956+0100</t>
  </si>
  <si>
    <t>2024-12-02T15:14:04.406+0100</t>
  </si>
  <si>
    <t>2024-12-02T15:14:06.614+0100</t>
  </si>
  <si>
    <t>ESPC360-13825</t>
  </si>
  <si>
    <t>2024-12-04T13:06:28.407+0100</t>
  </si>
  <si>
    <t>2024-12-05T09:58:55.199+0100</t>
  </si>
  <si>
    <t>2024-12-04T13:07:46.889+0100</t>
  </si>
  <si>
    <t>2024-12-04T16:12:05.794+0100</t>
  </si>
  <si>
    <t>2024-12-04T16:12:09.182+0100</t>
  </si>
  <si>
    <t>ESPC360-13831</t>
  </si>
  <si>
    <t>2024-12-04T14:48:17.712+0100</t>
  </si>
  <si>
    <t>2024-12-04T14:48:27.718+0100</t>
  </si>
  <si>
    <t>2024-12-04T14:48:29.460+0100</t>
  </si>
  <si>
    <t>2024-12-16T12:40:48.947+0100</t>
  </si>
  <si>
    <t>2024-12-16T13:02:21.396+0100</t>
  </si>
  <si>
    <t>ESPC360-13835</t>
  </si>
  <si>
    <t>2024-12-04T16:30:21.225+0100</t>
  </si>
  <si>
    <t>2024-12-04T16:30:32.242+0100</t>
  </si>
  <si>
    <t>2024-12-04T16:30:33.833+0100</t>
  </si>
  <si>
    <t>2024-12-05T11:38:21.533+0100</t>
  </si>
  <si>
    <t>2024-12-11T16:40:28.594+0100</t>
  </si>
  <si>
    <t>2024-12-12T10:51:00.762+0100</t>
  </si>
  <si>
    <t>ESPC360-13836</t>
  </si>
  <si>
    <t>2024-12-04T16:37:33.822+0100</t>
  </si>
  <si>
    <t>2024-12-12T09:47:51.466+0100</t>
  </si>
  <si>
    <t>2024-12-04T16:37:43.689+0100</t>
  </si>
  <si>
    <t>2024-12-04T16:37:45.395+0100</t>
  </si>
  <si>
    <t>2024-12-05T11:38:14.016+0100</t>
  </si>
  <si>
    <t>2024-12-11T09:26:29.781+0100</t>
  </si>
  <si>
    <t>2024-12-11T09:32:42.846+0100</t>
  </si>
  <si>
    <t>ESPC360-13948</t>
  </si>
  <si>
    <t>2024-12-10T16:29:11.641+0100</t>
  </si>
  <si>
    <t>2024-12-10T16:29:21.791+0100</t>
  </si>
  <si>
    <t>2024-12-10T16:29:23.215+0100</t>
  </si>
  <si>
    <t>2024-12-10T16:34:36.223+0100</t>
  </si>
  <si>
    <t>ESPC360-13965</t>
  </si>
  <si>
    <t>2024-12-11T16:54:52.873+0100</t>
  </si>
  <si>
    <t>2024-12-13T09:32:30.050+0100</t>
  </si>
  <si>
    <t>2024-12-11T17:19:14.976+0100</t>
  </si>
  <si>
    <t>2024-12-12T11:05:34.306+0100</t>
  </si>
  <si>
    <t>2024-12-12T09:36:13.337+0100</t>
  </si>
  <si>
    <t>ESPC360-14082</t>
  </si>
  <si>
    <t>2024-12-12T16:53:09.690+0100</t>
  </si>
  <si>
    <t>ESPC360-3890</t>
  </si>
  <si>
    <t>2024-01-08T11:45:55.718+0100</t>
  </si>
  <si>
    <t>2024-01-25T17:05:36.811+0100</t>
  </si>
  <si>
    <t>2024-01-08T11:49:47.255+0100</t>
  </si>
  <si>
    <t>2024-01-25T13:44:29.485+0100</t>
  </si>
  <si>
    <t>2024-01-19T09:37:03.940+0100</t>
  </si>
  <si>
    <t>2024-01-25T13:44:42.573+0100</t>
  </si>
  <si>
    <t>2024-01-25T13:43:44.313+0100</t>
  </si>
  <si>
    <t>2024-01-25T13:44:18.516+0100</t>
  </si>
  <si>
    <t>2024-01-25T13:44:50.736+0100</t>
  </si>
  <si>
    <t>2024-01-25T13:43:59.241+0100</t>
  </si>
  <si>
    <t>2024-01-16T10:52:18.079+0100</t>
  </si>
  <si>
    <t>2024-01-19T09:36:10.802+0100</t>
  </si>
  <si>
    <t>ESPC360-3979</t>
  </si>
  <si>
    <t>2024-01-09T15:48:19.084+0100</t>
  </si>
  <si>
    <t>2024-01-10T16:49:49.876+0100</t>
  </si>
  <si>
    <t>2024-01-09T15:48:27.272+0100</t>
  </si>
  <si>
    <t>2024-01-09T15:48:28.479+0100</t>
  </si>
  <si>
    <t>2024-01-10T10:40:43.214+0100</t>
  </si>
  <si>
    <t>ESPC360-3997</t>
  </si>
  <si>
    <t>2024-01-10T16:09:46.206+0100</t>
  </si>
  <si>
    <t>2024-02-02T09:57:57.836+0100</t>
  </si>
  <si>
    <t>2024-01-10T16:12:54.097+0100</t>
  </si>
  <si>
    <t>2024-01-15T10:47:00.329+0100</t>
  </si>
  <si>
    <t>2024-01-12T10:34:48.044+0100</t>
  </si>
  <si>
    <t>2024-01-17T11:32:46.434+0100</t>
  </si>
  <si>
    <t>2024-01-11T16:08:17.906+0100</t>
  </si>
  <si>
    <t>2024-01-18T11:07:52.186+0100</t>
  </si>
  <si>
    <t>2024-01-10T16:12:55.494+0100</t>
  </si>
  <si>
    <t>2024-01-10T16:47:41.972+0100</t>
  </si>
  <si>
    <t>2024-01-10T16:58:27.586+0100</t>
  </si>
  <si>
    <t>ESPC360-4326</t>
  </si>
  <si>
    <t>2024-01-15T13:10:17.650+0100</t>
  </si>
  <si>
    <t>2024-03-18T16:51:24.276+0100</t>
  </si>
  <si>
    <t>2024-01-15T14:44:17.132+0100</t>
  </si>
  <si>
    <t>2024-02-13T11:39:41.299+0100</t>
  </si>
  <si>
    <t>2024-02-08T16:40:28.761+0100</t>
  </si>
  <si>
    <t>2024-02-13T11:39:51.218+0100</t>
  </si>
  <si>
    <t>2024-01-22T12:23:12.692+0100</t>
  </si>
  <si>
    <t>2024-02-13T11:39:55.182+0100</t>
  </si>
  <si>
    <t>2024-01-15T13:17:22.128+0100</t>
  </si>
  <si>
    <t>2024-01-15T13:17:35.485+0100</t>
  </si>
  <si>
    <t>2024-01-15T14:44:18.652+0100</t>
  </si>
  <si>
    <t>2024-01-16T10:50:16.048+0100</t>
  </si>
  <si>
    <t>2024-01-22T08:07:16.665+0100</t>
  </si>
  <si>
    <t>ESPC360-4462</t>
  </si>
  <si>
    <t>2024-01-18T16:56:35.560+0100</t>
  </si>
  <si>
    <t>2024-01-25T17:03:51.133+0100</t>
  </si>
  <si>
    <t>2024-01-25T17:03:32.678+0100</t>
  </si>
  <si>
    <t>2024-01-25T17:03:28.539+0100</t>
  </si>
  <si>
    <t>2024-01-25T17:03:41.575+0100</t>
  </si>
  <si>
    <t>2024-01-25T17:03:21.672+0100</t>
  </si>
  <si>
    <t>2024-01-25T17:03:47.338+0100</t>
  </si>
  <si>
    <t>2024-01-18T16:59:12.986+0100</t>
  </si>
  <si>
    <t>2024-01-18T16:59:16.181+0100</t>
  </si>
  <si>
    <t>2024-01-18T17:01:30.145+0100</t>
  </si>
  <si>
    <t>2024-01-18T17:48:17.631+0100</t>
  </si>
  <si>
    <t>2024-01-23T14:31:13.247+0100</t>
  </si>
  <si>
    <t>2024-01-23T16:19:47.196+0100</t>
  </si>
  <si>
    <t>2024-01-23T16:19:49.590+0100</t>
  </si>
  <si>
    <t>2024-01-24T15:32:28.559+0100</t>
  </si>
  <si>
    <t>ESPC360-4604</t>
  </si>
  <si>
    <t>2024-01-24T10:22:10.768+0100</t>
  </si>
  <si>
    <t>2024-01-29T15:53:06.792+0100</t>
  </si>
  <si>
    <t>2024-03-01T09:47:30.770+0100</t>
  </si>
  <si>
    <t>2024-01-24T10:35:16.159+0100</t>
  </si>
  <si>
    <t>2024-01-29T15:53:55.638+0100</t>
  </si>
  <si>
    <t>2024-01-29T15:53:59.956+0100</t>
  </si>
  <si>
    <t>2024-02-29T16:25:53.962+0100</t>
  </si>
  <si>
    <t>2024-01-25T17:04:07.778+0100</t>
  </si>
  <si>
    <t>ESPC360-4906</t>
  </si>
  <si>
    <t>2024-01-26T10:53:25.043+0100</t>
  </si>
  <si>
    <t>2024-01-30T09:47:36.990+0100</t>
  </si>
  <si>
    <t>2024-01-26T10:55:44.413+0100</t>
  </si>
  <si>
    <t>2024-01-30T09:25:06.140+0100</t>
  </si>
  <si>
    <t>2024-01-29T15:54:21.966+0100</t>
  </si>
  <si>
    <t>ESPC360-4907</t>
  </si>
  <si>
    <t>2024-01-26T10:59:23.147+0100</t>
  </si>
  <si>
    <t>2024-02-02T09:58:04.989+0100</t>
  </si>
  <si>
    <t>2024-01-26T11:13:19.025+0100</t>
  </si>
  <si>
    <t>2024-01-30T16:06:32.370+0100</t>
  </si>
  <si>
    <t>2024-01-30T16:06:37.867+0100</t>
  </si>
  <si>
    <t>2024-01-26T11:13:20.188+0100</t>
  </si>
  <si>
    <t>ESPC360-4933</t>
  </si>
  <si>
    <t>2024-01-30T12:17:12.674+0100</t>
  </si>
  <si>
    <t>2024-02-05T09:52:43.223+0100</t>
  </si>
  <si>
    <t>2024-01-30T12:19:09.635+0100</t>
  </si>
  <si>
    <t>2024-01-30T12:19:11.583+0100</t>
  </si>
  <si>
    <t>2024-01-30T12:19:14.815+0100</t>
  </si>
  <si>
    <t>2024-01-30T13:16:22.032+0100</t>
  </si>
  <si>
    <t>2024-01-31T09:37:20.680+0100</t>
  </si>
  <si>
    <t>2024-01-31T09:37:32.314+0100</t>
  </si>
  <si>
    <t>ESPC360-4953</t>
  </si>
  <si>
    <t>2024-01-31T09:39:22.935+0100</t>
  </si>
  <si>
    <t>2024-02-01T14:23:30.039+0100</t>
  </si>
  <si>
    <t>2024-01-31T10:07:57.996+0100</t>
  </si>
  <si>
    <t>2024-01-31T09:43:58.640+0100</t>
  </si>
  <si>
    <t>2024-01-31T10:07:59.183+0100</t>
  </si>
  <si>
    <t>ESPC360-4995</t>
  </si>
  <si>
    <t>2024-02-01T09:46:16.675+0100</t>
  </si>
  <si>
    <t>2024-02-02T11:49:11.783+0100</t>
  </si>
  <si>
    <t>2024-02-01T09:47:03.237+0100</t>
  </si>
  <si>
    <t>2024-02-01T09:47:04.524+0100</t>
  </si>
  <si>
    <t>2024-02-01T09:48:09.183+0100</t>
  </si>
  <si>
    <t>ESPC360-4996</t>
  </si>
  <si>
    <t>2024-02-01T09:50:19.148+0100</t>
  </si>
  <si>
    <t>2024-02-20T13:58:45.518+0100</t>
  </si>
  <si>
    <t>2024-02-01T09:51:51.460+0100</t>
  </si>
  <si>
    <t>2024-02-01T10:15:09.858+0100</t>
  </si>
  <si>
    <t>2024-02-01T10:15:02.210+0100</t>
  </si>
  <si>
    <t>2024-02-01T09:51:52.836+0100</t>
  </si>
  <si>
    <t>2024-02-01T10:03:04.906+0100</t>
  </si>
  <si>
    <t>ESPC360-5083</t>
  </si>
  <si>
    <t>2024-02-02T11:26:03.325+0100</t>
  </si>
  <si>
    <t>2024-04-09T15:27:47.029+0200</t>
  </si>
  <si>
    <t>2024-03-11T13:54:11.389+0100</t>
  </si>
  <si>
    <t>2024-03-08T13:18:05.153+0100</t>
  </si>
  <si>
    <t>2024-03-11T16:24:47.616+0100</t>
  </si>
  <si>
    <t>2024-03-04T12:51:48.018+0100</t>
  </si>
  <si>
    <t>2024-03-11T17:04:05.261+0100</t>
  </si>
  <si>
    <t>2024-02-02T11:34:08.072+0100</t>
  </si>
  <si>
    <t>2024-02-02T11:34:09.726+0100</t>
  </si>
  <si>
    <t>2024-02-02T11:35:45.624+0100</t>
  </si>
  <si>
    <t>2024-02-02T11:36:29.773+0100</t>
  </si>
  <si>
    <t>2024-02-12T16:31:28.018+0100</t>
  </si>
  <si>
    <t>2024-02-12T16:31:32.292+0100</t>
  </si>
  <si>
    <t>2024-02-12T16:31:51.775+0100</t>
  </si>
  <si>
    <t>2024-02-21T15:45:01.098+0100</t>
  </si>
  <si>
    <t>2024-02-26T13:56:17.140+0100</t>
  </si>
  <si>
    <t>ESPC360-5145</t>
  </si>
  <si>
    <t>2024-02-05T12:16:46.401+0100</t>
  </si>
  <si>
    <t>2024-03-18T16:51:22.556+0100</t>
  </si>
  <si>
    <t>2024-02-05T12:21:39.324+0100</t>
  </si>
  <si>
    <t>2024-02-15T15:49:53.562+0100</t>
  </si>
  <si>
    <t>2024-02-15T10:12:09.973+0100</t>
  </si>
  <si>
    <t>2024-02-15T15:49:58.458+0100</t>
  </si>
  <si>
    <t>2024-02-13T10:04:42.269+0100</t>
  </si>
  <si>
    <t>2024-02-21T10:35:17.228+0100</t>
  </si>
  <si>
    <t>2024-02-05T12:21:42.650+0100</t>
  </si>
  <si>
    <t>2024-02-08T18:07:06.098+0100</t>
  </si>
  <si>
    <t>2024-02-12T13:46:52.689+0100</t>
  </si>
  <si>
    <t>ESPC360-5152</t>
  </si>
  <si>
    <t>2024-02-06T09:06:35.947+0100</t>
  </si>
  <si>
    <t>2024-02-12T13:47:37.652+0100</t>
  </si>
  <si>
    <t>2024-02-06T09:07:43.970+0100</t>
  </si>
  <si>
    <t>2024-02-09T14:02:31.853+0100</t>
  </si>
  <si>
    <t>2024-02-06T09:07:45.208+0100</t>
  </si>
  <si>
    <t>2024-02-06T10:04:19.334+0100</t>
  </si>
  <si>
    <t>ESPC360-5188</t>
  </si>
  <si>
    <t>2024-02-06T17:57:08.686+0100</t>
  </si>
  <si>
    <t>2024-02-22T08:37:11.308+0100</t>
  </si>
  <si>
    <t>2024-02-06T18:00:37.725+0100</t>
  </si>
  <si>
    <t>2024-02-06T18:00:39.323+0100</t>
  </si>
  <si>
    <t>2024-02-06T18:00:40.960+0100</t>
  </si>
  <si>
    <t>2024-02-07T08:21:25.948+0100</t>
  </si>
  <si>
    <t>2024-02-07T08:21:36.765+0100</t>
  </si>
  <si>
    <t>2024-02-07T08:21:39.061+0100</t>
  </si>
  <si>
    <t>2024-02-07T08:22:08.006+0100</t>
  </si>
  <si>
    <t>2024-02-14T09:42:12.542+0100</t>
  </si>
  <si>
    <t>ESPC360-5191</t>
  </si>
  <si>
    <t>2024-02-06T18:15:11.678+0100</t>
  </si>
  <si>
    <t>2024-02-16T14:08:11.983+0100</t>
  </si>
  <si>
    <t>2024-02-06T18:16:16.893+0100</t>
  </si>
  <si>
    <t>2024-02-07T17:34:51.637+0100</t>
  </si>
  <si>
    <t>2024-02-07T17:34:46.367+0100</t>
  </si>
  <si>
    <t>2024-02-06T18:16:17.977+0100</t>
  </si>
  <si>
    <t>ESPC360-5193</t>
  </si>
  <si>
    <t>2024-02-07T09:13:35.642+0100</t>
  </si>
  <si>
    <t>2024-02-13T08:44:00.171+0100</t>
  </si>
  <si>
    <t>2024-02-07T09:14:27.310+0100</t>
  </si>
  <si>
    <t>2024-02-09T07:21:43.991+0100</t>
  </si>
  <si>
    <t>2024-02-08T16:42:17.957+0100</t>
  </si>
  <si>
    <t>2024-02-09T11:14:02.640+0100</t>
  </si>
  <si>
    <t>2024-02-08T11:20:55.549+0100</t>
  </si>
  <si>
    <t>2024-02-09T11:14:14.892+0100</t>
  </si>
  <si>
    <t>2024-02-07T09:14:28.507+0100</t>
  </si>
  <si>
    <t>2024-02-07T09:28:12.550+0100</t>
  </si>
  <si>
    <t>2024-02-07T12:04:35.933+0100</t>
  </si>
  <si>
    <t>ESPC360-5210</t>
  </si>
  <si>
    <t>2024-02-07T17:10:04.300+0100</t>
  </si>
  <si>
    <t>2024-02-20T13:59:57.619+0100</t>
  </si>
  <si>
    <t>2024-02-07T17:10:50.878+0100</t>
  </si>
  <si>
    <t>2024-02-19T13:49:03.549+0100</t>
  </si>
  <si>
    <t>2024-02-19T13:48:57.177+0100</t>
  </si>
  <si>
    <t>2024-02-07T17:10:52.023+0100</t>
  </si>
  <si>
    <t>2024-02-15T18:37:08.973+0100</t>
  </si>
  <si>
    <t>ESPC360-5534</t>
  </si>
  <si>
    <t>2024-02-09T09:25:52.651+0100</t>
  </si>
  <si>
    <t>2024-03-13T12:25:45.247+0100</t>
  </si>
  <si>
    <t>2024-02-09T09:26:35.044+0100</t>
  </si>
  <si>
    <t>2024-02-14T11:38:20.895+0100</t>
  </si>
  <si>
    <t>2024-02-14T11:38:16.838+0100</t>
  </si>
  <si>
    <t>2024-02-14T11:38:26.075+0100</t>
  </si>
  <si>
    <t>2024-02-14T11:35:04.795+0100</t>
  </si>
  <si>
    <t>2024-02-20T09:31:36.924+0100</t>
  </si>
  <si>
    <t>2024-02-09T09:27:16.372+0100</t>
  </si>
  <si>
    <t>2024-02-09T09:41:35.722+0100</t>
  </si>
  <si>
    <t>2024-02-09T09:41:40.776+0100</t>
  </si>
  <si>
    <t>2024-02-09T09:41:46.702+0100</t>
  </si>
  <si>
    <t>2024-02-12T09:50:02.805+0100</t>
  </si>
  <si>
    <t>2024-02-13T16:27:37.208+0100</t>
  </si>
  <si>
    <t>ESPC360-5573</t>
  </si>
  <si>
    <t>2024-02-14T08:51:35.033+0100</t>
  </si>
  <si>
    <t>2024-04-09T15:27:47.141+0200</t>
  </si>
  <si>
    <t>2024-03-07T13:42:24.647+0100</t>
  </si>
  <si>
    <t>2024-03-07T13:20:57.540+0100</t>
  </si>
  <si>
    <t>2024-03-07T13:42:30.925+0100</t>
  </si>
  <si>
    <t>2024-03-04T12:53:58.420+0100</t>
  </si>
  <si>
    <t>2024-03-08T11:18:58.080+0100</t>
  </si>
  <si>
    <t>2024-02-14T08:55:58.672+0100</t>
  </si>
  <si>
    <t>2024-02-14T08:56:00.412+0100</t>
  </si>
  <si>
    <t>2024-02-14T08:56:02.238+0100</t>
  </si>
  <si>
    <t>2024-02-14T09:14:21.623+0100</t>
  </si>
  <si>
    <t>2024-02-15T11:18:05.656+0100</t>
  </si>
  <si>
    <t>2024-02-15T11:18:11.116+0100</t>
  </si>
  <si>
    <t>2024-02-15T11:18:23.508+0100</t>
  </si>
  <si>
    <t>2024-02-27T09:23:01.586+0100</t>
  </si>
  <si>
    <t>2024-02-29T16:25:38.036+0100</t>
  </si>
  <si>
    <t>ESPC360-5585</t>
  </si>
  <si>
    <t>2024-02-14T16:45:18.353+0100</t>
  </si>
  <si>
    <t>2024-02-22T11:39:49.553+0100</t>
  </si>
  <si>
    <t>2024-02-14T16:45:53.987+0100</t>
  </si>
  <si>
    <t>2024-02-21T18:41:57.027+0100</t>
  </si>
  <si>
    <t>2024-02-21T18:41:52.266+0100</t>
  </si>
  <si>
    <t>2024-02-14T16:45:55.220+0100</t>
  </si>
  <si>
    <t>2024-02-20T09:30:58.287+0100</t>
  </si>
  <si>
    <t>2024-02-21T09:32:26.198+0100</t>
  </si>
  <si>
    <t>ESPC360-5633</t>
  </si>
  <si>
    <t>2024-02-15T18:14:52.973+0100</t>
  </si>
  <si>
    <t>2024-03-06T10:08:39.322+0100</t>
  </si>
  <si>
    <t>2024-02-15T18:15:33.539+0100</t>
  </si>
  <si>
    <t>2024-02-27T10:06:21.962+0100</t>
  </si>
  <si>
    <t>2024-02-27T10:06:15.551+0100</t>
  </si>
  <si>
    <t>2024-02-15T18:15:34.696+0100</t>
  </si>
  <si>
    <t>2024-02-26T09:29:42.372+0100</t>
  </si>
  <si>
    <t>ESPC360-5634</t>
  </si>
  <si>
    <t>2024-02-15T18:18:59.503+0100</t>
  </si>
  <si>
    <t>2024-02-28T17:03:34.838+0100</t>
  </si>
  <si>
    <t>2024-02-15T18:19:41.275+0100</t>
  </si>
  <si>
    <t>2024-02-15T18:19:42.384+0100</t>
  </si>
  <si>
    <t>ESPC360-5745</t>
  </si>
  <si>
    <t>2024-02-20T15:37:58.011+0100</t>
  </si>
  <si>
    <t>2024-03-19T12:03:07.543+0100</t>
  </si>
  <si>
    <t>2024-02-20T17:32:04.609+0100</t>
  </si>
  <si>
    <t>2024-03-11T10:08:29.415+0100</t>
  </si>
  <si>
    <t>2024-03-05T18:21:37.299+0100</t>
  </si>
  <si>
    <t>2024-03-11T10:08:35.293+0100</t>
  </si>
  <si>
    <t>2024-02-28T17:36:17.122+0100</t>
  </si>
  <si>
    <t>2024-02-20T17:32:05.990+0100</t>
  </si>
  <si>
    <t>ESPC360-5750</t>
  </si>
  <si>
    <t>2024-02-21T09:27:04.504+0100</t>
  </si>
  <si>
    <t>2024-02-22T15:59:07.090+0100</t>
  </si>
  <si>
    <t>2024-02-21T09:27:55.172+0100</t>
  </si>
  <si>
    <t>2024-02-21T09:47:05.282+0100</t>
  </si>
  <si>
    <t>2024-02-21T09:47:00.985+0100</t>
  </si>
  <si>
    <t>2024-02-21T09:27:56.337+0100</t>
  </si>
  <si>
    <t>2024-02-21T09:35:25.085+0100</t>
  </si>
  <si>
    <t>ESPC360-6089</t>
  </si>
  <si>
    <t>2024-03-05T17:58:59.679+0100</t>
  </si>
  <si>
    <t>2024-03-15T09:50:46.613+0100</t>
  </si>
  <si>
    <t>2024-03-05T17:59:23.328+0100</t>
  </si>
  <si>
    <t>2024-03-12T12:10:58.619+0100</t>
  </si>
  <si>
    <t>2024-03-08T09:31:39.540+0100</t>
  </si>
  <si>
    <t>2024-03-14T09:45:33.959+0100</t>
  </si>
  <si>
    <t>2024-03-08T09:31:35.199+0100</t>
  </si>
  <si>
    <t>2024-03-05T17:59:24.437+0100</t>
  </si>
  <si>
    <t>2024-03-07T09:34:45.168+0100</t>
  </si>
  <si>
    <t>ESPC360-6214</t>
  </si>
  <si>
    <t>2024-03-11T11:22:09.941+0100</t>
  </si>
  <si>
    <t>2024-03-12T15:34:20.391+0100</t>
  </si>
  <si>
    <t>2024-03-11T11:23:58.779+0100</t>
  </si>
  <si>
    <t>2024-03-12T15:32:32.294+0100</t>
  </si>
  <si>
    <t>2024-03-11T11:23:59.917+0100</t>
  </si>
  <si>
    <t>ESPC360-6263</t>
  </si>
  <si>
    <t>2024-03-13T11:29:31.940+0100</t>
  </si>
  <si>
    <t>2024-04-09T15:27:47.002+0200</t>
  </si>
  <si>
    <t>2024-03-13T11:30:14.257+0100</t>
  </si>
  <si>
    <t>2024-03-19T10:05:46.071+0100</t>
  </si>
  <si>
    <t>2024-03-18T10:53:34.923+0100</t>
  </si>
  <si>
    <t>2024-03-21T09:38:56.823+0100</t>
  </si>
  <si>
    <t>2024-03-18T10:53:31.155+0100</t>
  </si>
  <si>
    <t>2024-03-21T15:47:16.479+0100</t>
  </si>
  <si>
    <t>2024-03-13T11:30:15.569+0100</t>
  </si>
  <si>
    <t>2024-03-14T09:45:52.590+0100</t>
  </si>
  <si>
    <t>ESPC360-6379</t>
  </si>
  <si>
    <t>2024-03-19T10:03:00.234+0100</t>
  </si>
  <si>
    <t>2024-04-01T08:45:38.323+0200</t>
  </si>
  <si>
    <t>2024-03-19T10:03:42.409+0100</t>
  </si>
  <si>
    <t>2024-03-19T10:03:36.268+0100</t>
  </si>
  <si>
    <t>ESPC360-6442</t>
  </si>
  <si>
    <t>2024-03-25T11:29:55.834+0100</t>
  </si>
  <si>
    <t>2024-04-01T16:44:05.985+0200</t>
  </si>
  <si>
    <t>2024-03-25T11:30:26.135+0100</t>
  </si>
  <si>
    <t>2024-03-25T11:30:27.477+0100</t>
  </si>
  <si>
    <t>ESPC360-6457</t>
  </si>
  <si>
    <t>2024-03-25T17:42:41.428+0100</t>
  </si>
  <si>
    <t>2024-04-08T15:13:14.837+0200</t>
  </si>
  <si>
    <t>2024-03-25T17:45:50.613+0100</t>
  </si>
  <si>
    <t>2024-04-05T10:59:17.874+0200</t>
  </si>
  <si>
    <t>2024-04-02T10:01:37.567+0200</t>
  </si>
  <si>
    <t>2024-04-05T10:59:33.444+0200</t>
  </si>
  <si>
    <t>2024-03-26T15:49:14.514+0100</t>
  </si>
  <si>
    <t>2024-04-02T10:01:26.761+0200</t>
  </si>
  <si>
    <t>2024-04-05T10:59:49.347+0200</t>
  </si>
  <si>
    <t>2024-03-25T17:45:50.947+0100</t>
  </si>
  <si>
    <t>2024-03-26T15:49:19.000+0100</t>
  </si>
  <si>
    <t>2024-04-01T16:44:47.609+0200</t>
  </si>
  <si>
    <t>ESPC360-6745</t>
  </si>
  <si>
    <t>2024-04-05T11:25:09.520+0200</t>
  </si>
  <si>
    <t>2024-05-07T17:36:06.774+0200</t>
  </si>
  <si>
    <t>2024-04-16T12:42:44.110+0200</t>
  </si>
  <si>
    <t>2024-04-26T09:39:30.286+0200</t>
  </si>
  <si>
    <t>2024-04-26T09:39:22.290+0200</t>
  </si>
  <si>
    <t>2024-04-26T09:34:17.833+0200</t>
  </si>
  <si>
    <t>2024-04-05T11:25:55.979+0200</t>
  </si>
  <si>
    <t>2024-04-15T10:03:00.998+0200</t>
  </si>
  <si>
    <t>2024-04-16T12:41:33.572+0200</t>
  </si>
  <si>
    <t>2024-04-15T10:02:11.683+0200</t>
  </si>
  <si>
    <t>2024-04-16T12:42:45.272+0200</t>
  </si>
  <si>
    <t>2024-04-17T09:43:10.586+0200</t>
  </si>
  <si>
    <t>2024-04-24T20:01:43.347+0200</t>
  </si>
  <si>
    <t>ESPC360-6768</t>
  </si>
  <si>
    <t>2024-04-08T15:19:34.729+0200</t>
  </si>
  <si>
    <t>2024-04-12T09:44:00.851+0200</t>
  </si>
  <si>
    <t>2024-04-08T15:20:17.224+0200</t>
  </si>
  <si>
    <t>2024-04-08T15:20:18.508+0200</t>
  </si>
  <si>
    <t>2024-04-10T16:48:16.501+0200</t>
  </si>
  <si>
    <t>ESPC360-6821</t>
  </si>
  <si>
    <t>2024-04-08T17:37:50.547+0200</t>
  </si>
  <si>
    <t>2024-04-09T11:38:01.453+0200</t>
  </si>
  <si>
    <t>2024-04-08T17:44:27.495+0200</t>
  </si>
  <si>
    <t>2024-04-08T17:42:04.086+0200</t>
  </si>
  <si>
    <t>2024-04-08T17:42:10.249+0200</t>
  </si>
  <si>
    <t>2024-04-08T17:44:28.800+0200</t>
  </si>
  <si>
    <t>ESPC360-6822</t>
  </si>
  <si>
    <t>2024-04-08T17:41:56.551+0200</t>
  </si>
  <si>
    <t>2024-04-09T11:38:14.769+0200</t>
  </si>
  <si>
    <t>2024-04-09T09:45:19.754+0200</t>
  </si>
  <si>
    <t>2024-04-08T17:42:05.745+0200</t>
  </si>
  <si>
    <t>2024-04-08T17:42:11.903+0200</t>
  </si>
  <si>
    <t>2024-04-09T09:45:20.989+0200</t>
  </si>
  <si>
    <t>ESPC360-6838</t>
  </si>
  <si>
    <t>2024-04-10T09:23:43.233+0200</t>
  </si>
  <si>
    <t>2024-04-17T09:43:02.176+0200</t>
  </si>
  <si>
    <t>2024-04-10T09:24:27.947+0200</t>
  </si>
  <si>
    <t>2024-04-10T09:24:29.340+0200</t>
  </si>
  <si>
    <t>2024-04-12T09:39:38.931+0200</t>
  </si>
  <si>
    <t>ESPC360-6932</t>
  </si>
  <si>
    <t>2024-04-12T14:00:18.123+0200</t>
  </si>
  <si>
    <t>2024-05-07T17:37:04.585+0200</t>
  </si>
  <si>
    <t>2024-04-15T09:37:57.589+0200</t>
  </si>
  <si>
    <t>2024-04-30T11:49:01.973+0200</t>
  </si>
  <si>
    <t>2024-04-30T11:48:58.125+0200</t>
  </si>
  <si>
    <t>2024-04-30T11:48:51.449+0200</t>
  </si>
  <si>
    <t>2024-04-12T14:00:36.759+0200</t>
  </si>
  <si>
    <t>2024-04-12T14:00:39.251+0200</t>
  </si>
  <si>
    <t>2024-04-15T09:37:58.858+0200</t>
  </si>
  <si>
    <t>2024-04-22T09:37:14.408+0200</t>
  </si>
  <si>
    <t>2024-04-25T09:43:34.978+0200</t>
  </si>
  <si>
    <t>ESPC360-7214</t>
  </si>
  <si>
    <t>2024-04-23T09:28:42.118+0200</t>
  </si>
  <si>
    <t>2024-07-11T11:29:21.219+0200</t>
  </si>
  <si>
    <t>2024-06-06T09:19:44.701+0200</t>
  </si>
  <si>
    <t>2024-05-20T08:34:02.200+0200</t>
  </si>
  <si>
    <t>2024-06-06T09:19:53.234+0200</t>
  </si>
  <si>
    <t>2024-05-14T11:34:50.182+0200</t>
  </si>
  <si>
    <t>2024-06-26T09:16:20.789+0200</t>
  </si>
  <si>
    <t>2024-04-23T09:32:40.775+0200</t>
  </si>
  <si>
    <t>2024-04-23T09:32:45.908+0200</t>
  </si>
  <si>
    <t>2024-04-23T09:32:52.002+0200</t>
  </si>
  <si>
    <t>2024-04-23T09:32:57.510+0200</t>
  </si>
  <si>
    <t>2024-05-06T17:30:32.953+0200</t>
  </si>
  <si>
    <t>2024-05-09T11:49:29.020+0200</t>
  </si>
  <si>
    <t>2024-05-09T11:49:32.124+0200</t>
  </si>
  <si>
    <t>2024-05-10T08:39:17.058+0200</t>
  </si>
  <si>
    <t>ESPC360-7215</t>
  </si>
  <si>
    <t>2024-04-23T09:42:12.769+0200</t>
  </si>
  <si>
    <t>2024-05-16T15:25:18.816+0200</t>
  </si>
  <si>
    <t>2024-04-23T10:30:33.335+0200</t>
  </si>
  <si>
    <t>2024-05-08T15:18:50.852+0200</t>
  </si>
  <si>
    <t>2024-05-08T15:18:35.565+0200</t>
  </si>
  <si>
    <t>2024-05-13T09:25:01.466+0200</t>
  </si>
  <si>
    <t>2024-05-08T11:55:16.986+0200</t>
  </si>
  <si>
    <t>2024-05-13T09:26:23.188+0200</t>
  </si>
  <si>
    <t>2024-04-23T09:48:13.605+0200</t>
  </si>
  <si>
    <t>2024-04-23T09:48:18.398+0200</t>
  </si>
  <si>
    <t>2024-04-23T10:30:34.666+0200</t>
  </si>
  <si>
    <t>2024-04-30T09:47:39.689+0200</t>
  </si>
  <si>
    <t>2024-05-07T17:34:41.600+0200</t>
  </si>
  <si>
    <t>ESPC360-7315</t>
  </si>
  <si>
    <t>2024-04-26T14:30:00.721+0200</t>
  </si>
  <si>
    <t>2024-05-10T09:23:44.459+0200</t>
  </si>
  <si>
    <t>2024-04-26T14:31:37.280+0200</t>
  </si>
  <si>
    <t>2024-04-26T14:31:31.058+0200</t>
  </si>
  <si>
    <t>2024-04-26T14:31:38.570+0200</t>
  </si>
  <si>
    <t>2024-05-08T09:22:48.390+0200</t>
  </si>
  <si>
    <t>2024-05-09T15:42:22.003+0200</t>
  </si>
  <si>
    <t>ESPC360-7601</t>
  </si>
  <si>
    <t>2024-05-06T17:45:54.232+0200</t>
  </si>
  <si>
    <t>2024-05-09T10:11:58.721+0200</t>
  </si>
  <si>
    <t>2024-05-06T17:46:26.385+0200</t>
  </si>
  <si>
    <t>2024-05-06T17:49:52.999+0200</t>
  </si>
  <si>
    <t>2024-05-06T17:46:29.036+0200</t>
  </si>
  <si>
    <t>ESPC360-7603</t>
  </si>
  <si>
    <t>2024-05-07T09:34:46.073+0200</t>
  </si>
  <si>
    <t>2024-06-12T17:18:47.487+0200</t>
  </si>
  <si>
    <t>2024-05-07T09:43:47.859+0200</t>
  </si>
  <si>
    <t>2024-05-07T09:43:49.047+0200</t>
  </si>
  <si>
    <t>2024-06-12T16:18:00.212+0200</t>
  </si>
  <si>
    <t>ESPC360-7605</t>
  </si>
  <si>
    <t>2024-05-07T11:13:50.506+0200</t>
  </si>
  <si>
    <t>2024-05-28T17:14:29.143+0200</t>
  </si>
  <si>
    <t>2024-07-03T11:02:41.922+0200</t>
  </si>
  <si>
    <t>2024-07-03T09:38:29.446+0200</t>
  </si>
  <si>
    <t>2024-05-07T11:15:07.477+0200</t>
  </si>
  <si>
    <t>2024-05-07T15:29:52.954+0200</t>
  </si>
  <si>
    <t>2024-05-09T15:42:28.164+0200</t>
  </si>
  <si>
    <t>ESPC360-7612</t>
  </si>
  <si>
    <t>2024-05-07T15:15:56.559+0200</t>
  </si>
  <si>
    <t>2024-05-16T15:25:18.734+0200</t>
  </si>
  <si>
    <t>2024-05-07T15:19:02.344+0200</t>
  </si>
  <si>
    <t>2024-05-09T11:31:00.927+0200</t>
  </si>
  <si>
    <t>2024-05-08T15:42:18.202+0200</t>
  </si>
  <si>
    <t>2024-05-09T11:31:04.716+0200</t>
  </si>
  <si>
    <t>2024-05-08T11:55:51.146+0200</t>
  </si>
  <si>
    <t>2024-05-13T09:26:27.121+0200</t>
  </si>
  <si>
    <t>2024-05-07T15:19:05.951+0200</t>
  </si>
  <si>
    <t>2024-05-07T15:34:13.985+0200</t>
  </si>
  <si>
    <t>2024-05-07T17:37:25.014+0200</t>
  </si>
  <si>
    <t>2024-05-08T11:38:41.668+0200</t>
  </si>
  <si>
    <t>ESPC360-7669</t>
  </si>
  <si>
    <t>2024-05-10T10:12:43.666+0200</t>
  </si>
  <si>
    <t>2024-05-23T15:30:27.715+0200</t>
  </si>
  <si>
    <t>2024-05-10T10:19:01.078+0200</t>
  </si>
  <si>
    <t>2024-05-17T09:39:18.619+0200</t>
  </si>
  <si>
    <t>2024-05-17T09:39:11.509+0200</t>
  </si>
  <si>
    <t>2024-05-10T10:19:02.311+0200</t>
  </si>
  <si>
    <t>2024-05-10T10:35:22.056+0200</t>
  </si>
  <si>
    <t>2024-05-10T10:19:24.069+0200</t>
  </si>
  <si>
    <t>ESPC360-7685</t>
  </si>
  <si>
    <t>2024-05-13T11:10:44.170+0200</t>
  </si>
  <si>
    <t>2024-07-11T11:29:23.421+0200</t>
  </si>
  <si>
    <t>2024-05-13T11:14:59.813+0200</t>
  </si>
  <si>
    <t>2024-06-20T12:50:13.652+0200</t>
  </si>
  <si>
    <t>2024-06-19T10:02:52.343+0200</t>
  </si>
  <si>
    <t>2024-06-21T11:04:57.951+0200</t>
  </si>
  <si>
    <t>2024-06-13T12:11:59.220+0200</t>
  </si>
  <si>
    <t>2024-06-24T16:54:17.531+0200</t>
  </si>
  <si>
    <t>2024-05-13T11:13:29.505+0200</t>
  </si>
  <si>
    <t>2024-05-14T09:44:40.868+0200</t>
  </si>
  <si>
    <t>2024-05-14T13:04:33.849+0200</t>
  </si>
  <si>
    <t>2024-06-10T10:40:40.085+0200</t>
  </si>
  <si>
    <t>2024-06-10T10:40:44.507+0200</t>
  </si>
  <si>
    <t>2024-06-10T12:06:41.751+0200</t>
  </si>
  <si>
    <t>2024-06-10T12:17:06.417+0200</t>
  </si>
  <si>
    <t>ESPC360-7972</t>
  </si>
  <si>
    <t>2024-05-23T10:45:17.552+0200</t>
  </si>
  <si>
    <t>2024-06-03T15:12:42.290+0200</t>
  </si>
  <si>
    <t>2024-05-23T11:13:45.053+0200</t>
  </si>
  <si>
    <t>2024-05-23T11:13:44.858+0200</t>
  </si>
  <si>
    <t>2024-05-23T11:13:46.569+0200</t>
  </si>
  <si>
    <t>2024-05-28T17:44:02.671+0200</t>
  </si>
  <si>
    <t>ESPC360-8010</t>
  </si>
  <si>
    <t>2024-05-23T17:48:34.936+0200</t>
  </si>
  <si>
    <t>2024-07-11T11:29:23.207+0200</t>
  </si>
  <si>
    <t>2024-06-07T09:48:47.667+0200</t>
  </si>
  <si>
    <t>2024-06-14T10:09:14.040+0200</t>
  </si>
  <si>
    <t>2024-06-13T13:13:53.331+0200</t>
  </si>
  <si>
    <t>2024-06-14T13:25:39.327+0200</t>
  </si>
  <si>
    <t>2024-06-13T11:20:39.279+0200</t>
  </si>
  <si>
    <t>2024-06-14T13:25:56.989+0200</t>
  </si>
  <si>
    <t>2024-05-27T11:57:42.759+0200</t>
  </si>
  <si>
    <t>2024-06-06T14:58:42.944+0200</t>
  </si>
  <si>
    <t>2024-06-07T09:48:49.757+0200</t>
  </si>
  <si>
    <t>2024-06-12T11:20:45.281+0200</t>
  </si>
  <si>
    <t>2024-06-12T13:53:27.441+0200</t>
  </si>
  <si>
    <t>ESPC360-8025</t>
  </si>
  <si>
    <t>2024-05-24T08:28:11.722+0200</t>
  </si>
  <si>
    <t>2024-07-11T11:29:27.605+0200</t>
  </si>
  <si>
    <t>2024-05-24T08:55:18.484+0200</t>
  </si>
  <si>
    <t>2024-06-14T10:09:17.874+0200</t>
  </si>
  <si>
    <t>2024-06-13T13:13:46.325+0200</t>
  </si>
  <si>
    <t>2024-06-14T13:25:44.050+0200</t>
  </si>
  <si>
    <t>2024-06-13T11:20:38.645+0200</t>
  </si>
  <si>
    <t>2024-06-14T13:26:03.004+0200</t>
  </si>
  <si>
    <t>2024-05-24T08:55:19.716+0200</t>
  </si>
  <si>
    <t>2024-06-12T13:54:08.558+0200</t>
  </si>
  <si>
    <t>2024-06-12T16:17:46.990+0200</t>
  </si>
  <si>
    <t>ESPC360-8026</t>
  </si>
  <si>
    <t>2024-05-24T08:55:48.673+0200</t>
  </si>
  <si>
    <t>2024-06-17T09:56:57.049+0200</t>
  </si>
  <si>
    <t>2024-05-24T09:46:06.572+0200</t>
  </si>
  <si>
    <t>2024-05-24T09:46:07.920+0200</t>
  </si>
  <si>
    <t>2024-06-12T17:20:25.230+0200</t>
  </si>
  <si>
    <t>2024-06-14T13:57:34.895+0200</t>
  </si>
  <si>
    <t>ESPC360-8075</t>
  </si>
  <si>
    <t>2024-05-27T12:13:28.110+0200</t>
  </si>
  <si>
    <t>2024-06-03T16:58:50.455+0200</t>
  </si>
  <si>
    <t>2024-05-27T12:14:15.460+0200</t>
  </si>
  <si>
    <t>2024-05-28T14:13:02.267+0200</t>
  </si>
  <si>
    <t>2024-05-28T14:12:59.030+0200</t>
  </si>
  <si>
    <t>2024-05-28T14:13:11.393+0200</t>
  </si>
  <si>
    <t>2024-06-03T11:40:54.919+0200</t>
  </si>
  <si>
    <t>2024-05-28T14:12:56.069+0200</t>
  </si>
  <si>
    <t>2024-06-03T11:40:19.841+0200</t>
  </si>
  <si>
    <t>2024-05-27T12:14:16.612+0200</t>
  </si>
  <si>
    <t>2024-05-27T12:17:09.056+0200</t>
  </si>
  <si>
    <t>ESPC360-8554</t>
  </si>
  <si>
    <t>2024-05-31T11:01:29.343+0200</t>
  </si>
  <si>
    <t>2024-06-07T13:56:42.389+0200</t>
  </si>
  <si>
    <t>2024-05-31T11:27:04.753+0200</t>
  </si>
  <si>
    <t>2024-05-31T11:28:03.106+0200</t>
  </si>
  <si>
    <t>2024-05-31T11:28:09.552+0200</t>
  </si>
  <si>
    <t>2024-06-03T15:14:07.517+0200</t>
  </si>
  <si>
    <t>ESPC360-8652</t>
  </si>
  <si>
    <t>2024-06-04T17:46:03.545+0200</t>
  </si>
  <si>
    <t>2024-06-21T11:25:05.017+0200</t>
  </si>
  <si>
    <t>2024-06-04T17:53:39.720+0200</t>
  </si>
  <si>
    <t>2024-06-04T17:52:50.610+0200</t>
  </si>
  <si>
    <t>2024-06-04T17:52:14.422+0200</t>
  </si>
  <si>
    <t>2024-06-04T17:52:35.747+0200</t>
  </si>
  <si>
    <t>ESPC360-8706</t>
  </si>
  <si>
    <t>2024-06-06T14:21:36.439+0200</t>
  </si>
  <si>
    <t>2024-06-12T11:20:17.796+0200</t>
  </si>
  <si>
    <t>2024-06-06T15:22:13.708+0200</t>
  </si>
  <si>
    <t>2024-06-06T14:58:39.069+0200</t>
  </si>
  <si>
    <t>2024-06-06T14:58:45.107+0200</t>
  </si>
  <si>
    <t>2024-06-06T15:22:16.671+0200</t>
  </si>
  <si>
    <t>2024-06-06T17:34:04.068+0200</t>
  </si>
  <si>
    <t>ESPC360-8740</t>
  </si>
  <si>
    <t>2024-06-07T12:08:09.840+0200</t>
  </si>
  <si>
    <t>2024-06-14T13:57:22.229+0200</t>
  </si>
  <si>
    <t>2024-06-18T09:32:21.143+0200</t>
  </si>
  <si>
    <t>2024-06-07T13:10:15.734+0200</t>
  </si>
  <si>
    <t>2024-06-07T12:08:19.881+0200</t>
  </si>
  <si>
    <t>2024-06-07T12:08:24.174+0200</t>
  </si>
  <si>
    <t>2024-06-07T13:10:17.828+0200</t>
  </si>
  <si>
    <t>2024-06-12T17:20:29.735+0200</t>
  </si>
  <si>
    <t>ESPC360-8774</t>
  </si>
  <si>
    <t>2024-06-07T14:33:15.416+0200</t>
  </si>
  <si>
    <t>2024-06-17T10:06:45.814+0200</t>
  </si>
  <si>
    <t>2024-06-07T14:34:21.450+0200</t>
  </si>
  <si>
    <t>2024-06-07T14:37:32.467+0200</t>
  </si>
  <si>
    <t>2024-06-07T14:37:47.031+0200</t>
  </si>
  <si>
    <t>2024-06-07T14:36:26.805+0200</t>
  </si>
  <si>
    <t>2024-06-07T14:34:22.980+0200</t>
  </si>
  <si>
    <t>ESPC360-8784</t>
  </si>
  <si>
    <t>2024-06-10T17:25:45.243+0200</t>
  </si>
  <si>
    <t>2024-07-30T09:18:06.330+0200</t>
  </si>
  <si>
    <t>2024-06-10T17:26:58.246+0200</t>
  </si>
  <si>
    <t>2024-07-02T09:22:29.940+0200</t>
  </si>
  <si>
    <t>2024-07-01T11:49:51.048+0200</t>
  </si>
  <si>
    <t>2024-07-02T09:22:38.106+0200</t>
  </si>
  <si>
    <t>2024-06-27T11:56:18.132+0200</t>
  </si>
  <si>
    <t>2024-07-04T13:50:15.951+0200</t>
  </si>
  <si>
    <t>2024-06-10T17:26:56.453+0200</t>
  </si>
  <si>
    <t>2024-06-10T17:26:59.702+0200</t>
  </si>
  <si>
    <t>2024-06-18T17:14:46.872+0200</t>
  </si>
  <si>
    <t>2024-06-24T20:14:00.188+0200</t>
  </si>
  <si>
    <t>ESPC360-8822</t>
  </si>
  <si>
    <t>2024-06-12T12:40:22.669+0200</t>
  </si>
  <si>
    <t>2024-07-30T09:18:06.461+0200</t>
  </si>
  <si>
    <t>2024-06-14T07:52:18.096+0200</t>
  </si>
  <si>
    <t>2024-06-28T10:25:53.693+0200</t>
  </si>
  <si>
    <t>2024-06-28T09:26:59.255+0200</t>
  </si>
  <si>
    <t>2024-07-03T12:51:58.649+0200</t>
  </si>
  <si>
    <t>2024-06-27T12:01:19.365+0200</t>
  </si>
  <si>
    <t>2024-07-04T13:50:04.746+0200</t>
  </si>
  <si>
    <t>2024-06-12T12:41:53.089+0200</t>
  </si>
  <si>
    <t>2024-06-12T12:41:42.926+0200</t>
  </si>
  <si>
    <t>2024-06-12T12:41:41.246+0200</t>
  </si>
  <si>
    <t>2024-06-12T12:41:39.597+0200</t>
  </si>
  <si>
    <t>2024-06-12T12:41:37.194+0200</t>
  </si>
  <si>
    <t>2024-06-12T12:41:34.125+0200</t>
  </si>
  <si>
    <t>2024-06-14T07:52:20.258+0200</t>
  </si>
  <si>
    <t>2024-06-14T13:56:30.215+0200</t>
  </si>
  <si>
    <t>2024-06-25T13:44:51.497+0200</t>
  </si>
  <si>
    <t>ESPC360-9051</t>
  </si>
  <si>
    <t>2024-06-13T13:15:33.304+0200</t>
  </si>
  <si>
    <t>2024-07-30T09:18:06.808+0200</t>
  </si>
  <si>
    <t>2024-06-13T13:18:45.860+0200</t>
  </si>
  <si>
    <t>2024-07-01T14:02:34.078+0200</t>
  </si>
  <si>
    <t>2024-07-01T11:49:46.471+0200</t>
  </si>
  <si>
    <t>2024-07-03T12:52:02.780+0200</t>
  </si>
  <si>
    <t>2024-06-27T11:53:05.214+0200</t>
  </si>
  <si>
    <t>2024-07-04T13:49:59.251+0200</t>
  </si>
  <si>
    <t>2024-06-13T13:18:43.715+0200</t>
  </si>
  <si>
    <t>2024-06-13T13:18:47.651+0200</t>
  </si>
  <si>
    <t>2024-06-14T13:58:26.920+0200</t>
  </si>
  <si>
    <t>2024-06-18T17:13:58.902+0200</t>
  </si>
  <si>
    <t>ESPC360-9056</t>
  </si>
  <si>
    <t>2024-06-13T16:46:38.254+0200</t>
  </si>
  <si>
    <t>2024-07-30T09:18:06.473+0200</t>
  </si>
  <si>
    <t>2024-06-14T07:51:23.592+0200</t>
  </si>
  <si>
    <t>2024-07-02T10:34:39.574+0200</t>
  </si>
  <si>
    <t>2024-07-02T10:34:33.171+0200</t>
  </si>
  <si>
    <t>2024-07-02T12:25:56.554+0200</t>
  </si>
  <si>
    <t>2024-06-27T11:48:37.253+0200</t>
  </si>
  <si>
    <t>2024-07-03T09:16:16.058+0200</t>
  </si>
  <si>
    <t>2024-06-13T16:53:02.751+0200</t>
  </si>
  <si>
    <t>2024-06-14T07:51:30.246+0200</t>
  </si>
  <si>
    <t>2024-06-14T07:51:35.061+0200</t>
  </si>
  <si>
    <t>2024-06-14T13:58:15.037+0200</t>
  </si>
  <si>
    <t>2024-06-17T11:37:59.927+0200</t>
  </si>
  <si>
    <t>ESPC360-9194</t>
  </si>
  <si>
    <t>2024-06-19T17:27:55.959+0200</t>
  </si>
  <si>
    <t>2024-07-03T11:03:38.986+0200</t>
  </si>
  <si>
    <t>2024-07-03T10:38:52.816+0200</t>
  </si>
  <si>
    <t>2024-06-21T09:39:52.002+0200</t>
  </si>
  <si>
    <t>ESPC360-9305</t>
  </si>
  <si>
    <t>2024-06-24T11:57:11.383+0200</t>
  </si>
  <si>
    <t>2024-07-03T14:14:56.862+0200</t>
  </si>
  <si>
    <t>2024-06-24T11:58:37.873+0200</t>
  </si>
  <si>
    <t>2024-07-03T10:40:44.930+0200</t>
  </si>
  <si>
    <t>2024-07-03T10:40:41.436+0200</t>
  </si>
  <si>
    <t>2024-06-27T16:51:51.886+0200</t>
  </si>
  <si>
    <t>2024-06-24T11:58:39.668+0200</t>
  </si>
  <si>
    <t>2024-06-25T14:12:50.971+0200</t>
  </si>
  <si>
    <t>2024-06-26T12:27:16.149+0200</t>
  </si>
  <si>
    <t>ESPC360-9330</t>
  </si>
  <si>
    <t>2024-06-26T08:56:01.175+0200</t>
  </si>
  <si>
    <t>2024-08-27T09:30:59.605+0200</t>
  </si>
  <si>
    <t>2024-06-26T08:59:11.494+0200</t>
  </si>
  <si>
    <t>2024-07-16T10:04:39.153+0200</t>
  </si>
  <si>
    <t>2024-07-15T12:49:35.959+0200</t>
  </si>
  <si>
    <t>2024-07-18T09:02:27.512+0200</t>
  </si>
  <si>
    <t>2024-07-10T13:17:50.053+0200</t>
  </si>
  <si>
    <t>2024-07-22T10:05:20.657+0200</t>
  </si>
  <si>
    <t>2024-06-26T16:34:22.524+0200</t>
  </si>
  <si>
    <t>2024-07-04T09:45:23.031+0200</t>
  </si>
  <si>
    <t>2024-07-09T13:04:44.196+0200</t>
  </si>
  <si>
    <t>ESPC360-9340</t>
  </si>
  <si>
    <t>2024-06-26T12:20:13.680+0200</t>
  </si>
  <si>
    <t>2024-08-29T09:22:32.182+0200</t>
  </si>
  <si>
    <t>2024-06-26T12:33:24.482+0200</t>
  </si>
  <si>
    <t>2024-08-07T09:19:43.175+0200</t>
  </si>
  <si>
    <t>2024-07-25T14:26:47.163+0200</t>
  </si>
  <si>
    <t>2024-08-07T09:19:45.808+0200</t>
  </si>
  <si>
    <t>2024-07-22T09:30:39.535+0200</t>
  </si>
  <si>
    <t>2024-08-08T09:38:53.977+0200</t>
  </si>
  <si>
    <t>2024-06-26T12:33:26.487+0200</t>
  </si>
  <si>
    <t>2024-07-03T15:23:20.571+0200</t>
  </si>
  <si>
    <t>2024-07-16T09:37:11.172+0200</t>
  </si>
  <si>
    <t>ESPC360-9341</t>
  </si>
  <si>
    <t>2024-06-26T12:45:33.367+0200</t>
  </si>
  <si>
    <t>2024-07-19T11:52:49.888+0200</t>
  </si>
  <si>
    <t>2024-06-26T12:46:16.958+0200</t>
  </si>
  <si>
    <t>2024-07-19T11:52:46.867+0200</t>
  </si>
  <si>
    <t>2024-07-18T14:59:27.756+0200</t>
  </si>
  <si>
    <t>2024-06-26T12:46:18.758+0200</t>
  </si>
  <si>
    <t>2024-07-18T09:43:57.006+0200</t>
  </si>
  <si>
    <t>ESPC360-9342</t>
  </si>
  <si>
    <t>2024-06-26T14:23:00.434+0200</t>
  </si>
  <si>
    <t>2024-07-03T14:17:08.470+0200</t>
  </si>
  <si>
    <t>2024-06-26T14:23:22.693+0200</t>
  </si>
  <si>
    <t>2024-07-02T12:50:40.836+0200</t>
  </si>
  <si>
    <t>2024-07-02T12:50:33.467+0200</t>
  </si>
  <si>
    <t>2024-07-02T12:50:26.777+0200</t>
  </si>
  <si>
    <t>2024-06-26T14:23:07.878+0200</t>
  </si>
  <si>
    <t>2024-06-26T14:23:24.836+0200</t>
  </si>
  <si>
    <t>2024-06-26T15:20:03.597+0200</t>
  </si>
  <si>
    <t>2024-06-27T16:52:14.547+0200</t>
  </si>
  <si>
    <t>ESPC360-9343</t>
  </si>
  <si>
    <t>2024-06-26T15:31:25.417+0200</t>
  </si>
  <si>
    <t>2024-07-02T12:27:43.119+0200</t>
  </si>
  <si>
    <t>2024-08-23T10:24:56.756+0200</t>
  </si>
  <si>
    <t>2024-06-26T15:40:11.207+0200</t>
  </si>
  <si>
    <t>2024-08-23T10:24:09.457+0200</t>
  </si>
  <si>
    <t>2024-08-23T10:24:19.289+0200</t>
  </si>
  <si>
    <t>2024-06-26T15:40:10.114+0200</t>
  </si>
  <si>
    <t>2024-06-26T15:40:13.027+0200</t>
  </si>
  <si>
    <t>2024-06-27T11:15:05.359+0200</t>
  </si>
  <si>
    <t>2024-07-01T16:13:33.738+0200</t>
  </si>
  <si>
    <t>ESPC360-9344</t>
  </si>
  <si>
    <t>2024-06-26T16:09:16.677+0200</t>
  </si>
  <si>
    <t>2024-07-18T13:53:26.173+0200</t>
  </si>
  <si>
    <t>2024-07-19T11:55:52.738+0200</t>
  </si>
  <si>
    <t>2024-07-19T11:52:59.052+0200</t>
  </si>
  <si>
    <t>2024-07-19T11:54:31.541+0200</t>
  </si>
  <si>
    <t>2024-06-27T09:57:08.235+0200</t>
  </si>
  <si>
    <t>2024-06-27T09:57:15.511+0200</t>
  </si>
  <si>
    <t>2024-07-02T09:45:11.328+0200</t>
  </si>
  <si>
    <t>2024-07-02T09:45:13.788+0200</t>
  </si>
  <si>
    <t>2024-07-02T09:45:15.610+0200</t>
  </si>
  <si>
    <t>2024-07-02T09:45:18.128+0200</t>
  </si>
  <si>
    <t>2024-07-02T09:45:20.297+0200</t>
  </si>
  <si>
    <t>2024-07-18T13:53:39.817+0200</t>
  </si>
  <si>
    <t>ESPC360-9522</t>
  </si>
  <si>
    <t>2024-07-02T10:49:11.057+0200</t>
  </si>
  <si>
    <t>2024-08-30T08:20:45.248+0200</t>
  </si>
  <si>
    <t>2024-07-02T10:52:06.713+0200</t>
  </si>
  <si>
    <t>2024-08-20T10:30:08.138+0200</t>
  </si>
  <si>
    <t>2024-08-13T09:15:32.014+0200</t>
  </si>
  <si>
    <t>2024-08-20T10:41:12.866+0200</t>
  </si>
  <si>
    <t>2024-07-31T12:07:45.899+0200</t>
  </si>
  <si>
    <t>2024-08-21T08:32:39.179+0200</t>
  </si>
  <si>
    <t>2024-07-02T10:52:05.606+0200</t>
  </si>
  <si>
    <t>2024-07-02T10:52:08.387+0200</t>
  </si>
  <si>
    <t>2024-07-18T10:43:35.834+0200</t>
  </si>
  <si>
    <t>2024-07-31T10:59:06.663+0200</t>
  </si>
  <si>
    <t>ESPC360-9624</t>
  </si>
  <si>
    <t>2024-07-04T15:38:55.587+0200</t>
  </si>
  <si>
    <t>2024-07-29T12:01:50.796+0200</t>
  </si>
  <si>
    <t>2024-07-04T16:48:08.415+0200</t>
  </si>
  <si>
    <t>2024-07-05T09:48:44.682+0200</t>
  </si>
  <si>
    <t>2024-07-05T09:48:54.298+0200</t>
  </si>
  <si>
    <t>2024-07-05T09:48:57.097+0200</t>
  </si>
  <si>
    <t>2024-07-05T09:49:00.003+0200</t>
  </si>
  <si>
    <t>2024-07-05T09:49:03.777+0200</t>
  </si>
  <si>
    <t>2024-07-05T09:49:06.827+0200</t>
  </si>
  <si>
    <t>2024-07-26T18:44:18.508+0200</t>
  </si>
  <si>
    <t>ESPC360-9642</t>
  </si>
  <si>
    <t>2024-07-05T11:24:06.600+0200</t>
  </si>
  <si>
    <t>2024-09-17T09:16:22.699+0200</t>
  </si>
  <si>
    <t>2024-07-09T09:45:09.342+0200</t>
  </si>
  <si>
    <t>2024-08-27T08:58:53.751+0200</t>
  </si>
  <si>
    <t>2024-08-23T10:39:15.007+0200</t>
  </si>
  <si>
    <t>2024-08-27T08:58:56.632+0200</t>
  </si>
  <si>
    <t>2024-08-21T14:34:35.650+0200</t>
  </si>
  <si>
    <t>2024-09-05T07:17:49.637+0200</t>
  </si>
  <si>
    <t>2024-07-05T12:00:32.919+0200</t>
  </si>
  <si>
    <t>2024-07-09T09:45:11.436+0200</t>
  </si>
  <si>
    <t>2024-08-02T15:15:45.034+0200</t>
  </si>
  <si>
    <t>2024-08-21T13:25:52.230+0200</t>
  </si>
  <si>
    <t>ESPC360-9643</t>
  </si>
  <si>
    <t>2024-07-05T11:50:01.616+0200</t>
  </si>
  <si>
    <t>2024-08-29T09:22:32.178+0200</t>
  </si>
  <si>
    <t>2024-07-05T11:51:35.527+0200</t>
  </si>
  <si>
    <t>2024-07-25T12:01:32.217+0200</t>
  </si>
  <si>
    <t>2024-07-25T12:01:12.295+0200</t>
  </si>
  <si>
    <t>2024-07-25T12:06:35.378+0200</t>
  </si>
  <si>
    <t>2024-07-25T12:01:04.571+0200</t>
  </si>
  <si>
    <t>2024-07-30T12:41:57.603+0200</t>
  </si>
  <si>
    <t>2024-07-05T11:51:37.304+0200</t>
  </si>
  <si>
    <t>2024-07-25T11:48:13.994+0200</t>
  </si>
  <si>
    <t>ESPC360-9644</t>
  </si>
  <si>
    <t>2024-07-05T12:07:58.940+0200</t>
  </si>
  <si>
    <t>2024-07-31T09:34:44.061+0200</t>
  </si>
  <si>
    <t>2024-07-09T09:52:24.130+0200</t>
  </si>
  <si>
    <t>2024-07-09T09:51:54.566+0200</t>
  </si>
  <si>
    <t>2024-07-09T09:51:57.708+0200</t>
  </si>
  <si>
    <t>2024-07-09T09:52:26.113+0200</t>
  </si>
  <si>
    <t>2024-07-26T12:38:39.582+0200</t>
  </si>
  <si>
    <t>2024-07-26T12:38:42.812+0200</t>
  </si>
  <si>
    <t>ESPC360-9672</t>
  </si>
  <si>
    <t>2024-07-09T10:04:41.867+0200</t>
  </si>
  <si>
    <t>2024-09-17T09:16:22.195+0200</t>
  </si>
  <si>
    <t>2024-07-09T10:14:55.266+0200</t>
  </si>
  <si>
    <t>2024-08-30T09:17:58.350+0200</t>
  </si>
  <si>
    <t>2024-08-28T11:43:47.823+0200</t>
  </si>
  <si>
    <t>2024-09-02T09:29:48.379+0200</t>
  </si>
  <si>
    <t>2024-08-20T13:55:55.511+0200</t>
  </si>
  <si>
    <t>2024-08-21T14:49:07.568+0200</t>
  </si>
  <si>
    <t>2024-09-03T09:04:17.952+0200</t>
  </si>
  <si>
    <t>2024-07-09T10:14:58.114+0200</t>
  </si>
  <si>
    <t>2024-07-24T10:26:04.771+0200</t>
  </si>
  <si>
    <t>2024-08-20T13:55:59.684+0200</t>
  </si>
  <si>
    <t>ESPC360-9922</t>
  </si>
  <si>
    <t>2024-07-12T10:41:27.461+0200</t>
  </si>
  <si>
    <t>2024-07-12T11:45:44.553+0200</t>
  </si>
  <si>
    <t>2024-07-12T10:41:39.452+0200</t>
  </si>
  <si>
    <t>2024-07-12T10:41:41.487+0200</t>
  </si>
  <si>
    <t>2024-07-12T11:44:20.831+0200</t>
  </si>
  <si>
    <t>ESPC360-9939</t>
  </si>
  <si>
    <t>2024-07-15T08:14:22.932+0200</t>
  </si>
  <si>
    <t>2024-08-27T12:23:38.474+0200</t>
  </si>
  <si>
    <t>2024-09-06T13:47:19.318+0200</t>
  </si>
  <si>
    <t>2024-07-15T09:10:59.604+0200</t>
  </si>
  <si>
    <t>2024-07-15T08:22:14.529+0200</t>
  </si>
  <si>
    <t>2024-07-15T09:11:01.760+0200</t>
  </si>
  <si>
    <t>2024-08-20T16:11:32.415+0200</t>
  </si>
  <si>
    <t>ESPC360-9977</t>
  </si>
  <si>
    <t>2024-07-16T15:39:40.406+0200</t>
  </si>
  <si>
    <t>2024-08-29T09:22:32.511+0200</t>
  </si>
  <si>
    <t>2024-07-17T08:59:06.575+0200</t>
  </si>
  <si>
    <t>2024-07-25T12:04:38.988+0200</t>
  </si>
  <si>
    <t>2024-07-25T12:04:35.756+0200</t>
  </si>
  <si>
    <t>2024-07-25T14:09:35.631+0200</t>
  </si>
  <si>
    <t>2024-07-25T12:03:25.364+0200</t>
  </si>
  <si>
    <t>2024-07-25T14:09:41.516+0200</t>
  </si>
  <si>
    <t>2024-07-16T15:40:22.683+0200</t>
  </si>
  <si>
    <t>2024-07-17T08:59:08.309+0200</t>
  </si>
  <si>
    <t>Tiempo Analisis</t>
  </si>
  <si>
    <t>Tiempo Desarrollo</t>
  </si>
  <si>
    <t>Tiempo Despliegue</t>
  </si>
  <si>
    <t>PBIs</t>
  </si>
  <si>
    <t>Dia</t>
  </si>
  <si>
    <t>Hora</t>
  </si>
  <si>
    <t>Fecha/hora</t>
  </si>
  <si>
    <t>Días</t>
  </si>
  <si>
    <t>º</t>
  </si>
  <si>
    <t>Persona asignada</t>
  </si>
  <si>
    <t xml:space="preserve">Estado </t>
  </si>
  <si>
    <t>Actualizada</t>
  </si>
  <si>
    <t>Fecha Vencimiento</t>
  </si>
  <si>
    <t>Creada</t>
  </si>
  <si>
    <t xml:space="preserve">Fecha Fin Real </t>
  </si>
  <si>
    <t>Fecha Inicio Real</t>
  </si>
  <si>
    <t>Opción 2</t>
  </si>
  <si>
    <t>Dias</t>
  </si>
  <si>
    <t>Opción 3</t>
  </si>
  <si>
    <t>ESPC360-11178</t>
  </si>
  <si>
    <t>[CM] Sprint 183 - update-contratos-planeta-seguros</t>
  </si>
  <si>
    <t>GONZALO GARCIA MORENO</t>
  </si>
  <si>
    <t>CERRADO ITSM</t>
  </si>
  <si>
    <t>132</t>
  </si>
  <si>
    <t>OPERACIONAL</t>
  </si>
  <si>
    <t>ESPC360-11498</t>
  </si>
  <si>
    <t>C360_Operacional_Sprint 183 - Movimientos Cuentas AVRO</t>
  </si>
  <si>
    <t>ERNESTO Gimeno Valiente</t>
  </si>
  <si>
    <t>C360_Operacional_Sprint 184</t>
  </si>
  <si>
    <t>121</t>
  </si>
  <si>
    <t>ESPC360-12718</t>
  </si>
  <si>
    <t>[CM ] Sprint 187 - categorizacion movimientos cuentas ATLAS (gs) y OnPremise</t>
  </si>
  <si>
    <t>73</t>
  </si>
  <si>
    <t>ESPC360-13290</t>
  </si>
  <si>
    <t>Sprint 189 - Databricks - Despliegue y activación con test-script de componentes batch (3/4)</t>
  </si>
  <si>
    <t>63</t>
  </si>
  <si>
    <t>ESPC360-13475</t>
  </si>
  <si>
    <t>C360_Operacional_Sprint 190</t>
  </si>
  <si>
    <t>56</t>
  </si>
  <si>
    <t>ESPC360-13826</t>
  </si>
  <si>
    <t>[CM] Modificacion horario jobs ADN360</t>
  </si>
  <si>
    <t>69</t>
  </si>
  <si>
    <t>ESPC360-13855</t>
  </si>
  <si>
    <t>C360_Operacional_Sprint 191</t>
  </si>
  <si>
    <t>42</t>
  </si>
  <si>
    <t>ESPC360-14111</t>
  </si>
  <si>
    <t>C360_Operacional_Sprint 192</t>
  </si>
  <si>
    <t>33</t>
  </si>
  <si>
    <t>ESPC360-14394</t>
  </si>
  <si>
    <t>C360_Operacional_Sprint 193</t>
  </si>
  <si>
    <t>26</t>
  </si>
  <si>
    <t>ESPC360-14429</t>
  </si>
  <si>
    <t>Sprint 189 - Databricks - Despliegue y activación con test-script de componentes batch (4/4)</t>
  </si>
  <si>
    <t>JOSE FELIZ HERNANDEZ</t>
  </si>
  <si>
    <t>15</t>
  </si>
  <si>
    <t>(en blanco)</t>
  </si>
  <si>
    <t>septiembre-2024</t>
  </si>
  <si>
    <t>Cuenta de Release</t>
  </si>
  <si>
    <t>Media</t>
  </si>
  <si>
    <t>ESPC360-15487</t>
  </si>
  <si>
    <t>[CM] Desplanificación PADN108D y IADN108D</t>
  </si>
  <si>
    <t>Arturo Ruiz Simon</t>
  </si>
  <si>
    <t>12</t>
  </si>
  <si>
    <t>ESPC360-14498</t>
  </si>
  <si>
    <t>[CM] Sprint 193 - Databricks Bloque 4</t>
  </si>
  <si>
    <t>CARLOS Camacho Menchero</t>
  </si>
  <si>
    <t>32</t>
  </si>
  <si>
    <t>ESPC360-15720</t>
  </si>
  <si>
    <t>[CM] Sprint 195 - Despliegue Databricks cdp360</t>
  </si>
  <si>
    <t>21</t>
  </si>
  <si>
    <t>ESPC360-16226</t>
  </si>
  <si>
    <t>C360_Operacional_HotFix_Movimientos</t>
  </si>
  <si>
    <t>6</t>
  </si>
  <si>
    <t>ESPC360-15489</t>
  </si>
  <si>
    <t>C360_Operacional_Sprint 195</t>
  </si>
  <si>
    <t>25</t>
  </si>
  <si>
    <t>ESPC360-15448</t>
  </si>
  <si>
    <t>[CM] Sprint_194 Nuevo Job carga-divisas-precision</t>
  </si>
  <si>
    <t>ESPC360-15926</t>
  </si>
  <si>
    <t>[CM]- Databricks Movimientos Cuentas</t>
  </si>
  <si>
    <t>17</t>
  </si>
  <si>
    <t>ESPC360-13775</t>
  </si>
  <si>
    <t>[CM] Sprint 190 - Santander GO</t>
  </si>
  <si>
    <t>C360_Operacional_Sprint 173</t>
  </si>
  <si>
    <t>90</t>
  </si>
  <si>
    <t>ESPC360-15635</t>
  </si>
  <si>
    <t>Despliegue Batch Databricks CDP360</t>
  </si>
  <si>
    <t>13</t>
  </si>
  <si>
    <t>ESPC360-14953</t>
  </si>
  <si>
    <t>C360_Operacional_Sprint 194</t>
  </si>
  <si>
    <t>27</t>
  </si>
  <si>
    <t>ESPC360-16688</t>
  </si>
  <si>
    <t>C360_Operacional_HotFix_Front</t>
  </si>
  <si>
    <t>3</t>
  </si>
  <si>
    <t>ESPC360-16862</t>
  </si>
  <si>
    <t>C360_Operacional_FIX_Tarjetas</t>
  </si>
  <si>
    <t>4</t>
  </si>
  <si>
    <t>ESPC360-16098</t>
  </si>
  <si>
    <t>C360_Operacional_Sprint 196</t>
  </si>
  <si>
    <t>ESPC360-16212</t>
  </si>
  <si>
    <t>[CM] ADN360_Sprint 195 Nuevo Job update-contratos-titulizados</t>
  </si>
  <si>
    <t>ESPC360-16517</t>
  </si>
  <si>
    <t>[CM] ADN360_Sprint 196 Nuevo Job  update-contratos-ico</t>
  </si>
  <si>
    <t>ESPC360-17120</t>
  </si>
  <si>
    <t>[CM] Sprint 198 - [Portal Deudor] Batch para cargar las cestas/agrupaciones asociadas a los contratos</t>
  </si>
  <si>
    <t>28</t>
  </si>
  <si>
    <t>ESPC360-16230</t>
  </si>
  <si>
    <t>[CM] Sprint 196 - [SmartPricing] Creación proceso Batch actualización</t>
  </si>
  <si>
    <t>43</t>
  </si>
  <si>
    <t>ESPC360-16562</t>
  </si>
  <si>
    <t>C360_Operacional_Sprint 197</t>
  </si>
  <si>
    <t>ESPC360-16947</t>
  </si>
  <si>
    <t>C360_Operacional_Fix_Recarga_TasasDemora_préstamos</t>
  </si>
  <si>
    <t>ESPC360-17055</t>
  </si>
  <si>
    <t>C360_Operacional_Sprint 198</t>
  </si>
  <si>
    <t>47</t>
  </si>
  <si>
    <t>ESPC360-18044</t>
  </si>
  <si>
    <t>C360_Operacional_HotFix_BGM</t>
  </si>
  <si>
    <t>5</t>
  </si>
  <si>
    <t>ESPC360-17446</t>
  </si>
  <si>
    <t>C360_Operacional_Sprint 199</t>
  </si>
  <si>
    <t>ESPC360-17380</t>
  </si>
  <si>
    <t>C360_Operacional_HotFix_Servicios_Digitales_Santander_Go</t>
  </si>
  <si>
    <t>ESPC360-16744</t>
  </si>
  <si>
    <t>[CM] Desplanificación fichero ingesta planesempleo proceso en PRE</t>
  </si>
  <si>
    <t>BORJA CORTIJO LAJARA</t>
  </si>
  <si>
    <t>ESPC360-17189</t>
  </si>
  <si>
    <t>[CM] Sprint 198 - [Portal Deudor] update-contratos-opening</t>
  </si>
  <si>
    <t>ERIC REVELLES SEGALES</t>
  </si>
  <si>
    <t>55</t>
  </si>
  <si>
    <t>ESPC360-17713</t>
  </si>
  <si>
    <t>C360_Operacional_Sprint 200</t>
  </si>
  <si>
    <t>ESPC360-16743</t>
  </si>
  <si>
    <t>[CM] Sprint 197 - [Databricks] - Modificar la malla Control-M en PRE para engancharlo a las condiciones de ingesta cloud</t>
  </si>
  <si>
    <t>68</t>
  </si>
  <si>
    <t>Migración lago - Batch adn360-batch-international-payments</t>
  </si>
  <si>
    <t>ESPC360-18050</t>
  </si>
  <si>
    <t>C360_Operacional_Sprint 201</t>
  </si>
  <si>
    <t>34</t>
  </si>
  <si>
    <t>ESPC360-17357</t>
  </si>
  <si>
    <t>[CM] ADN360_Sprint 198 Modificaciones Jobs carga-prestamos-bonificaciones-simulacion carga-prestamos-bonificaciones-actual</t>
  </si>
  <si>
    <t>Andrei Brinza</t>
  </si>
  <si>
    <t>ESPC360-17664</t>
  </si>
  <si>
    <t>[CM] ADN360_Sprint 198 Creacion Jobs carga-tipos-movimientos , carga-tipos-movimientos-gs</t>
  </si>
  <si>
    <t>53</t>
  </si>
  <si>
    <t>ESPC360-18426</t>
  </si>
  <si>
    <t>C360_Operacional_Sprint 201_Dualidad_Gravity</t>
  </si>
  <si>
    <t>19</t>
  </si>
  <si>
    <t>ESPC360-18907</t>
  </si>
  <si>
    <t>C360_Operacional_Sprint 203</t>
  </si>
  <si>
    <t>ESPC360-18427</t>
  </si>
  <si>
    <t>C360_Operacional_Sprint 202</t>
  </si>
  <si>
    <t>39</t>
  </si>
  <si>
    <t>ESPC360-19490</t>
  </si>
  <si>
    <t>C360_Operacional_Sprint 204 - Certificados</t>
  </si>
  <si>
    <t>11</t>
  </si>
  <si>
    <t>ESPC360-19162</t>
  </si>
  <si>
    <t>C360_Operacional_Sprint 204</t>
  </si>
  <si>
    <t>ESPC360-19407</t>
  </si>
  <si>
    <t>C360_Operacional_Sprint 205</t>
  </si>
  <si>
    <t>ESPC360-19755</t>
  </si>
  <si>
    <t>C360_Operacional_Sprint 205 - Exprés</t>
  </si>
  <si>
    <t>[TESTING] Ejecución pruebas de regresión C360_Operacional_Sprint 205_expres</t>
  </si>
  <si>
    <t>ESPC360-19944</t>
  </si>
  <si>
    <t>C360_Operacional_Sprint 206 - Exprés - Customer-position</t>
  </si>
  <si>
    <t>C360_Operacional_Sprint 206</t>
  </si>
  <si>
    <t>ESPC360-19826</t>
  </si>
  <si>
    <t>C360_Operacional_Sprint 206 - Exprés</t>
  </si>
  <si>
    <t>ESPC360-19693</t>
  </si>
  <si>
    <t>ESPC360-20264</t>
  </si>
  <si>
    <t>C360_Operacional_Sprint 207 - Exprés</t>
  </si>
  <si>
    <t>ESPC360-19953</t>
  </si>
  <si>
    <t>[CM] Modificación ingestas previas update-catalogo-productos y desplanificación jobs cloudera</t>
  </si>
  <si>
    <t>41</t>
  </si>
  <si>
    <t>ESPC360-20269</t>
  </si>
  <si>
    <t>C360_Operacional_Sprint 208</t>
  </si>
  <si>
    <t>ESPC360-19956</t>
  </si>
  <si>
    <t>C360_Operacional_Sprint 207</t>
  </si>
  <si>
    <t>Resolved</t>
  </si>
  <si>
    <t>ESPC360-20902</t>
  </si>
  <si>
    <t>C360_Operacional_HotFix_Valores</t>
  </si>
  <si>
    <t>10</t>
  </si>
  <si>
    <t>ESPC360-20479</t>
  </si>
  <si>
    <t>C360_Operacional_Sprint 209</t>
  </si>
  <si>
    <t>31</t>
  </si>
  <si>
    <t>ESPC360-20508</t>
  </si>
  <si>
    <t>[CM] Modificación incrementales hismo</t>
  </si>
  <si>
    <t>ESPC360-20658</t>
  </si>
  <si>
    <t>C360_Operacional_Sprint 210</t>
  </si>
  <si>
    <t>ESPC360-21480</t>
  </si>
  <si>
    <t>C360_Operacional_Sprint 212_Expres</t>
  </si>
  <si>
    <t>C360_Operacional_Sprint 212 Expres</t>
  </si>
  <si>
    <t>ESPC360-21196</t>
  </si>
  <si>
    <t>C360_Operacional_Sprint 212</t>
  </si>
  <si>
    <t>ESPC360-20940</t>
  </si>
  <si>
    <t>C360_Operacional_Sprint 211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</si>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</sst>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" fontId="0" fillId="0" borderId="0" xfId="0" applyNumberFormat="1"/>
    <xf numFmtId="4" fontId="3" fillId="0" borderId="0" xfId="0" applyNumberFormat="1" applyFont="1"/>
    <xf numFmtId="3" fontId="0" fillId="0" borderId="0" xfId="0" applyNumberFormat="1"/>
    <xf numFmtId="0" fontId="6" fillId="5" borderId="1" xfId="0" applyFont="1" applyFill="1" applyBorder="1"/>
    <xf numFmtId="4" fontId="6" fillId="5" borderId="1" xfId="0" applyNumberFormat="1" applyFont="1" applyFill="1" applyBorder="1"/>
    <xf numFmtId="0" fontId="3" fillId="0" borderId="3" xfId="0" applyFont="1" applyBorder="1" applyAlignment="1">
      <alignment horizontal="center" vertical="top"/>
    </xf>
    <xf numFmtId="0" fontId="9" fillId="5" borderId="4" xfId="0" applyFont="1" applyFill="1" applyBorder="1" applyAlignment="1">
      <alignment horizontal="center" vertical="top"/>
    </xf>
    <xf numFmtId="0" fontId="9" fillId="8" borderId="4" xfId="0" applyFont="1" applyFill="1" applyBorder="1" applyAlignment="1">
      <alignment horizontal="center" vertical="top"/>
    </xf>
    <xf numFmtId="0" fontId="9" fillId="9" borderId="4" xfId="0" applyFont="1" applyFill="1" applyBorder="1" applyAlignment="1">
      <alignment horizontal="center" vertical="top"/>
    </xf>
    <xf numFmtId="0" fontId="8" fillId="6" borderId="3" xfId="0" applyFont="1" applyFill="1" applyBorder="1" applyAlignment="1">
      <alignment horizontal="center" vertical="top"/>
    </xf>
    <xf numFmtId="0" fontId="9" fillId="5" borderId="3" xfId="0" applyFont="1" applyFill="1" applyBorder="1" applyAlignment="1">
      <alignment horizontal="center" vertical="top"/>
    </xf>
    <xf numFmtId="0" fontId="8" fillId="7" borderId="3" xfId="0" applyFont="1" applyFill="1" applyBorder="1" applyAlignment="1">
      <alignment horizontal="center" vertical="top"/>
    </xf>
    <xf numFmtId="0" fontId="9" fillId="8" borderId="3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  <xf numFmtId="0" fontId="9" fillId="9" borderId="3" xfId="0" applyFont="1" applyFill="1" applyBorder="1" applyAlignment="1">
      <alignment horizontal="center" vertical="top"/>
    </xf>
    <xf numFmtId="22" fontId="0" fillId="0" borderId="0" xfId="0" applyNumberFormat="1"/>
    <xf numFmtId="0" fontId="7" fillId="3" borderId="2" xfId="0" applyFont="1" applyFill="1" applyBorder="1"/>
    <xf numFmtId="0" fontId="5" fillId="0" borderId="0" xfId="1" applyFill="1"/>
    <xf numFmtId="0" fontId="7" fillId="10" borderId="0" xfId="0" applyFont="1" applyFill="1"/>
    <xf numFmtId="4" fontId="2" fillId="0" borderId="0" xfId="0" applyNumberFormat="1" applyFont="1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6" fillId="11" borderId="1" xfId="0" applyFont="1" applyFill="1" applyBorder="1"/>
    <xf numFmtId="4" fontId="6" fillId="11" borderId="1" xfId="0" applyNumberFormat="1" applyFont="1" applyFill="1" applyBorder="1"/>
    <xf numFmtId="0" fontId="3" fillId="0" borderId="12" xfId="0" applyFont="1" applyBorder="1"/>
    <xf numFmtId="0" fontId="0" fillId="0" borderId="11" xfId="0" applyBorder="1"/>
    <xf numFmtId="17" fontId="0" fillId="0" borderId="11" xfId="0" applyNumberForma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9" fontId="11" fillId="12" borderId="0" xfId="2" applyNumberFormat="1" applyAlignment="1">
      <alignment horizontal="center"/>
    </xf>
    <xf numFmtId="9" fontId="12" fillId="13" borderId="0" xfId="3" applyNumberFormat="1" applyAlignment="1">
      <alignment horizontal="center"/>
    </xf>
    <xf numFmtId="0" fontId="5" fillId="0" borderId="0" xfId="4" applyFill="1" applyBorder="1" applyAlignment="1"/>
    <xf numFmtId="0" fontId="13" fillId="0" borderId="0" xfId="0" applyFont="1"/>
    <xf numFmtId="0" fontId="13" fillId="0" borderId="0" xfId="0" applyFont="1" applyAlignment="1">
      <alignment wrapText="1"/>
    </xf>
    <xf numFmtId="22" fontId="13" fillId="0" borderId="0" xfId="0" applyNumberFormat="1" applyFont="1" applyAlignment="1">
      <alignment wrapText="1"/>
    </xf>
    <xf numFmtId="22" fontId="13" fillId="0" borderId="0" xfId="0" applyNumberFormat="1" applyFont="1"/>
    <xf numFmtId="14" fontId="13" fillId="0" borderId="0" xfId="0" applyNumberFormat="1" applyFont="1"/>
    <xf numFmtId="22" fontId="13" fillId="2" borderId="0" xfId="0" applyNumberFormat="1" applyFont="1" applyFill="1"/>
    <xf numFmtId="14" fontId="13" fillId="2" borderId="0" xfId="0" applyNumberFormat="1" applyFont="1" applyFill="1"/>
    <xf numFmtId="17" fontId="13" fillId="0" borderId="0" xfId="0" applyNumberFormat="1" applyFont="1"/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8" fillId="6" borderId="4" xfId="0" applyFont="1" applyFill="1" applyBorder="1" applyAlignment="1">
      <alignment horizontal="center" vertical="top"/>
    </xf>
    <xf numFmtId="0" fontId="8" fillId="6" borderId="5" xfId="0" applyFont="1" applyFill="1" applyBorder="1" applyAlignment="1">
      <alignment horizontal="center" vertical="top"/>
    </xf>
    <xf numFmtId="0" fontId="8" fillId="6" borderId="6" xfId="0" applyFont="1" applyFill="1" applyBorder="1" applyAlignment="1">
      <alignment horizontal="center" vertical="top"/>
    </xf>
    <xf numFmtId="0" fontId="8" fillId="7" borderId="4" xfId="0" applyFont="1" applyFill="1" applyBorder="1" applyAlignment="1">
      <alignment horizontal="center" vertical="top"/>
    </xf>
    <xf numFmtId="0" fontId="8" fillId="7" borderId="5" xfId="0" applyFont="1" applyFill="1" applyBorder="1" applyAlignment="1">
      <alignment horizontal="center" vertical="top"/>
    </xf>
    <xf numFmtId="0" fontId="8" fillId="7" borderId="6" xfId="0" applyFont="1" applyFill="1" applyBorder="1" applyAlignment="1">
      <alignment horizontal="center" vertical="top"/>
    </xf>
    <xf numFmtId="0" fontId="8" fillId="4" borderId="4" xfId="0" applyFont="1" applyFill="1" applyBorder="1" applyAlignment="1">
      <alignment horizontal="center" vertical="top"/>
    </xf>
    <xf numFmtId="0" fontId="8" fillId="4" borderId="5" xfId="0" applyFont="1" applyFill="1" applyBorder="1" applyAlignment="1">
      <alignment horizontal="center" vertical="top"/>
    </xf>
    <xf numFmtId="0" fontId="8" fillId="4" borderId="6" xfId="0" applyFont="1" applyFill="1" applyBorder="1" applyAlignment="1">
      <alignment horizontal="center" vertical="top"/>
    </xf>
  </cellXfs>
  <cellStyles count="5">
    <cellStyle name="Bueno" xfId="2" builtinId="26"/>
    <cellStyle name="Hipervínculo" xfId="1" builtinId="8"/>
    <cellStyle name="Hyperlink" xfId="4" xr:uid="{00000000-000B-0000-0000-000008000000}"/>
    <cellStyle name="Incorrecto" xfId="3" builtinId="27"/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2" formatCode="0.0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Bugs</a:t>
            </a:r>
            <a:r>
              <a:rPr lang="es-ES" baseline="0"/>
              <a:t> Abiertos y Cerrados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Gráficos BUGs'!$B$67</c:f>
              <c:strCache>
                <c:ptCount val="1"/>
                <c:pt idx="0">
                  <c:v>Bugs Abiertos</c:v>
                </c:pt>
              </c:strCache>
            </c:strRef>
          </c:tx>
          <c:spPr>
            <a:ln w="571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83-428C-98A9-3AF19F96ACC5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AC-40C2-B2D5-6A1D8247A323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83-428C-98A9-3AF19F96AC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BUGs'!$A$68:$A$79</c:f>
              <c:strCache>
                <c:ptCount val="12"/>
                <c:pt idx="0">
                  <c:v>enero-2025</c:v>
                </c:pt>
                <c:pt idx="1">
                  <c:v>febrero-2025</c:v>
                </c:pt>
                <c:pt idx="2">
                  <c:v>marzo-2025</c:v>
                </c:pt>
                <c:pt idx="3">
                  <c:v>abril-2025</c:v>
                </c:pt>
                <c:pt idx="4">
                  <c:v>mayo-2025</c:v>
                </c:pt>
                <c:pt idx="5">
                  <c:v>junio-2025</c:v>
                </c:pt>
                <c:pt idx="6">
                  <c:v>julio-2025</c:v>
                </c:pt>
                <c:pt idx="7">
                  <c:v>agosto-2025</c:v>
                </c:pt>
                <c:pt idx="8">
                  <c:v>septiembre-2025</c:v>
                </c:pt>
                <c:pt idx="9">
                  <c:v>octubre-2025</c:v>
                </c:pt>
                <c:pt idx="10">
                  <c:v>noviembre-2025</c:v>
                </c:pt>
                <c:pt idx="11">
                  <c:v>diciembre-2025</c:v>
                </c:pt>
              </c:strCache>
            </c:strRef>
          </c:cat>
          <c:val>
            <c:numRef>
              <c:f>'Datos Gráficos BUGs'!$B$68:$B$79</c:f>
              <c:numCache>
                <c:formatCode>#,##0.00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7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83-428C-98A9-3AF19F96ACC5}"/>
            </c:ext>
          </c:extLst>
        </c:ser>
        <c:ser>
          <c:idx val="1"/>
          <c:order val="1"/>
          <c:tx>
            <c:strRef>
              <c:f>'Datos Gráficos BUGs'!$C$67</c:f>
              <c:strCache>
                <c:ptCount val="1"/>
                <c:pt idx="0">
                  <c:v>Bugs Cerrados</c:v>
                </c:pt>
              </c:strCache>
            </c:strRef>
          </c:tx>
          <c:spPr>
            <a:ln w="571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83-428C-98A9-3AF19F96AC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BUGs'!$A$68:$A$79</c:f>
              <c:strCache>
                <c:ptCount val="12"/>
                <c:pt idx="0">
                  <c:v>enero-2025</c:v>
                </c:pt>
                <c:pt idx="1">
                  <c:v>febrero-2025</c:v>
                </c:pt>
                <c:pt idx="2">
                  <c:v>marzo-2025</c:v>
                </c:pt>
                <c:pt idx="3">
                  <c:v>abril-2025</c:v>
                </c:pt>
                <c:pt idx="4">
                  <c:v>mayo-2025</c:v>
                </c:pt>
                <c:pt idx="5">
                  <c:v>junio-2025</c:v>
                </c:pt>
                <c:pt idx="6">
                  <c:v>julio-2025</c:v>
                </c:pt>
                <c:pt idx="7">
                  <c:v>agosto-2025</c:v>
                </c:pt>
                <c:pt idx="8">
                  <c:v>septiembre-2025</c:v>
                </c:pt>
                <c:pt idx="9">
                  <c:v>octubre-2025</c:v>
                </c:pt>
                <c:pt idx="10">
                  <c:v>noviembre-2025</c:v>
                </c:pt>
                <c:pt idx="11">
                  <c:v>diciembre-2025</c:v>
                </c:pt>
              </c:strCache>
            </c:strRef>
          </c:cat>
          <c:val>
            <c:numRef>
              <c:f>'Datos Gráficos BUGs'!$C$68:$C$79</c:f>
              <c:numCache>
                <c:formatCode>#,##0.00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10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83-428C-98A9-3AF19F96A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100607"/>
        <c:axId val="1372103967"/>
      </c:lineChart>
      <c:catAx>
        <c:axId val="13721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2103967"/>
        <c:crosses val="autoZero"/>
        <c:auto val="1"/>
        <c:lblAlgn val="ctr"/>
        <c:lblOffset val="100"/>
        <c:noMultiLvlLbl val="0"/>
      </c:catAx>
      <c:valAx>
        <c:axId val="13721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210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[C360 Release Cerradas Operacional.xlsx]Datos Gráficos BUGs!TablaDinámica1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Resolución BUGS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Gráficos BUGs'!$B$25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Gráficos BUGs'!$A$26:$A$28</c:f>
              <c:strCache>
                <c:ptCount val="2"/>
                <c:pt idx="0">
                  <c:v>enero-2025</c:v>
                </c:pt>
                <c:pt idx="1">
                  <c:v>febrero-2025</c:v>
                </c:pt>
              </c:strCache>
            </c:strRef>
          </c:cat>
          <c:val>
            <c:numRef>
              <c:f>'Datos Gráficos BUGs'!$B$26:$B$28</c:f>
              <c:numCache>
                <c:formatCode>#,##0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2-4937-BDAB-77360543F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160255"/>
        <c:axId val="547163615"/>
      </c:barChart>
      <c:catAx>
        <c:axId val="54716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163615"/>
        <c:crosses val="autoZero"/>
        <c:auto val="1"/>
        <c:lblAlgn val="ctr"/>
        <c:lblOffset val="100"/>
        <c:noMultiLvlLbl val="0"/>
      </c:catAx>
      <c:valAx>
        <c:axId val="54716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16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[C360 Release Cerradas Operacional.xlsx]Datos Gráficos BUGs!TablaDinámica6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Gráficos BUGs'!$B$130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Gráficos BUGs'!$A$131:$A$139</c:f>
              <c:strCache>
                <c:ptCount val="8"/>
                <c:pt idx="0">
                  <c:v>febrero-2025</c:v>
                </c:pt>
                <c:pt idx="1">
                  <c:v>septiembre-2024</c:v>
                </c:pt>
                <c:pt idx="2">
                  <c:v>octubre-2024</c:v>
                </c:pt>
                <c:pt idx="3">
                  <c:v>noviembre-2024</c:v>
                </c:pt>
                <c:pt idx="4">
                  <c:v>(en blanco)</c:v>
                </c:pt>
                <c:pt idx="5">
                  <c:v>diciembre-2024</c:v>
                </c:pt>
                <c:pt idx="6">
                  <c:v>enero-2025</c:v>
                </c:pt>
                <c:pt idx="7">
                  <c:v>marzo-2025</c:v>
                </c:pt>
              </c:strCache>
            </c:strRef>
          </c:cat>
          <c:val>
            <c:numRef>
              <c:f>'Datos Gráficos BUGs'!$B$131:$B$139</c:f>
              <c:numCache>
                <c:formatCode>General</c:formatCode>
                <c:ptCount val="8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5-4996-B03C-009568F57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585791"/>
        <c:axId val="755575711"/>
      </c:barChart>
      <c:catAx>
        <c:axId val="75558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5575711"/>
        <c:crosses val="autoZero"/>
        <c:auto val="1"/>
        <c:lblAlgn val="ctr"/>
        <c:lblOffset val="100"/>
        <c:noMultiLvlLbl val="0"/>
      </c:catAx>
      <c:valAx>
        <c:axId val="75557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558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Tiempos Resolución</a:t>
            </a:r>
            <a:r>
              <a:rPr lang="es-ES" baseline="0"/>
              <a:t> de </a:t>
            </a:r>
            <a:r>
              <a:rPr lang="es-ES"/>
              <a:t>Bugs cerrados por</a:t>
            </a:r>
            <a:r>
              <a:rPr lang="es-ES" baseline="0"/>
              <a:t> prioridad - 2025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Gráficos BUGs'!$G$202</c:f>
              <c:strCache>
                <c:ptCount val="1"/>
                <c:pt idx="0">
                  <c:v>CUMPLE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BUGs'!$F$203:$F$205</c:f>
              <c:strCache>
                <c:ptCount val="3"/>
                <c:pt idx="0">
                  <c:v>Highest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'Datos Gráficos BUGs'!$G$203:$G$205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7-49F1-A923-8EB25F07C509}"/>
            </c:ext>
          </c:extLst>
        </c:ser>
        <c:ser>
          <c:idx val="1"/>
          <c:order val="1"/>
          <c:tx>
            <c:strRef>
              <c:f>'Datos Gráficos BUGs'!$H$202</c:f>
              <c:strCache>
                <c:ptCount val="1"/>
                <c:pt idx="0">
                  <c:v>NO CUMPLE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BUGs'!$F$203:$F$205</c:f>
              <c:strCache>
                <c:ptCount val="3"/>
                <c:pt idx="0">
                  <c:v>Highest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'Datos Gráficos BUGs'!$H$203:$H$205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7-49F1-A923-8EB25F07C5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2571055"/>
        <c:axId val="1672567695"/>
      </c:barChart>
      <c:catAx>
        <c:axId val="167257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2567695"/>
        <c:crosses val="autoZero"/>
        <c:auto val="1"/>
        <c:lblAlgn val="ctr"/>
        <c:lblOffset val="100"/>
        <c:noMultiLvlLbl val="0"/>
      </c:catAx>
      <c:valAx>
        <c:axId val="167256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257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Tiempos de medio de vida de Realease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Días</c:v>
          </c:tx>
          <c:spPr>
            <a:ln w="3619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729056382683261E-2"/>
                  <c:y val="5.05358070686146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00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B2DC-4167-A896-024682390A3D}"/>
                </c:ext>
              </c:extLst>
            </c:dLbl>
            <c:dLbl>
              <c:idx val="6"/>
              <c:layout>
                <c:manualLayout>
                  <c:x val="-8.1347362174841301E-2"/>
                  <c:y val="3.60551379469690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DC-4167-A896-024682390A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BUGs'!$A$213:$A$224</c:f>
              <c:strCache>
                <c:ptCount val="12"/>
                <c:pt idx="0">
                  <c:v>enero-2025</c:v>
                </c:pt>
                <c:pt idx="1">
                  <c:v>febrero-2025</c:v>
                </c:pt>
                <c:pt idx="2">
                  <c:v>marzo-2025</c:v>
                </c:pt>
                <c:pt idx="3">
                  <c:v>abril-2025</c:v>
                </c:pt>
                <c:pt idx="4">
                  <c:v>mayo-2025</c:v>
                </c:pt>
                <c:pt idx="5">
                  <c:v>junio-2025</c:v>
                </c:pt>
                <c:pt idx="6">
                  <c:v>julio-2025</c:v>
                </c:pt>
                <c:pt idx="7">
                  <c:v>agosto-2025</c:v>
                </c:pt>
                <c:pt idx="8">
                  <c:v>septiembre-2025</c:v>
                </c:pt>
                <c:pt idx="9">
                  <c:v>octubre-2025</c:v>
                </c:pt>
                <c:pt idx="10">
                  <c:v>noviembre-2025</c:v>
                </c:pt>
                <c:pt idx="11">
                  <c:v>diciembre-2025</c:v>
                </c:pt>
              </c:strCache>
            </c:strRef>
          </c:cat>
          <c:val>
            <c:numRef>
              <c:f>'Datos Gráficos BUGs'!$D$213:$D$224</c:f>
              <c:numCache>
                <c:formatCode>0.00</c:formatCode>
                <c:ptCount val="12"/>
                <c:pt idx="0">
                  <c:v>67.875</c:v>
                </c:pt>
                <c:pt idx="1">
                  <c:v>39.571428571428569</c:v>
                </c:pt>
                <c:pt idx="2">
                  <c:v>19.2</c:v>
                </c:pt>
                <c:pt idx="3">
                  <c:v>33.200000000000003</c:v>
                </c:pt>
                <c:pt idx="4">
                  <c:v>39.428571428571431</c:v>
                </c:pt>
                <c:pt idx="5">
                  <c:v>40</c:v>
                </c:pt>
                <c:pt idx="6">
                  <c:v>16.666666666666668</c:v>
                </c:pt>
                <c:pt idx="7">
                  <c:v>20</c:v>
                </c:pt>
                <c:pt idx="8">
                  <c:v>28</c:v>
                </c:pt>
                <c:pt idx="9">
                  <c:v>25.25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3-41E3-B5B2-25EFAC7BB589}"/>
            </c:ext>
          </c:extLst>
        </c:ser>
        <c:ser>
          <c:idx val="3"/>
          <c:order val="3"/>
          <c:tx>
            <c:v>Tiempo Release Max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'Datos Gráficos BUGs'!$E$213:$E$225</c:f>
              <c:numCache>
                <c:formatCode>General</c:formatCode>
                <c:ptCount val="1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4-4399-9575-610709F1B8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5786335"/>
        <c:axId val="5657781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'Datos Gráficos BUGs'!$B$212</c15:sqref>
                        </c15:formulaRef>
                      </c:ext>
                    </c:extLst>
                    <c:strCache>
                      <c:ptCount val="1"/>
                      <c:pt idx="0">
                        <c:v>Highest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'Datos Gráficos BUGs'!$A$213:$A$224</c15:sqref>
                        </c15:formulaRef>
                      </c:ext>
                    </c:extLst>
                    <c:strCache>
                      <c:ptCount val="12"/>
                      <c:pt idx="0">
                        <c:v>enero-2025</c:v>
                      </c:pt>
                      <c:pt idx="1">
                        <c:v>febrero-2025</c:v>
                      </c:pt>
                      <c:pt idx="2">
                        <c:v>marzo-2025</c:v>
                      </c:pt>
                      <c:pt idx="3">
                        <c:v>abril-2025</c:v>
                      </c:pt>
                      <c:pt idx="4">
                        <c:v>mayo-2025</c:v>
                      </c:pt>
                      <c:pt idx="5">
                        <c:v>junio-2025</c:v>
                      </c:pt>
                      <c:pt idx="6">
                        <c:v>julio-2025</c:v>
                      </c:pt>
                      <c:pt idx="7">
                        <c:v>agosto-2025</c:v>
                      </c:pt>
                      <c:pt idx="8">
                        <c:v>septiembre-2025</c:v>
                      </c:pt>
                      <c:pt idx="9">
                        <c:v>octubre-2025</c:v>
                      </c:pt>
                      <c:pt idx="10">
                        <c:v>noviembre-2025</c:v>
                      </c:pt>
                      <c:pt idx="11">
                        <c:v>diciembre-2025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'Datos Gráficos BUGs'!$B$213:$B$224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7C3-41E3-B5B2-25EFAC7BB58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Gráficos BUGs'!$C$212</c15:sqref>
                        </c15:formulaRef>
                      </c:ext>
                    </c:extLst>
                    <c:strCache>
                      <c:ptCount val="1"/>
                      <c:pt idx="0">
                        <c:v>High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Gráficos BUGs'!$A$213:$A$224</c15:sqref>
                        </c15:formulaRef>
                      </c:ext>
                    </c:extLst>
                    <c:strCache>
                      <c:ptCount val="12"/>
                      <c:pt idx="0">
                        <c:v>enero-2025</c:v>
                      </c:pt>
                      <c:pt idx="1">
                        <c:v>febrero-2025</c:v>
                      </c:pt>
                      <c:pt idx="2">
                        <c:v>marzo-2025</c:v>
                      </c:pt>
                      <c:pt idx="3">
                        <c:v>abril-2025</c:v>
                      </c:pt>
                      <c:pt idx="4">
                        <c:v>mayo-2025</c:v>
                      </c:pt>
                      <c:pt idx="5">
                        <c:v>junio-2025</c:v>
                      </c:pt>
                      <c:pt idx="6">
                        <c:v>julio-2025</c:v>
                      </c:pt>
                      <c:pt idx="7">
                        <c:v>agosto-2025</c:v>
                      </c:pt>
                      <c:pt idx="8">
                        <c:v>septiembre-2025</c:v>
                      </c:pt>
                      <c:pt idx="9">
                        <c:v>octubre-2025</c:v>
                      </c:pt>
                      <c:pt idx="10">
                        <c:v>noviembre-2025</c:v>
                      </c:pt>
                      <c:pt idx="11">
                        <c:v>diciembre-2025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Gráficos BUGs'!$C$213:$C$224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7C3-41E3-B5B2-25EFAC7BB58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Tiempo Release Óptimo</c:v>
                </c:tx>
                <c:spPr>
                  <a:ln w="28575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Gráficos BUGs'!$F$213:$F$224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</c:v>
                      </c:pt>
                      <c:pt idx="1">
                        <c:v>20</c:v>
                      </c:pt>
                      <c:pt idx="2">
                        <c:v>20</c:v>
                      </c:pt>
                      <c:pt idx="3">
                        <c:v>20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20</c:v>
                      </c:pt>
                      <c:pt idx="11">
                        <c:v>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39A-45CD-885B-DB96DD3AEF9F}"/>
                  </c:ext>
                </c:extLst>
              </c15:ser>
            </c15:filteredLineSeries>
          </c:ext>
        </c:extLst>
      </c:lineChart>
      <c:catAx>
        <c:axId val="56578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778175"/>
        <c:crosses val="autoZero"/>
        <c:auto val="1"/>
        <c:lblAlgn val="ctr"/>
        <c:lblOffset val="100"/>
        <c:noMultiLvlLbl val="0"/>
      </c:catAx>
      <c:valAx>
        <c:axId val="5657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78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321482</xdr:colOff>
      <xdr:row>64</xdr:row>
      <xdr:rowOff>117367</xdr:rowOff>
    </xdr:from>
    <xdr:to>
      <xdr:col>12</xdr:col>
      <xdr:colOff>0</xdr:colOff>
      <xdr:row>85</xdr:row>
      <xdr:rowOff>44519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87F4DD-808E-4024-869B-485980A56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644336</xdr:colOff>
      <xdr:row>24</xdr:row>
      <xdr:rowOff>57149</xdr:rowOff>
    </xdr:from>
    <xdr:to>
      <xdr:col>10</xdr:col>
      <xdr:colOff>1725704</xdr:colOff>
      <xdr:row>40</xdr:row>
      <xdr:rowOff>44823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CBA3A6-DFC3-3051-93E1-A26B099D6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510426</xdr:colOff>
      <xdr:row>126</xdr:row>
      <xdr:rowOff>113179</xdr:rowOff>
    </xdr:from>
    <xdr:to>
      <xdr:col>15</xdr:col>
      <xdr:colOff>235883</xdr:colOff>
      <xdr:row>140</xdr:row>
      <xdr:rowOff>179295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9DEAB0-8216-F7D7-050E-B607C5DAE30C}"/>
            </a:ext>
            <a:ext uri="{147F2762-F138-4A5C-976F-8EAC2B608ADB}">
              <a16:predDERef xmlns:a16="http://schemas.microsoft.com/office/drawing/2014/main" pred="{1BCBA3A6-DFC3-3051-93E1-A26B099D6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442166</xdr:colOff>
      <xdr:row>0</xdr:row>
      <xdr:rowOff>14241</xdr:rowOff>
    </xdr:from>
    <xdr:to>
      <xdr:col>10</xdr:col>
      <xdr:colOff>297951</xdr:colOff>
      <xdr:row>13</xdr:row>
      <xdr:rowOff>149483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D254BB-5018-E143-25DF-E0DE050B1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284" y="14241"/>
          <a:ext cx="3159389" cy="265275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92</xdr:row>
      <xdr:rowOff>0</xdr:rowOff>
    </xdr:from>
    <xdr:to>
      <xdr:col>7</xdr:col>
      <xdr:colOff>1248747</xdr:colOff>
      <xdr:row>106</xdr:row>
      <xdr:rowOff>114688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F5EC06-F393-AE0B-5E66-839D02B5B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7219" y="17811750"/>
          <a:ext cx="3096057" cy="2781688"/>
        </a:xfrm>
        <a:prstGeom prst="rect">
          <a:avLst/>
        </a:prstGeom>
      </xdr:spPr>
    </xdr:pic>
    <xdr:clientData/>
  </xdr:twoCellAnchor>
  <xdr:twoCellAnchor>
    <xdr:from>
      <xdr:col>9</xdr:col>
      <xdr:colOff>554925</xdr:colOff>
      <xdr:row>192</xdr:row>
      <xdr:rowOff>114931</xdr:rowOff>
    </xdr:from>
    <xdr:to>
      <xdr:col>13</xdr:col>
      <xdr:colOff>53929</xdr:colOff>
      <xdr:row>206</xdr:row>
      <xdr:rowOff>131600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6E61C93-0A35-ED63-034D-430167426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299561</xdr:colOff>
      <xdr:row>211</xdr:row>
      <xdr:rowOff>3572</xdr:rowOff>
    </xdr:from>
    <xdr:to>
      <xdr:col>10</xdr:col>
      <xdr:colOff>1068917</xdr:colOff>
      <xdr:row>228</xdr:row>
      <xdr:rowOff>148168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F16A5F1-3683-E9C1-7808-DE806596B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770.409420717595" createdVersion="8" refreshedVersion="8" minRefreshableVersion="3" recordCount="172" xr:uid="{A7928FEF-3B04-4512-8776-3982A22FD458}">
  <cacheSource type="worksheet">
    <worksheetSource ref="A1:V1048576" sheet="Jira BUGS"/>
  </cacheSource>
  <cacheFields count="22">
    <cacheField name="Key" numFmtId="0">
      <sharedItems containsBlank="1" count="140">
        <s v="ESPC360-17120"/>
        <s v="ESPC360-16230"/>
        <s v="ESPC360-16562"/>
        <s v="ESPC360-16947"/>
        <s v="ESPC360-16517"/>
        <s v="ESPC360-16212"/>
        <s v="ESPC360-16862"/>
        <s v="ESPC360-16098"/>
        <s v="ESPC360-16688"/>
        <s v="ESPC360-15720"/>
        <s v="ESPC360-16226"/>
        <s v="ESPC360-15489"/>
        <s v="ESPC360-15448"/>
        <s v="ESPC360-15926"/>
        <s v="ESPC360-13775"/>
        <s v="ESPC360-15635"/>
        <s v="ESPC360-14953"/>
        <s v="ESPC360-15487"/>
        <s v="ESPC360-14498"/>
        <s v="ESPC360-13826"/>
        <s v="ESPC360-14394"/>
        <s v="ESPC360-14429"/>
        <s v="ESPC360-14111"/>
        <s v="ESPC360-11498"/>
        <s v="ESPC360-13855"/>
        <s v="ESPC360-13475"/>
        <s v="ESPC360-13290"/>
        <s v="ESPC360-11178"/>
        <s v="ESPC360-12718"/>
        <m/>
        <s v="ESPC360-14493" u="1"/>
        <s v="ESPC360-12176" u="1"/>
        <s v="ESPC360-12768" u="1"/>
        <s v="ESPC360-4941" u="1"/>
        <s v="ESPC360-12632" u="1"/>
        <s v="ESPC360-13131" u="1"/>
        <s v="ESPC360-13309" u="1"/>
        <s v="ESPC360-13363" u="1"/>
        <s v="ESPC360-13375" u="1"/>
        <s v="ESPC360-13377" u="1"/>
        <s v="ESPC360-13482" u="1"/>
        <s v="ESPC360-13540" u="1"/>
        <s v="ESPC360-13557" u="1"/>
        <s v="ESPC360-13803" u="1"/>
        <s v="ESPC360-13804" u="1"/>
        <s v="ESPC360-13805" u="1"/>
        <s v="ESPC360-13825" u="1"/>
        <s v="ESPC360-13831" u="1"/>
        <s v="ESPC360-13965" u="1"/>
        <s v="ESPC360-14082" u="1"/>
        <s v="ESPC360-14089" u="1"/>
        <s v="ESPC360-14097" u="1"/>
        <s v="ESPC360-14103" u="1"/>
        <s v="ESPC360-14106" u="1"/>
        <s v="ESPC360-14124" u="1"/>
        <s v="ESPC360-14158" u="1"/>
        <s v="ESPC360-14160" u="1"/>
        <s v="ESPC360-14172" u="1"/>
        <s v="ESPC360-14862" u="1"/>
        <s v="ESPC360-14863" u="1"/>
        <s v="ESPC360-14883" u="1"/>
        <s v="ESPC360-14884" u="1"/>
        <s v="ESPC360-15046" u="1"/>
        <s v="ESPC360-15069" u="1"/>
        <s v="ESPC360-15408" u="1"/>
        <s v="ESPC360-15447" u="1"/>
        <s v="ESPC360-15628" u="1"/>
        <s v="ESPC360-15697" u="1"/>
        <s v="ESPC360-15716" u="1"/>
        <s v="ESPC360-15961" u="1"/>
        <s v="ESPC360-5150" u="1"/>
        <s v="ESPC360-5701" u="1"/>
        <s v="ESPC360-6192" u="1"/>
        <s v="ESPC360-6934" u="1"/>
        <s v="ESPC360-7230" u="1"/>
        <s v="ESPC360-8113" u="1"/>
        <s v="ESPC360-11020" u="1"/>
        <s v="ESPC360-11527" u="1"/>
        <s v="ESPC360-11687" u="1"/>
        <s v="ESPC360-11832" u="1"/>
        <s v="ESPC360-12380" u="1"/>
        <s v="ESPC360-13013" u="1"/>
        <s v="ESPC360-13392" u="1"/>
        <s v="ESPC360-13531" u="1"/>
        <s v="ESPC360-13558" u="1"/>
        <s v="ESPC360-13787" u="1"/>
        <s v="ESPC360-13853" u="1"/>
        <s v="ESPC360-13890" u="1"/>
        <s v="ESPC360-14102" u="1"/>
        <s v="ESPC360-14147" u="1"/>
        <s v="ESPC360-14170" u="1"/>
        <s v="ESPC360-14171" u="1"/>
        <s v="ESPC360-14328" u="1"/>
        <s v="ESPC360-14346" u="1"/>
        <s v="ESPC360-14415" u="1"/>
        <s v="ESPC360-14434" u="1"/>
        <s v="ESPC360-14463" u="1"/>
        <s v="ESPC360-14464" u="1"/>
        <s v="ESPC360-14465" u="1"/>
        <s v="ESPC360-14466" u="1"/>
        <s v="ESPC360-14467" u="1"/>
        <s v="ESPC360-14482" u="1"/>
        <s v="ESPC360-14500" u="1"/>
        <s v="ESPC360-14503" u="1"/>
        <s v="ESPC360-14766" u="1"/>
        <s v="ESPC360-14795" u="1"/>
        <s v="ESPC360-14798" u="1"/>
        <s v="ESPC360-14816" u="1"/>
        <s v="ESPC360-14817" u="1"/>
        <s v="ESPC360-14864" u="1"/>
        <s v="ESPC360-14873" u="1"/>
        <s v="ESPC360-14874" u="1"/>
        <s v="ESPC360-14880" u="1"/>
        <s v="ESPC360-14885" u="1"/>
        <s v="ESPC360-14886" u="1"/>
        <s v="ESPC360-15019" u="1"/>
        <s v="ESPC360-15055" u="1"/>
        <s v="ESPC360-15081" u="1"/>
        <s v="ESPC360-15085" u="1"/>
        <s v="ESPC360-15087" u="1"/>
        <s v="ESPC360-15362" u="1"/>
        <s v="ESPC360-15407" u="1"/>
        <s v="ESPC360-15438" u="1"/>
        <s v="ESPC360-15440" u="1"/>
        <s v="ESPC360-15442" u="1"/>
        <s v="ESPC360-15445" u="1"/>
        <s v="ESPC360-15451" u="1"/>
        <s v="ESPC360-15452" u="1"/>
        <s v="ESPC360-15453" u="1"/>
        <s v="ESPC360-15455" u="1"/>
        <s v="ESPC360-15460" u="1"/>
        <s v="ESPC360-15464" u="1"/>
        <s v="ESPC360-15467" u="1"/>
        <s v="ESPC360-15488" u="1"/>
        <s v="ESPC360-15650" u="1"/>
        <s v="ESPC360-15652" u="1"/>
        <s v="ESPC360-15666" u="1"/>
        <s v="ESPC360-15679" u="1"/>
        <s v="ESPC360-15691" u="1"/>
        <s v="ESPC360-15692" u="1"/>
      </sharedItems>
    </cacheField>
    <cacheField name="Summary" numFmtId="0">
      <sharedItems containsBlank="1"/>
    </cacheField>
    <cacheField name="Persona asignada" numFmtId="0">
      <sharedItems containsBlank="1"/>
    </cacheField>
    <cacheField name="Prioridad" numFmtId="0">
      <sharedItems containsBlank="1"/>
    </cacheField>
    <cacheField name="Estado " numFmtId="0">
      <sharedItems containsBlank="1"/>
    </cacheField>
    <cacheField name="Actualizada" numFmtId="0">
      <sharedItems containsNonDate="0" containsDate="1" containsString="0" containsBlank="1" minDate="2025-02-11T08:22:23" maxDate="2025-04-22T08:40:44"/>
    </cacheField>
    <cacheField name="Fecha Vencimiento" numFmtId="0">
      <sharedItems containsBlank="1"/>
    </cacheField>
    <cacheField name="Creada" numFmtId="0">
      <sharedItems containsNonDate="0" containsDate="1" containsString="0" containsBlank="1" minDate="2024-09-02T11:22:02" maxDate="2025-03-24T15:51:34"/>
    </cacheField>
    <cacheField name="Fecha Fin Real " numFmtId="0">
      <sharedItems containsNonDate="0" containsDate="1" containsString="0" containsBlank="1" minDate="2025-01-07T00:00:00" maxDate="2025-04-23T00:00:00"/>
    </cacheField>
    <cacheField name="Fecha Inicio Real" numFmtId="0">
      <sharedItems containsDate="1" containsBlank="1" containsMixedTypes="1" minDate="2024-09-11T00:00:00" maxDate="2025-03-26T00:00:00"/>
    </cacheField>
    <cacheField name="Opción 2" numFmtId="0">
      <sharedItems containsBlank="1"/>
    </cacheField>
    <cacheField name="Dias" numFmtId="0">
      <sharedItems containsBlank="1"/>
    </cacheField>
    <cacheField name="Opción 3" numFmtId="0">
      <sharedItems containsBlank="1"/>
    </cacheField>
    <cacheField name="Días Resolucion" numFmtId="0">
      <sharedItems containsString="0" containsBlank="1" containsNumber="1" containsInteger="1" minValue="4" maxValue="133"/>
    </cacheField>
    <cacheField name="Mes bug creado" numFmtId="0">
      <sharedItems containsString="0" containsBlank="1" containsNumber="1" containsInteger="1" minValue="1" maxValue="12"/>
    </cacheField>
    <cacheField name="Mes creación" numFmtId="0">
      <sharedItems containsBlank="1"/>
    </cacheField>
    <cacheField name="Año creación" numFmtId="0">
      <sharedItems containsString="0" containsBlank="1" containsNumber="1" containsInteger="1" minValue="2024" maxValue="2025"/>
    </cacheField>
    <cacheField name="Fecha creación" numFmtId="0">
      <sharedItems containsBlank="1" count="14">
        <s v="marzo-2025"/>
        <s v="febrero-2025"/>
        <s v="noviembre-2024"/>
        <s v="enero-2025"/>
        <s v="diciembre-2024"/>
        <s v="septiembre-2024"/>
        <s v="octubre-2024"/>
        <m/>
        <s v="enero-2024" u="1"/>
        <s v="febrero-2024" u="1"/>
        <s v="marzo-2024" u="1"/>
        <s v="abril-2024" u="1"/>
        <s v="mayo-2024" u="1"/>
        <s v="agosto-2024" u="1"/>
      </sharedItems>
    </cacheField>
    <cacheField name="Mes bug resolucion" numFmtId="0">
      <sharedItems containsString="0" containsBlank="1" containsNumber="1" containsInteger="1" minValue="1" maxValue="4"/>
    </cacheField>
    <cacheField name="Mes resolución" numFmtId="0">
      <sharedItems containsBlank="1"/>
    </cacheField>
    <cacheField name="Año resolución" numFmtId="0">
      <sharedItems containsString="0" containsBlank="1" containsNumber="1" containsInteger="1" minValue="2025" maxValue="2025"/>
    </cacheField>
    <cacheField name="Fecha resolución" numFmtId="0">
      <sharedItems containsBlank="1" count="7">
        <s v="abril-2025"/>
        <s v="marzo-2025"/>
        <s v="febrero-2025"/>
        <s v="enero-2025"/>
        <m/>
        <e v="#VALUE!" u="1"/>
        <s v="REVISAR-19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38.708614814816" createdVersion="8" refreshedVersion="8" minRefreshableVersion="3" recordCount="172" xr:uid="{D12BA2AB-3EB8-49F8-AC0B-3DB36D08FC86}">
  <cacheSource type="worksheet">
    <worksheetSource ref="A1:Y1048576" sheet="Jira BUGS"/>
  </cacheSource>
  <cacheFields count="25">
    <cacheField name="Key" numFmtId="0">
      <sharedItems containsBlank="1"/>
    </cacheField>
    <cacheField name="Summary" numFmtId="0">
      <sharedItems containsBlank="1"/>
    </cacheField>
    <cacheField name="Persona asignada" numFmtId="0">
      <sharedItems containsBlank="1"/>
    </cacheField>
    <cacheField name="Prioridad" numFmtId="0">
      <sharedItems containsBlank="1"/>
    </cacheField>
    <cacheField name="Estado " numFmtId="0">
      <sharedItems containsBlank="1"/>
    </cacheField>
    <cacheField name="Actualizada" numFmtId="0">
      <sharedItems containsNonDate="0" containsDate="1" containsString="0" containsBlank="1" minDate="2025-02-11T08:22:23" maxDate="2025-10-02T10:39:59"/>
    </cacheField>
    <cacheField name="Fecha Vencimiento" numFmtId="0">
      <sharedItems containsBlank="1"/>
    </cacheField>
    <cacheField name="Creada" numFmtId="0">
      <sharedItems containsNonDate="0" containsDate="1" containsString="0" containsBlank="1" minDate="2024-09-02T11:22:02" maxDate="2025-09-15T16:18:32"/>
    </cacheField>
    <cacheField name="Fecha Fin Real " numFmtId="0">
      <sharedItems containsNonDate="0" containsDate="1" containsString="0" containsBlank="1" minDate="2025-01-07T00:00:00" maxDate="2025-10-03T00:00:00"/>
    </cacheField>
    <cacheField name="Fecha Inicio Real" numFmtId="0">
      <sharedItems containsDate="1" containsBlank="1" containsMixedTypes="1" minDate="2024-09-11T00:00:00" maxDate="2025-09-19T00:00:00"/>
    </cacheField>
    <cacheField name="Opción 2" numFmtId="0">
      <sharedItems containsBlank="1"/>
    </cacheField>
    <cacheField name="Dias" numFmtId="0">
      <sharedItems containsBlank="1"/>
    </cacheField>
    <cacheField name="Opción 3" numFmtId="0">
      <sharedItems containsBlank="1"/>
    </cacheField>
    <cacheField name="Días Resolucion" numFmtId="0">
      <sharedItems containsBlank="1"/>
    </cacheField>
    <cacheField name="Mes bug creado" numFmtId="0">
      <sharedItems containsString="0" containsBlank="1" containsNumber="1" containsInteger="1" minValue="1" maxValue="12"/>
    </cacheField>
    <cacheField name="Mes creación" numFmtId="0">
      <sharedItems containsBlank="1"/>
    </cacheField>
    <cacheField name="Año creación" numFmtId="0">
      <sharedItems containsString="0" containsBlank="1" containsNumber="1" containsInteger="1" minValue="2024" maxValue="2025"/>
    </cacheField>
    <cacheField name="Fecha creación" numFmtId="0">
      <sharedItems containsBlank="1"/>
    </cacheField>
    <cacheField name="Mes bug resolucion" numFmtId="0">
      <sharedItems containsString="0" containsBlank="1" containsNumber="1" containsInteger="1" minValue="1" maxValue="10"/>
    </cacheField>
    <cacheField name="Mes resolución" numFmtId="0">
      <sharedItems containsBlank="1"/>
    </cacheField>
    <cacheField name="Año resolución" numFmtId="0">
      <sharedItems containsString="0" containsBlank="1" containsNumber="1" containsInteger="1" minValue="2025" maxValue="2025"/>
    </cacheField>
    <cacheField name="Fecha resolución" numFmtId="0">
      <sharedItems containsBlank="1"/>
    </cacheField>
    <cacheField name="Dias abiertos" numFmtId="0">
      <sharedItems containsString="0" containsBlank="1" containsNumber="1" containsInteger="1" minValue="4" maxValue="133"/>
    </cacheField>
    <cacheField name="SLA" numFmtId="0">
      <sharedItems containsString="0" containsBlank="1" containsNumber="1" containsInteger="1" minValue="7" maxValue="21" count="4">
        <n v="21"/>
        <m/>
        <n v="7" u="1"/>
        <n v="14" u="1"/>
      </sharedItems>
    </cacheField>
    <cacheField name="Cumple SL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38.708615856478" createdVersion="8" refreshedVersion="8" minRefreshableVersion="3" recordCount="172" xr:uid="{40052990-1E90-4FD9-BACB-441898D64971}">
  <cacheSource type="worksheet">
    <worksheetSource ref="A1:W1048576" sheet="Jira BUGS"/>
  </cacheSource>
  <cacheFields count="23">
    <cacheField name="Key" numFmtId="0">
      <sharedItems containsBlank="1"/>
    </cacheField>
    <cacheField name="Summary" numFmtId="0">
      <sharedItems containsBlank="1"/>
    </cacheField>
    <cacheField name="Persona asignada" numFmtId="0">
      <sharedItems containsBlank="1"/>
    </cacheField>
    <cacheField name="Prioridad" numFmtId="0">
      <sharedItems containsBlank="1"/>
    </cacheField>
    <cacheField name="Estado " numFmtId="0">
      <sharedItems containsBlank="1"/>
    </cacheField>
    <cacheField name="Actualizada" numFmtId="0">
      <sharedItems containsNonDate="0" containsDate="1" containsString="0" containsBlank="1" minDate="2025-02-11T08:22:23" maxDate="2025-10-02T10:39:59"/>
    </cacheField>
    <cacheField name="Fecha Vencimiento" numFmtId="0">
      <sharedItems containsBlank="1"/>
    </cacheField>
    <cacheField name="Creada" numFmtId="0">
      <sharedItems containsNonDate="0" containsDate="1" containsString="0" containsBlank="1" minDate="2024-09-02T11:22:02" maxDate="2025-09-15T16:18:32"/>
    </cacheField>
    <cacheField name="Fecha Fin Real " numFmtId="0">
      <sharedItems containsNonDate="0" containsDate="1" containsString="0" containsBlank="1" minDate="2025-01-07T00:00:00" maxDate="2025-10-03T00:00:00"/>
    </cacheField>
    <cacheField name="Fecha Inicio Real" numFmtId="0">
      <sharedItems containsDate="1" containsBlank="1" containsMixedTypes="1" minDate="2024-09-11T00:00:00" maxDate="2025-09-19T00:00:00"/>
    </cacheField>
    <cacheField name="Opción 2" numFmtId="0">
      <sharedItems containsBlank="1"/>
    </cacheField>
    <cacheField name="Dias" numFmtId="0">
      <sharedItems containsBlank="1"/>
    </cacheField>
    <cacheField name="Opción 3" numFmtId="0">
      <sharedItems containsBlank="1"/>
    </cacheField>
    <cacheField name="Días Resolucion" numFmtId="0">
      <sharedItems containsBlank="1"/>
    </cacheField>
    <cacheField name="Mes bug creado" numFmtId="0">
      <sharedItems containsString="0" containsBlank="1" containsNumber="1" containsInteger="1" minValue="1" maxValue="12"/>
    </cacheField>
    <cacheField name="Mes creación" numFmtId="0">
      <sharedItems containsBlank="1"/>
    </cacheField>
    <cacheField name="Año creación" numFmtId="0">
      <sharedItems containsString="0" containsBlank="1" containsNumber="1" containsInteger="1" minValue="2024" maxValue="2025"/>
    </cacheField>
    <cacheField name="Fecha creación" numFmtId="0">
      <sharedItems containsBlank="1"/>
    </cacheField>
    <cacheField name="Mes bug resolucion" numFmtId="0">
      <sharedItems containsString="0" containsBlank="1" containsNumber="1" containsInteger="1" minValue="1" maxValue="10"/>
    </cacheField>
    <cacheField name="Mes resolución" numFmtId="0">
      <sharedItems containsBlank="1"/>
    </cacheField>
    <cacheField name="Año resolución" numFmtId="0">
      <sharedItems containsString="0" containsBlank="1" containsNumber="1" containsInteger="1" minValue="2025" maxValue="2025"/>
    </cacheField>
    <cacheField name="Fecha resolución" numFmtId="0">
      <sharedItems containsBlank="1"/>
    </cacheField>
    <cacheField name="Dias abiertos" numFmtId="0">
      <sharedItems containsString="0" containsBlank="1" containsNumber="1" containsInteger="1" minValue="4" maxValue="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x v="0"/>
    <s v="[CM] Sprint 198 - [Portal Deudor] Batch para cargar las cestas/agrupaciones asociadas a los contratos"/>
    <s v="JOSE FELIZ HERNANDEZ"/>
    <s v="Medium"/>
    <s v="CERRADO ITSM"/>
    <d v="2025-04-22T08:40:44"/>
    <s v=""/>
    <d v="2025-03-24T15:51:34"/>
    <d v="2025-04-22T00:00:00"/>
    <s v=""/>
    <s v=""/>
    <s v="28"/>
    <s v="OPERACIONAL"/>
    <n v="29"/>
    <n v="3"/>
    <s v="marzo"/>
    <n v="2025"/>
    <x v="0"/>
    <n v="4"/>
    <s v="abril"/>
    <n v="2025"/>
    <x v="0"/>
  </r>
  <r>
    <x v="1"/>
    <s v="[CM] Sprint 196 - [SmartPricing] Creación proceso Batch actualización"/>
    <s v="CARLOS Camacho Menchero"/>
    <s v="Medium"/>
    <s v="CERRADO ITSM"/>
    <d v="2025-04-11T08:44:02"/>
    <s v=""/>
    <d v="2025-02-26T09:00:37"/>
    <d v="2025-04-11T00:00:00"/>
    <d v="2025-02-26T00:00:00"/>
    <s v=""/>
    <s v="43"/>
    <s v="OPERACIONAL"/>
    <n v="44"/>
    <n v="2"/>
    <s v="febrero"/>
    <n v="2025"/>
    <x v="1"/>
    <n v="4"/>
    <s v="abril"/>
    <n v="2025"/>
    <x v="0"/>
  </r>
  <r>
    <x v="2"/>
    <s v="C360_Operacional_Sprint 197"/>
    <s v="ERNESTO Gimeno Valiente"/>
    <s v="Medium"/>
    <s v="CERRADO ITSM"/>
    <d v="2025-04-09T12:33:50"/>
    <s v=""/>
    <d v="2025-03-06T13:08:32"/>
    <d v="2025-04-09T00:00:00"/>
    <d v="2025-03-25T00:00:00"/>
    <s v="C360_Operacional_Sprint 197"/>
    <s v="33"/>
    <s v="OPERACIONAL"/>
    <n v="34"/>
    <n v="3"/>
    <s v="marzo"/>
    <n v="2025"/>
    <x v="0"/>
    <n v="4"/>
    <s v="abril"/>
    <n v="2025"/>
    <x v="0"/>
  </r>
  <r>
    <x v="3"/>
    <s v="C360_Operacional_Fix_Recarga_TasasDemora_préstamos"/>
    <s v="ERNESTO Gimeno Valiente"/>
    <s v="Medium"/>
    <s v="CERRADO ITSM"/>
    <d v="2025-04-03T11:26:51"/>
    <s v=""/>
    <d v="2025-03-18T13:56:45"/>
    <d v="2025-04-03T00:00:00"/>
    <d v="2025-03-21T00:00:00"/>
    <s v=""/>
    <s v="15"/>
    <s v="OPERACIONAL"/>
    <n v="16"/>
    <n v="3"/>
    <s v="marzo"/>
    <n v="2025"/>
    <x v="0"/>
    <n v="4"/>
    <s v="abril"/>
    <n v="2025"/>
    <x v="0"/>
  </r>
  <r>
    <x v="4"/>
    <s v="[CM] ADN360_Sprint 196 Nuevo Job  update-contratos-ico"/>
    <s v="CARLOS Camacho Menchero"/>
    <s v="Medium"/>
    <s v="CERRADO ITSM"/>
    <d v="2025-03-31T18:28:21"/>
    <s v=""/>
    <d v="2025-03-04T13:02:23"/>
    <d v="2025-03-31T00:00:00"/>
    <d v="2025-03-04T00:00:00"/>
    <s v=""/>
    <s v="26"/>
    <s v="OPERACIONAL"/>
    <n v="27"/>
    <n v="3"/>
    <s v="marzo"/>
    <n v="2025"/>
    <x v="0"/>
    <n v="3"/>
    <s v="marzo"/>
    <n v="2025"/>
    <x v="1"/>
  </r>
  <r>
    <x v="5"/>
    <s v="[CM] ADN360_Sprint 195 Nuevo Job update-contratos-titulizados"/>
    <s v="CARLOS Camacho Menchero"/>
    <s v="Medium"/>
    <s v="CERRADO ITSM"/>
    <d v="2025-03-24T12:11:59"/>
    <s v=""/>
    <d v="2025-02-25T11:09:59"/>
    <d v="2025-03-24T00:00:00"/>
    <d v="2025-02-25T00:00:00"/>
    <s v=""/>
    <s v="26"/>
    <s v="OPERACIONAL"/>
    <n v="27"/>
    <n v="2"/>
    <s v="febrero"/>
    <n v="2025"/>
    <x v="1"/>
    <n v="3"/>
    <s v="marzo"/>
    <n v="2025"/>
    <x v="1"/>
  </r>
  <r>
    <x v="6"/>
    <s v="C360_Operacional_FIX_Tarjetas"/>
    <s v="ERNESTO Gimeno Valiente"/>
    <s v="Medium"/>
    <s v="CERRADO ITSM"/>
    <d v="2025-03-19T14:37:12"/>
    <s v=""/>
    <d v="2025-03-14T11:28:29"/>
    <d v="2025-03-19T00:00:00"/>
    <d v="2025-03-14T00:00:00"/>
    <s v=""/>
    <s v="4"/>
    <s v="OPERACIONAL"/>
    <n v="5"/>
    <n v="3"/>
    <s v="marzo"/>
    <n v="2025"/>
    <x v="0"/>
    <n v="3"/>
    <s v="marzo"/>
    <n v="2025"/>
    <x v="1"/>
  </r>
  <r>
    <x v="7"/>
    <s v="C360_Operacional_Sprint 196"/>
    <s v="ERNESTO Gimeno Valiente"/>
    <s v="Medium"/>
    <s v="CERRADO ITSM"/>
    <d v="2025-03-19T14:34:03"/>
    <s v=""/>
    <d v="2025-02-20T14:19:33"/>
    <d v="2025-03-19T00:00:00"/>
    <d v="2025-03-07T00:00:00"/>
    <s v="C360_Operacional_Sprint 196"/>
    <s v="26"/>
    <s v="OPERACIONAL"/>
    <n v="27"/>
    <n v="2"/>
    <s v="febrero"/>
    <n v="2025"/>
    <x v="1"/>
    <n v="3"/>
    <s v="marzo"/>
    <n v="2025"/>
    <x v="1"/>
  </r>
  <r>
    <x v="8"/>
    <s v="C360_Operacional_HotFix_Front"/>
    <s v="ERNESTO Gimeno Valiente"/>
    <s v="Medium"/>
    <s v="CERRADO ITSM"/>
    <d v="2025-03-12T00:34:15"/>
    <s v=""/>
    <d v="2025-03-07T10:13:30"/>
    <d v="2025-03-11T00:00:00"/>
    <d v="2025-03-07T00:00:00"/>
    <s v=""/>
    <s v="3"/>
    <s v="OPERACIONAL"/>
    <n v="4"/>
    <n v="3"/>
    <s v="marzo"/>
    <n v="2025"/>
    <x v="0"/>
    <n v="3"/>
    <s v="marzo"/>
    <n v="2025"/>
    <x v="1"/>
  </r>
  <r>
    <x v="9"/>
    <s v="[CM] Sprint 195 - Despliegue Databricks cdp360"/>
    <s v="CARLOS Camacho Menchero"/>
    <s v="Medium"/>
    <s v="CERRADO ITSM"/>
    <d v="2025-03-07T08:27:35"/>
    <s v=""/>
    <d v="2025-02-13T10:30:47"/>
    <d v="2025-03-07T00:00:00"/>
    <d v="2025-02-13T00:00:00"/>
    <s v=""/>
    <s v="21"/>
    <s v="OPERACIONAL"/>
    <n v="22"/>
    <n v="2"/>
    <s v="febrero"/>
    <n v="2025"/>
    <x v="1"/>
    <n v="3"/>
    <s v="marzo"/>
    <n v="2025"/>
    <x v="1"/>
  </r>
  <r>
    <x v="10"/>
    <s v="C360_Operacional_HotFix_Movimientos"/>
    <s v="ERNESTO Gimeno Valiente"/>
    <s v="Medium"/>
    <s v="CERRADO ITSM"/>
    <d v="2025-03-05T01:20:16"/>
    <s v=""/>
    <d v="2025-02-25T17:21:53"/>
    <d v="2025-03-05T00:00:00"/>
    <d v="2025-02-28T00:00:00"/>
    <s v=""/>
    <s v="6"/>
    <s v="OPERACIONAL"/>
    <n v="8"/>
    <n v="2"/>
    <s v="febrero"/>
    <n v="2025"/>
    <x v="1"/>
    <n v="3"/>
    <s v="marzo"/>
    <n v="2025"/>
    <x v="1"/>
  </r>
  <r>
    <x v="11"/>
    <s v="C360_Operacional_Sprint 195"/>
    <s v="ERNESTO Gimeno Valiente"/>
    <s v="Medium"/>
    <s v="CERRADO ITSM"/>
    <d v="2025-03-14T13:00:17"/>
    <s v=""/>
    <d v="2025-02-06T13:26:30"/>
    <d v="2025-03-05T00:00:00"/>
    <d v="2025-02-21T00:00:00"/>
    <s v="C360_Operacional_Sprint 195"/>
    <s v="25"/>
    <s v="OPERACIONAL"/>
    <n v="27"/>
    <n v="2"/>
    <s v="febrero"/>
    <n v="2025"/>
    <x v="1"/>
    <n v="3"/>
    <s v="marzo"/>
    <n v="2025"/>
    <x v="1"/>
  </r>
  <r>
    <x v="12"/>
    <s v="[CM] Sprint_194 Nuevo Job carga-divisas-precision"/>
    <s v="CARLOS Camacho Menchero"/>
    <s v="Medium"/>
    <s v="CERRADO ITSM"/>
    <d v="2025-03-03T16:28:09"/>
    <s v=""/>
    <d v="2025-02-04T16:19:04"/>
    <d v="2025-03-03T00:00:00"/>
    <d v="2025-02-10T00:00:00"/>
    <s v=""/>
    <s v="26"/>
    <s v="OPERACIONAL"/>
    <n v="27"/>
    <n v="2"/>
    <s v="febrero"/>
    <n v="2025"/>
    <x v="1"/>
    <n v="3"/>
    <s v="marzo"/>
    <n v="2025"/>
    <x v="1"/>
  </r>
  <r>
    <x v="13"/>
    <s v="[CM]- Databricks Movimientos Cuentas"/>
    <s v="CARLOS Camacho Menchero"/>
    <s v="Medium"/>
    <s v="CERRADO ITSM"/>
    <d v="2025-03-03T16:21:57"/>
    <s v=""/>
    <d v="2025-02-13T17:36:43"/>
    <d v="2025-03-03T00:00:00"/>
    <d v="2025-02-13T00:00:00"/>
    <s v=""/>
    <s v="17"/>
    <s v="OPERACIONAL"/>
    <n v="18"/>
    <n v="2"/>
    <s v="febrero"/>
    <n v="2025"/>
    <x v="1"/>
    <n v="3"/>
    <s v="marzo"/>
    <n v="2025"/>
    <x v="1"/>
  </r>
  <r>
    <x v="14"/>
    <s v="[CM] Sprint 190 - Santander GO"/>
    <s v="CARLOS Camacho Menchero"/>
    <s v="Medium"/>
    <s v="CERRADO ITSM"/>
    <d v="2025-02-28T12:26:41"/>
    <s v=""/>
    <d v="2024-11-29T09:35:24"/>
    <d v="2025-02-28T00:00:00"/>
    <d v="2024-11-29T00:00:00"/>
    <s v="C360_Operacional_Sprint 173"/>
    <s v="90"/>
    <s v="OPERACIONAL"/>
    <n v="91"/>
    <n v="11"/>
    <s v="noviembre"/>
    <n v="2024"/>
    <x v="2"/>
    <n v="2"/>
    <s v="febrero"/>
    <n v="2025"/>
    <x v="2"/>
  </r>
  <r>
    <x v="15"/>
    <s v="Despliegue Batch Databricks CDP360"/>
    <s v="ERNESTO Gimeno Valiente"/>
    <s v="Medium"/>
    <s v="CERRADO ITSM"/>
    <d v="2025-02-24T17:36:39"/>
    <s v=""/>
    <d v="2025-02-10T10:38:58"/>
    <d v="2025-02-24T00:00:00"/>
    <d v="2025-02-10T00:00:00"/>
    <s v="Despliegue Batch Databricks CDP360"/>
    <s v="13"/>
    <s v="OPERACIONAL"/>
    <n v="14"/>
    <n v="2"/>
    <s v="febrero"/>
    <n v="2025"/>
    <x v="1"/>
    <n v="2"/>
    <s v="febrero"/>
    <n v="2025"/>
    <x v="2"/>
  </r>
  <r>
    <x v="16"/>
    <s v="C360_Operacional_Sprint 194"/>
    <s v="ERNESTO Gimeno Valiente"/>
    <s v="Medium"/>
    <s v="CERRADO ITSM"/>
    <d v="2025-02-20T09:11:57"/>
    <s v=""/>
    <d v="2025-01-23T13:30:03"/>
    <d v="2025-02-20T00:00:00"/>
    <d v="2025-02-06T00:00:00"/>
    <s v="C360_Operacional_Sprint 194"/>
    <s v="27"/>
    <s v="OPERACIONAL"/>
    <n v="28"/>
    <n v="1"/>
    <s v="enero"/>
    <n v="2025"/>
    <x v="3"/>
    <n v="2"/>
    <s v="febrero"/>
    <n v="2025"/>
    <x v="2"/>
  </r>
  <r>
    <x v="17"/>
    <s v="[CM] Desplanificación PADN108D y IADN108D"/>
    <s v="Arturo Ruiz Simon"/>
    <s v="Medium"/>
    <s v="CERRADO ITSM"/>
    <d v="2025-02-19T12:46:41"/>
    <s v=""/>
    <d v="2025-02-06T13:12:09"/>
    <d v="2025-02-19T00:00:00"/>
    <d v="2025-02-13T00:00:00"/>
    <s v=""/>
    <s v="12"/>
    <s v="OPERACIONAL"/>
    <n v="13"/>
    <n v="2"/>
    <s v="febrero"/>
    <n v="2025"/>
    <x v="1"/>
    <n v="2"/>
    <s v="febrero"/>
    <n v="2025"/>
    <x v="2"/>
  </r>
  <r>
    <x v="18"/>
    <s v="[CM] Sprint 193 - Databricks Bloque 4"/>
    <s v="CARLOS Camacho Menchero"/>
    <s v="Medium"/>
    <s v="CERRADO ITSM"/>
    <d v="2025-02-18T16:59:16"/>
    <s v=""/>
    <d v="2025-01-16T09:16:42"/>
    <d v="2025-02-18T00:00:00"/>
    <d v="2025-01-16T00:00:00"/>
    <s v=""/>
    <s v="32"/>
    <s v="OPERACIONAL"/>
    <n v="33"/>
    <n v="1"/>
    <s v="enero"/>
    <n v="2025"/>
    <x v="3"/>
    <n v="2"/>
    <s v="febrero"/>
    <n v="2025"/>
    <x v="2"/>
  </r>
  <r>
    <x v="19"/>
    <s v="[CM] Modificacion horario jobs ADN360"/>
    <s v=""/>
    <s v="Medium"/>
    <s v="CERRADO ITSM"/>
    <d v="2025-02-13T07:16:21"/>
    <s v=""/>
    <d v="2024-12-04T13:42:39"/>
    <d v="2025-02-13T00:00:00"/>
    <d v="2024-12-30T00:00:00"/>
    <s v=""/>
    <s v="69"/>
    <s v="OPERACIONAL"/>
    <n v="71"/>
    <n v="12"/>
    <s v="diciembre"/>
    <n v="2024"/>
    <x v="4"/>
    <n v="2"/>
    <s v="febrero"/>
    <n v="2025"/>
    <x v="2"/>
  </r>
  <r>
    <x v="20"/>
    <s v="C360_Operacional_Sprint 193"/>
    <s v="ERNESTO Gimeno Valiente"/>
    <s v="Medium"/>
    <s v="CERRADO ITSM"/>
    <d v="2025-02-11T08:22:29"/>
    <s v=""/>
    <d v="2025-01-09T16:08:14"/>
    <d v="2025-02-05T00:00:00"/>
    <d v="2025-01-23T00:00:00"/>
    <s v="C360_Operacional_Sprint 193"/>
    <s v="26"/>
    <s v="OPERACIONAL"/>
    <n v="27"/>
    <n v="1"/>
    <s v="enero"/>
    <n v="2025"/>
    <x v="3"/>
    <n v="2"/>
    <s v="febrero"/>
    <n v="2025"/>
    <x v="2"/>
  </r>
  <r>
    <x v="21"/>
    <s v="Sprint 189 - Databricks - Despliegue y activación con test-script de componentes batch (4/4)"/>
    <s v="JOSE FELIZ HERNANDEZ"/>
    <s v="Medium"/>
    <s v="CERRADO ITSM"/>
    <d v="2025-02-11T08:22:31"/>
    <s v=""/>
    <d v="2025-01-13T10:23:30"/>
    <d v="2025-01-29T00:00:00"/>
    <d v="2025-01-13T00:00:00"/>
    <s v="Sprint 189 - Databricks - Despliegue y activación con test-script de componentes batch (4/4)"/>
    <s v="15"/>
    <s v="OPERACIONAL"/>
    <n v="16"/>
    <n v="1"/>
    <s v="enero"/>
    <n v="2025"/>
    <x v="3"/>
    <n v="1"/>
    <s v="enero"/>
    <n v="2025"/>
    <x v="3"/>
  </r>
  <r>
    <x v="22"/>
    <s v="C360_Operacional_Sprint 192"/>
    <s v="ERNESTO Gimeno Valiente"/>
    <s v="Medium"/>
    <s v="CERRADO ITSM"/>
    <d v="2025-02-11T08:22:28"/>
    <s v=""/>
    <d v="2024-12-19T13:58:31"/>
    <d v="2025-01-22T00:00:00"/>
    <d v="2025-01-13T00:00:00"/>
    <s v="C360_Operacional_Sprint 192"/>
    <s v="33"/>
    <s v="OPERACIONAL"/>
    <n v="34"/>
    <n v="12"/>
    <s v="diciembre"/>
    <n v="2024"/>
    <x v="4"/>
    <n v="1"/>
    <s v="enero"/>
    <n v="2025"/>
    <x v="3"/>
  </r>
  <r>
    <x v="23"/>
    <s v="C360_Operacional_Sprint 183 - Movimientos Cuentas AVRO"/>
    <s v="ERNESTO Gimeno Valiente"/>
    <s v="Medium"/>
    <s v="CERRADO ITSM"/>
    <d v="2025-02-11T08:22:23"/>
    <s v=""/>
    <d v="2024-09-17T09:31:13"/>
    <d v="2025-01-17T00:00:00"/>
    <d v="2024-09-17T00:00:00"/>
    <s v="C360_Operacional_Sprint 184"/>
    <s v="121"/>
    <s v="OPERACIONAL"/>
    <n v="122"/>
    <n v="9"/>
    <s v="septiembre"/>
    <n v="2024"/>
    <x v="5"/>
    <n v="1"/>
    <s v="enero"/>
    <n v="2025"/>
    <x v="3"/>
  </r>
  <r>
    <x v="24"/>
    <s v="C360_Operacional_Sprint 191"/>
    <s v="ERNESTO Gimeno Valiente"/>
    <s v="Medium"/>
    <s v="CERRADO ITSM"/>
    <d v="2025-02-11T08:22:32"/>
    <s v=""/>
    <d v="2024-12-05T16:22:05"/>
    <d v="2025-01-17T00:00:00"/>
    <d v="2024-12-20T00:00:00"/>
    <s v="C360_Operacional_Sprint 191"/>
    <s v="42"/>
    <s v="OPERACIONAL"/>
    <n v="43"/>
    <n v="12"/>
    <s v="diciembre"/>
    <n v="2024"/>
    <x v="4"/>
    <n v="1"/>
    <s v="enero"/>
    <n v="2025"/>
    <x v="3"/>
  </r>
  <r>
    <x v="25"/>
    <s v="C360_Operacional_Sprint 190"/>
    <s v="ERNESTO Gimeno Valiente"/>
    <s v="Medium"/>
    <s v="CERRADO ITSM"/>
    <d v="2025-02-14T10:21:04"/>
    <s v=""/>
    <d v="2024-11-21T13:49:44"/>
    <d v="2025-01-17T00:00:00"/>
    <d v="2024-12-10T00:00:00"/>
    <s v="C360_Operacional_Sprint 190"/>
    <s v="56"/>
    <s v="OPERACIONAL"/>
    <n v="57"/>
    <n v="11"/>
    <s v="noviembre"/>
    <n v="2024"/>
    <x v="2"/>
    <n v="1"/>
    <s v="enero"/>
    <n v="2025"/>
    <x v="3"/>
  </r>
  <r>
    <x v="26"/>
    <s v="Sprint 189 - Databricks - Despliegue y activación con test-script de componentes batch (3/4)"/>
    <s v="ERNESTO Gimeno Valiente"/>
    <s v="Medium"/>
    <s v="CERRADO ITSM"/>
    <d v="2025-02-11T08:22:27"/>
    <s v=""/>
    <d v="2024-11-14T16:50:24"/>
    <d v="2025-01-17T00:00:00"/>
    <d v="2025-01-09T00:00:00"/>
    <s v="Sprint 189 - Databricks - Despliegue y activación con test-script de componentes batch (3/4)"/>
    <s v="63"/>
    <s v="OPERACIONAL"/>
    <n v="64"/>
    <n v="11"/>
    <s v="noviembre"/>
    <n v="2024"/>
    <x v="2"/>
    <n v="1"/>
    <s v="enero"/>
    <n v="2025"/>
    <x v="3"/>
  </r>
  <r>
    <x v="27"/>
    <s v="[CM] Sprint 183 - update-contratos-planeta-seguros"/>
    <s v="GONZALO GARCIA MORENO"/>
    <s v="Medium"/>
    <s v="CERRADO ITSM"/>
    <d v="2025-02-12T08:42:03"/>
    <s v=""/>
    <d v="2024-09-02T11:22:02"/>
    <d v="2025-01-13T00:00:00"/>
    <d v="2024-09-11T00:00:00"/>
    <s v="[CM] Sprint 183 - update-contratos-planeta-seguros"/>
    <s v="132"/>
    <s v="OPERACIONAL"/>
    <n v="133"/>
    <n v="9"/>
    <s v="septiembre"/>
    <n v="2024"/>
    <x v="5"/>
    <n v="1"/>
    <s v="enero"/>
    <n v="2025"/>
    <x v="3"/>
  </r>
  <r>
    <x v="28"/>
    <s v="[CM ] Sprint 187 - categorizacion movimientos cuentas ATLAS (gs) y OnPremise"/>
    <s v=""/>
    <s v="Medium"/>
    <s v="CERRADO ITSM"/>
    <d v="2025-02-11T17:22:39"/>
    <s v=""/>
    <d v="2024-10-25T11:43:59"/>
    <d v="2025-01-07T00:00:00"/>
    <s v=""/>
    <s v=""/>
    <s v="73"/>
    <s v="OPERACIONAL"/>
    <n v="74"/>
    <n v="10"/>
    <s v="octubre"/>
    <n v="2024"/>
    <x v="6"/>
    <n v="1"/>
    <s v="enero"/>
    <n v="2025"/>
    <x v="3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  <r>
    <x v="29"/>
    <m/>
    <m/>
    <m/>
    <m/>
    <m/>
    <m/>
    <m/>
    <m/>
    <m/>
    <m/>
    <m/>
    <m/>
    <m/>
    <m/>
    <m/>
    <m/>
    <x v="7"/>
    <m/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s v="ESPC360-20658"/>
    <s v="C360_Operacional_Sprint 210"/>
    <s v="ERNESTO Gimeno Valiente"/>
    <s v="Medium"/>
    <s v="CERRADO ITSM"/>
    <d v="2025-10-02T10:39:59"/>
    <s v=""/>
    <d v="2025-09-04T12:36:11"/>
    <d v="2025-10-02T00:00:00"/>
    <d v="2025-09-18T00:00:00"/>
    <s v="C360_Operacional_Sprint 210"/>
    <s v="27"/>
    <s v="OPERACIONAL"/>
    <s v="Resolved"/>
    <n v="9"/>
    <s v="septiembre"/>
    <n v="2025"/>
    <s v="septiembre-2025"/>
    <n v="10"/>
    <s v="octubre"/>
    <n v="2025"/>
    <s v="octubre-2025"/>
    <n v="28"/>
    <x v="0"/>
    <s v="NO CUMPLE"/>
  </r>
  <r>
    <s v="ESPC360-20902"/>
    <s v="C360_Operacional_HotFix_Valores"/>
    <s v="ERNESTO Gimeno Valiente"/>
    <s v="Medium"/>
    <s v="CERRADO ITSM"/>
    <d v="2025-09-26T11:36:49"/>
    <s v=""/>
    <d v="2025-09-15T16:18:32"/>
    <d v="2025-09-26T00:00:00"/>
    <d v="2025-09-17T00:00:00"/>
    <s v=""/>
    <s v="10"/>
    <s v="OPERACIONAL"/>
    <s v="Resolved"/>
    <n v="9"/>
    <s v="septiembre"/>
    <n v="2025"/>
    <s v="septiembre-2025"/>
    <n v="9"/>
    <s v="septiembre"/>
    <n v="2025"/>
    <s v="septiembre-2025"/>
    <n v="11"/>
    <x v="0"/>
    <s v="NO CUMPLE"/>
  </r>
  <r>
    <s v="ESPC360-20479"/>
    <s v="C360_Operacional_Sprint 209"/>
    <s v="ERNESTO Gimeno Valiente"/>
    <s v="Medium"/>
    <s v="CERRADO ITSM"/>
    <d v="2025-09-26T11:36:13"/>
    <s v=""/>
    <d v="2025-08-25T09:30:59"/>
    <d v="2025-09-26T00:00:00"/>
    <d v="2025-09-12T00:00:00"/>
    <s v="C360_Operacional_Sprint 209"/>
    <s v="31"/>
    <s v="OPERACIONAL"/>
    <s v="Resolved"/>
    <n v="8"/>
    <s v="agosto"/>
    <n v="2025"/>
    <s v="agosto-2025"/>
    <n v="9"/>
    <s v="septiembre"/>
    <n v="2025"/>
    <s v="septiembre-2025"/>
    <n v="32"/>
    <x v="0"/>
    <s v="NO CUMPLE"/>
  </r>
  <r>
    <s v="ESPC360-20508"/>
    <s v="[CM] Modificación incrementales hismo"/>
    <s v="GONZALO GARCIA MORENO"/>
    <s v="Medium"/>
    <s v="CERRADO ITSM"/>
    <d v="2025-09-24T15:46:19"/>
    <s v=""/>
    <d v="2025-08-26T10:05:10"/>
    <d v="2025-09-24T00:00:00"/>
    <d v="2025-09-01T00:00:00"/>
    <s v=""/>
    <s v="28"/>
    <s v="OPERACIONAL"/>
    <s v="Resolved"/>
    <n v="8"/>
    <s v="agosto"/>
    <n v="2025"/>
    <s v="agosto-2025"/>
    <n v="9"/>
    <s v="septiembre"/>
    <n v="2025"/>
    <s v="septiembre-2025"/>
    <n v="29"/>
    <x v="0"/>
    <s v="NO CUMPLE"/>
  </r>
  <r>
    <s v="ESPC360-19953"/>
    <s v="[CM] Modificación ingestas previas update-catalogo-productos y desplanificación jobs cloudera"/>
    <s v="BORJA CORTIJO LAJARA"/>
    <s v="Medium"/>
    <s v="CERRADO ITSM"/>
    <d v="2025-09-04T12:27:42"/>
    <s v=""/>
    <d v="2025-07-24T12:05:39"/>
    <d v="2025-09-04T00:00:00"/>
    <d v="2025-07-24T00:00:00"/>
    <s v=""/>
    <s v="41"/>
    <s v="OPERACIONAL"/>
    <s v="Resolved"/>
    <n v="7"/>
    <s v="julio"/>
    <n v="2025"/>
    <s v="julio-2025"/>
    <n v="9"/>
    <s v="septiembre"/>
    <n v="2025"/>
    <s v="septiembre-2025"/>
    <n v="42"/>
    <x v="0"/>
    <s v="NO CUMPLE"/>
  </r>
  <r>
    <s v="ESPC360-20269"/>
    <s v="C360_Operacional_Sprint 208"/>
    <s v="ERNESTO Gimeno Valiente"/>
    <s v="Medium"/>
    <s v="CERRADO ITSM"/>
    <d v="2025-09-03T01:13:08"/>
    <s v=""/>
    <d v="2025-08-07T14:02:42"/>
    <d v="2025-09-02T00:00:00"/>
    <d v="2025-08-28T00:00:00"/>
    <s v="C360_Operacional_Sprint 208"/>
    <s v="25"/>
    <s v="OPERACIONAL"/>
    <s v="Resolved"/>
    <n v="8"/>
    <s v="agosto"/>
    <n v="2025"/>
    <s v="agosto-2025"/>
    <n v="9"/>
    <s v="septiembre"/>
    <n v="2025"/>
    <s v="septiembre-2025"/>
    <n v="26"/>
    <x v="0"/>
    <s v="NO CUMPLE"/>
  </r>
  <r>
    <s v="ESPC360-19956"/>
    <s v="C360_Operacional_Sprint 207"/>
    <s v="ERNESTO Gimeno Valiente"/>
    <s v="Medium"/>
    <s v="CERRADO ITSM"/>
    <d v="2025-08-20T23:55:12"/>
    <s v=""/>
    <d v="2025-07-24T13:18:36"/>
    <d v="2025-08-20T00:00:00"/>
    <d v="2025-08-08T00:00:00"/>
    <s v="C360_Operacional_Sprint 207"/>
    <s v="26"/>
    <s v="OPERACIONAL"/>
    <s v="Resolved"/>
    <n v="7"/>
    <s v="julio"/>
    <n v="2025"/>
    <s v="julio-2025"/>
    <n v="8"/>
    <s v="agosto"/>
    <n v="2025"/>
    <s v="agosto-2025"/>
    <n v="27"/>
    <x v="0"/>
    <s v="NO CUMPLE"/>
  </r>
  <r>
    <s v="ESPC360-20264"/>
    <s v="C360_Operacional_Sprint 207 - Exprés"/>
    <s v="ERNESTO Gimeno Valiente"/>
    <s v="Medium"/>
    <s v="CERRADO ITSM"/>
    <d v="2025-08-13T14:52:15"/>
    <s v=""/>
    <d v="2025-08-07T13:54:27"/>
    <d v="2025-08-13T00:00:00"/>
    <d v="2025-08-07T00:00:00"/>
    <s v="C360_Operacional_Sprint 207 - Exprés"/>
    <s v="5"/>
    <s v="OPERACIONAL"/>
    <s v="Resolved"/>
    <n v="8"/>
    <s v="agosto"/>
    <n v="2025"/>
    <s v="agosto-2025"/>
    <n v="8"/>
    <s v="agosto"/>
    <n v="2025"/>
    <s v="agosto-2025"/>
    <n v="6"/>
    <x v="0"/>
    <s v="NO CUMPLE"/>
  </r>
  <r>
    <s v="ESPC360-19693"/>
    <s v="C360_Operacional_Sprint 206"/>
    <s v=""/>
    <s v="Medium"/>
    <s v="CERRADO ITSM"/>
    <d v="2025-09-26T12:05:39"/>
    <s v=""/>
    <d v="2025-07-10T12:29:23"/>
    <d v="2025-08-06T00:00:00"/>
    <d v="2025-07-31T00:00:00"/>
    <s v="C360_Operacional_Sprint 206"/>
    <s v="26"/>
    <s v="OPERACIONAL"/>
    <s v="Resolved"/>
    <n v="7"/>
    <s v="julio"/>
    <n v="2025"/>
    <s v="julio-2025"/>
    <n v="8"/>
    <s v="agosto"/>
    <n v="2025"/>
    <s v="agosto-2025"/>
    <n v="27"/>
    <x v="0"/>
    <s v="NO CUMPLE"/>
  </r>
  <r>
    <s v="ESPC360-19944"/>
    <s v="C360_Operacional_Sprint 206 - Exprés - Customer-position"/>
    <s v="ERNESTO Gimeno Valiente"/>
    <s v="Medium"/>
    <s v="CERRADO ITSM"/>
    <d v="2025-09-26T12:05:39"/>
    <s v=""/>
    <d v="2025-07-24T09:02:28"/>
    <d v="2025-07-31T00:00:00"/>
    <d v="2025-07-24T00:00:00"/>
    <s v="C360_Operacional_Sprint 206"/>
    <s v="6"/>
    <s v="OPERACIONAL"/>
    <s v="Resolved"/>
    <n v="7"/>
    <s v="julio"/>
    <n v="2025"/>
    <s v="julio-2025"/>
    <n v="7"/>
    <s v="julio"/>
    <n v="2025"/>
    <s v="julio-2025"/>
    <n v="7"/>
    <x v="0"/>
    <s v="NO CUMPLE"/>
  </r>
  <r>
    <s v="ESPC360-19826"/>
    <s v="C360_Operacional_Sprint 206 - Exprés"/>
    <s v="ERNESTO Gimeno Valiente"/>
    <s v="Medium"/>
    <s v="CERRADO ITSM"/>
    <d v="2025-09-26T12:05:39"/>
    <s v=""/>
    <d v="2025-07-17T08:45:08"/>
    <d v="2025-07-31T00:00:00"/>
    <d v="2025-07-23T00:00:00"/>
    <s v="C360_Operacional_Sprint 206"/>
    <s v="13"/>
    <s v="OPERACIONAL"/>
    <s v="Resolved"/>
    <n v="7"/>
    <s v="julio"/>
    <n v="2025"/>
    <s v="julio-2025"/>
    <n v="7"/>
    <s v="julio"/>
    <n v="2025"/>
    <s v="julio-2025"/>
    <n v="14"/>
    <x v="0"/>
    <s v="NO CUMPLE"/>
  </r>
  <r>
    <s v="ESPC360-19407"/>
    <s v="C360_Operacional_Sprint 205"/>
    <s v="ERNESTO Gimeno Valiente"/>
    <s v="Medium"/>
    <s v="CERRADO ITSM"/>
    <d v="2025-07-23T10:11:12"/>
    <s v=""/>
    <d v="2025-06-26T12:25:26"/>
    <d v="2025-07-23T00:00:00"/>
    <d v="2025-07-17T00:00:00"/>
    <s v="C360_Operacional_Sprint 205"/>
    <s v="26"/>
    <s v="OPERACIONAL"/>
    <s v="Resolved"/>
    <n v="6"/>
    <s v="junio"/>
    <n v="2025"/>
    <s v="junio-2025"/>
    <n v="7"/>
    <s v="julio"/>
    <n v="2025"/>
    <s v="julio-2025"/>
    <n v="27"/>
    <x v="0"/>
    <s v="NO CUMPLE"/>
  </r>
  <r>
    <s v="ESPC360-19755"/>
    <s v="C360_Operacional_Sprint 205 - Exprés"/>
    <s v="Andrei Brinza"/>
    <s v="Medium"/>
    <s v="CERRADO ITSM"/>
    <d v="2025-08-26T10:17:18"/>
    <s v=""/>
    <d v="2025-07-10T13:25:53"/>
    <d v="2025-07-23T00:00:00"/>
    <d v="2025-07-11T00:00:00"/>
    <s v="[TESTING] Ejecución pruebas de regresión C360_Operacional_Sprint 205_expres"/>
    <s v="12"/>
    <s v="OPERACIONAL"/>
    <s v="Resolved"/>
    <n v="7"/>
    <s v="julio"/>
    <n v="2025"/>
    <s v="julio-2025"/>
    <n v="7"/>
    <s v="julio"/>
    <n v="2025"/>
    <s v="julio-2025"/>
    <n v="13"/>
    <x v="0"/>
    <s v="NO CUMPLE"/>
  </r>
  <r>
    <s v="ESPC360-19490"/>
    <s v="C360_Operacional_Sprint 204 - Certificados"/>
    <s v="ERNESTO Gimeno Valiente"/>
    <s v="Medium"/>
    <s v="CERRADO ITSM"/>
    <d v="2025-07-09T10:44:48"/>
    <s v=""/>
    <d v="2025-06-27T08:13:32"/>
    <d v="2025-07-09T00:00:00"/>
    <d v="2025-06-27T00:00:00"/>
    <s v="C360_Operacional_Sprint 204 - Certificados"/>
    <s v="11"/>
    <s v="OPERACIONAL"/>
    <s v="Resolved"/>
    <n v="6"/>
    <s v="junio"/>
    <n v="2025"/>
    <s v="junio-2025"/>
    <n v="7"/>
    <s v="julio"/>
    <n v="2025"/>
    <s v="julio-2025"/>
    <n v="12"/>
    <x v="0"/>
    <s v="NO CUMPLE"/>
  </r>
  <r>
    <s v="ESPC360-19162"/>
    <s v="C360_Operacional_Sprint 204"/>
    <s v="ERNESTO Gimeno Valiente"/>
    <s v="Medium"/>
    <s v="CERRADO ITSM"/>
    <d v="2025-07-17T12:10:12"/>
    <s v=""/>
    <d v="2025-06-12T12:35:35"/>
    <d v="2025-07-09T00:00:00"/>
    <d v="2025-06-27T00:00:00"/>
    <s v="C360_Operacional_Sprint 204"/>
    <s v="26"/>
    <s v="OPERACIONAL"/>
    <s v="Resolved"/>
    <n v="6"/>
    <s v="junio"/>
    <n v="2025"/>
    <s v="junio-2025"/>
    <n v="7"/>
    <s v="julio"/>
    <n v="2025"/>
    <s v="julio-2025"/>
    <n v="27"/>
    <x v="0"/>
    <s v="NO CUMPLE"/>
  </r>
  <r>
    <s v="ESPC360-18907"/>
    <s v="C360_Operacional_Sprint 203"/>
    <s v="ERNESTO Gimeno Valiente"/>
    <s v="Medium"/>
    <s v="CERRADO ITSM"/>
    <d v="2025-06-25T17:49:02"/>
    <s v=""/>
    <d v="2025-05-29T17:23:30"/>
    <d v="2025-06-25T00:00:00"/>
    <d v="2025-06-13T00:00:00"/>
    <s v="C360_Operacional_Sprint 203"/>
    <s v="26"/>
    <s v="OPERACIONAL"/>
    <s v="Resolved"/>
    <n v="5"/>
    <s v="mayo"/>
    <n v="2025"/>
    <s v="mayo-2025"/>
    <n v="6"/>
    <s v="junio"/>
    <n v="2025"/>
    <s v="junio-2025"/>
    <n v="27"/>
    <x v="0"/>
    <s v="NO CUMPLE"/>
  </r>
  <r>
    <s v="ESPC360-18427"/>
    <s v="C360_Operacional_Sprint 202"/>
    <s v="ERNESTO Gimeno Valiente"/>
    <s v="Medium"/>
    <s v="CERRADO ITSM"/>
    <d v="2025-06-26T09:51:15"/>
    <s v=""/>
    <d v="2025-05-16T15:10:06"/>
    <d v="2025-06-25T00:00:00"/>
    <d v="2025-06-05T00:00:00"/>
    <s v="C360_Operacional_Sprint 202"/>
    <s v="39"/>
    <s v="OPERACIONAL"/>
    <s v="Resolved"/>
    <n v="5"/>
    <s v="mayo"/>
    <n v="2025"/>
    <s v="mayo-2025"/>
    <n v="6"/>
    <s v="junio"/>
    <n v="2025"/>
    <s v="junio-2025"/>
    <n v="40"/>
    <x v="0"/>
    <s v="NO CUMPLE"/>
  </r>
  <r>
    <s v="ESPC360-18426"/>
    <s v="C360_Operacional_Sprint 201_Dualidad_Gravity"/>
    <s v="ERNESTO Gimeno Valiente"/>
    <s v="Medium"/>
    <s v="CERRADO ITSM"/>
    <d v="2025-06-05T09:29:55"/>
    <s v=""/>
    <d v="2025-05-16T12:43:51"/>
    <d v="2025-06-05T00:00:00"/>
    <s v=""/>
    <s v=""/>
    <s v="19"/>
    <s v="OPERACIONAL"/>
    <s v="Resolved"/>
    <n v="5"/>
    <s v="mayo"/>
    <n v="2025"/>
    <s v="mayo-2025"/>
    <n v="6"/>
    <s v="junio"/>
    <n v="2025"/>
    <s v="junio-2025"/>
    <n v="20"/>
    <x v="0"/>
    <s v="NO CUMPLE"/>
  </r>
  <r>
    <s v="ESPC360-18050"/>
    <s v="C360_Operacional_Sprint 201"/>
    <s v=""/>
    <s v="Medium"/>
    <s v="CERRADO ITSM"/>
    <d v="2025-07-11T09:34:25"/>
    <s v=""/>
    <d v="2025-04-30T18:33:20"/>
    <d v="2025-06-04T00:00:00"/>
    <s v=""/>
    <s v="C360_Operacional_Sprint 201"/>
    <s v="34"/>
    <s v="OPERACIONAL"/>
    <s v="Resolved"/>
    <n v="4"/>
    <s v="abril"/>
    <n v="2025"/>
    <s v="abril-2025"/>
    <n v="6"/>
    <s v="junio"/>
    <n v="2025"/>
    <s v="junio-2025"/>
    <n v="35"/>
    <x v="0"/>
    <s v="NO CUMPLE"/>
  </r>
  <r>
    <s v="ESPC360-17357"/>
    <s v="[CM] ADN360_Sprint 198 Modificaciones Jobs carga-prestamos-bonificaciones-simulacion carga-prestamos-bonificaciones-actual"/>
    <s v="Andrei Brinza"/>
    <s v="Medium"/>
    <s v="CERRADO ITSM"/>
    <d v="2025-06-04T09:34:34"/>
    <s v=""/>
    <d v="2025-04-01T17:38:19"/>
    <d v="2025-06-04T00:00:00"/>
    <d v="2025-04-04T00:00:00"/>
    <s v=""/>
    <s v="63"/>
    <s v="OPERACIONAL"/>
    <s v="Resolved"/>
    <n v="4"/>
    <s v="abril"/>
    <n v="2025"/>
    <s v="abril-2025"/>
    <n v="6"/>
    <s v="junio"/>
    <n v="2025"/>
    <s v="junio-2025"/>
    <n v="64"/>
    <x v="0"/>
    <s v="NO CUMPLE"/>
  </r>
  <r>
    <s v="ESPC360-17664"/>
    <s v="[CM] ADN360_Sprint 198 Creacion Jobs carga-tipos-movimientos , carga-tipos-movimientos-gs"/>
    <s v="Andrei Brinza"/>
    <s v="Medium"/>
    <s v="CERRADO ITSM"/>
    <d v="2025-06-04T09:34:26"/>
    <s v=""/>
    <d v="2025-04-11T13:03:17"/>
    <d v="2025-06-04T00:00:00"/>
    <d v="2025-04-11T00:00:00"/>
    <s v=""/>
    <s v="53"/>
    <s v="OPERACIONAL"/>
    <s v="Resolved"/>
    <n v="4"/>
    <s v="abril"/>
    <n v="2025"/>
    <s v="abril-2025"/>
    <n v="6"/>
    <s v="junio"/>
    <n v="2025"/>
    <s v="junio-2025"/>
    <n v="54"/>
    <x v="0"/>
    <s v="NO CUMPLE"/>
  </r>
  <r>
    <s v="ESPC360-17189"/>
    <s v="[CM] Sprint 198 - [Portal Deudor] update-contratos-opening"/>
    <s v="ERIC REVELLES SEGALES"/>
    <s v="Medium"/>
    <s v="CERRADO ITSM"/>
    <d v="2025-08-26T10:23:15"/>
    <s v=""/>
    <d v="2025-03-27T15:13:37"/>
    <d v="2025-05-22T00:00:00"/>
    <d v="2025-03-27T00:00:00"/>
    <s v=""/>
    <s v="55"/>
    <s v="OPERACIONAL"/>
    <s v="Resolved"/>
    <n v="3"/>
    <s v="marzo"/>
    <n v="2025"/>
    <s v="marzo-2025"/>
    <n v="5"/>
    <s v="mayo"/>
    <n v="2025"/>
    <s v="mayo-2025"/>
    <n v="56"/>
    <x v="0"/>
    <s v="NO CUMPLE"/>
  </r>
  <r>
    <s v="ESPC360-17713"/>
    <s v="C360_Operacional_Sprint 200"/>
    <s v="ERNESTO Gimeno Valiente"/>
    <s v="Medium"/>
    <s v="CERRADO ITSM"/>
    <d v="2025-05-20T01:56:17"/>
    <s v=""/>
    <d v="2025-04-21T17:15:13"/>
    <d v="2025-05-19T00:00:00"/>
    <d v="2025-05-02T00:00:00"/>
    <s v="C360_Operacional_Sprint 200"/>
    <s v="27"/>
    <s v="OPERACIONAL"/>
    <s v="Resolved"/>
    <n v="4"/>
    <s v="abril"/>
    <n v="2025"/>
    <s v="abril-2025"/>
    <n v="5"/>
    <s v="mayo"/>
    <n v="2025"/>
    <s v="mayo-2025"/>
    <n v="28"/>
    <x v="0"/>
    <s v="NO CUMPLE"/>
  </r>
  <r>
    <s v="ESPC360-16743"/>
    <s v="[CM] Sprint 197 - [Databricks] - Modificar la malla Control-M en PRE para engancharlo a las condiciones de ingesta cloud"/>
    <s v="BORJA CORTIJO LAJARA"/>
    <s v="Medium"/>
    <s v="CERRADO ITSM"/>
    <d v="2025-08-26T10:23:53"/>
    <s v=""/>
    <d v="2025-03-11T11:15:21"/>
    <d v="2025-05-19T00:00:00"/>
    <d v="2025-03-11T00:00:00"/>
    <s v=""/>
    <s v="68"/>
    <s v="OPERACIONAL"/>
    <s v="Resolved"/>
    <n v="3"/>
    <s v="marzo"/>
    <n v="2025"/>
    <s v="marzo-2025"/>
    <n v="5"/>
    <s v="mayo"/>
    <n v="2025"/>
    <s v="mayo-2025"/>
    <n v="69"/>
    <x v="0"/>
    <s v="NO CUMPLE"/>
  </r>
  <r>
    <s v="ESPC360-17055"/>
    <s v="C360_Operacional_Sprint 198"/>
    <s v=""/>
    <s v="Medium"/>
    <s v="CERRADO ITSM"/>
    <d v="2025-05-07T13:57:37"/>
    <s v=""/>
    <d v="2025-03-20T14:43:43"/>
    <d v="2025-05-07T00:00:00"/>
    <d v="2025-04-04T00:00:00"/>
    <s v="C360_Operacional_Sprint 198"/>
    <s v="47"/>
    <s v="OPERACIONAL"/>
    <s v="Resolved"/>
    <n v="3"/>
    <s v="marzo"/>
    <n v="2025"/>
    <s v="marzo-2025"/>
    <n v="5"/>
    <s v="mayo"/>
    <n v="2025"/>
    <s v="mayo-2025"/>
    <n v="48"/>
    <x v="0"/>
    <s v="NO CUMPLE"/>
  </r>
  <r>
    <s v="ESPC360-18044"/>
    <s v="C360_Operacional_HotFix_BGM"/>
    <s v="ERNESTO Gimeno Valiente"/>
    <s v="Medium"/>
    <s v="CERRADO ITSM"/>
    <d v="2025-05-07T02:40:43"/>
    <s v=""/>
    <d v="2025-04-30T13:34:54"/>
    <d v="2025-05-07T00:00:00"/>
    <s v=""/>
    <s v=""/>
    <s v="5"/>
    <s v="OPERACIONAL"/>
    <s v="Resolved"/>
    <n v="4"/>
    <s v="abril"/>
    <n v="2025"/>
    <s v="abril-2025"/>
    <n v="5"/>
    <s v="mayo"/>
    <n v="2025"/>
    <s v="mayo-2025"/>
    <n v="7"/>
    <x v="0"/>
    <s v="NO CUMPLE"/>
  </r>
  <r>
    <s v="ESPC360-17446"/>
    <s v="C360_Operacional_Sprint 199"/>
    <s v="ERNESTO Gimeno Valiente"/>
    <s v="Medium"/>
    <s v="CERRADO ITSM"/>
    <d v="2025-05-09T08:14:32"/>
    <s v=""/>
    <d v="2025-04-03T16:11:21"/>
    <d v="2025-05-07T00:00:00"/>
    <d v="2025-04-22T00:00:00"/>
    <s v="C360_Operacional_Sprint 199"/>
    <s v="32"/>
    <s v="OPERACIONAL"/>
    <s v="Resolved"/>
    <n v="4"/>
    <s v="abril"/>
    <n v="2025"/>
    <s v="abril-2025"/>
    <n v="5"/>
    <s v="mayo"/>
    <n v="2025"/>
    <s v="mayo-2025"/>
    <n v="34"/>
    <x v="0"/>
    <s v="NO CUMPLE"/>
  </r>
  <r>
    <s v="ESPC360-17380"/>
    <s v="C360_Operacional_HotFix_Servicios_Digitales_Santander_Go"/>
    <s v="ERNESTO Gimeno Valiente"/>
    <s v="Medium"/>
    <s v="CERRADO ITSM"/>
    <d v="2025-05-07T02:40:19"/>
    <s v=""/>
    <d v="2025-04-03T12:35:55"/>
    <d v="2025-05-07T00:00:00"/>
    <d v="2025-05-05T00:00:00"/>
    <s v=""/>
    <s v="32"/>
    <s v="OPERACIONAL"/>
    <s v="Resolved"/>
    <n v="4"/>
    <s v="abril"/>
    <n v="2025"/>
    <s v="abril-2025"/>
    <n v="5"/>
    <s v="mayo"/>
    <n v="2025"/>
    <s v="mayo-2025"/>
    <n v="34"/>
    <x v="0"/>
    <s v="NO CUMPLE"/>
  </r>
  <r>
    <s v="ESPC360-16744"/>
    <s v="[CM] Desplanificación fichero ingesta planesempleo proceso en PRE"/>
    <s v="BORJA CORTIJO LAJARA"/>
    <s v="Medium"/>
    <s v="CERRADO ITSM"/>
    <d v="2025-04-23T14:46:37"/>
    <s v=""/>
    <d v="2025-03-11T11:28:14"/>
    <d v="2025-04-23T00:00:00"/>
    <d v="2025-03-13T00:00:00"/>
    <s v=""/>
    <s v="42"/>
    <s v="OPERACIONAL"/>
    <s v="Resolved"/>
    <n v="3"/>
    <s v="marzo"/>
    <n v="2025"/>
    <s v="marzo-2025"/>
    <n v="4"/>
    <s v="abril"/>
    <n v="2025"/>
    <s v="abril-2025"/>
    <n v="43"/>
    <x v="0"/>
    <s v="NO CUMPLE"/>
  </r>
  <r>
    <s v="ESPC360-17120"/>
    <s v="[CM] Sprint 198 - [Portal Deudor] Batch para cargar las cestas/agrupaciones asociadas a los contratos"/>
    <s v="JOSE FELIZ HERNANDEZ"/>
    <s v="Medium"/>
    <s v="CERRADO ITSM"/>
    <d v="2025-08-26T10:23:21"/>
    <s v=""/>
    <d v="2025-03-24T15:51:34"/>
    <d v="2025-04-22T00:00:00"/>
    <s v=""/>
    <s v=""/>
    <s v="28"/>
    <s v="OPERACIONAL"/>
    <s v="Resolved"/>
    <n v="3"/>
    <s v="marzo"/>
    <n v="2025"/>
    <s v="marzo-2025"/>
    <n v="4"/>
    <s v="abril"/>
    <n v="2025"/>
    <s v="abril-2025"/>
    <n v="29"/>
    <x v="0"/>
    <s v="NO CUMPLE"/>
  </r>
  <r>
    <s v="ESPC360-16230"/>
    <s v="[CM] Sprint 196 - [SmartPricing] Creación proceso Batch actualización"/>
    <s v="CARLOS Camacho Menchero"/>
    <s v="Medium"/>
    <s v="CERRADO ITSM"/>
    <d v="2025-08-26T10:25:55"/>
    <s v=""/>
    <d v="2025-02-26T09:00:37"/>
    <d v="2025-04-11T00:00:00"/>
    <d v="2025-02-26T00:00:00"/>
    <s v=""/>
    <s v="43"/>
    <s v="OPERACIONAL"/>
    <s v="Resolved"/>
    <n v="2"/>
    <s v="febrero"/>
    <n v="2025"/>
    <s v="febrero-2025"/>
    <n v="4"/>
    <s v="abril"/>
    <n v="2025"/>
    <s v="abril-2025"/>
    <n v="44"/>
    <x v="0"/>
    <s v="NO CUMPLE"/>
  </r>
  <r>
    <s v="ESPC360-16562"/>
    <s v="C360_Operacional_Sprint 197"/>
    <s v="ERNESTO Gimeno Valiente"/>
    <s v="Medium"/>
    <s v="CERRADO ITSM"/>
    <d v="2025-04-09T12:33:50"/>
    <s v=""/>
    <d v="2025-03-06T13:08:32"/>
    <d v="2025-04-09T00:00:00"/>
    <d v="2025-03-25T00:00:00"/>
    <s v="C360_Operacional_Sprint 197"/>
    <s v="33"/>
    <s v="OPERACIONAL"/>
    <s v="Resolved"/>
    <n v="3"/>
    <s v="marzo"/>
    <n v="2025"/>
    <s v="marzo-2025"/>
    <n v="4"/>
    <s v="abril"/>
    <n v="2025"/>
    <s v="abril-2025"/>
    <n v="34"/>
    <x v="0"/>
    <s v="NO CUMPLE"/>
  </r>
  <r>
    <s v="ESPC360-16947"/>
    <s v="C360_Operacional_Fix_Recarga_TasasDemora_préstamos"/>
    <s v="ERNESTO Gimeno Valiente"/>
    <s v="Medium"/>
    <s v="CERRADO ITSM"/>
    <d v="2025-04-03T11:26:51"/>
    <s v=""/>
    <d v="2025-03-18T13:56:45"/>
    <d v="2025-04-03T00:00:00"/>
    <d v="2025-03-21T00:00:00"/>
    <s v=""/>
    <s v="15"/>
    <s v="OPERACIONAL"/>
    <s v="Resolved"/>
    <n v="3"/>
    <s v="marzo"/>
    <n v="2025"/>
    <s v="marzo-2025"/>
    <n v="4"/>
    <s v="abril"/>
    <n v="2025"/>
    <s v="abril-2025"/>
    <n v="16"/>
    <x v="0"/>
    <s v="NO CUMPLE"/>
  </r>
  <r>
    <s v="ESPC360-16517"/>
    <s v="[CM] ADN360_Sprint 196 Nuevo Job  update-contratos-ico"/>
    <s v="CARLOS Camacho Menchero"/>
    <s v="Medium"/>
    <s v="CERRADO ITSM"/>
    <d v="2025-03-31T18:28:21"/>
    <s v=""/>
    <d v="2025-03-04T13:02:23"/>
    <d v="2025-03-31T00:00:00"/>
    <d v="2025-03-04T00:00:00"/>
    <s v=""/>
    <s v="26"/>
    <s v="OPERACIONAL"/>
    <s v="Resolved"/>
    <n v="3"/>
    <s v="marzo"/>
    <n v="2025"/>
    <s v="marzo-2025"/>
    <n v="3"/>
    <s v="marzo"/>
    <n v="2025"/>
    <s v="marzo-2025"/>
    <n v="27"/>
    <x v="0"/>
    <s v="NO CUMPLE"/>
  </r>
  <r>
    <s v="ESPC360-16212"/>
    <s v="[CM] ADN360_Sprint 195 Nuevo Job update-contratos-titulizados"/>
    <s v="CARLOS Camacho Menchero"/>
    <s v="Medium"/>
    <s v="CERRADO ITSM"/>
    <d v="2025-03-24T12:11:59"/>
    <s v=""/>
    <d v="2025-02-25T11:09:59"/>
    <d v="2025-03-24T00:00:00"/>
    <d v="2025-02-25T00:00:00"/>
    <s v=""/>
    <s v="26"/>
    <s v="OPERACIONAL"/>
    <s v="Resolved"/>
    <n v="2"/>
    <s v="febrero"/>
    <n v="2025"/>
    <s v="febrero-2025"/>
    <n v="3"/>
    <s v="marzo"/>
    <n v="2025"/>
    <s v="marzo-2025"/>
    <n v="27"/>
    <x v="0"/>
    <s v="NO CUMPLE"/>
  </r>
  <r>
    <s v="ESPC360-16862"/>
    <s v="C360_Operacional_FIX_Tarjetas"/>
    <s v="ERNESTO Gimeno Valiente"/>
    <s v="Medium"/>
    <s v="CERRADO ITSM"/>
    <d v="2025-03-19T14:37:12"/>
    <s v=""/>
    <d v="2025-03-14T11:28:29"/>
    <d v="2025-03-19T00:00:00"/>
    <d v="2025-03-14T00:00:00"/>
    <s v=""/>
    <s v="4"/>
    <s v="OPERACIONAL"/>
    <s v="Resolved"/>
    <n v="3"/>
    <s v="marzo"/>
    <n v="2025"/>
    <s v="marzo-2025"/>
    <n v="3"/>
    <s v="marzo"/>
    <n v="2025"/>
    <s v="marzo-2025"/>
    <n v="5"/>
    <x v="0"/>
    <s v="NO CUMPLE"/>
  </r>
  <r>
    <s v="ESPC360-16098"/>
    <s v="C360_Operacional_Sprint 196"/>
    <s v="ERNESTO Gimeno Valiente"/>
    <s v="Medium"/>
    <s v="CERRADO ITSM"/>
    <d v="2025-03-19T14:34:03"/>
    <s v=""/>
    <d v="2025-02-20T14:19:33"/>
    <d v="2025-03-19T00:00:00"/>
    <d v="2025-03-07T00:00:00"/>
    <s v="C360_Operacional_Sprint 196"/>
    <s v="26"/>
    <s v="OPERACIONAL"/>
    <s v="Resolved"/>
    <n v="2"/>
    <s v="febrero"/>
    <n v="2025"/>
    <s v="febrero-2025"/>
    <n v="3"/>
    <s v="marzo"/>
    <n v="2025"/>
    <s v="marzo-2025"/>
    <n v="27"/>
    <x v="0"/>
    <s v="NO CUMPLE"/>
  </r>
  <r>
    <s v="ESPC360-16688"/>
    <s v="C360_Operacional_HotFix_Front"/>
    <s v="ERNESTO Gimeno Valiente"/>
    <s v="Medium"/>
    <s v="CERRADO ITSM"/>
    <d v="2025-03-12T00:34:15"/>
    <s v=""/>
    <d v="2025-03-07T10:13:30"/>
    <d v="2025-03-11T00:00:00"/>
    <d v="2025-03-07T00:00:00"/>
    <s v=""/>
    <s v="3"/>
    <s v="OPERACIONAL"/>
    <s v="Resolved"/>
    <n v="3"/>
    <s v="marzo"/>
    <n v="2025"/>
    <s v="marzo-2025"/>
    <n v="3"/>
    <s v="marzo"/>
    <n v="2025"/>
    <s v="marzo-2025"/>
    <n v="4"/>
    <x v="0"/>
    <s v="NO CUMPLE"/>
  </r>
  <r>
    <s v="ESPC360-15720"/>
    <s v="[CM] Sprint 195 - Despliegue Databricks cdp360"/>
    <s v="CARLOS Camacho Menchero"/>
    <s v="Medium"/>
    <s v="CERRADO ITSM"/>
    <d v="2025-08-26T10:28:53"/>
    <s v=""/>
    <d v="2025-02-13T10:30:47"/>
    <d v="2025-03-07T00:00:00"/>
    <d v="2025-02-13T00:00:00"/>
    <s v=""/>
    <s v="21"/>
    <s v="OPERACIONAL"/>
    <s v="Resolved"/>
    <n v="2"/>
    <s v="febrero"/>
    <n v="2025"/>
    <s v="febrero-2025"/>
    <n v="3"/>
    <s v="marzo"/>
    <n v="2025"/>
    <s v="marzo-2025"/>
    <n v="22"/>
    <x v="0"/>
    <s v="NO CUMPLE"/>
  </r>
  <r>
    <s v="ESPC360-16226"/>
    <s v="C360_Operacional_HotFix_Movimientos"/>
    <s v="ERNESTO Gimeno Valiente"/>
    <s v="Medium"/>
    <s v="CERRADO ITSM"/>
    <d v="2025-03-05T01:20:16"/>
    <s v=""/>
    <d v="2025-02-25T17:21:53"/>
    <d v="2025-03-05T00:00:00"/>
    <d v="2025-02-28T00:00:00"/>
    <s v=""/>
    <s v="6"/>
    <s v="OPERACIONAL"/>
    <s v="Resolved"/>
    <n v="2"/>
    <s v="febrero"/>
    <n v="2025"/>
    <s v="febrero-2025"/>
    <n v="3"/>
    <s v="marzo"/>
    <n v="2025"/>
    <s v="marzo-2025"/>
    <n v="8"/>
    <x v="0"/>
    <s v="NO CUMPLE"/>
  </r>
  <r>
    <s v="ESPC360-15489"/>
    <s v="C360_Operacional_Sprint 195"/>
    <s v="ERNESTO Gimeno Valiente"/>
    <s v="Medium"/>
    <s v="CERRADO ITSM"/>
    <d v="2025-05-22T13:44:33"/>
    <s v=""/>
    <d v="2025-02-06T13:26:30"/>
    <d v="2025-03-05T00:00:00"/>
    <d v="2025-02-21T00:00:00"/>
    <s v="Migración lago - Batch adn360-batch-international-payments"/>
    <s v="25"/>
    <s v="OPERACIONAL"/>
    <s v="Resolved"/>
    <n v="2"/>
    <s v="febrero"/>
    <n v="2025"/>
    <s v="febrero-2025"/>
    <n v="3"/>
    <s v="marzo"/>
    <n v="2025"/>
    <s v="marzo-2025"/>
    <n v="27"/>
    <x v="0"/>
    <s v="NO CUMPLE"/>
  </r>
  <r>
    <s v="ESPC360-15448"/>
    <s v="[CM] Sprint_194 Nuevo Job carga-divisas-precision"/>
    <s v="CARLOS Camacho Menchero"/>
    <s v="Medium"/>
    <s v="CERRADO ITSM"/>
    <d v="2025-03-03T16:28:09"/>
    <s v=""/>
    <d v="2025-02-04T16:19:04"/>
    <d v="2025-03-03T00:00:00"/>
    <d v="2025-02-10T00:00:00"/>
    <s v=""/>
    <s v="26"/>
    <s v="OPERACIONAL"/>
    <s v="Resolved"/>
    <n v="2"/>
    <s v="febrero"/>
    <n v="2025"/>
    <s v="febrero-2025"/>
    <n v="3"/>
    <s v="marzo"/>
    <n v="2025"/>
    <s v="marzo-2025"/>
    <n v="27"/>
    <x v="0"/>
    <s v="NO CUMPLE"/>
  </r>
  <r>
    <s v="ESPC360-15926"/>
    <s v="[CM]- Databricks Movimientos Cuentas"/>
    <s v="CARLOS Camacho Menchero"/>
    <s v="Medium"/>
    <s v="CERRADO ITSM"/>
    <d v="2025-08-26T10:28:12"/>
    <s v=""/>
    <d v="2025-02-13T17:36:43"/>
    <d v="2025-03-03T00:00:00"/>
    <d v="2025-02-13T00:00:00"/>
    <s v=""/>
    <s v="17"/>
    <s v="OPERACIONAL"/>
    <s v="Resolved"/>
    <n v="2"/>
    <s v="febrero"/>
    <n v="2025"/>
    <s v="febrero-2025"/>
    <n v="3"/>
    <s v="marzo"/>
    <n v="2025"/>
    <s v="marzo-2025"/>
    <n v="18"/>
    <x v="0"/>
    <s v="NO CUMPLE"/>
  </r>
  <r>
    <s v="ESPC360-13775"/>
    <s v="[CM] Sprint 190 - Santander GO"/>
    <s v="CARLOS Camacho Menchero"/>
    <s v="Medium"/>
    <s v="CERRADO ITSM"/>
    <d v="2025-08-26T10:35:59"/>
    <s v=""/>
    <d v="2024-11-29T09:35:24"/>
    <d v="2025-02-28T00:00:00"/>
    <d v="2024-11-29T00:00:00"/>
    <s v="C360_Operacional_Sprint 173"/>
    <s v="90"/>
    <s v="OPERACIONAL"/>
    <s v="Resolved"/>
    <n v="11"/>
    <s v="noviembre"/>
    <n v="2024"/>
    <s v="noviembre-2024"/>
    <n v="2"/>
    <s v="febrero"/>
    <n v="2025"/>
    <s v="febrero-2025"/>
    <n v="91"/>
    <x v="0"/>
    <s v="NO CUMPLE"/>
  </r>
  <r>
    <s v="ESPC360-15635"/>
    <s v="Despliegue Batch Databricks CDP360"/>
    <s v="ERNESTO Gimeno Valiente"/>
    <s v="Medium"/>
    <s v="CERRADO ITSM"/>
    <d v="2025-02-24T17:36:39"/>
    <s v=""/>
    <d v="2025-02-10T10:38:58"/>
    <d v="2025-02-24T00:00:00"/>
    <d v="2025-02-10T00:00:00"/>
    <s v="Despliegue Batch Databricks CDP360"/>
    <s v="13"/>
    <s v="OPERACIONAL"/>
    <s v="Resolved"/>
    <n v="2"/>
    <s v="febrero"/>
    <n v="2025"/>
    <s v="febrero-2025"/>
    <n v="2"/>
    <s v="febrero"/>
    <n v="2025"/>
    <s v="febrero-2025"/>
    <n v="14"/>
    <x v="0"/>
    <s v="NO CUMPLE"/>
  </r>
  <r>
    <s v="ESPC360-14953"/>
    <s v="C360_Operacional_Sprint 194"/>
    <s v="ERNESTO Gimeno Valiente"/>
    <s v="Medium"/>
    <s v="CERRADO ITSM"/>
    <d v="2025-02-20T09:11:57"/>
    <s v=""/>
    <d v="2025-01-23T13:30:03"/>
    <d v="2025-02-20T00:00:00"/>
    <d v="2025-02-06T00:00:00"/>
    <s v="C360_Operacional_Sprint 194"/>
    <s v="27"/>
    <s v="OPERACIONAL"/>
    <s v="Resolved"/>
    <n v="1"/>
    <s v="enero"/>
    <n v="2025"/>
    <s v="enero-2025"/>
    <n v="2"/>
    <s v="febrero"/>
    <n v="2025"/>
    <s v="febrero-2025"/>
    <n v="28"/>
    <x v="0"/>
    <s v="NO CUMPLE"/>
  </r>
  <r>
    <s v="ESPC360-15487"/>
    <s v="[CM] Desplanificación PADN108D y IADN108D"/>
    <s v="Arturo Ruiz Simon"/>
    <s v="Medium"/>
    <s v="CERRADO ITSM"/>
    <d v="2025-02-19T12:46:41"/>
    <s v=""/>
    <d v="2025-02-06T13:12:09"/>
    <d v="2025-02-19T00:00:00"/>
    <d v="2025-02-13T00:00:00"/>
    <s v=""/>
    <s v="12"/>
    <s v="OPERACIONAL"/>
    <s v="Resolved"/>
    <n v="2"/>
    <s v="febrero"/>
    <n v="2025"/>
    <s v="febrero-2025"/>
    <n v="2"/>
    <s v="febrero"/>
    <n v="2025"/>
    <s v="febrero-2025"/>
    <n v="13"/>
    <x v="0"/>
    <s v="NO CUMPLE"/>
  </r>
  <r>
    <s v="ESPC360-14498"/>
    <s v="[CM] Sprint 193 - Databricks Bloque 4"/>
    <s v="CARLOS Camacho Menchero"/>
    <s v="Medium"/>
    <s v="CERRADO ITSM"/>
    <d v="2025-08-26T10:32:07"/>
    <s v=""/>
    <d v="2025-01-16T09:16:42"/>
    <d v="2025-02-18T00:00:00"/>
    <d v="2025-01-16T00:00:00"/>
    <s v=""/>
    <s v="32"/>
    <s v="OPERACIONAL"/>
    <s v="Resolved"/>
    <n v="1"/>
    <s v="enero"/>
    <n v="2025"/>
    <s v="enero-2025"/>
    <n v="2"/>
    <s v="febrero"/>
    <n v="2025"/>
    <s v="febrero-2025"/>
    <n v="33"/>
    <x v="0"/>
    <s v="NO CUMPLE"/>
  </r>
  <r>
    <s v="ESPC360-13826"/>
    <s v="[CM] Modificacion horario jobs ADN360"/>
    <s v=""/>
    <s v="Medium"/>
    <s v="CERRADO ITSM"/>
    <d v="2025-02-13T07:16:21"/>
    <s v=""/>
    <d v="2024-12-04T13:42:39"/>
    <d v="2025-02-13T00:00:00"/>
    <d v="2024-12-30T00:00:00"/>
    <s v=""/>
    <s v="69"/>
    <s v="OPERACIONAL"/>
    <s v="Resolved"/>
    <n v="12"/>
    <s v="diciembre"/>
    <n v="2024"/>
    <s v="diciembre-2024"/>
    <n v="2"/>
    <s v="febrero"/>
    <n v="2025"/>
    <s v="febrero-2025"/>
    <n v="71"/>
    <x v="0"/>
    <s v="NO CUMPLE"/>
  </r>
  <r>
    <s v="ESPC360-14394"/>
    <s v="C360_Operacional_Sprint 193"/>
    <s v="ERNESTO Gimeno Valiente"/>
    <s v="Medium"/>
    <s v="CERRADO ITSM"/>
    <d v="2025-02-11T08:22:29"/>
    <s v=""/>
    <d v="2025-01-09T16:08:14"/>
    <d v="2025-02-05T00:00:00"/>
    <d v="2025-01-23T00:00:00"/>
    <s v="C360_Operacional_Sprint 193"/>
    <s v="26"/>
    <s v="OPERACIONAL"/>
    <s v="Resolved"/>
    <n v="1"/>
    <s v="enero"/>
    <n v="2025"/>
    <s v="enero-2025"/>
    <n v="2"/>
    <s v="febrero"/>
    <n v="2025"/>
    <s v="febrero-2025"/>
    <n v="27"/>
    <x v="0"/>
    <s v="NO CUMPLE"/>
  </r>
  <r>
    <s v="ESPC360-14429"/>
    <s v="Sprint 189 - Databricks - Despliegue y activación con test-script de componentes batch (4/4)"/>
    <s v="JOSE FELIZ HERNANDEZ"/>
    <s v="Medium"/>
    <s v="CERRADO ITSM"/>
    <d v="2025-02-11T08:22:31"/>
    <s v=""/>
    <d v="2025-01-13T10:23:30"/>
    <d v="2025-01-29T00:00:00"/>
    <d v="2025-01-13T00:00:00"/>
    <s v="Sprint 189 - Databricks - Despliegue y activación con test-script de componentes batch (4/4)"/>
    <s v="15"/>
    <s v="OPERACIONAL"/>
    <s v="Resolved"/>
    <n v="1"/>
    <s v="enero"/>
    <n v="2025"/>
    <s v="enero-2025"/>
    <n v="1"/>
    <s v="enero"/>
    <n v="2025"/>
    <s v="enero-2025"/>
    <n v="16"/>
    <x v="0"/>
    <s v="NO CUMPLE"/>
  </r>
  <r>
    <s v="ESPC360-14111"/>
    <s v="C360_Operacional_Sprint 192"/>
    <s v="ERNESTO Gimeno Valiente"/>
    <s v="Medium"/>
    <s v="CERRADO ITSM"/>
    <d v="2025-02-11T08:22:28"/>
    <s v=""/>
    <d v="2024-12-19T13:58:31"/>
    <d v="2025-01-22T00:00:00"/>
    <d v="2025-01-13T00:00:00"/>
    <s v="C360_Operacional_Sprint 192"/>
    <s v="33"/>
    <s v="OPERACIONAL"/>
    <s v="Resolved"/>
    <n v="12"/>
    <s v="diciembre"/>
    <n v="2024"/>
    <s v="diciembre-2024"/>
    <n v="1"/>
    <s v="enero"/>
    <n v="2025"/>
    <s v="enero-2025"/>
    <n v="34"/>
    <x v="0"/>
    <s v="NO CUMPLE"/>
  </r>
  <r>
    <s v="ESPC360-11498"/>
    <s v="C360_Operacional_Sprint 183 - Movimientos Cuentas AVRO"/>
    <s v="ERNESTO Gimeno Valiente"/>
    <s v="Medium"/>
    <s v="CERRADO ITSM"/>
    <d v="2025-02-11T08:22:23"/>
    <s v=""/>
    <d v="2024-09-17T09:31:13"/>
    <d v="2025-01-17T00:00:00"/>
    <d v="2024-09-17T00:00:00"/>
    <s v="C360_Operacional_Sprint 184"/>
    <s v="121"/>
    <s v="OPERACIONAL"/>
    <s v="Resolved"/>
    <n v="9"/>
    <s v="septiembre"/>
    <n v="2024"/>
    <s v="septiembre-2024"/>
    <n v="1"/>
    <s v="enero"/>
    <n v="2025"/>
    <s v="enero-2025"/>
    <n v="122"/>
    <x v="0"/>
    <s v="NO CUMPLE"/>
  </r>
  <r>
    <s v="ESPC360-13855"/>
    <s v="C360_Operacional_Sprint 191"/>
    <s v="ERNESTO Gimeno Valiente"/>
    <s v="Medium"/>
    <s v="CERRADO ITSM"/>
    <d v="2025-02-11T08:22:32"/>
    <s v=""/>
    <d v="2024-12-05T16:22:05"/>
    <d v="2025-01-17T00:00:00"/>
    <d v="2024-12-20T00:00:00"/>
    <s v="C360_Operacional_Sprint 191"/>
    <s v="42"/>
    <s v="OPERACIONAL"/>
    <s v="Resolved"/>
    <n v="12"/>
    <s v="diciembre"/>
    <n v="2024"/>
    <s v="diciembre-2024"/>
    <n v="1"/>
    <s v="enero"/>
    <n v="2025"/>
    <s v="enero-2025"/>
    <n v="43"/>
    <x v="0"/>
    <s v="NO CUMPLE"/>
  </r>
  <r>
    <s v="ESPC360-13475"/>
    <s v="C360_Operacional_Sprint 190"/>
    <s v="ERNESTO Gimeno Valiente"/>
    <s v="Medium"/>
    <s v="CERRADO ITSM"/>
    <d v="2025-02-14T10:21:04"/>
    <s v=""/>
    <d v="2024-11-21T13:49:44"/>
    <d v="2025-01-17T00:00:00"/>
    <d v="2024-12-10T00:00:00"/>
    <s v="C360_Operacional_Sprint 190"/>
    <s v="56"/>
    <s v="OPERACIONAL"/>
    <s v="Resolved"/>
    <n v="11"/>
    <s v="noviembre"/>
    <n v="2024"/>
    <s v="noviembre-2024"/>
    <n v="1"/>
    <s v="enero"/>
    <n v="2025"/>
    <s v="enero-2025"/>
    <n v="57"/>
    <x v="0"/>
    <s v="NO CUMPLE"/>
  </r>
  <r>
    <s v="ESPC360-13290"/>
    <s v="Sprint 189 - Databricks - Despliegue y activación con test-script de componentes batch (3/4)"/>
    <s v="ERNESTO Gimeno Valiente"/>
    <s v="Medium"/>
    <s v="CERRADO ITSM"/>
    <d v="2025-02-11T08:22:27"/>
    <s v=""/>
    <d v="2024-11-14T16:50:24"/>
    <d v="2025-01-17T00:00:00"/>
    <d v="2025-01-09T00:00:00"/>
    <s v="Sprint 189 - Databricks - Despliegue y activación con test-script de componentes batch (3/4)"/>
    <s v="63"/>
    <s v="OPERACIONAL"/>
    <s v="Resolved"/>
    <n v="11"/>
    <s v="noviembre"/>
    <n v="2024"/>
    <s v="noviembre-2024"/>
    <n v="1"/>
    <s v="enero"/>
    <n v="2025"/>
    <s v="enero-2025"/>
    <n v="64"/>
    <x v="0"/>
    <s v="NO CUMPLE"/>
  </r>
  <r>
    <s v="ESPC360-11178"/>
    <s v="[CM] Sprint 183 - update-contratos-planeta-seguros"/>
    <s v="GONZALO GARCIA MORENO"/>
    <s v="Medium"/>
    <s v="CERRADO ITSM"/>
    <d v="2025-08-26T10:43:45"/>
    <s v=""/>
    <d v="2024-09-02T11:22:02"/>
    <d v="2025-01-13T00:00:00"/>
    <d v="2024-09-11T00:00:00"/>
    <s v="[CM] Sprint 183 - update-contratos-planeta-seguros"/>
    <s v="132"/>
    <s v="OPERACIONAL"/>
    <s v="Resolved"/>
    <n v="9"/>
    <s v="septiembre"/>
    <n v="2024"/>
    <s v="septiembre-2024"/>
    <n v="1"/>
    <s v="enero"/>
    <n v="2025"/>
    <s v="enero-2025"/>
    <n v="133"/>
    <x v="0"/>
    <s v="NO CUMPLE"/>
  </r>
  <r>
    <s v="ESPC360-12718"/>
    <s v="[CM ] Sprint 187 - categorizacion movimientos cuentas ATLAS (gs) y OnPremise"/>
    <s v=""/>
    <s v="Medium"/>
    <s v="CERRADO ITSM"/>
    <d v="2025-02-11T17:22:39"/>
    <s v=""/>
    <d v="2024-10-25T11:43:59"/>
    <d v="2025-01-07T00:00:00"/>
    <s v=""/>
    <s v=""/>
    <s v="73"/>
    <s v="OPERACIONAL"/>
    <s v="Resolved"/>
    <n v="10"/>
    <s v="octubre"/>
    <n v="2024"/>
    <s v="octubre-2024"/>
    <n v="1"/>
    <s v="enero"/>
    <n v="2025"/>
    <s v="enero-2025"/>
    <n v="74"/>
    <x v="0"/>
    <s v="NO CUMPLE"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s v="ESPC360-20658"/>
    <s v="C360_Operacional_Sprint 210"/>
    <s v="ERNESTO Gimeno Valiente"/>
    <s v="Medium"/>
    <s v="CERRADO ITSM"/>
    <d v="2025-10-02T10:39:59"/>
    <s v=""/>
    <d v="2025-09-04T12:36:11"/>
    <d v="2025-10-02T00:00:00"/>
    <d v="2025-09-18T00:00:00"/>
    <s v="C360_Operacional_Sprint 210"/>
    <s v="27"/>
    <s v="OPERACIONAL"/>
    <s v="Resolved"/>
    <n v="9"/>
    <s v="septiembre"/>
    <n v="2025"/>
    <s v="septiembre-2025"/>
    <n v="10"/>
    <s v="octubre"/>
    <n v="2025"/>
    <s v="octubre-2025"/>
    <n v="28"/>
  </r>
  <r>
    <s v="ESPC360-20902"/>
    <s v="C360_Operacional_HotFix_Valores"/>
    <s v="ERNESTO Gimeno Valiente"/>
    <s v="Medium"/>
    <s v="CERRADO ITSM"/>
    <d v="2025-09-26T11:36:49"/>
    <s v=""/>
    <d v="2025-09-15T16:18:32"/>
    <d v="2025-09-26T00:00:00"/>
    <d v="2025-09-17T00:00:00"/>
    <s v=""/>
    <s v="10"/>
    <s v="OPERACIONAL"/>
    <s v="Resolved"/>
    <n v="9"/>
    <s v="septiembre"/>
    <n v="2025"/>
    <s v="septiembre-2025"/>
    <n v="9"/>
    <s v="septiembre"/>
    <n v="2025"/>
    <s v="septiembre-2025"/>
    <n v="11"/>
  </r>
  <r>
    <s v="ESPC360-20479"/>
    <s v="C360_Operacional_Sprint 209"/>
    <s v="ERNESTO Gimeno Valiente"/>
    <s v="Medium"/>
    <s v="CERRADO ITSM"/>
    <d v="2025-09-26T11:36:13"/>
    <s v=""/>
    <d v="2025-08-25T09:30:59"/>
    <d v="2025-09-26T00:00:00"/>
    <d v="2025-09-12T00:00:00"/>
    <s v="C360_Operacional_Sprint 209"/>
    <s v="31"/>
    <s v="OPERACIONAL"/>
    <s v="Resolved"/>
    <n v="8"/>
    <s v="agosto"/>
    <n v="2025"/>
    <s v="agosto-2025"/>
    <n v="9"/>
    <s v="septiembre"/>
    <n v="2025"/>
    <s v="septiembre-2025"/>
    <n v="32"/>
  </r>
  <r>
    <s v="ESPC360-20508"/>
    <s v="[CM] Modificación incrementales hismo"/>
    <s v="GONZALO GARCIA MORENO"/>
    <s v="Medium"/>
    <s v="CERRADO ITSM"/>
    <d v="2025-09-24T15:46:19"/>
    <s v=""/>
    <d v="2025-08-26T10:05:10"/>
    <d v="2025-09-24T00:00:00"/>
    <d v="2025-09-01T00:00:00"/>
    <s v=""/>
    <s v="28"/>
    <s v="OPERACIONAL"/>
    <s v="Resolved"/>
    <n v="8"/>
    <s v="agosto"/>
    <n v="2025"/>
    <s v="agosto-2025"/>
    <n v="9"/>
    <s v="septiembre"/>
    <n v="2025"/>
    <s v="septiembre-2025"/>
    <n v="29"/>
  </r>
  <r>
    <s v="ESPC360-19953"/>
    <s v="[CM] Modificación ingestas previas update-catalogo-productos y desplanificación jobs cloudera"/>
    <s v="BORJA CORTIJO LAJARA"/>
    <s v="Medium"/>
    <s v="CERRADO ITSM"/>
    <d v="2025-09-04T12:27:42"/>
    <s v=""/>
    <d v="2025-07-24T12:05:39"/>
    <d v="2025-09-04T00:00:00"/>
    <d v="2025-07-24T00:00:00"/>
    <s v=""/>
    <s v="41"/>
    <s v="OPERACIONAL"/>
    <s v="Resolved"/>
    <n v="7"/>
    <s v="julio"/>
    <n v="2025"/>
    <s v="julio-2025"/>
    <n v="9"/>
    <s v="septiembre"/>
    <n v="2025"/>
    <s v="septiembre-2025"/>
    <n v="42"/>
  </r>
  <r>
    <s v="ESPC360-20269"/>
    <s v="C360_Operacional_Sprint 208"/>
    <s v="ERNESTO Gimeno Valiente"/>
    <s v="Medium"/>
    <s v="CERRADO ITSM"/>
    <d v="2025-09-03T01:13:08"/>
    <s v=""/>
    <d v="2025-08-07T14:02:42"/>
    <d v="2025-09-02T00:00:00"/>
    <d v="2025-08-28T00:00:00"/>
    <s v="C360_Operacional_Sprint 208"/>
    <s v="25"/>
    <s v="OPERACIONAL"/>
    <s v="Resolved"/>
    <n v="8"/>
    <s v="agosto"/>
    <n v="2025"/>
    <s v="agosto-2025"/>
    <n v="9"/>
    <s v="septiembre"/>
    <n v="2025"/>
    <s v="septiembre-2025"/>
    <n v="26"/>
  </r>
  <r>
    <s v="ESPC360-19956"/>
    <s v="C360_Operacional_Sprint 207"/>
    <s v="ERNESTO Gimeno Valiente"/>
    <s v="Medium"/>
    <s v="CERRADO ITSM"/>
    <d v="2025-08-20T23:55:12"/>
    <s v=""/>
    <d v="2025-07-24T13:18:36"/>
    <d v="2025-08-20T00:00:00"/>
    <d v="2025-08-08T00:00:00"/>
    <s v="C360_Operacional_Sprint 207"/>
    <s v="26"/>
    <s v="OPERACIONAL"/>
    <s v="Resolved"/>
    <n v="7"/>
    <s v="julio"/>
    <n v="2025"/>
    <s v="julio-2025"/>
    <n v="8"/>
    <s v="agosto"/>
    <n v="2025"/>
    <s v="agosto-2025"/>
    <n v="27"/>
  </r>
  <r>
    <s v="ESPC360-20264"/>
    <s v="C360_Operacional_Sprint 207 - Exprés"/>
    <s v="ERNESTO Gimeno Valiente"/>
    <s v="Medium"/>
    <s v="CERRADO ITSM"/>
    <d v="2025-08-13T14:52:15"/>
    <s v=""/>
    <d v="2025-08-07T13:54:27"/>
    <d v="2025-08-13T00:00:00"/>
    <d v="2025-08-07T00:00:00"/>
    <s v="C360_Operacional_Sprint 207 - Exprés"/>
    <s v="5"/>
    <s v="OPERACIONAL"/>
    <s v="Resolved"/>
    <n v="8"/>
    <s v="agosto"/>
    <n v="2025"/>
    <s v="agosto-2025"/>
    <n v="8"/>
    <s v="agosto"/>
    <n v="2025"/>
    <s v="agosto-2025"/>
    <n v="6"/>
  </r>
  <r>
    <s v="ESPC360-19693"/>
    <s v="C360_Operacional_Sprint 206"/>
    <s v=""/>
    <s v="Medium"/>
    <s v="CERRADO ITSM"/>
    <d v="2025-09-26T12:05:39"/>
    <s v=""/>
    <d v="2025-07-10T12:29:23"/>
    <d v="2025-08-06T00:00:00"/>
    <d v="2025-07-31T00:00:00"/>
    <s v="C360_Operacional_Sprint 206"/>
    <s v="26"/>
    <s v="OPERACIONAL"/>
    <s v="Resolved"/>
    <n v="7"/>
    <s v="julio"/>
    <n v="2025"/>
    <s v="julio-2025"/>
    <n v="8"/>
    <s v="agosto"/>
    <n v="2025"/>
    <s v="agosto-2025"/>
    <n v="27"/>
  </r>
  <r>
    <s v="ESPC360-19944"/>
    <s v="C360_Operacional_Sprint 206 - Exprés - Customer-position"/>
    <s v="ERNESTO Gimeno Valiente"/>
    <s v="Medium"/>
    <s v="CERRADO ITSM"/>
    <d v="2025-09-26T12:05:39"/>
    <s v=""/>
    <d v="2025-07-24T09:02:28"/>
    <d v="2025-07-31T00:00:00"/>
    <d v="2025-07-24T00:00:00"/>
    <s v="C360_Operacional_Sprint 206"/>
    <s v="6"/>
    <s v="OPERACIONAL"/>
    <s v="Resolved"/>
    <n v="7"/>
    <s v="julio"/>
    <n v="2025"/>
    <s v="julio-2025"/>
    <n v="7"/>
    <s v="julio"/>
    <n v="2025"/>
    <s v="julio-2025"/>
    <n v="7"/>
  </r>
  <r>
    <s v="ESPC360-19826"/>
    <s v="C360_Operacional_Sprint 206 - Exprés"/>
    <s v="ERNESTO Gimeno Valiente"/>
    <s v="Medium"/>
    <s v="CERRADO ITSM"/>
    <d v="2025-09-26T12:05:39"/>
    <s v=""/>
    <d v="2025-07-17T08:45:08"/>
    <d v="2025-07-31T00:00:00"/>
    <d v="2025-07-23T00:00:00"/>
    <s v="C360_Operacional_Sprint 206"/>
    <s v="13"/>
    <s v="OPERACIONAL"/>
    <s v="Resolved"/>
    <n v="7"/>
    <s v="julio"/>
    <n v="2025"/>
    <s v="julio-2025"/>
    <n v="7"/>
    <s v="julio"/>
    <n v="2025"/>
    <s v="julio-2025"/>
    <n v="14"/>
  </r>
  <r>
    <s v="ESPC360-19407"/>
    <s v="C360_Operacional_Sprint 205"/>
    <s v="ERNESTO Gimeno Valiente"/>
    <s v="Medium"/>
    <s v="CERRADO ITSM"/>
    <d v="2025-07-23T10:11:12"/>
    <s v=""/>
    <d v="2025-06-26T12:25:26"/>
    <d v="2025-07-23T00:00:00"/>
    <d v="2025-07-17T00:00:00"/>
    <s v="C360_Operacional_Sprint 205"/>
    <s v="26"/>
    <s v="OPERACIONAL"/>
    <s v="Resolved"/>
    <n v="6"/>
    <s v="junio"/>
    <n v="2025"/>
    <s v="junio-2025"/>
    <n v="7"/>
    <s v="julio"/>
    <n v="2025"/>
    <s v="julio-2025"/>
    <n v="27"/>
  </r>
  <r>
    <s v="ESPC360-19755"/>
    <s v="C360_Operacional_Sprint 205 - Exprés"/>
    <s v="Andrei Brinza"/>
    <s v="Medium"/>
    <s v="CERRADO ITSM"/>
    <d v="2025-08-26T10:17:18"/>
    <s v=""/>
    <d v="2025-07-10T13:25:53"/>
    <d v="2025-07-23T00:00:00"/>
    <d v="2025-07-11T00:00:00"/>
    <s v="[TESTING] Ejecución pruebas de regresión C360_Operacional_Sprint 205_expres"/>
    <s v="12"/>
    <s v="OPERACIONAL"/>
    <s v="Resolved"/>
    <n v="7"/>
    <s v="julio"/>
    <n v="2025"/>
    <s v="julio-2025"/>
    <n v="7"/>
    <s v="julio"/>
    <n v="2025"/>
    <s v="julio-2025"/>
    <n v="13"/>
  </r>
  <r>
    <s v="ESPC360-19490"/>
    <s v="C360_Operacional_Sprint 204 - Certificados"/>
    <s v="ERNESTO Gimeno Valiente"/>
    <s v="Medium"/>
    <s v="CERRADO ITSM"/>
    <d v="2025-07-09T10:44:48"/>
    <s v=""/>
    <d v="2025-06-27T08:13:32"/>
    <d v="2025-07-09T00:00:00"/>
    <d v="2025-06-27T00:00:00"/>
    <s v="C360_Operacional_Sprint 204 - Certificados"/>
    <s v="11"/>
    <s v="OPERACIONAL"/>
    <s v="Resolved"/>
    <n v="6"/>
    <s v="junio"/>
    <n v="2025"/>
    <s v="junio-2025"/>
    <n v="7"/>
    <s v="julio"/>
    <n v="2025"/>
    <s v="julio-2025"/>
    <n v="12"/>
  </r>
  <r>
    <s v="ESPC360-19162"/>
    <s v="C360_Operacional_Sprint 204"/>
    <s v="ERNESTO Gimeno Valiente"/>
    <s v="Medium"/>
    <s v="CERRADO ITSM"/>
    <d v="2025-07-17T12:10:12"/>
    <s v=""/>
    <d v="2025-06-12T12:35:35"/>
    <d v="2025-07-09T00:00:00"/>
    <d v="2025-06-27T00:00:00"/>
    <s v="C360_Operacional_Sprint 204"/>
    <s v="26"/>
    <s v="OPERACIONAL"/>
    <s v="Resolved"/>
    <n v="6"/>
    <s v="junio"/>
    <n v="2025"/>
    <s v="junio-2025"/>
    <n v="7"/>
    <s v="julio"/>
    <n v="2025"/>
    <s v="julio-2025"/>
    <n v="27"/>
  </r>
  <r>
    <s v="ESPC360-18907"/>
    <s v="C360_Operacional_Sprint 203"/>
    <s v="ERNESTO Gimeno Valiente"/>
    <s v="Medium"/>
    <s v="CERRADO ITSM"/>
    <d v="2025-06-25T17:49:02"/>
    <s v=""/>
    <d v="2025-05-29T17:23:30"/>
    <d v="2025-06-25T00:00:00"/>
    <d v="2025-06-13T00:00:00"/>
    <s v="C360_Operacional_Sprint 203"/>
    <s v="26"/>
    <s v="OPERACIONAL"/>
    <s v="Resolved"/>
    <n v="5"/>
    <s v="mayo"/>
    <n v="2025"/>
    <s v="mayo-2025"/>
    <n v="6"/>
    <s v="junio"/>
    <n v="2025"/>
    <s v="junio-2025"/>
    <n v="27"/>
  </r>
  <r>
    <s v="ESPC360-18427"/>
    <s v="C360_Operacional_Sprint 202"/>
    <s v="ERNESTO Gimeno Valiente"/>
    <s v="Medium"/>
    <s v="CERRADO ITSM"/>
    <d v="2025-06-26T09:51:15"/>
    <s v=""/>
    <d v="2025-05-16T15:10:06"/>
    <d v="2025-06-25T00:00:00"/>
    <d v="2025-06-05T00:00:00"/>
    <s v="C360_Operacional_Sprint 202"/>
    <s v="39"/>
    <s v="OPERACIONAL"/>
    <s v="Resolved"/>
    <n v="5"/>
    <s v="mayo"/>
    <n v="2025"/>
    <s v="mayo-2025"/>
    <n v="6"/>
    <s v="junio"/>
    <n v="2025"/>
    <s v="junio-2025"/>
    <n v="40"/>
  </r>
  <r>
    <s v="ESPC360-18426"/>
    <s v="C360_Operacional_Sprint 201_Dualidad_Gravity"/>
    <s v="ERNESTO Gimeno Valiente"/>
    <s v="Medium"/>
    <s v="CERRADO ITSM"/>
    <d v="2025-06-05T09:29:55"/>
    <s v=""/>
    <d v="2025-05-16T12:43:51"/>
    <d v="2025-06-05T00:00:00"/>
    <s v=""/>
    <s v=""/>
    <s v="19"/>
    <s v="OPERACIONAL"/>
    <s v="Resolved"/>
    <n v="5"/>
    <s v="mayo"/>
    <n v="2025"/>
    <s v="mayo-2025"/>
    <n v="6"/>
    <s v="junio"/>
    <n v="2025"/>
    <s v="junio-2025"/>
    <n v="20"/>
  </r>
  <r>
    <s v="ESPC360-18050"/>
    <s v="C360_Operacional_Sprint 201"/>
    <s v=""/>
    <s v="Medium"/>
    <s v="CERRADO ITSM"/>
    <d v="2025-07-11T09:34:25"/>
    <s v=""/>
    <d v="2025-04-30T18:33:20"/>
    <d v="2025-06-04T00:00:00"/>
    <s v=""/>
    <s v="C360_Operacional_Sprint 201"/>
    <s v="34"/>
    <s v="OPERACIONAL"/>
    <s v="Resolved"/>
    <n v="4"/>
    <s v="abril"/>
    <n v="2025"/>
    <s v="abril-2025"/>
    <n v="6"/>
    <s v="junio"/>
    <n v="2025"/>
    <s v="junio-2025"/>
    <n v="35"/>
  </r>
  <r>
    <s v="ESPC360-17357"/>
    <s v="[CM] ADN360_Sprint 198 Modificaciones Jobs carga-prestamos-bonificaciones-simulacion carga-prestamos-bonificaciones-actual"/>
    <s v="Andrei Brinza"/>
    <s v="Medium"/>
    <s v="CERRADO ITSM"/>
    <d v="2025-06-04T09:34:34"/>
    <s v=""/>
    <d v="2025-04-01T17:38:19"/>
    <d v="2025-06-04T00:00:00"/>
    <d v="2025-04-04T00:00:00"/>
    <s v=""/>
    <s v="63"/>
    <s v="OPERACIONAL"/>
    <s v="Resolved"/>
    <n v="4"/>
    <s v="abril"/>
    <n v="2025"/>
    <s v="abril-2025"/>
    <n v="6"/>
    <s v="junio"/>
    <n v="2025"/>
    <s v="junio-2025"/>
    <n v="64"/>
  </r>
  <r>
    <s v="ESPC360-17664"/>
    <s v="[CM] ADN360_Sprint 198 Creacion Jobs carga-tipos-movimientos , carga-tipos-movimientos-gs"/>
    <s v="Andrei Brinza"/>
    <s v="Medium"/>
    <s v="CERRADO ITSM"/>
    <d v="2025-06-04T09:34:26"/>
    <s v=""/>
    <d v="2025-04-11T13:03:17"/>
    <d v="2025-06-04T00:00:00"/>
    <d v="2025-04-11T00:00:00"/>
    <s v=""/>
    <s v="53"/>
    <s v="OPERACIONAL"/>
    <s v="Resolved"/>
    <n v="4"/>
    <s v="abril"/>
    <n v="2025"/>
    <s v="abril-2025"/>
    <n v="6"/>
    <s v="junio"/>
    <n v="2025"/>
    <s v="junio-2025"/>
    <n v="54"/>
  </r>
  <r>
    <s v="ESPC360-17189"/>
    <s v="[CM] Sprint 198 - [Portal Deudor] update-contratos-opening"/>
    <s v="ERIC REVELLES SEGALES"/>
    <s v="Medium"/>
    <s v="CERRADO ITSM"/>
    <d v="2025-08-26T10:23:15"/>
    <s v=""/>
    <d v="2025-03-27T15:13:37"/>
    <d v="2025-05-22T00:00:00"/>
    <d v="2025-03-27T00:00:00"/>
    <s v=""/>
    <s v="55"/>
    <s v="OPERACIONAL"/>
    <s v="Resolved"/>
    <n v="3"/>
    <s v="marzo"/>
    <n v="2025"/>
    <s v="marzo-2025"/>
    <n v="5"/>
    <s v="mayo"/>
    <n v="2025"/>
    <s v="mayo-2025"/>
    <n v="56"/>
  </r>
  <r>
    <s v="ESPC360-17713"/>
    <s v="C360_Operacional_Sprint 200"/>
    <s v="ERNESTO Gimeno Valiente"/>
    <s v="Medium"/>
    <s v="CERRADO ITSM"/>
    <d v="2025-05-20T01:56:17"/>
    <s v=""/>
    <d v="2025-04-21T17:15:13"/>
    <d v="2025-05-19T00:00:00"/>
    <d v="2025-05-02T00:00:00"/>
    <s v="C360_Operacional_Sprint 200"/>
    <s v="27"/>
    <s v="OPERACIONAL"/>
    <s v="Resolved"/>
    <n v="4"/>
    <s v="abril"/>
    <n v="2025"/>
    <s v="abril-2025"/>
    <n v="5"/>
    <s v="mayo"/>
    <n v="2025"/>
    <s v="mayo-2025"/>
    <n v="28"/>
  </r>
  <r>
    <s v="ESPC360-16743"/>
    <s v="[CM] Sprint 197 - [Databricks] - Modificar la malla Control-M en PRE para engancharlo a las condiciones de ingesta cloud"/>
    <s v="BORJA CORTIJO LAJARA"/>
    <s v="Medium"/>
    <s v="CERRADO ITSM"/>
    <d v="2025-08-26T10:23:53"/>
    <s v=""/>
    <d v="2025-03-11T11:15:21"/>
    <d v="2025-05-19T00:00:00"/>
    <d v="2025-03-11T00:00:00"/>
    <s v=""/>
    <s v="68"/>
    <s v="OPERACIONAL"/>
    <s v="Resolved"/>
    <n v="3"/>
    <s v="marzo"/>
    <n v="2025"/>
    <s v="marzo-2025"/>
    <n v="5"/>
    <s v="mayo"/>
    <n v="2025"/>
    <s v="mayo-2025"/>
    <n v="69"/>
  </r>
  <r>
    <s v="ESPC360-17055"/>
    <s v="C360_Operacional_Sprint 198"/>
    <s v=""/>
    <s v="Medium"/>
    <s v="CERRADO ITSM"/>
    <d v="2025-05-07T13:57:37"/>
    <s v=""/>
    <d v="2025-03-20T14:43:43"/>
    <d v="2025-05-07T00:00:00"/>
    <d v="2025-04-04T00:00:00"/>
    <s v="C360_Operacional_Sprint 198"/>
    <s v="47"/>
    <s v="OPERACIONAL"/>
    <s v="Resolved"/>
    <n v="3"/>
    <s v="marzo"/>
    <n v="2025"/>
    <s v="marzo-2025"/>
    <n v="5"/>
    <s v="mayo"/>
    <n v="2025"/>
    <s v="mayo-2025"/>
    <n v="48"/>
  </r>
  <r>
    <s v="ESPC360-18044"/>
    <s v="C360_Operacional_HotFix_BGM"/>
    <s v="ERNESTO Gimeno Valiente"/>
    <s v="Medium"/>
    <s v="CERRADO ITSM"/>
    <d v="2025-05-07T02:40:43"/>
    <s v=""/>
    <d v="2025-04-30T13:34:54"/>
    <d v="2025-05-07T00:00:00"/>
    <s v=""/>
    <s v=""/>
    <s v="5"/>
    <s v="OPERACIONAL"/>
    <s v="Resolved"/>
    <n v="4"/>
    <s v="abril"/>
    <n v="2025"/>
    <s v="abril-2025"/>
    <n v="5"/>
    <s v="mayo"/>
    <n v="2025"/>
    <s v="mayo-2025"/>
    <n v="7"/>
  </r>
  <r>
    <s v="ESPC360-17446"/>
    <s v="C360_Operacional_Sprint 199"/>
    <s v="ERNESTO Gimeno Valiente"/>
    <s v="Medium"/>
    <s v="CERRADO ITSM"/>
    <d v="2025-05-09T08:14:32"/>
    <s v=""/>
    <d v="2025-04-03T16:11:21"/>
    <d v="2025-05-07T00:00:00"/>
    <d v="2025-04-22T00:00:00"/>
    <s v="C360_Operacional_Sprint 199"/>
    <s v="32"/>
    <s v="OPERACIONAL"/>
    <s v="Resolved"/>
    <n v="4"/>
    <s v="abril"/>
    <n v="2025"/>
    <s v="abril-2025"/>
    <n v="5"/>
    <s v="mayo"/>
    <n v="2025"/>
    <s v="mayo-2025"/>
    <n v="34"/>
  </r>
  <r>
    <s v="ESPC360-17380"/>
    <s v="C360_Operacional_HotFix_Servicios_Digitales_Santander_Go"/>
    <s v="ERNESTO Gimeno Valiente"/>
    <s v="Medium"/>
    <s v="CERRADO ITSM"/>
    <d v="2025-05-07T02:40:19"/>
    <s v=""/>
    <d v="2025-04-03T12:35:55"/>
    <d v="2025-05-07T00:00:00"/>
    <d v="2025-05-05T00:00:00"/>
    <s v=""/>
    <s v="32"/>
    <s v="OPERACIONAL"/>
    <s v="Resolved"/>
    <n v="4"/>
    <s v="abril"/>
    <n v="2025"/>
    <s v="abril-2025"/>
    <n v="5"/>
    <s v="mayo"/>
    <n v="2025"/>
    <s v="mayo-2025"/>
    <n v="34"/>
  </r>
  <r>
    <s v="ESPC360-16744"/>
    <s v="[CM] Desplanificación fichero ingesta planesempleo proceso en PRE"/>
    <s v="BORJA CORTIJO LAJARA"/>
    <s v="Medium"/>
    <s v="CERRADO ITSM"/>
    <d v="2025-04-23T14:46:37"/>
    <s v=""/>
    <d v="2025-03-11T11:28:14"/>
    <d v="2025-04-23T00:00:00"/>
    <d v="2025-03-13T00:00:00"/>
    <s v=""/>
    <s v="42"/>
    <s v="OPERACIONAL"/>
    <s v="Resolved"/>
    <n v="3"/>
    <s v="marzo"/>
    <n v="2025"/>
    <s v="marzo-2025"/>
    <n v="4"/>
    <s v="abril"/>
    <n v="2025"/>
    <s v="abril-2025"/>
    <n v="43"/>
  </r>
  <r>
    <s v="ESPC360-17120"/>
    <s v="[CM] Sprint 198 - [Portal Deudor] Batch para cargar las cestas/agrupaciones asociadas a los contratos"/>
    <s v="JOSE FELIZ HERNANDEZ"/>
    <s v="Medium"/>
    <s v="CERRADO ITSM"/>
    <d v="2025-08-26T10:23:21"/>
    <s v=""/>
    <d v="2025-03-24T15:51:34"/>
    <d v="2025-04-22T00:00:00"/>
    <s v=""/>
    <s v=""/>
    <s v="28"/>
    <s v="OPERACIONAL"/>
    <s v="Resolved"/>
    <n v="3"/>
    <s v="marzo"/>
    <n v="2025"/>
    <s v="marzo-2025"/>
    <n v="4"/>
    <s v="abril"/>
    <n v="2025"/>
    <s v="abril-2025"/>
    <n v="29"/>
  </r>
  <r>
    <s v="ESPC360-16230"/>
    <s v="[CM] Sprint 196 - [SmartPricing] Creación proceso Batch actualización"/>
    <s v="CARLOS Camacho Menchero"/>
    <s v="Medium"/>
    <s v="CERRADO ITSM"/>
    <d v="2025-08-26T10:25:55"/>
    <s v=""/>
    <d v="2025-02-26T09:00:37"/>
    <d v="2025-04-11T00:00:00"/>
    <d v="2025-02-26T00:00:00"/>
    <s v=""/>
    <s v="43"/>
    <s v="OPERACIONAL"/>
    <s v="Resolved"/>
    <n v="2"/>
    <s v="febrero"/>
    <n v="2025"/>
    <s v="febrero-2025"/>
    <n v="4"/>
    <s v="abril"/>
    <n v="2025"/>
    <s v="abril-2025"/>
    <n v="44"/>
  </r>
  <r>
    <s v="ESPC360-16562"/>
    <s v="C360_Operacional_Sprint 197"/>
    <s v="ERNESTO Gimeno Valiente"/>
    <s v="Medium"/>
    <s v="CERRADO ITSM"/>
    <d v="2025-04-09T12:33:50"/>
    <s v=""/>
    <d v="2025-03-06T13:08:32"/>
    <d v="2025-04-09T00:00:00"/>
    <d v="2025-03-25T00:00:00"/>
    <s v="C360_Operacional_Sprint 197"/>
    <s v="33"/>
    <s v="OPERACIONAL"/>
    <s v="Resolved"/>
    <n v="3"/>
    <s v="marzo"/>
    <n v="2025"/>
    <s v="marzo-2025"/>
    <n v="4"/>
    <s v="abril"/>
    <n v="2025"/>
    <s v="abril-2025"/>
    <n v="34"/>
  </r>
  <r>
    <s v="ESPC360-16947"/>
    <s v="C360_Operacional_Fix_Recarga_TasasDemora_préstamos"/>
    <s v="ERNESTO Gimeno Valiente"/>
    <s v="Medium"/>
    <s v="CERRADO ITSM"/>
    <d v="2025-04-03T11:26:51"/>
    <s v=""/>
    <d v="2025-03-18T13:56:45"/>
    <d v="2025-04-03T00:00:00"/>
    <d v="2025-03-21T00:00:00"/>
    <s v=""/>
    <s v="15"/>
    <s v="OPERACIONAL"/>
    <s v="Resolved"/>
    <n v="3"/>
    <s v="marzo"/>
    <n v="2025"/>
    <s v="marzo-2025"/>
    <n v="4"/>
    <s v="abril"/>
    <n v="2025"/>
    <s v="abril-2025"/>
    <n v="16"/>
  </r>
  <r>
    <s v="ESPC360-16517"/>
    <s v="[CM] ADN360_Sprint 196 Nuevo Job  update-contratos-ico"/>
    <s v="CARLOS Camacho Menchero"/>
    <s v="Medium"/>
    <s v="CERRADO ITSM"/>
    <d v="2025-03-31T18:28:21"/>
    <s v=""/>
    <d v="2025-03-04T13:02:23"/>
    <d v="2025-03-31T00:00:00"/>
    <d v="2025-03-04T00:00:00"/>
    <s v=""/>
    <s v="26"/>
    <s v="OPERACIONAL"/>
    <s v="Resolved"/>
    <n v="3"/>
    <s v="marzo"/>
    <n v="2025"/>
    <s v="marzo-2025"/>
    <n v="3"/>
    <s v="marzo"/>
    <n v="2025"/>
    <s v="marzo-2025"/>
    <n v="27"/>
  </r>
  <r>
    <s v="ESPC360-16212"/>
    <s v="[CM] ADN360_Sprint 195 Nuevo Job update-contratos-titulizados"/>
    <s v="CARLOS Camacho Menchero"/>
    <s v="Medium"/>
    <s v="CERRADO ITSM"/>
    <d v="2025-03-24T12:11:59"/>
    <s v=""/>
    <d v="2025-02-25T11:09:59"/>
    <d v="2025-03-24T00:00:00"/>
    <d v="2025-02-25T00:00:00"/>
    <s v=""/>
    <s v="26"/>
    <s v="OPERACIONAL"/>
    <s v="Resolved"/>
    <n v="2"/>
    <s v="febrero"/>
    <n v="2025"/>
    <s v="febrero-2025"/>
    <n v="3"/>
    <s v="marzo"/>
    <n v="2025"/>
    <s v="marzo-2025"/>
    <n v="27"/>
  </r>
  <r>
    <s v="ESPC360-16862"/>
    <s v="C360_Operacional_FIX_Tarjetas"/>
    <s v="ERNESTO Gimeno Valiente"/>
    <s v="Medium"/>
    <s v="CERRADO ITSM"/>
    <d v="2025-03-19T14:37:12"/>
    <s v=""/>
    <d v="2025-03-14T11:28:29"/>
    <d v="2025-03-19T00:00:00"/>
    <d v="2025-03-14T00:00:00"/>
    <s v=""/>
    <s v="4"/>
    <s v="OPERACIONAL"/>
    <s v="Resolved"/>
    <n v="3"/>
    <s v="marzo"/>
    <n v="2025"/>
    <s v="marzo-2025"/>
    <n v="3"/>
    <s v="marzo"/>
    <n v="2025"/>
    <s v="marzo-2025"/>
    <n v="5"/>
  </r>
  <r>
    <s v="ESPC360-16098"/>
    <s v="C360_Operacional_Sprint 196"/>
    <s v="ERNESTO Gimeno Valiente"/>
    <s v="Medium"/>
    <s v="CERRADO ITSM"/>
    <d v="2025-03-19T14:34:03"/>
    <s v=""/>
    <d v="2025-02-20T14:19:33"/>
    <d v="2025-03-19T00:00:00"/>
    <d v="2025-03-07T00:00:00"/>
    <s v="C360_Operacional_Sprint 196"/>
    <s v="26"/>
    <s v="OPERACIONAL"/>
    <s v="Resolved"/>
    <n v="2"/>
    <s v="febrero"/>
    <n v="2025"/>
    <s v="febrero-2025"/>
    <n v="3"/>
    <s v="marzo"/>
    <n v="2025"/>
    <s v="marzo-2025"/>
    <n v="27"/>
  </r>
  <r>
    <s v="ESPC360-16688"/>
    <s v="C360_Operacional_HotFix_Front"/>
    <s v="ERNESTO Gimeno Valiente"/>
    <s v="Medium"/>
    <s v="CERRADO ITSM"/>
    <d v="2025-03-12T00:34:15"/>
    <s v=""/>
    <d v="2025-03-07T10:13:30"/>
    <d v="2025-03-11T00:00:00"/>
    <d v="2025-03-07T00:00:00"/>
    <s v=""/>
    <s v="3"/>
    <s v="OPERACIONAL"/>
    <s v="Resolved"/>
    <n v="3"/>
    <s v="marzo"/>
    <n v="2025"/>
    <s v="marzo-2025"/>
    <n v="3"/>
    <s v="marzo"/>
    <n v="2025"/>
    <s v="marzo-2025"/>
    <n v="4"/>
  </r>
  <r>
    <s v="ESPC360-15720"/>
    <s v="[CM] Sprint 195 - Despliegue Databricks cdp360"/>
    <s v="CARLOS Camacho Menchero"/>
    <s v="Medium"/>
    <s v="CERRADO ITSM"/>
    <d v="2025-08-26T10:28:53"/>
    <s v=""/>
    <d v="2025-02-13T10:30:47"/>
    <d v="2025-03-07T00:00:00"/>
    <d v="2025-02-13T00:00:00"/>
    <s v=""/>
    <s v="21"/>
    <s v="OPERACIONAL"/>
    <s v="Resolved"/>
    <n v="2"/>
    <s v="febrero"/>
    <n v="2025"/>
    <s v="febrero-2025"/>
    <n v="3"/>
    <s v="marzo"/>
    <n v="2025"/>
    <s v="marzo-2025"/>
    <n v="22"/>
  </r>
  <r>
    <s v="ESPC360-16226"/>
    <s v="C360_Operacional_HotFix_Movimientos"/>
    <s v="ERNESTO Gimeno Valiente"/>
    <s v="Medium"/>
    <s v="CERRADO ITSM"/>
    <d v="2025-03-05T01:20:16"/>
    <s v=""/>
    <d v="2025-02-25T17:21:53"/>
    <d v="2025-03-05T00:00:00"/>
    <d v="2025-02-28T00:00:00"/>
    <s v=""/>
    <s v="6"/>
    <s v="OPERACIONAL"/>
    <s v="Resolved"/>
    <n v="2"/>
    <s v="febrero"/>
    <n v="2025"/>
    <s v="febrero-2025"/>
    <n v="3"/>
    <s v="marzo"/>
    <n v="2025"/>
    <s v="marzo-2025"/>
    <n v="8"/>
  </r>
  <r>
    <s v="ESPC360-15489"/>
    <s v="C360_Operacional_Sprint 195"/>
    <s v="ERNESTO Gimeno Valiente"/>
    <s v="Medium"/>
    <s v="CERRADO ITSM"/>
    <d v="2025-05-22T13:44:33"/>
    <s v=""/>
    <d v="2025-02-06T13:26:30"/>
    <d v="2025-03-05T00:00:00"/>
    <d v="2025-02-21T00:00:00"/>
    <s v="Migración lago - Batch adn360-batch-international-payments"/>
    <s v="25"/>
    <s v="OPERACIONAL"/>
    <s v="Resolved"/>
    <n v="2"/>
    <s v="febrero"/>
    <n v="2025"/>
    <s v="febrero-2025"/>
    <n v="3"/>
    <s v="marzo"/>
    <n v="2025"/>
    <s v="marzo-2025"/>
    <n v="27"/>
  </r>
  <r>
    <s v="ESPC360-15448"/>
    <s v="[CM] Sprint_194 Nuevo Job carga-divisas-precision"/>
    <s v="CARLOS Camacho Menchero"/>
    <s v="Medium"/>
    <s v="CERRADO ITSM"/>
    <d v="2025-03-03T16:28:09"/>
    <s v=""/>
    <d v="2025-02-04T16:19:04"/>
    <d v="2025-03-03T00:00:00"/>
    <d v="2025-02-10T00:00:00"/>
    <s v=""/>
    <s v="26"/>
    <s v="OPERACIONAL"/>
    <s v="Resolved"/>
    <n v="2"/>
    <s v="febrero"/>
    <n v="2025"/>
    <s v="febrero-2025"/>
    <n v="3"/>
    <s v="marzo"/>
    <n v="2025"/>
    <s v="marzo-2025"/>
    <n v="27"/>
  </r>
  <r>
    <s v="ESPC360-15926"/>
    <s v="[CM]- Databricks Movimientos Cuentas"/>
    <s v="CARLOS Camacho Menchero"/>
    <s v="Medium"/>
    <s v="CERRADO ITSM"/>
    <d v="2025-08-26T10:28:12"/>
    <s v=""/>
    <d v="2025-02-13T17:36:43"/>
    <d v="2025-03-03T00:00:00"/>
    <d v="2025-02-13T00:00:00"/>
    <s v=""/>
    <s v="17"/>
    <s v="OPERACIONAL"/>
    <s v="Resolved"/>
    <n v="2"/>
    <s v="febrero"/>
    <n v="2025"/>
    <s v="febrero-2025"/>
    <n v="3"/>
    <s v="marzo"/>
    <n v="2025"/>
    <s v="marzo-2025"/>
    <n v="18"/>
  </r>
  <r>
    <s v="ESPC360-13775"/>
    <s v="[CM] Sprint 190 - Santander GO"/>
    <s v="CARLOS Camacho Menchero"/>
    <s v="Medium"/>
    <s v="CERRADO ITSM"/>
    <d v="2025-08-26T10:35:59"/>
    <s v=""/>
    <d v="2024-11-29T09:35:24"/>
    <d v="2025-02-28T00:00:00"/>
    <d v="2024-11-29T00:00:00"/>
    <s v="C360_Operacional_Sprint 173"/>
    <s v="90"/>
    <s v="OPERACIONAL"/>
    <s v="Resolved"/>
    <n v="11"/>
    <s v="noviembre"/>
    <n v="2024"/>
    <s v="noviembre-2024"/>
    <n v="2"/>
    <s v="febrero"/>
    <n v="2025"/>
    <s v="febrero-2025"/>
    <n v="91"/>
  </r>
  <r>
    <s v="ESPC360-15635"/>
    <s v="Despliegue Batch Databricks CDP360"/>
    <s v="ERNESTO Gimeno Valiente"/>
    <s v="Medium"/>
    <s v="CERRADO ITSM"/>
    <d v="2025-02-24T17:36:39"/>
    <s v=""/>
    <d v="2025-02-10T10:38:58"/>
    <d v="2025-02-24T00:00:00"/>
    <d v="2025-02-10T00:00:00"/>
    <s v="Despliegue Batch Databricks CDP360"/>
    <s v="13"/>
    <s v="OPERACIONAL"/>
    <s v="Resolved"/>
    <n v="2"/>
    <s v="febrero"/>
    <n v="2025"/>
    <s v="febrero-2025"/>
    <n v="2"/>
    <s v="febrero"/>
    <n v="2025"/>
    <s v="febrero-2025"/>
    <n v="14"/>
  </r>
  <r>
    <s v="ESPC360-14953"/>
    <s v="C360_Operacional_Sprint 194"/>
    <s v="ERNESTO Gimeno Valiente"/>
    <s v="Medium"/>
    <s v="CERRADO ITSM"/>
    <d v="2025-02-20T09:11:57"/>
    <s v=""/>
    <d v="2025-01-23T13:30:03"/>
    <d v="2025-02-20T00:00:00"/>
    <d v="2025-02-06T00:00:00"/>
    <s v="C360_Operacional_Sprint 194"/>
    <s v="27"/>
    <s v="OPERACIONAL"/>
    <s v="Resolved"/>
    <n v="1"/>
    <s v="enero"/>
    <n v="2025"/>
    <s v="enero-2025"/>
    <n v="2"/>
    <s v="febrero"/>
    <n v="2025"/>
    <s v="febrero-2025"/>
    <n v="28"/>
  </r>
  <r>
    <s v="ESPC360-15487"/>
    <s v="[CM] Desplanificación PADN108D y IADN108D"/>
    <s v="Arturo Ruiz Simon"/>
    <s v="Medium"/>
    <s v="CERRADO ITSM"/>
    <d v="2025-02-19T12:46:41"/>
    <s v=""/>
    <d v="2025-02-06T13:12:09"/>
    <d v="2025-02-19T00:00:00"/>
    <d v="2025-02-13T00:00:00"/>
    <s v=""/>
    <s v="12"/>
    <s v="OPERACIONAL"/>
    <s v="Resolved"/>
    <n v="2"/>
    <s v="febrero"/>
    <n v="2025"/>
    <s v="febrero-2025"/>
    <n v="2"/>
    <s v="febrero"/>
    <n v="2025"/>
    <s v="febrero-2025"/>
    <n v="13"/>
  </r>
  <r>
    <s v="ESPC360-14498"/>
    <s v="[CM] Sprint 193 - Databricks Bloque 4"/>
    <s v="CARLOS Camacho Menchero"/>
    <s v="Medium"/>
    <s v="CERRADO ITSM"/>
    <d v="2025-08-26T10:32:07"/>
    <s v=""/>
    <d v="2025-01-16T09:16:42"/>
    <d v="2025-02-18T00:00:00"/>
    <d v="2025-01-16T00:00:00"/>
    <s v=""/>
    <s v="32"/>
    <s v="OPERACIONAL"/>
    <s v="Resolved"/>
    <n v="1"/>
    <s v="enero"/>
    <n v="2025"/>
    <s v="enero-2025"/>
    <n v="2"/>
    <s v="febrero"/>
    <n v="2025"/>
    <s v="febrero-2025"/>
    <n v="33"/>
  </r>
  <r>
    <s v="ESPC360-13826"/>
    <s v="[CM] Modificacion horario jobs ADN360"/>
    <s v=""/>
    <s v="Medium"/>
    <s v="CERRADO ITSM"/>
    <d v="2025-02-13T07:16:21"/>
    <s v=""/>
    <d v="2024-12-04T13:42:39"/>
    <d v="2025-02-13T00:00:00"/>
    <d v="2024-12-30T00:00:00"/>
    <s v=""/>
    <s v="69"/>
    <s v="OPERACIONAL"/>
    <s v="Resolved"/>
    <n v="12"/>
    <s v="diciembre"/>
    <n v="2024"/>
    <s v="diciembre-2024"/>
    <n v="2"/>
    <s v="febrero"/>
    <n v="2025"/>
    <s v="febrero-2025"/>
    <n v="71"/>
  </r>
  <r>
    <s v="ESPC360-14394"/>
    <s v="C360_Operacional_Sprint 193"/>
    <s v="ERNESTO Gimeno Valiente"/>
    <s v="Medium"/>
    <s v="CERRADO ITSM"/>
    <d v="2025-02-11T08:22:29"/>
    <s v=""/>
    <d v="2025-01-09T16:08:14"/>
    <d v="2025-02-05T00:00:00"/>
    <d v="2025-01-23T00:00:00"/>
    <s v="C360_Operacional_Sprint 193"/>
    <s v="26"/>
    <s v="OPERACIONAL"/>
    <s v="Resolved"/>
    <n v="1"/>
    <s v="enero"/>
    <n v="2025"/>
    <s v="enero-2025"/>
    <n v="2"/>
    <s v="febrero"/>
    <n v="2025"/>
    <s v="febrero-2025"/>
    <n v="27"/>
  </r>
  <r>
    <s v="ESPC360-14429"/>
    <s v="Sprint 189 - Databricks - Despliegue y activación con test-script de componentes batch (4/4)"/>
    <s v="JOSE FELIZ HERNANDEZ"/>
    <s v="Medium"/>
    <s v="CERRADO ITSM"/>
    <d v="2025-02-11T08:22:31"/>
    <s v=""/>
    <d v="2025-01-13T10:23:30"/>
    <d v="2025-01-29T00:00:00"/>
    <d v="2025-01-13T00:00:00"/>
    <s v="Sprint 189 - Databricks - Despliegue y activación con test-script de componentes batch (4/4)"/>
    <s v="15"/>
    <s v="OPERACIONAL"/>
    <s v="Resolved"/>
    <n v="1"/>
    <s v="enero"/>
    <n v="2025"/>
    <s v="enero-2025"/>
    <n v="1"/>
    <s v="enero"/>
    <n v="2025"/>
    <s v="enero-2025"/>
    <n v="16"/>
  </r>
  <r>
    <s v="ESPC360-14111"/>
    <s v="C360_Operacional_Sprint 192"/>
    <s v="ERNESTO Gimeno Valiente"/>
    <s v="Medium"/>
    <s v="CERRADO ITSM"/>
    <d v="2025-02-11T08:22:28"/>
    <s v=""/>
    <d v="2024-12-19T13:58:31"/>
    <d v="2025-01-22T00:00:00"/>
    <d v="2025-01-13T00:00:00"/>
    <s v="C360_Operacional_Sprint 192"/>
    <s v="33"/>
    <s v="OPERACIONAL"/>
    <s v="Resolved"/>
    <n v="12"/>
    <s v="diciembre"/>
    <n v="2024"/>
    <s v="diciembre-2024"/>
    <n v="1"/>
    <s v="enero"/>
    <n v="2025"/>
    <s v="enero-2025"/>
    <n v="34"/>
  </r>
  <r>
    <s v="ESPC360-11498"/>
    <s v="C360_Operacional_Sprint 183 - Movimientos Cuentas AVRO"/>
    <s v="ERNESTO Gimeno Valiente"/>
    <s v="Medium"/>
    <s v="CERRADO ITSM"/>
    <d v="2025-02-11T08:22:23"/>
    <s v=""/>
    <d v="2024-09-17T09:31:13"/>
    <d v="2025-01-17T00:00:00"/>
    <d v="2024-09-17T00:00:00"/>
    <s v="C360_Operacional_Sprint 184"/>
    <s v="121"/>
    <s v="OPERACIONAL"/>
    <s v="Resolved"/>
    <n v="9"/>
    <s v="septiembre"/>
    <n v="2024"/>
    <s v="septiembre-2024"/>
    <n v="1"/>
    <s v="enero"/>
    <n v="2025"/>
    <s v="enero-2025"/>
    <n v="122"/>
  </r>
  <r>
    <s v="ESPC360-13855"/>
    <s v="C360_Operacional_Sprint 191"/>
    <s v="ERNESTO Gimeno Valiente"/>
    <s v="Medium"/>
    <s v="CERRADO ITSM"/>
    <d v="2025-02-11T08:22:32"/>
    <s v=""/>
    <d v="2024-12-05T16:22:05"/>
    <d v="2025-01-17T00:00:00"/>
    <d v="2024-12-20T00:00:00"/>
    <s v="C360_Operacional_Sprint 191"/>
    <s v="42"/>
    <s v="OPERACIONAL"/>
    <s v="Resolved"/>
    <n v="12"/>
    <s v="diciembre"/>
    <n v="2024"/>
    <s v="diciembre-2024"/>
    <n v="1"/>
    <s v="enero"/>
    <n v="2025"/>
    <s v="enero-2025"/>
    <n v="43"/>
  </r>
  <r>
    <s v="ESPC360-13475"/>
    <s v="C360_Operacional_Sprint 190"/>
    <s v="ERNESTO Gimeno Valiente"/>
    <s v="Medium"/>
    <s v="CERRADO ITSM"/>
    <d v="2025-02-14T10:21:04"/>
    <s v=""/>
    <d v="2024-11-21T13:49:44"/>
    <d v="2025-01-17T00:00:00"/>
    <d v="2024-12-10T00:00:00"/>
    <s v="C360_Operacional_Sprint 190"/>
    <s v="56"/>
    <s v="OPERACIONAL"/>
    <s v="Resolved"/>
    <n v="11"/>
    <s v="noviembre"/>
    <n v="2024"/>
    <s v="noviembre-2024"/>
    <n v="1"/>
    <s v="enero"/>
    <n v="2025"/>
    <s v="enero-2025"/>
    <n v="57"/>
  </r>
  <r>
    <s v="ESPC360-13290"/>
    <s v="Sprint 189 - Databricks - Despliegue y activación con test-script de componentes batch (3/4)"/>
    <s v="ERNESTO Gimeno Valiente"/>
    <s v="Medium"/>
    <s v="CERRADO ITSM"/>
    <d v="2025-02-11T08:22:27"/>
    <s v=""/>
    <d v="2024-11-14T16:50:24"/>
    <d v="2025-01-17T00:00:00"/>
    <d v="2025-01-09T00:00:00"/>
    <s v="Sprint 189 - Databricks - Despliegue y activación con test-script de componentes batch (3/4)"/>
    <s v="63"/>
    <s v="OPERACIONAL"/>
    <s v="Resolved"/>
    <n v="11"/>
    <s v="noviembre"/>
    <n v="2024"/>
    <s v="noviembre-2024"/>
    <n v="1"/>
    <s v="enero"/>
    <n v="2025"/>
    <s v="enero-2025"/>
    <n v="64"/>
  </r>
  <r>
    <s v="ESPC360-11178"/>
    <s v="[CM] Sprint 183 - update-contratos-planeta-seguros"/>
    <s v="GONZALO GARCIA MORENO"/>
    <s v="Medium"/>
    <s v="CERRADO ITSM"/>
    <d v="2025-08-26T10:43:45"/>
    <s v=""/>
    <d v="2024-09-02T11:22:02"/>
    <d v="2025-01-13T00:00:00"/>
    <d v="2024-09-11T00:00:00"/>
    <s v="[CM] Sprint 183 - update-contratos-planeta-seguros"/>
    <s v="132"/>
    <s v="OPERACIONAL"/>
    <s v="Resolved"/>
    <n v="9"/>
    <s v="septiembre"/>
    <n v="2024"/>
    <s v="septiembre-2024"/>
    <n v="1"/>
    <s v="enero"/>
    <n v="2025"/>
    <s v="enero-2025"/>
    <n v="133"/>
  </r>
  <r>
    <s v="ESPC360-12718"/>
    <s v="[CM ] Sprint 187 - categorizacion movimientos cuentas ATLAS (gs) y OnPremise"/>
    <s v=""/>
    <s v="Medium"/>
    <s v="CERRADO ITSM"/>
    <d v="2025-02-11T17:22:39"/>
    <s v=""/>
    <d v="2024-10-25T11:43:59"/>
    <d v="2025-01-07T00:00:00"/>
    <s v=""/>
    <s v=""/>
    <s v="73"/>
    <s v="OPERACIONAL"/>
    <s v="Resolved"/>
    <n v="10"/>
    <s v="octubre"/>
    <n v="2024"/>
    <s v="octubre-2024"/>
    <n v="1"/>
    <s v="enero"/>
    <n v="2025"/>
    <s v="enero-2025"/>
    <n v="74"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C7251-2F6A-46AA-AE8F-FC18D81294A7}" name="TablaDinámica10" cacheId="7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48:B57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axis="axisRow" showAll="0">
      <items count="15">
        <item m="1" x="9"/>
        <item m="1" x="11"/>
        <item m="1" x="13"/>
        <item x="4"/>
        <item x="1"/>
        <item m="1" x="10"/>
        <item m="1" x="12"/>
        <item x="2"/>
        <item x="6"/>
        <item x="5"/>
        <item x="7"/>
        <item x="3"/>
        <item m="1" x="8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9">
    <i>
      <x v="3"/>
    </i>
    <i>
      <x v="4"/>
    </i>
    <i>
      <x v="7"/>
    </i>
    <i>
      <x v="8"/>
    </i>
    <i>
      <x v="9"/>
    </i>
    <i>
      <x v="10"/>
    </i>
    <i>
      <x v="11"/>
    </i>
    <i>
      <x v="13"/>
    </i>
    <i t="grand">
      <x/>
    </i>
  </rowItems>
  <colItems count="1">
    <i/>
  </colItems>
  <dataFields count="1">
    <dataField name="Cuenta de Bugs" fld="0" subtotal="count" baseField="0" baseItem="0" numFmtId="3"/>
  </dataFields>
  <formats count="3">
    <format dxfId="14">
      <pivotArea type="topRight" dataOnly="0" labelOnly="1" outline="0" fieldPosition="0"/>
    </format>
    <format dxfId="13">
      <pivotArea grandCol="1" outline="0" collapsedLevelsAreSubtotals="1" fieldPosition="0"/>
    </format>
    <format dxfId="12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B6320-8BEF-4010-93E7-9611A763B1EA}" name="TablaDinámica4" cacheId="7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3:A194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Promedio de Dias abiertos" fld="22" subtotal="average" baseField="9" baseItem="1" numFmtId="2"/>
  </dataFields>
  <formats count="1">
    <format dxfId="15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60605-7A98-44E3-A6E8-AD781005429C}" name="TablaDinámica2" cacheId="7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6:B155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m="1" x="10"/>
        <item m="1" x="11"/>
        <item m="1" x="12"/>
        <item x="5"/>
        <item x="6"/>
        <item x="2"/>
        <item x="4"/>
        <item x="7"/>
        <item x="3"/>
        <item x="1"/>
        <item m="1" x="9"/>
        <item m="1" x="13"/>
        <item m="1" x="8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3"/>
    </i>
    <i t="grand">
      <x/>
    </i>
  </rowItems>
  <colItems count="1">
    <i/>
  </colItems>
  <dataFields count="1">
    <dataField name="Cuenta de Key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04A39-F80B-482D-88B5-3BFDF62C46B0}" name="TablaDinámica5" cacheId="7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01:B204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x="0"/>
        <item x="1"/>
        <item m="1" x="3"/>
        <item t="default"/>
      </items>
    </pivotField>
    <pivotField dataField="1" showAll="0"/>
  </pivotFields>
  <rowFields count="1">
    <field x="23"/>
  </rowFields>
  <rowItems count="3">
    <i>
      <x v="1"/>
    </i>
    <i>
      <x v="2"/>
    </i>
    <i t="grand">
      <x/>
    </i>
  </rowItems>
  <colItems count="1">
    <i/>
  </colItems>
  <dataFields count="1">
    <dataField name="Cuenta de Cumple SLA" fld="2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79B63-40A0-4DDC-BD9E-1B087C8B926D}" name="TablaDinámica7" cacheId="7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7" firstHeaderRow="0" firstDataRow="0" firstDataCol="0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m="1" x="11"/>
        <item x="4"/>
        <item x="3"/>
        <item x="1"/>
        <item m="1" x="10"/>
        <item m="1" x="12"/>
        <item x="2"/>
        <item x="6"/>
        <item x="5"/>
        <item x="7"/>
        <item m="1" x="9"/>
        <item m="1" x="13"/>
        <item m="1" x="8"/>
        <item x="0"/>
        <item t="default"/>
      </items>
    </pivotField>
    <pivotField showAll="0"/>
    <pivotField showAll="0"/>
    <pivotField showAll="0"/>
    <pivotField showAll="0"/>
  </pivotFields>
  <pageFields count="1">
    <pageField fld="17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D5C70-405D-449F-B5AD-9735778D7FC1}" name="TablaDinámica6" cacheId="7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30:B139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m="1" x="10"/>
        <item m="1" x="11"/>
        <item x="1"/>
        <item m="1" x="12"/>
        <item x="5"/>
        <item x="6"/>
        <item x="2"/>
        <item x="7"/>
        <item x="4"/>
        <item x="3"/>
        <item m="1" x="9"/>
        <item m="1" x="13"/>
        <item m="1" x="8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9">
    <i>
      <x v="2"/>
    </i>
    <i>
      <x v="4"/>
    </i>
    <i>
      <x v="5"/>
    </i>
    <i>
      <x v="6"/>
    </i>
    <i>
      <x v="7"/>
    </i>
    <i>
      <x v="8"/>
    </i>
    <i>
      <x v="9"/>
    </i>
    <i>
      <x v="13"/>
    </i>
    <i t="grand">
      <x/>
    </i>
  </rowItems>
  <colItems count="1">
    <i/>
  </colItems>
  <dataFields count="1">
    <dataField name="Cuenta de Key" fld="0" subtotal="count" baseField="0" baseItem="0"/>
  </dataFields>
  <chartFormats count="1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7C577-35F2-4E67-ADE9-ED2D6E2C87BB}" name="TablaDinámica3" cacheId="7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C12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nonAutoSortDefault="1"/>
    <pivotField showAll="0"/>
    <pivotField showAll="0"/>
    <pivotField axis="axisRow" showAll="0">
      <items count="15">
        <item m="1" x="9"/>
        <item m="1" x="10"/>
        <item m="1" x="11"/>
        <item m="1" x="12"/>
        <item m="1" x="13"/>
        <item x="5"/>
        <item x="6"/>
        <item x="2"/>
        <item x="4"/>
        <item x="3"/>
        <item x="1"/>
        <item x="7"/>
        <item m="1" x="8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9"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Release" fld="0" subtotal="count" baseField="0" baseItem="0"/>
    <dataField name="Promedio de Días Resolucion" fld="13" subtotal="average" baseField="2" baseItem="0"/>
  </dataFields>
  <formats count="4">
    <format dxfId="19">
      <pivotArea type="topRight" dataOnly="0" labelOnly="1" outline="0" fieldPosition="0"/>
    </format>
    <format dxfId="18">
      <pivotArea grandCol="1" outline="0" collapsedLevelsAreSubtotals="1" fieldPosition="0"/>
    </format>
    <format dxfId="17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field="17" grandCol="1" collapsedLevelsAreSubtotals="1" axis="axisRow" fieldPosition="0">
        <references count="2">
          <reference field="4294967294" count="1" selected="0">
            <x v="0"/>
          </reference>
          <reference field="17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11E35-AB61-41E4-8EBA-9E7BE8EAF3C5}" name="TablaDinámica9" cacheId="7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93:A124" firstHeaderRow="1" firstDataRow="1" firstDataCol="1"/>
  <pivotFields count="22">
    <pivotField axis="axisRow" compact="0" outline="0" showAll="0" defaultSubtotal="0">
      <items count="140">
        <item x="29"/>
        <item m="1" x="133"/>
        <item m="1" x="122"/>
        <item m="1" x="129"/>
        <item m="1" x="117"/>
        <item m="1" x="118"/>
        <item m="1" x="123"/>
        <item m="1" x="113"/>
        <item m="1" x="121"/>
        <item m="1" x="120"/>
        <item m="1" x="83"/>
        <item m="1" x="116"/>
        <item m="1" x="80"/>
        <item m="1" x="95"/>
        <item m="1" x="115"/>
        <item m="1" x="107"/>
        <item m="1" x="109"/>
        <item m="1" x="114"/>
        <item m="1" x="108"/>
        <item m="1" x="104"/>
        <item m="1" x="72"/>
        <item m="1" x="77"/>
        <item m="1" x="96"/>
        <item m="1" x="105"/>
        <item m="1" x="75"/>
        <item m="1" x="100"/>
        <item m="1" x="97"/>
        <item m="1" x="102"/>
        <item m="1" x="101"/>
        <item m="1" x="87"/>
        <item m="1" x="82"/>
        <item m="1" x="81"/>
        <item m="1" x="86"/>
        <item m="1" x="79"/>
        <item m="1" x="73"/>
        <item m="1" x="98"/>
        <item m="1" x="90"/>
        <item m="1" x="94"/>
        <item m="1" x="91"/>
        <item m="1" x="84"/>
        <item m="1" x="88"/>
        <item m="1" x="89"/>
        <item m="1" x="70"/>
        <item m="1" x="71"/>
        <item m="1" x="74"/>
        <item m="1" x="76"/>
        <item m="1" x="78"/>
        <item m="1" x="85"/>
        <item m="1" x="92"/>
        <item m="1" x="93"/>
        <item m="1" x="99"/>
        <item m="1" x="103"/>
        <item m="1" x="106"/>
        <item m="1" x="110"/>
        <item m="1" x="111"/>
        <item m="1" x="112"/>
        <item m="1" x="119"/>
        <item m="1" x="124"/>
        <item m="1" x="125"/>
        <item m="1" x="126"/>
        <item m="1" x="127"/>
        <item m="1" x="128"/>
        <item m="1" x="130"/>
        <item m="1" x="131"/>
        <item m="1" x="132"/>
        <item m="1" x="134"/>
        <item m="1" x="135"/>
        <item m="1" x="136"/>
        <item m="1" x="137"/>
        <item m="1" x="138"/>
        <item m="1" x="139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x="27"/>
        <item x="23"/>
        <item x="28"/>
        <item x="26"/>
        <item x="25"/>
        <item x="19"/>
        <item x="24"/>
        <item x="22"/>
        <item x="20"/>
        <item x="21"/>
        <item x="17"/>
        <item x="18"/>
        <item x="9"/>
        <item x="10"/>
        <item x="11"/>
        <item x="12"/>
        <item x="13"/>
        <item x="14"/>
        <item x="15"/>
        <item x="16"/>
        <item m="1" x="30"/>
        <item m="1" x="31"/>
        <item m="1" x="32"/>
        <item m="1" x="33"/>
        <item x="8"/>
        <item x="6"/>
        <item x="7"/>
        <item x="4"/>
        <item x="5"/>
        <item x="0"/>
        <item x="1"/>
        <item x="2"/>
        <item x="3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0"/>
  </rowFields>
  <rowItems count="31">
    <i>
      <x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2EE19-4665-4D50-A391-EDA3D7C7C068}" name="TablaDinámica1" cacheId="7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25:B28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showAll="0" nonAutoSortDefault="1"/>
    <pivotField showAll="0"/>
    <pivotField showAll="0"/>
    <pivotField axis="axisRow" showAll="0">
      <items count="8">
        <item x="3"/>
        <item x="2"/>
        <item h="1" m="1" x="6"/>
        <item h="1" x="4"/>
        <item h="1" m="1" x="5"/>
        <item h="1" x="1"/>
        <item h="1" x="0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uenta de Bugs" fld="0" subtotal="count" baseField="0" baseItem="0" numFmtId="3"/>
  </dataFields>
  <formats count="3">
    <format dxfId="22">
      <pivotArea type="topRight" dataOnly="0" labelOnly="1" outline="0" fieldPosition="0"/>
    </format>
    <format dxfId="21">
      <pivotArea grandCol="1" outline="0" collapsedLevelsAreSubtotals="1" fieldPosition="0"/>
    </format>
    <format dxfId="20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8D89DE-92DF-4819-8620-9EACCBC477E5}" name="Tabla2" displayName="Tabla2" ref="A67:C80" totalsRowCount="1">
  <autoFilter ref="A67:C79" xr:uid="{708D89DE-92DF-4819-8620-9EACCBC477E5}"/>
  <tableColumns count="3">
    <tableColumn id="1" xr3:uid="{068CD51B-0B4A-4180-995E-40D244AD46CF}" name="Mes"/>
    <tableColumn id="2" xr3:uid="{92CECF15-F459-4A99-87A5-39DB5DF693C1}" name="Bugs Abiertos" totalsRowFunction="sum" dataDxfId="11" totalsRowDxfId="10">
      <calculatedColumnFormula>COUNTIFS('Jira BUGS'!R:R,Tabla2[[#This Row],[Mes]])</calculatedColumnFormula>
    </tableColumn>
    <tableColumn id="3" xr3:uid="{82231FE4-2A31-4C49-88B7-98D31CDC79FB}" name="Bugs Cerrados" totalsRowFunction="sum" dataDxfId="9" totalsRowDxfId="8">
      <calculatedColumnFormula>COUNTIFS('Jira BUGS'!V:V,Tabla2[[#This Row],[Mes]])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2E469-37F6-4ED0-B320-3C873CD23423}" name="Tabla1" displayName="Tabla1" ref="A1:H171" totalsRowShown="0" headerRowDxfId="7">
  <autoFilter ref="A1:H171" xr:uid="{92A2E469-37F6-4ED0-B320-3C873CD23423}"/>
  <tableColumns count="8">
    <tableColumn id="1" xr3:uid="{87DE8A5A-C3A0-4ADE-AF94-7E5A3A2FA633}" name="issue">
      <calculatedColumnFormula>'Jira BUGS'!A2</calculatedColumnFormula>
    </tableColumn>
    <tableColumn id="2" xr3:uid="{D8C2D2AD-DCA1-43FB-AA2E-71D2E180037D}" name="Días Resolucion" dataDxfId="6">
      <calculatedColumnFormula>IFERROR(NETWORKDAYS('Jira BUGS'!D2,'Jira BUGS'!E2),0)</calculatedColumnFormula>
    </tableColumn>
    <tableColumn id="3" xr3:uid="{95B74664-BD99-4246-8CA6-37E6B667AEEF}" name="Mes bug creado" dataDxfId="5">
      <calculatedColumnFormula>'Jira BUGS'!O2</calculatedColumnFormula>
    </tableColumn>
    <tableColumn id="4" xr3:uid="{531EEA47-388B-4113-A427-2B54A64D2D29}" name="Mes bug resolucion" dataDxfId="4">
      <calculatedColumnFormula>'Jira BUGS'!S2</calculatedColumnFormula>
    </tableColumn>
    <tableColumn id="5" xr3:uid="{CDC9E5AA-C647-4534-9545-B53B90843AA7}" name="Prioridad">
      <calculatedColumnFormula>'Jira BUGS'!J2</calculatedColumnFormula>
    </tableColumn>
    <tableColumn id="6" xr3:uid="{15D8681A-FBEF-41CD-B16C-E02B935E4DCF}" name="Componente">
      <calculatedColumnFormula>'Jira BUGS'!C2</calculatedColumnFormula>
    </tableColumn>
    <tableColumn id="8" xr3:uid="{EE74FBE3-4650-4FBD-BD9A-821F51678A61}" name="Origen Bug" dataDxfId="3">
      <calculatedColumnFormula>'Jira BUGS'!G2</calculatedColumnFormula>
    </tableColumn>
    <tableColumn id="7" xr3:uid="{F17E8584-5272-4D49-95F5-4FA2D6BD1192}" name="Columna1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1YWQxMTMwZi0xYzczLTQ4ZGYtOWVhYy1iZDJjMWY4OTNlNGEiLCJhdWQiOiJkZXNrdG9wIiwiZXhwIjoxNzI4MzkwMDI0LCJuYmYiOjE3MjgzODgyMjQsImlhdCI6MTcyODM4ODIyNCwianRpIjoiZjM3ZjhmYjQtNWY4Mi00YjAwLWI4ZDUtMmJlMDFiOTAwNmUzIiwiYWFpZCI6IjYzN2UyYTQ1OTk2MDk4OGVmNmJkZDFlNyIsImV4dHVpZCI6ImJhOTcyMTlhLWRiODItNGFkNC1hZGJhLWVjOTYxNjdhYjM4OCIsImV4dHVuYW1lIjoidW51c2VkIiwiamNpZCI6ImM5YmE4NjliLWE0M2UtNGQ0MC1iN2JmLTU5ZWQ0MzhhOThlNSIsImpjbGllbnRrZXkiOiJhNmNlMDRlMy1lZWNiLTM0N2EtOGI3OC1jY2IwNDk4Yzg0NTkiLCJqbmFtZSI6Imh0dHBzOi8vc2FuZXMuYXRsYXNzaWFuLm5ldCIsImpxbCI6ImNISnZhbVZqZENBOUlDSkZVMUJETXpZd0lpQkJUa1FnVTNCeWFXNTBJRWxUSUU1VlRFd2dRVTVFSUdsemMzVmxkSGx3WlNBOUlFSjFaeUJCVGtRZ2MzUmhkSFZ6SUQwZ1EyeHZjMlZrSUVGT1JDQmpjbVZoZEdWa0lENGdJakl3TWpRdk1ERXZNREVpSUVGT1JDQWlSVk10VDNCMGFXOXVZV3dnTVZ0VGFHOXlkQ0IwWlhoMFhTSWdmaUJCVGtGTXc0MVVTVU5QSUU5U1JFVlNJRUpaSUdOeVpXRjBaV1FnUkVWVFF3PT0iLCJmaWx0ZXIiOiIyMzk3OCIsInRpbWV6b25lIjoiRXVyb3BlL01hZHJpZCJ9.wn1EXTgWnZhCtwiGgh8ig8_5XZE3vKLZqqr5_ngc-TI&quot;"/>
    <we:property name="JiraExcel.AutoStartImport" value="&quot;false&quot;"/>
    <we:property name="JiraExcel.GSideToken" value="&quot;eyJhbGciOiJIUzI1NiIsInR5cCI6IkpXVCJ9.eyJpc3MiOiJleGNlbC1qaXJhIiwic3ViIjoiYmE5NzIxOWEtZGI4Mi00YWQ0LWFkYmEtZWM5NjE2N2FiMzg4IiwiYXVkIjoic2hlZXRzLWppcmEtdjIiLCJleHAiOjE3MjgzODg0MDQsIm5iZiI6MTcyODM4ODIyNCwiaWF0IjoxNzI4Mzg4MjI0LCJqdGkiOiI1YjVkZTc2MC03NDY2LTQ1ZjgtOGVhNi01N2QwZmJhZTkzNjEiLCJuYW1lIjoidW51c2VkIiwic2oiOnsiZCI6IjE2OGRiNzQ5LWM1ZDUtNDc5Zi1iNWFjLTY4YWY4ZGE4YmFhZSIsInYiOiJ2IiwiYyI6ImMiLCJvIjoiZCJ9LCJldHYiOjJ9.cEPNnsCoWJLiy3VWroXTFbws9wsm3waeKSqdFp_zgQA&quot;"/>
    <we:property name="documentId" value="&quot;168db749-c5d5-479f-b5ac-68af8da8baa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nes.atlassian.net/issues/?filter=2588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AC2B-EB43-4DD9-8AB6-D5E688902A68}">
  <sheetPr>
    <tabColor theme="1"/>
  </sheetPr>
  <dimension ref="A2:A3"/>
  <sheetViews>
    <sheetView workbookViewId="0">
      <selection activeCell="D3" sqref="D3"/>
    </sheetView>
  </sheetViews>
  <sheetFormatPr baseColWidth="10" defaultColWidth="11.42578125" defaultRowHeight="15" x14ac:dyDescent="0.25"/>
  <sheetData>
    <row r="2" spans="1:1" x14ac:dyDescent="0.25">
      <c r="A2" t="s">
        <v>0</v>
      </c>
    </row>
    <row r="3" spans="1:1" x14ac:dyDescent="0.25">
      <c r="A3" s="25" t="s">
        <v>1</v>
      </c>
    </row>
  </sheetData>
  <hyperlinks>
    <hyperlink ref="A3" r:id="rId1" xr:uid="{B0647783-6D68-4E01-8D4C-004747033A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650E-DFC2-4C27-91F5-4E604818BDA0}">
  <sheetPr>
    <tabColor theme="8"/>
  </sheetPr>
  <dimension ref="A1:Y172"/>
  <sheetViews>
    <sheetView topLeftCell="L58" zoomScale="60" zoomScaleNormal="60" workbookViewId="0">
      <selection activeCell="O59" sqref="O59:Y62"/>
    </sheetView>
  </sheetViews>
  <sheetFormatPr baseColWidth="10" defaultColWidth="8.7109375" defaultRowHeight="15" x14ac:dyDescent="0.25"/>
  <cols>
    <col min="1" max="1" width="20.140625" customWidth="1"/>
    <col min="2" max="2" width="36.5703125" bestFit="1" customWidth="1"/>
    <col min="3" max="3" width="14.140625" customWidth="1"/>
    <col min="4" max="5" width="16" customWidth="1"/>
    <col min="6" max="6" width="16" bestFit="1" customWidth="1"/>
    <col min="7" max="7" width="10.5703125" customWidth="1"/>
    <col min="8" max="8" width="16" bestFit="1" customWidth="1"/>
    <col min="9" max="9" width="28.140625" bestFit="1" customWidth="1"/>
    <col min="10" max="10" width="18" bestFit="1" customWidth="1"/>
    <col min="11" max="11" width="24.42578125" bestFit="1" customWidth="1"/>
    <col min="12" max="12" width="36.5703125" bestFit="1" customWidth="1"/>
    <col min="13" max="13" width="37.5703125" bestFit="1" customWidth="1"/>
    <col min="15" max="18" width="13.85546875" customWidth="1"/>
    <col min="19" max="19" width="20.7109375" bestFit="1" customWidth="1"/>
    <col min="20" max="20" width="16.85546875" bestFit="1" customWidth="1"/>
    <col min="21" max="21" width="16.5703125" bestFit="1" customWidth="1"/>
    <col min="22" max="22" width="18.140625" bestFit="1" customWidth="1"/>
    <col min="25" max="25" width="13.7109375" bestFit="1" customWidth="1"/>
  </cols>
  <sheetData>
    <row r="1" spans="1:25" x14ac:dyDescent="0.25">
      <c r="A1" s="26" t="s">
        <v>2</v>
      </c>
      <c r="B1" s="26" t="s">
        <v>3</v>
      </c>
      <c r="C1" s="26" t="s">
        <v>1804</v>
      </c>
      <c r="D1" s="26" t="s">
        <v>63</v>
      </c>
      <c r="E1" s="26" t="s">
        <v>1805</v>
      </c>
      <c r="F1" s="26" t="s">
        <v>1806</v>
      </c>
      <c r="G1" s="26" t="s">
        <v>1807</v>
      </c>
      <c r="H1" s="26" t="s">
        <v>1808</v>
      </c>
      <c r="I1" s="26" t="s">
        <v>1809</v>
      </c>
      <c r="J1" s="26" t="s">
        <v>1810</v>
      </c>
      <c r="K1" s="26" t="s">
        <v>1811</v>
      </c>
      <c r="L1" s="26" t="s">
        <v>1812</v>
      </c>
      <c r="M1" s="26" t="s">
        <v>1813</v>
      </c>
      <c r="N1" s="24" t="s">
        <v>4</v>
      </c>
      <c r="O1" s="24" t="s">
        <v>5</v>
      </c>
      <c r="P1" s="24" t="s">
        <v>6</v>
      </c>
      <c r="Q1" s="24" t="s">
        <v>7</v>
      </c>
      <c r="R1" s="24" t="s">
        <v>8</v>
      </c>
      <c r="S1" s="24" t="s">
        <v>9</v>
      </c>
      <c r="T1" s="24" t="s">
        <v>10</v>
      </c>
      <c r="U1" s="24" t="s">
        <v>11</v>
      </c>
      <c r="V1" s="24" t="s">
        <v>12</v>
      </c>
      <c r="W1" s="24" t="s">
        <v>13</v>
      </c>
      <c r="X1" s="24" t="s">
        <v>14</v>
      </c>
      <c r="Y1" s="24" t="s">
        <v>15</v>
      </c>
    </row>
    <row r="2" spans="1:25" ht="45" x14ac:dyDescent="0.25">
      <c r="A2" s="42" t="s">
        <v>1984</v>
      </c>
      <c r="B2" s="44" t="s">
        <v>1985</v>
      </c>
      <c r="C2" s="44" t="s">
        <v>1822</v>
      </c>
      <c r="D2" s="44" t="s">
        <v>16</v>
      </c>
      <c r="E2" s="44" t="s">
        <v>1817</v>
      </c>
      <c r="F2" s="46">
        <v>45959.614811689818</v>
      </c>
      <c r="G2" s="44" t="s">
        <v>53</v>
      </c>
      <c r="H2" s="48">
        <v>45946.56188173611</v>
      </c>
      <c r="I2" s="49">
        <v>45959</v>
      </c>
      <c r="J2" s="47">
        <v>45946</v>
      </c>
      <c r="K2" s="43" t="s">
        <v>1986</v>
      </c>
      <c r="L2" t="s">
        <v>1857</v>
      </c>
      <c r="M2" s="43" t="s">
        <v>1819</v>
      </c>
      <c r="N2" t="s">
        <v>1973</v>
      </c>
      <c r="O2">
        <f>MONTH(H2)</f>
        <v>10</v>
      </c>
      <c r="P2" t="str">
        <f>IF(O2=1,"enero",IF(O2=2,"febrero",IF(O2=3,"marzo",IF(O2=4,"abril",IF(O2=5,"mayo",IF(O2=6,"junio",IF(O2=7,"julio",IF(O2=8,"agosto",IF(O2=9,"septiembre",IF(O2=10,"octubre",IF(O2=11,"noviembre",IF(O2=12,"diciembre","REVISAR"))))))))))))</f>
        <v>octubre</v>
      </c>
      <c r="Q2">
        <f>YEAR(H2)</f>
        <v>2025</v>
      </c>
      <c r="R2" t="str">
        <f>CONCATENATE(P2,"-",Q2)</f>
        <v>octubre-2025</v>
      </c>
      <c r="S2">
        <f>MONTH(I2)</f>
        <v>10</v>
      </c>
      <c r="T2" t="str">
        <f>IF(S2=1,"enero",IF(S2=2,"febrero",IF(S2=3,"marzo",IF(S2=4,"abril",IF(S2=5,"mayo",IF(S2=6,"junio",IF(S2=7,"julio",IF(S2=8,"agosto",IF(S2=9,"septiembre",IF(S2=10,"octubre",IF(S2=11,"noviembre",IF(S2=12,"diciembre","REVISAR"))))))))))))</f>
        <v>octubre</v>
      </c>
      <c r="U2">
        <f>YEAR(I2)</f>
        <v>2025</v>
      </c>
      <c r="V2" t="str">
        <f>CONCATENATE(T2,"-",U2)</f>
        <v>octubre-2025</v>
      </c>
      <c r="W2">
        <f>IFERROR(_xlfn.DAYS('Jira BUGS'!I2,'Jira BUGS'!H2),0)</f>
        <v>13</v>
      </c>
      <c r="X2">
        <f>VLOOKUP(D2,SLAs!A:B,2,0)</f>
        <v>21</v>
      </c>
      <c r="Y2" t="str">
        <f>IF(N2&gt;=X2,"NO CUMPLE","CUMPLE")</f>
        <v>NO CUMPLE</v>
      </c>
    </row>
    <row r="3" spans="1:25" x14ac:dyDescent="0.25">
      <c r="A3" s="42" t="s">
        <v>1987</v>
      </c>
      <c r="B3" s="44" t="s">
        <v>1988</v>
      </c>
      <c r="C3" s="44" t="s">
        <v>53</v>
      </c>
      <c r="D3" s="44" t="s">
        <v>16</v>
      </c>
      <c r="E3" s="44" t="s">
        <v>1817</v>
      </c>
      <c r="F3" s="46">
        <v>45959.613529120368</v>
      </c>
      <c r="G3" s="44" t="s">
        <v>53</v>
      </c>
      <c r="H3" s="48">
        <v>45932.50681071759</v>
      </c>
      <c r="I3" s="49">
        <v>45959</v>
      </c>
      <c r="J3" s="47">
        <v>45950</v>
      </c>
      <c r="K3" s="43" t="s">
        <v>1988</v>
      </c>
      <c r="L3" t="s">
        <v>1845</v>
      </c>
      <c r="M3" s="43" t="s">
        <v>1819</v>
      </c>
      <c r="N3" t="s">
        <v>1973</v>
      </c>
      <c r="O3">
        <f t="shared" ref="O3:O11" si="0">MONTH(H3)</f>
        <v>10</v>
      </c>
      <c r="P3" t="str">
        <f t="shared" ref="P3:P11" si="1">IF(O3=1,"enero",IF(O3=2,"febrero",IF(O3=3,"marzo",IF(O3=4,"abril",IF(O3=5,"mayo",IF(O3=6,"junio",IF(O3=7,"julio",IF(O3=8,"agosto",IF(O3=9,"septiembre",IF(O3=10,"octubre",IF(O3=11,"noviembre",IF(O3=12,"diciembre","REVISAR"))))))))))))</f>
        <v>octubre</v>
      </c>
      <c r="Q3">
        <f t="shared" ref="Q3:Q11" si="2">YEAR(H3)</f>
        <v>2025</v>
      </c>
      <c r="R3" t="str">
        <f t="shared" ref="R3:R11" si="3">CONCATENATE(P3,"-",Q3)</f>
        <v>octubre-2025</v>
      </c>
      <c r="S3">
        <f t="shared" ref="S3:S11" si="4">MONTH(I3)</f>
        <v>10</v>
      </c>
      <c r="T3" t="str">
        <f t="shared" ref="T3:T11" si="5">IF(S3=1,"enero",IF(S3=2,"febrero",IF(S3=3,"marzo",IF(S3=4,"abril",IF(S3=5,"mayo",IF(S3=6,"junio",IF(S3=7,"julio",IF(S3=8,"agosto",IF(S3=9,"septiembre",IF(S3=10,"octubre",IF(S3=11,"noviembre",IF(S3=12,"diciembre","REVISAR"))))))))))))</f>
        <v>octubre</v>
      </c>
      <c r="U3">
        <f t="shared" ref="U3:U11" si="6">YEAR(I3)</f>
        <v>2025</v>
      </c>
      <c r="V3" t="str">
        <f t="shared" ref="V3:V11" si="7">CONCATENATE(T3,"-",U3)</f>
        <v>octubre-2025</v>
      </c>
      <c r="W3">
        <f>IFERROR(_xlfn.DAYS('Jira BUGS'!I3,'Jira BUGS'!H3),0)</f>
        <v>27</v>
      </c>
      <c r="X3">
        <f>VLOOKUP(D3,SLAs!A:B,2,0)</f>
        <v>21</v>
      </c>
      <c r="Y3" t="str">
        <f t="shared" ref="Y3:Y11" si="8">IF(N3&gt;=X3,"NO CUMPLE","CUMPLE")</f>
        <v>NO CUMPLE</v>
      </c>
    </row>
    <row r="4" spans="1:25" ht="45" x14ac:dyDescent="0.25">
      <c r="A4" s="42" t="s">
        <v>1989</v>
      </c>
      <c r="B4" s="44" t="s">
        <v>1990</v>
      </c>
      <c r="C4" s="44" t="s">
        <v>1822</v>
      </c>
      <c r="D4" s="44" t="s">
        <v>16</v>
      </c>
      <c r="E4" s="44" t="s">
        <v>1817</v>
      </c>
      <c r="F4" s="46">
        <v>45959.61204201389</v>
      </c>
      <c r="G4" s="44" t="s">
        <v>53</v>
      </c>
      <c r="H4" s="48">
        <v>45918.512885277778</v>
      </c>
      <c r="I4" s="49">
        <v>45951</v>
      </c>
      <c r="J4" s="47">
        <v>45951</v>
      </c>
      <c r="K4" s="43" t="s">
        <v>1990</v>
      </c>
      <c r="L4" t="s">
        <v>1991</v>
      </c>
      <c r="M4" s="43" t="s">
        <v>1819</v>
      </c>
      <c r="N4" t="s">
        <v>1973</v>
      </c>
      <c r="O4">
        <f t="shared" si="0"/>
        <v>9</v>
      </c>
      <c r="P4" t="str">
        <f t="shared" si="1"/>
        <v>septiembre</v>
      </c>
      <c r="Q4">
        <f t="shared" si="2"/>
        <v>2025</v>
      </c>
      <c r="R4" t="str">
        <f t="shared" si="3"/>
        <v>septiembre-2025</v>
      </c>
      <c r="S4">
        <f t="shared" si="4"/>
        <v>10</v>
      </c>
      <c r="T4" t="str">
        <f t="shared" si="5"/>
        <v>octubre</v>
      </c>
      <c r="U4">
        <f t="shared" si="6"/>
        <v>2025</v>
      </c>
      <c r="V4" t="str">
        <f t="shared" si="7"/>
        <v>octubre-2025</v>
      </c>
      <c r="W4">
        <f>IFERROR(_xlfn.DAYS('Jira BUGS'!I4,'Jira BUGS'!H4),0)</f>
        <v>33</v>
      </c>
      <c r="X4">
        <f>VLOOKUP(D4,SLAs!A:B,2,0)</f>
        <v>21</v>
      </c>
      <c r="Y4" t="str">
        <f t="shared" si="8"/>
        <v>NO CUMPLE</v>
      </c>
    </row>
    <row r="5" spans="1:25" ht="45" x14ac:dyDescent="0.25">
      <c r="A5" s="42" t="s">
        <v>1982</v>
      </c>
      <c r="B5" s="44" t="s">
        <v>1983</v>
      </c>
      <c r="C5" s="44" t="s">
        <v>1822</v>
      </c>
      <c r="D5" s="44" t="s">
        <v>16</v>
      </c>
      <c r="E5" s="44" t="s">
        <v>1817</v>
      </c>
      <c r="F5" s="46">
        <v>45932.444431122683</v>
      </c>
      <c r="G5" s="44" t="s">
        <v>53</v>
      </c>
      <c r="H5" s="48">
        <v>45904.52512539352</v>
      </c>
      <c r="I5" s="49">
        <v>45932</v>
      </c>
      <c r="J5" s="47">
        <v>45918</v>
      </c>
      <c r="K5" s="43" t="s">
        <v>1983</v>
      </c>
      <c r="L5" t="s">
        <v>1885</v>
      </c>
      <c r="M5" s="43" t="s">
        <v>1819</v>
      </c>
      <c r="N5" t="s">
        <v>1973</v>
      </c>
      <c r="O5">
        <f t="shared" si="0"/>
        <v>9</v>
      </c>
      <c r="P5" t="str">
        <f t="shared" si="1"/>
        <v>septiembre</v>
      </c>
      <c r="Q5">
        <f t="shared" si="2"/>
        <v>2025</v>
      </c>
      <c r="R5" t="str">
        <f t="shared" si="3"/>
        <v>septiembre-2025</v>
      </c>
      <c r="S5">
        <f t="shared" si="4"/>
        <v>10</v>
      </c>
      <c r="T5" t="str">
        <f t="shared" si="5"/>
        <v>octubre</v>
      </c>
      <c r="U5">
        <f t="shared" si="6"/>
        <v>2025</v>
      </c>
      <c r="V5" t="str">
        <f t="shared" si="7"/>
        <v>octubre-2025</v>
      </c>
      <c r="W5">
        <f>IFERROR(_xlfn.DAYS('Jira BUGS'!I5,'Jira BUGS'!H5),0)</f>
        <v>28</v>
      </c>
      <c r="X5">
        <f>VLOOKUP(D5,SLAs!A:B,2,0)</f>
        <v>21</v>
      </c>
      <c r="Y5" t="str">
        <f t="shared" si="8"/>
        <v>NO CUMPLE</v>
      </c>
    </row>
    <row r="6" spans="1:25" ht="45" x14ac:dyDescent="0.25">
      <c r="A6" s="42" t="s">
        <v>1974</v>
      </c>
      <c r="B6" s="44" t="s">
        <v>1975</v>
      </c>
      <c r="C6" s="44" t="s">
        <v>1822</v>
      </c>
      <c r="D6" s="44" t="s">
        <v>16</v>
      </c>
      <c r="E6" s="44" t="s">
        <v>1817</v>
      </c>
      <c r="F6" s="46">
        <v>45926.483897199076</v>
      </c>
      <c r="G6" s="44" t="s">
        <v>53</v>
      </c>
      <c r="H6" s="48">
        <v>45915.679541365738</v>
      </c>
      <c r="I6" s="49">
        <v>45926</v>
      </c>
      <c r="J6" s="47">
        <v>45917</v>
      </c>
      <c r="K6" s="43" t="s">
        <v>53</v>
      </c>
      <c r="L6" t="s">
        <v>1976</v>
      </c>
      <c r="M6" s="43" t="s">
        <v>1819</v>
      </c>
      <c r="N6" t="s">
        <v>1973</v>
      </c>
      <c r="O6">
        <f t="shared" si="0"/>
        <v>9</v>
      </c>
      <c r="P6" t="str">
        <f t="shared" si="1"/>
        <v>septiembre</v>
      </c>
      <c r="Q6">
        <f t="shared" si="2"/>
        <v>2025</v>
      </c>
      <c r="R6" t="str">
        <f t="shared" si="3"/>
        <v>septiembre-2025</v>
      </c>
      <c r="S6">
        <f t="shared" si="4"/>
        <v>9</v>
      </c>
      <c r="T6" t="str">
        <f t="shared" si="5"/>
        <v>septiembre</v>
      </c>
      <c r="U6">
        <f t="shared" si="6"/>
        <v>2025</v>
      </c>
      <c r="V6" t="str">
        <f t="shared" si="7"/>
        <v>septiembre-2025</v>
      </c>
      <c r="W6">
        <f>IFERROR(_xlfn.DAYS('Jira BUGS'!I6,'Jira BUGS'!H6),0)</f>
        <v>11</v>
      </c>
      <c r="X6">
        <f>VLOOKUP(D6,SLAs!A:B,2,0)</f>
        <v>21</v>
      </c>
      <c r="Y6" t="str">
        <f t="shared" si="8"/>
        <v>NO CUMPLE</v>
      </c>
    </row>
    <row r="7" spans="1:25" ht="45" x14ac:dyDescent="0.25">
      <c r="A7" s="42" t="s">
        <v>1977</v>
      </c>
      <c r="B7" s="44" t="s">
        <v>1978</v>
      </c>
      <c r="C7" s="44" t="s">
        <v>1822</v>
      </c>
      <c r="D7" s="44" t="s">
        <v>16</v>
      </c>
      <c r="E7" s="44" t="s">
        <v>1817</v>
      </c>
      <c r="F7" s="46">
        <v>45926.483479050927</v>
      </c>
      <c r="G7" s="44" t="s">
        <v>53</v>
      </c>
      <c r="H7" s="48">
        <v>45894.396516504632</v>
      </c>
      <c r="I7" s="49">
        <v>45926</v>
      </c>
      <c r="J7" s="47">
        <v>45912</v>
      </c>
      <c r="K7" s="43" t="s">
        <v>1978</v>
      </c>
      <c r="L7" t="s">
        <v>1979</v>
      </c>
      <c r="M7" s="43" t="s">
        <v>1819</v>
      </c>
      <c r="N7" t="s">
        <v>1973</v>
      </c>
      <c r="O7">
        <f t="shared" si="0"/>
        <v>8</v>
      </c>
      <c r="P7" t="str">
        <f t="shared" si="1"/>
        <v>agosto</v>
      </c>
      <c r="Q7">
        <f t="shared" si="2"/>
        <v>2025</v>
      </c>
      <c r="R7" t="str">
        <f t="shared" si="3"/>
        <v>agosto-2025</v>
      </c>
      <c r="S7">
        <f t="shared" si="4"/>
        <v>9</v>
      </c>
      <c r="T7" t="str">
        <f t="shared" si="5"/>
        <v>septiembre</v>
      </c>
      <c r="U7">
        <f t="shared" si="6"/>
        <v>2025</v>
      </c>
      <c r="V7" t="str">
        <f t="shared" si="7"/>
        <v>septiembre-2025</v>
      </c>
      <c r="W7">
        <f>IFERROR(_xlfn.DAYS('Jira BUGS'!I7,'Jira BUGS'!H7),0)</f>
        <v>32</v>
      </c>
      <c r="X7">
        <f>VLOOKUP(D7,SLAs!A:B,2,0)</f>
        <v>21</v>
      </c>
      <c r="Y7" t="str">
        <f t="shared" si="8"/>
        <v>NO CUMPLE</v>
      </c>
    </row>
    <row r="8" spans="1:25" ht="45" x14ac:dyDescent="0.25">
      <c r="A8" s="42" t="s">
        <v>1980</v>
      </c>
      <c r="B8" s="44" t="s">
        <v>1981</v>
      </c>
      <c r="C8" s="44" t="s">
        <v>1816</v>
      </c>
      <c r="D8" s="44" t="s">
        <v>16</v>
      </c>
      <c r="E8" s="44" t="s">
        <v>1817</v>
      </c>
      <c r="F8" s="46">
        <v>45924.657167754631</v>
      </c>
      <c r="G8" s="44" t="s">
        <v>53</v>
      </c>
      <c r="H8" s="48">
        <v>45895.420256817131</v>
      </c>
      <c r="I8" s="49">
        <v>45924</v>
      </c>
      <c r="J8" s="50">
        <v>45901</v>
      </c>
      <c r="K8" s="43" t="s">
        <v>53</v>
      </c>
      <c r="L8" t="s">
        <v>1900</v>
      </c>
      <c r="M8" s="43" t="s">
        <v>1819</v>
      </c>
      <c r="N8" t="s">
        <v>1973</v>
      </c>
      <c r="O8">
        <f t="shared" si="0"/>
        <v>8</v>
      </c>
      <c r="P8" t="str">
        <f t="shared" si="1"/>
        <v>agosto</v>
      </c>
      <c r="Q8">
        <f t="shared" si="2"/>
        <v>2025</v>
      </c>
      <c r="R8" t="str">
        <f t="shared" si="3"/>
        <v>agosto-2025</v>
      </c>
      <c r="S8">
        <f t="shared" si="4"/>
        <v>9</v>
      </c>
      <c r="T8" t="str">
        <f t="shared" si="5"/>
        <v>septiembre</v>
      </c>
      <c r="U8">
        <f t="shared" si="6"/>
        <v>2025</v>
      </c>
      <c r="V8" t="str">
        <f t="shared" si="7"/>
        <v>septiembre-2025</v>
      </c>
      <c r="W8">
        <f>IFERROR(_xlfn.DAYS('Jira BUGS'!I8,'Jira BUGS'!H8),0)</f>
        <v>29</v>
      </c>
      <c r="X8">
        <f>VLOOKUP(D8,SLAs!A:B,2,0)</f>
        <v>21</v>
      </c>
      <c r="Y8" t="str">
        <f t="shared" si="8"/>
        <v>NO CUMPLE</v>
      </c>
    </row>
    <row r="9" spans="1:25" ht="45" x14ac:dyDescent="0.25">
      <c r="A9" s="42" t="s">
        <v>1966</v>
      </c>
      <c r="B9" s="44" t="s">
        <v>1967</v>
      </c>
      <c r="C9" s="44" t="s">
        <v>1920</v>
      </c>
      <c r="D9" s="44" t="s">
        <v>16</v>
      </c>
      <c r="E9" s="44" t="s">
        <v>1817</v>
      </c>
      <c r="F9" s="46">
        <v>45904.519239270834</v>
      </c>
      <c r="G9" s="44" t="s">
        <v>53</v>
      </c>
      <c r="H9" s="48">
        <v>45862.503925868055</v>
      </c>
      <c r="I9" s="49">
        <v>45904</v>
      </c>
      <c r="J9" s="47">
        <v>45862</v>
      </c>
      <c r="K9" s="43" t="s">
        <v>53</v>
      </c>
      <c r="L9" t="s">
        <v>1968</v>
      </c>
      <c r="M9" s="43" t="s">
        <v>1819</v>
      </c>
      <c r="N9" t="s">
        <v>1973</v>
      </c>
      <c r="O9">
        <f t="shared" si="0"/>
        <v>7</v>
      </c>
      <c r="P9" t="str">
        <f t="shared" si="1"/>
        <v>julio</v>
      </c>
      <c r="Q9">
        <f t="shared" si="2"/>
        <v>2025</v>
      </c>
      <c r="R9" t="str">
        <f t="shared" si="3"/>
        <v>julio-2025</v>
      </c>
      <c r="S9">
        <f t="shared" si="4"/>
        <v>9</v>
      </c>
      <c r="T9" t="str">
        <f t="shared" si="5"/>
        <v>septiembre</v>
      </c>
      <c r="U9">
        <f t="shared" si="6"/>
        <v>2025</v>
      </c>
      <c r="V9" t="str">
        <f t="shared" si="7"/>
        <v>septiembre-2025</v>
      </c>
      <c r="W9">
        <f>IFERROR(_xlfn.DAYS('Jira BUGS'!I9,'Jira BUGS'!H9),0)</f>
        <v>42</v>
      </c>
      <c r="X9">
        <f>VLOOKUP(D9,SLAs!A:B,2,0)</f>
        <v>21</v>
      </c>
      <c r="Y9" t="str">
        <f t="shared" si="8"/>
        <v>NO CUMPLE</v>
      </c>
    </row>
    <row r="10" spans="1:25" ht="45" x14ac:dyDescent="0.25">
      <c r="A10" s="42" t="s">
        <v>1969</v>
      </c>
      <c r="B10" s="44" t="s">
        <v>1970</v>
      </c>
      <c r="C10" s="44" t="s">
        <v>1822</v>
      </c>
      <c r="D10" s="44" t="s">
        <v>16</v>
      </c>
      <c r="E10" s="44" t="s">
        <v>1817</v>
      </c>
      <c r="F10" s="46">
        <v>45903.050785856482</v>
      </c>
      <c r="G10" s="44" t="s">
        <v>53</v>
      </c>
      <c r="H10" s="48">
        <v>45876.585213831022</v>
      </c>
      <c r="I10" s="49">
        <v>45902</v>
      </c>
      <c r="J10" s="47">
        <v>45897</v>
      </c>
      <c r="K10" s="43" t="s">
        <v>1970</v>
      </c>
      <c r="L10" t="s">
        <v>1870</v>
      </c>
      <c r="M10" s="43" t="s">
        <v>1819</v>
      </c>
      <c r="N10" t="s">
        <v>1973</v>
      </c>
      <c r="O10">
        <f t="shared" si="0"/>
        <v>8</v>
      </c>
      <c r="P10" t="str">
        <f t="shared" si="1"/>
        <v>agosto</v>
      </c>
      <c r="Q10">
        <f t="shared" si="2"/>
        <v>2025</v>
      </c>
      <c r="R10" t="str">
        <f t="shared" si="3"/>
        <v>agosto-2025</v>
      </c>
      <c r="S10">
        <f t="shared" si="4"/>
        <v>9</v>
      </c>
      <c r="T10" t="str">
        <f t="shared" si="5"/>
        <v>septiembre</v>
      </c>
      <c r="U10">
        <f t="shared" si="6"/>
        <v>2025</v>
      </c>
      <c r="V10" t="str">
        <f t="shared" si="7"/>
        <v>septiembre-2025</v>
      </c>
      <c r="W10">
        <f>IFERROR(_xlfn.DAYS('Jira BUGS'!I10,'Jira BUGS'!H10),0)</f>
        <v>26</v>
      </c>
      <c r="X10">
        <f>VLOOKUP(D10,SLAs!A:B,2,0)</f>
        <v>21</v>
      </c>
      <c r="Y10" t="str">
        <f t="shared" si="8"/>
        <v>NO CUMPLE</v>
      </c>
    </row>
    <row r="11" spans="1:25" ht="45" x14ac:dyDescent="0.25">
      <c r="A11" s="42" t="s">
        <v>1971</v>
      </c>
      <c r="B11" s="44" t="s">
        <v>1972</v>
      </c>
      <c r="C11" s="44" t="s">
        <v>1822</v>
      </c>
      <c r="D11" s="44" t="s">
        <v>16</v>
      </c>
      <c r="E11" s="44" t="s">
        <v>1817</v>
      </c>
      <c r="F11" s="46">
        <v>45945.714003414352</v>
      </c>
      <c r="G11" s="44" t="s">
        <v>53</v>
      </c>
      <c r="H11" s="48">
        <v>45862.554580775461</v>
      </c>
      <c r="I11" s="49">
        <v>45889</v>
      </c>
      <c r="J11" s="47">
        <v>45877</v>
      </c>
      <c r="K11" s="43" t="s">
        <v>1972</v>
      </c>
      <c r="L11" t="s">
        <v>1845</v>
      </c>
      <c r="M11" s="43" t="s">
        <v>1819</v>
      </c>
      <c r="N11" t="s">
        <v>1973</v>
      </c>
      <c r="O11">
        <f t="shared" si="0"/>
        <v>7</v>
      </c>
      <c r="P11" t="str">
        <f t="shared" si="1"/>
        <v>julio</v>
      </c>
      <c r="Q11">
        <f t="shared" si="2"/>
        <v>2025</v>
      </c>
      <c r="R11" t="str">
        <f t="shared" si="3"/>
        <v>julio-2025</v>
      </c>
      <c r="S11">
        <f t="shared" si="4"/>
        <v>8</v>
      </c>
      <c r="T11" t="str">
        <f t="shared" si="5"/>
        <v>agosto</v>
      </c>
      <c r="U11">
        <f t="shared" si="6"/>
        <v>2025</v>
      </c>
      <c r="V11" t="str">
        <f t="shared" si="7"/>
        <v>agosto-2025</v>
      </c>
      <c r="W11">
        <f>IFERROR(_xlfn.DAYS('Jira BUGS'!I11,'Jira BUGS'!H11),0)</f>
        <v>27</v>
      </c>
      <c r="X11">
        <f>VLOOKUP(D11,SLAs!A:B,2,0)</f>
        <v>21</v>
      </c>
      <c r="Y11" t="str">
        <f t="shared" si="8"/>
        <v>NO CUMPLE</v>
      </c>
    </row>
    <row r="12" spans="1:25" ht="45" x14ac:dyDescent="0.25">
      <c r="A12" s="42" t="s">
        <v>1964</v>
      </c>
      <c r="B12" s="44" t="s">
        <v>1965</v>
      </c>
      <c r="C12" s="44" t="s">
        <v>1822</v>
      </c>
      <c r="D12" s="44" t="s">
        <v>16</v>
      </c>
      <c r="E12" s="44" t="s">
        <v>1817</v>
      </c>
      <c r="F12" s="46">
        <v>45882.619617430559</v>
      </c>
      <c r="G12" s="44" t="s">
        <v>53</v>
      </c>
      <c r="H12" s="46">
        <v>45876.579482777779</v>
      </c>
      <c r="I12" s="47">
        <v>45882</v>
      </c>
      <c r="J12" s="47">
        <v>45876</v>
      </c>
      <c r="K12" s="43" t="s">
        <v>1965</v>
      </c>
      <c r="L12" s="44" t="s">
        <v>1913</v>
      </c>
      <c r="M12" s="43" t="s">
        <v>1819</v>
      </c>
      <c r="N12" t="s">
        <v>1973</v>
      </c>
      <c r="O12">
        <f t="shared" ref="O12:O13" si="9">MONTH(H12)</f>
        <v>8</v>
      </c>
      <c r="P12" t="str">
        <f t="shared" ref="P12:P13" si="10">IF(O12=1,"enero",IF(O12=2,"febrero",IF(O12=3,"marzo",IF(O12=4,"abril",IF(O12=5,"mayo",IF(O12=6,"junio",IF(O12=7,"julio",IF(O12=8,"agosto",IF(O12=9,"septiembre",IF(O12=10,"octubre",IF(O12=11,"noviembre",IF(O12=12,"diciembre","REVISAR"))))))))))))</f>
        <v>agosto</v>
      </c>
      <c r="Q12">
        <f t="shared" ref="Q12:Q13" si="11">YEAR(H12)</f>
        <v>2025</v>
      </c>
      <c r="R12" t="str">
        <f t="shared" ref="R12:R13" si="12">CONCATENATE(P12,"-",Q12)</f>
        <v>agosto-2025</v>
      </c>
      <c r="S12">
        <f t="shared" ref="S12:S13" si="13">MONTH(I12)</f>
        <v>8</v>
      </c>
      <c r="T12" t="str">
        <f t="shared" ref="T12:T13" si="14">IF(S12=1,"enero",IF(S12=2,"febrero",IF(S12=3,"marzo",IF(S12=4,"abril",IF(S12=5,"mayo",IF(S12=6,"junio",IF(S12=7,"julio",IF(S12=8,"agosto",IF(S12=9,"septiembre",IF(S12=10,"octubre",IF(S12=11,"noviembre",IF(S12=12,"diciembre","REVISAR"))))))))))))</f>
        <v>agosto</v>
      </c>
      <c r="U12">
        <f t="shared" ref="U12:U13" si="15">YEAR(I12)</f>
        <v>2025</v>
      </c>
      <c r="V12" t="str">
        <f t="shared" ref="V12:V13" si="16">CONCATENATE(T12,"-",U12)</f>
        <v>agosto-2025</v>
      </c>
      <c r="W12">
        <f>IFERROR(_xlfn.DAYS('Jira BUGS'!I12,'Jira BUGS'!H12),0)</f>
        <v>6</v>
      </c>
      <c r="X12">
        <f>VLOOKUP(D12,SLAs!A:B,2,0)</f>
        <v>21</v>
      </c>
      <c r="Y12" t="str">
        <f t="shared" ref="Y12:Y13" si="17">IF(N12&gt;=X12,"NO CUMPLE","CUMPLE")</f>
        <v>NO CUMPLE</v>
      </c>
    </row>
    <row r="13" spans="1:25" x14ac:dyDescent="0.25">
      <c r="A13" s="42" t="s">
        <v>1963</v>
      </c>
      <c r="B13" s="44" t="s">
        <v>1960</v>
      </c>
      <c r="C13" s="44" t="s">
        <v>53</v>
      </c>
      <c r="D13" s="44" t="s">
        <v>16</v>
      </c>
      <c r="E13" s="44" t="s">
        <v>1817</v>
      </c>
      <c r="F13" s="46">
        <v>45926.503924375</v>
      </c>
      <c r="G13" s="44" t="s">
        <v>53</v>
      </c>
      <c r="H13" s="46">
        <v>45848.52040922454</v>
      </c>
      <c r="I13" s="47">
        <v>45875</v>
      </c>
      <c r="J13" s="47">
        <v>45869</v>
      </c>
      <c r="K13" s="43" t="s">
        <v>1960</v>
      </c>
      <c r="L13" s="44" t="s">
        <v>1845</v>
      </c>
      <c r="M13" s="43" t="s">
        <v>1819</v>
      </c>
      <c r="N13" t="s">
        <v>1973</v>
      </c>
      <c r="O13">
        <f t="shared" si="9"/>
        <v>7</v>
      </c>
      <c r="P13" t="str">
        <f t="shared" si="10"/>
        <v>julio</v>
      </c>
      <c r="Q13">
        <f t="shared" si="11"/>
        <v>2025</v>
      </c>
      <c r="R13" t="str">
        <f t="shared" si="12"/>
        <v>julio-2025</v>
      </c>
      <c r="S13">
        <f t="shared" si="13"/>
        <v>8</v>
      </c>
      <c r="T13" t="str">
        <f t="shared" si="14"/>
        <v>agosto</v>
      </c>
      <c r="U13">
        <f t="shared" si="15"/>
        <v>2025</v>
      </c>
      <c r="V13" t="str">
        <f t="shared" si="16"/>
        <v>agosto-2025</v>
      </c>
      <c r="W13">
        <f>IFERROR(_xlfn.DAYS('Jira BUGS'!I13,'Jira BUGS'!H13),0)</f>
        <v>27</v>
      </c>
      <c r="X13">
        <f>VLOOKUP(D13,SLAs!A:B,2,0)</f>
        <v>21</v>
      </c>
      <c r="Y13" t="str">
        <f t="shared" si="17"/>
        <v>NO CUMPLE</v>
      </c>
    </row>
    <row r="14" spans="1:25" ht="45" x14ac:dyDescent="0.25">
      <c r="A14" s="42" t="s">
        <v>1958</v>
      </c>
      <c r="B14" s="44" t="s">
        <v>1959</v>
      </c>
      <c r="C14" s="44" t="s">
        <v>1822</v>
      </c>
      <c r="D14" s="44" t="s">
        <v>16</v>
      </c>
      <c r="E14" s="44" t="s">
        <v>1817</v>
      </c>
      <c r="F14" s="46">
        <v>45926.503922962962</v>
      </c>
      <c r="G14" s="44" t="s">
        <v>53</v>
      </c>
      <c r="H14" s="46">
        <v>45862.376715324077</v>
      </c>
      <c r="I14" s="47">
        <v>45869</v>
      </c>
      <c r="J14" s="47">
        <v>45862</v>
      </c>
      <c r="K14" s="43" t="s">
        <v>1960</v>
      </c>
      <c r="L14" s="44" t="s">
        <v>1867</v>
      </c>
      <c r="M14" s="43" t="s">
        <v>1819</v>
      </c>
      <c r="N14" t="s">
        <v>1973</v>
      </c>
      <c r="O14">
        <f t="shared" ref="O14:O15" si="18">MONTH(H14)</f>
        <v>7</v>
      </c>
      <c r="P14" t="str">
        <f t="shared" ref="P14:P15" si="19">IF(O14=1,"enero",IF(O14=2,"febrero",IF(O14=3,"marzo",IF(O14=4,"abril",IF(O14=5,"mayo",IF(O14=6,"junio",IF(O14=7,"julio",IF(O14=8,"agosto",IF(O14=9,"septiembre",IF(O14=10,"octubre",IF(O14=11,"noviembre",IF(O14=12,"diciembre","REVISAR"))))))))))))</f>
        <v>julio</v>
      </c>
      <c r="Q14">
        <f t="shared" ref="Q14:Q15" si="20">YEAR(H14)</f>
        <v>2025</v>
      </c>
      <c r="R14" t="str">
        <f t="shared" ref="R14:R15" si="21">CONCATENATE(P14,"-",Q14)</f>
        <v>julio-2025</v>
      </c>
      <c r="S14">
        <f t="shared" ref="S14:S15" si="22">MONTH(I14)</f>
        <v>7</v>
      </c>
      <c r="T14" t="str">
        <f t="shared" ref="T14:T15" si="23">IF(S14=1,"enero",IF(S14=2,"febrero",IF(S14=3,"marzo",IF(S14=4,"abril",IF(S14=5,"mayo",IF(S14=6,"junio",IF(S14=7,"julio",IF(S14=8,"agosto",IF(S14=9,"septiembre",IF(S14=10,"octubre",IF(S14=11,"noviembre",IF(S14=12,"diciembre","REVISAR"))))))))))))</f>
        <v>julio</v>
      </c>
      <c r="U14">
        <f t="shared" ref="U14:U15" si="24">YEAR(I14)</f>
        <v>2025</v>
      </c>
      <c r="V14" t="str">
        <f t="shared" ref="V14:V15" si="25">CONCATENATE(T14,"-",U14)</f>
        <v>julio-2025</v>
      </c>
      <c r="W14">
        <f>IFERROR(_xlfn.DAYS('Jira BUGS'!I14,'Jira BUGS'!H14),0)</f>
        <v>7</v>
      </c>
      <c r="X14">
        <f>VLOOKUP(D14,SLAs!A:B,2,0)</f>
        <v>21</v>
      </c>
      <c r="Y14" t="str">
        <f t="shared" ref="Y14:Y15" si="26">IF(N14&gt;=X14,"NO CUMPLE","CUMPLE")</f>
        <v>NO CUMPLE</v>
      </c>
    </row>
    <row r="15" spans="1:25" ht="45" x14ac:dyDescent="0.25">
      <c r="A15" s="42" t="s">
        <v>1961</v>
      </c>
      <c r="B15" s="44" t="s">
        <v>1962</v>
      </c>
      <c r="C15" s="44" t="s">
        <v>1822</v>
      </c>
      <c r="D15" s="44" t="s">
        <v>16</v>
      </c>
      <c r="E15" s="44" t="s">
        <v>1817</v>
      </c>
      <c r="F15" s="46">
        <v>45926.503921342592</v>
      </c>
      <c r="G15" s="44" t="s">
        <v>53</v>
      </c>
      <c r="H15" s="46">
        <v>45855.364676851852</v>
      </c>
      <c r="I15" s="47">
        <v>45869</v>
      </c>
      <c r="J15" s="47">
        <v>45861</v>
      </c>
      <c r="K15" s="43" t="s">
        <v>1960</v>
      </c>
      <c r="L15" s="44" t="s">
        <v>1882</v>
      </c>
      <c r="M15" s="43" t="s">
        <v>1819</v>
      </c>
      <c r="N15" t="s">
        <v>1973</v>
      </c>
      <c r="O15">
        <f t="shared" si="18"/>
        <v>7</v>
      </c>
      <c r="P15" t="str">
        <f t="shared" si="19"/>
        <v>julio</v>
      </c>
      <c r="Q15">
        <f t="shared" si="20"/>
        <v>2025</v>
      </c>
      <c r="R15" t="str">
        <f t="shared" si="21"/>
        <v>julio-2025</v>
      </c>
      <c r="S15">
        <f t="shared" si="22"/>
        <v>7</v>
      </c>
      <c r="T15" t="str">
        <f t="shared" si="23"/>
        <v>julio</v>
      </c>
      <c r="U15">
        <f t="shared" si="24"/>
        <v>2025</v>
      </c>
      <c r="V15" t="str">
        <f t="shared" si="25"/>
        <v>julio-2025</v>
      </c>
      <c r="W15">
        <f>IFERROR(_xlfn.DAYS('Jira BUGS'!I15,'Jira BUGS'!H15),0)</f>
        <v>14</v>
      </c>
      <c r="X15">
        <f>VLOOKUP(D15,SLAs!A:B,2,0)</f>
        <v>21</v>
      </c>
      <c r="Y15" t="str">
        <f t="shared" si="26"/>
        <v>NO CUMPLE</v>
      </c>
    </row>
    <row r="16" spans="1:25" ht="45" x14ac:dyDescent="0.25">
      <c r="A16" s="42" t="s">
        <v>1953</v>
      </c>
      <c r="B16" s="44" t="s">
        <v>1954</v>
      </c>
      <c r="C16" s="44" t="s">
        <v>1822</v>
      </c>
      <c r="D16" s="44" t="s">
        <v>16</v>
      </c>
      <c r="E16" s="44" t="s">
        <v>1817</v>
      </c>
      <c r="F16" s="46">
        <v>45861.424445173609</v>
      </c>
      <c r="G16" s="44" t="s">
        <v>53</v>
      </c>
      <c r="H16" s="46">
        <v>45834.517658738427</v>
      </c>
      <c r="I16" s="47">
        <v>45861</v>
      </c>
      <c r="J16" s="47">
        <v>45855</v>
      </c>
      <c r="K16" s="43" t="s">
        <v>1954</v>
      </c>
      <c r="L16" s="44" t="s">
        <v>1845</v>
      </c>
      <c r="M16" s="43" t="s">
        <v>1819</v>
      </c>
      <c r="N16" t="s">
        <v>1973</v>
      </c>
      <c r="O16">
        <f t="shared" ref="O16:O26" si="27">MONTH(H16)</f>
        <v>6</v>
      </c>
      <c r="P16" t="str">
        <f t="shared" ref="P16:P26" si="28">IF(O16=1,"enero",IF(O16=2,"febrero",IF(O16=3,"marzo",IF(O16=4,"abril",IF(O16=5,"mayo",IF(O16=6,"junio",IF(O16=7,"julio",IF(O16=8,"agosto",IF(O16=9,"septiembre",IF(O16=10,"octubre",IF(O16=11,"noviembre",IF(O16=12,"diciembre","REVISAR"))))))))))))</f>
        <v>junio</v>
      </c>
      <c r="Q16">
        <f t="shared" ref="Q16:Q26" si="29">YEAR(H16)</f>
        <v>2025</v>
      </c>
      <c r="R16" t="str">
        <f t="shared" ref="R16:R26" si="30">CONCATENATE(P16,"-",Q16)</f>
        <v>junio-2025</v>
      </c>
      <c r="S16">
        <f t="shared" ref="S16:S26" si="31">MONTH(I16)</f>
        <v>7</v>
      </c>
      <c r="T16" t="str">
        <f t="shared" ref="T16:T26" si="32">IF(S16=1,"enero",IF(S16=2,"febrero",IF(S16=3,"marzo",IF(S16=4,"abril",IF(S16=5,"mayo",IF(S16=6,"junio",IF(S16=7,"julio",IF(S16=8,"agosto",IF(S16=9,"septiembre",IF(S16=10,"octubre",IF(S16=11,"noviembre",IF(S16=12,"diciembre","REVISAR"))))))))))))</f>
        <v>julio</v>
      </c>
      <c r="U16">
        <f t="shared" ref="U16:U26" si="33">YEAR(I16)</f>
        <v>2025</v>
      </c>
      <c r="V16" t="str">
        <f t="shared" ref="V16:V26" si="34">CONCATENATE(T16,"-",U16)</f>
        <v>julio-2025</v>
      </c>
      <c r="W16">
        <f>IFERROR(_xlfn.DAYS('Jira BUGS'!I16,'Jira BUGS'!H16),0)</f>
        <v>27</v>
      </c>
      <c r="X16">
        <f>VLOOKUP(D16,SLAs!A:B,2,0)</f>
        <v>21</v>
      </c>
      <c r="Y16" t="str">
        <f t="shared" ref="Y16:Y26" si="35">IF(N16&gt;=X16,"NO CUMPLE","CUMPLE")</f>
        <v>NO CUMPLE</v>
      </c>
    </row>
    <row r="17" spans="1:25" x14ac:dyDescent="0.25">
      <c r="A17" s="42" t="s">
        <v>1955</v>
      </c>
      <c r="B17" s="44" t="s">
        <v>1956</v>
      </c>
      <c r="C17" s="44" t="s">
        <v>1936</v>
      </c>
      <c r="D17" s="44" t="s">
        <v>16</v>
      </c>
      <c r="E17" s="44" t="s">
        <v>1817</v>
      </c>
      <c r="F17" s="46">
        <v>45895.428680266203</v>
      </c>
      <c r="G17" s="44" t="s">
        <v>53</v>
      </c>
      <c r="H17" s="46">
        <v>45848.559636527774</v>
      </c>
      <c r="I17" s="47">
        <v>45861</v>
      </c>
      <c r="J17" s="47">
        <v>45849</v>
      </c>
      <c r="K17" s="43" t="s">
        <v>1957</v>
      </c>
      <c r="L17" s="44" t="s">
        <v>1857</v>
      </c>
      <c r="M17" s="43" t="s">
        <v>1819</v>
      </c>
      <c r="N17" t="s">
        <v>1973</v>
      </c>
      <c r="O17">
        <f t="shared" si="27"/>
        <v>7</v>
      </c>
      <c r="P17" t="str">
        <f t="shared" si="28"/>
        <v>julio</v>
      </c>
      <c r="Q17">
        <f t="shared" si="29"/>
        <v>2025</v>
      </c>
      <c r="R17" t="str">
        <f t="shared" si="30"/>
        <v>julio-2025</v>
      </c>
      <c r="S17">
        <f t="shared" si="31"/>
        <v>7</v>
      </c>
      <c r="T17" t="str">
        <f t="shared" si="32"/>
        <v>julio</v>
      </c>
      <c r="U17">
        <f t="shared" si="33"/>
        <v>2025</v>
      </c>
      <c r="V17" t="str">
        <f t="shared" si="34"/>
        <v>julio-2025</v>
      </c>
      <c r="W17">
        <f>IFERROR(_xlfn.DAYS('Jira BUGS'!I17,'Jira BUGS'!H17),0)</f>
        <v>13</v>
      </c>
      <c r="X17">
        <f>VLOOKUP(D17,SLAs!A:B,2,0)</f>
        <v>21</v>
      </c>
      <c r="Y17" t="str">
        <f t="shared" si="35"/>
        <v>NO CUMPLE</v>
      </c>
    </row>
    <row r="18" spans="1:25" ht="45" x14ac:dyDescent="0.25">
      <c r="A18" s="42" t="s">
        <v>1948</v>
      </c>
      <c r="B18" s="44" t="s">
        <v>1949</v>
      </c>
      <c r="C18" s="44" t="s">
        <v>1822</v>
      </c>
      <c r="D18" s="44" t="s">
        <v>16</v>
      </c>
      <c r="E18" s="44" t="s">
        <v>1817</v>
      </c>
      <c r="F18" s="46">
        <v>45847.447781643517</v>
      </c>
      <c r="G18" s="44" t="s">
        <v>53</v>
      </c>
      <c r="H18" s="46">
        <v>45835.342729189812</v>
      </c>
      <c r="I18" s="47">
        <v>45847</v>
      </c>
      <c r="J18" s="47">
        <v>45835</v>
      </c>
      <c r="K18" s="43" t="s">
        <v>1949</v>
      </c>
      <c r="L18" s="44" t="s">
        <v>1950</v>
      </c>
      <c r="M18" s="43" t="s">
        <v>1819</v>
      </c>
      <c r="N18" t="s">
        <v>1973</v>
      </c>
      <c r="O18">
        <f t="shared" si="27"/>
        <v>6</v>
      </c>
      <c r="P18" t="str">
        <f t="shared" si="28"/>
        <v>junio</v>
      </c>
      <c r="Q18">
        <f t="shared" si="29"/>
        <v>2025</v>
      </c>
      <c r="R18" t="str">
        <f t="shared" si="30"/>
        <v>junio-2025</v>
      </c>
      <c r="S18">
        <f t="shared" si="31"/>
        <v>7</v>
      </c>
      <c r="T18" t="str">
        <f t="shared" si="32"/>
        <v>julio</v>
      </c>
      <c r="U18">
        <f t="shared" si="33"/>
        <v>2025</v>
      </c>
      <c r="V18" t="str">
        <f t="shared" si="34"/>
        <v>julio-2025</v>
      </c>
      <c r="W18">
        <f>IFERROR(_xlfn.DAYS('Jira BUGS'!I18,'Jira BUGS'!H18),0)</f>
        <v>12</v>
      </c>
      <c r="X18">
        <f>VLOOKUP(D18,SLAs!A:B,2,0)</f>
        <v>21</v>
      </c>
      <c r="Y18" t="str">
        <f t="shared" si="35"/>
        <v>NO CUMPLE</v>
      </c>
    </row>
    <row r="19" spans="1:25" ht="45" x14ac:dyDescent="0.25">
      <c r="A19" s="42" t="s">
        <v>1951</v>
      </c>
      <c r="B19" s="44" t="s">
        <v>1952</v>
      </c>
      <c r="C19" s="44" t="s">
        <v>1822</v>
      </c>
      <c r="D19" s="44" t="s">
        <v>16</v>
      </c>
      <c r="E19" s="44" t="s">
        <v>1817</v>
      </c>
      <c r="F19" s="46">
        <v>45855.507084293982</v>
      </c>
      <c r="G19" s="44" t="s">
        <v>53</v>
      </c>
      <c r="H19" s="46">
        <v>45820.524710902777</v>
      </c>
      <c r="I19" s="47">
        <v>45847</v>
      </c>
      <c r="J19" s="47">
        <v>45835</v>
      </c>
      <c r="K19" s="43" t="s">
        <v>1952</v>
      </c>
      <c r="L19" s="44" t="s">
        <v>1845</v>
      </c>
      <c r="M19" s="43" t="s">
        <v>1819</v>
      </c>
      <c r="N19" t="s">
        <v>1973</v>
      </c>
      <c r="O19">
        <f t="shared" si="27"/>
        <v>6</v>
      </c>
      <c r="P19" t="str">
        <f t="shared" si="28"/>
        <v>junio</v>
      </c>
      <c r="Q19">
        <f t="shared" si="29"/>
        <v>2025</v>
      </c>
      <c r="R19" t="str">
        <f t="shared" si="30"/>
        <v>junio-2025</v>
      </c>
      <c r="S19">
        <f t="shared" si="31"/>
        <v>7</v>
      </c>
      <c r="T19" t="str">
        <f t="shared" si="32"/>
        <v>julio</v>
      </c>
      <c r="U19">
        <f t="shared" si="33"/>
        <v>2025</v>
      </c>
      <c r="V19" t="str">
        <f t="shared" si="34"/>
        <v>julio-2025</v>
      </c>
      <c r="W19">
        <f>IFERROR(_xlfn.DAYS('Jira BUGS'!I19,'Jira BUGS'!H19),0)</f>
        <v>27</v>
      </c>
      <c r="X19">
        <f>VLOOKUP(D19,SLAs!A:B,2,0)</f>
        <v>21</v>
      </c>
      <c r="Y19" t="str">
        <f t="shared" si="35"/>
        <v>NO CUMPLE</v>
      </c>
    </row>
    <row r="20" spans="1:25" ht="45" x14ac:dyDescent="0.25">
      <c r="A20" s="42" t="s">
        <v>1943</v>
      </c>
      <c r="B20" s="44" t="s">
        <v>1944</v>
      </c>
      <c r="C20" s="44" t="s">
        <v>1822</v>
      </c>
      <c r="D20" s="44" t="s">
        <v>16</v>
      </c>
      <c r="E20" s="44" t="s">
        <v>1817</v>
      </c>
      <c r="F20" s="46">
        <v>45833.742381932869</v>
      </c>
      <c r="G20" s="44" t="s">
        <v>53</v>
      </c>
      <c r="H20" s="46">
        <v>45806.724654837963</v>
      </c>
      <c r="I20" s="47">
        <v>45833</v>
      </c>
      <c r="J20" s="47">
        <v>45821</v>
      </c>
      <c r="K20" s="43" t="s">
        <v>1944</v>
      </c>
      <c r="L20" s="44" t="s">
        <v>1845</v>
      </c>
      <c r="M20" s="43" t="s">
        <v>1819</v>
      </c>
      <c r="N20" t="s">
        <v>1973</v>
      </c>
      <c r="O20">
        <f t="shared" si="27"/>
        <v>5</v>
      </c>
      <c r="P20" t="str">
        <f t="shared" si="28"/>
        <v>mayo</v>
      </c>
      <c r="Q20">
        <f t="shared" si="29"/>
        <v>2025</v>
      </c>
      <c r="R20" t="str">
        <f t="shared" si="30"/>
        <v>mayo-2025</v>
      </c>
      <c r="S20">
        <f t="shared" si="31"/>
        <v>6</v>
      </c>
      <c r="T20" t="str">
        <f t="shared" si="32"/>
        <v>junio</v>
      </c>
      <c r="U20">
        <f t="shared" si="33"/>
        <v>2025</v>
      </c>
      <c r="V20" t="str">
        <f t="shared" si="34"/>
        <v>junio-2025</v>
      </c>
      <c r="W20">
        <f>IFERROR(_xlfn.DAYS('Jira BUGS'!I20,'Jira BUGS'!H20),0)</f>
        <v>27</v>
      </c>
      <c r="X20">
        <f>VLOOKUP(D20,SLAs!A:B,2,0)</f>
        <v>21</v>
      </c>
      <c r="Y20" t="str">
        <f t="shared" si="35"/>
        <v>NO CUMPLE</v>
      </c>
    </row>
    <row r="21" spans="1:25" ht="45" x14ac:dyDescent="0.25">
      <c r="A21" s="42" t="s">
        <v>1945</v>
      </c>
      <c r="B21" s="44" t="s">
        <v>1946</v>
      </c>
      <c r="C21" s="44" t="s">
        <v>1822</v>
      </c>
      <c r="D21" s="44" t="s">
        <v>16</v>
      </c>
      <c r="E21" s="44" t="s">
        <v>1817</v>
      </c>
      <c r="F21" s="46">
        <v>45834.410588506944</v>
      </c>
      <c r="G21" s="44" t="s">
        <v>53</v>
      </c>
      <c r="H21" s="46">
        <v>45793.632015300929</v>
      </c>
      <c r="I21" s="47">
        <v>45833</v>
      </c>
      <c r="J21" s="47">
        <v>45813</v>
      </c>
      <c r="K21" s="43" t="s">
        <v>1946</v>
      </c>
      <c r="L21" s="44" t="s">
        <v>1947</v>
      </c>
      <c r="M21" s="43" t="s">
        <v>1819</v>
      </c>
      <c r="N21" t="s">
        <v>1973</v>
      </c>
      <c r="O21">
        <f t="shared" si="27"/>
        <v>5</v>
      </c>
      <c r="P21" t="str">
        <f t="shared" si="28"/>
        <v>mayo</v>
      </c>
      <c r="Q21">
        <f t="shared" si="29"/>
        <v>2025</v>
      </c>
      <c r="R21" t="str">
        <f t="shared" si="30"/>
        <v>mayo-2025</v>
      </c>
      <c r="S21">
        <f t="shared" si="31"/>
        <v>6</v>
      </c>
      <c r="T21" t="str">
        <f t="shared" si="32"/>
        <v>junio</v>
      </c>
      <c r="U21">
        <f t="shared" si="33"/>
        <v>2025</v>
      </c>
      <c r="V21" t="str">
        <f t="shared" si="34"/>
        <v>junio-2025</v>
      </c>
      <c r="W21">
        <f>IFERROR(_xlfn.DAYS('Jira BUGS'!I21,'Jira BUGS'!H21),0)</f>
        <v>40</v>
      </c>
      <c r="X21">
        <f>VLOOKUP(D21,SLAs!A:B,2,0)</f>
        <v>21</v>
      </c>
      <c r="Y21" t="str">
        <f t="shared" si="35"/>
        <v>NO CUMPLE</v>
      </c>
    </row>
    <row r="22" spans="1:25" ht="45" x14ac:dyDescent="0.25">
      <c r="A22" s="42" t="s">
        <v>1940</v>
      </c>
      <c r="B22" s="44" t="s">
        <v>1941</v>
      </c>
      <c r="C22" s="44" t="s">
        <v>1822</v>
      </c>
      <c r="D22" s="44" t="s">
        <v>16</v>
      </c>
      <c r="E22" s="44" t="s">
        <v>1817</v>
      </c>
      <c r="F22" s="46">
        <v>45813.395777557867</v>
      </c>
      <c r="G22" s="44" t="s">
        <v>53</v>
      </c>
      <c r="H22" s="46">
        <v>45793.530450381943</v>
      </c>
      <c r="I22" s="47">
        <v>45813</v>
      </c>
      <c r="J22" s="43" t="s">
        <v>53</v>
      </c>
      <c r="K22" s="43" t="s">
        <v>53</v>
      </c>
      <c r="L22" s="44" t="s">
        <v>1942</v>
      </c>
      <c r="M22" s="43" t="s">
        <v>1819</v>
      </c>
      <c r="N22" t="s">
        <v>1973</v>
      </c>
      <c r="O22">
        <f t="shared" si="27"/>
        <v>5</v>
      </c>
      <c r="P22" t="str">
        <f t="shared" si="28"/>
        <v>mayo</v>
      </c>
      <c r="Q22">
        <f t="shared" si="29"/>
        <v>2025</v>
      </c>
      <c r="R22" t="str">
        <f t="shared" si="30"/>
        <v>mayo-2025</v>
      </c>
      <c r="S22">
        <f t="shared" si="31"/>
        <v>6</v>
      </c>
      <c r="T22" t="str">
        <f t="shared" si="32"/>
        <v>junio</v>
      </c>
      <c r="U22">
        <f t="shared" si="33"/>
        <v>2025</v>
      </c>
      <c r="V22" t="str">
        <f t="shared" si="34"/>
        <v>junio-2025</v>
      </c>
      <c r="W22">
        <f>IFERROR(_xlfn.DAYS('Jira BUGS'!I22,'Jira BUGS'!H22),0)</f>
        <v>20</v>
      </c>
      <c r="X22">
        <f>VLOOKUP(D22,SLAs!A:B,2,0)</f>
        <v>21</v>
      </c>
      <c r="Y22" t="str">
        <f t="shared" si="35"/>
        <v>NO CUMPLE</v>
      </c>
    </row>
    <row r="23" spans="1:25" x14ac:dyDescent="0.25">
      <c r="A23" s="42" t="s">
        <v>1931</v>
      </c>
      <c r="B23" s="44" t="s">
        <v>1932</v>
      </c>
      <c r="C23" s="44" t="s">
        <v>53</v>
      </c>
      <c r="D23" s="44" t="s">
        <v>16</v>
      </c>
      <c r="E23" s="44" t="s">
        <v>1817</v>
      </c>
      <c r="F23" s="46">
        <v>45849.398899016203</v>
      </c>
      <c r="G23" s="44" t="s">
        <v>53</v>
      </c>
      <c r="H23" s="46">
        <v>45777.773149305554</v>
      </c>
      <c r="I23" s="47">
        <v>45812</v>
      </c>
      <c r="J23" s="43" t="s">
        <v>53</v>
      </c>
      <c r="K23" s="43" t="s">
        <v>1932</v>
      </c>
      <c r="L23" s="44" t="s">
        <v>1933</v>
      </c>
      <c r="M23" s="43" t="s">
        <v>1819</v>
      </c>
      <c r="N23" t="s">
        <v>1973</v>
      </c>
      <c r="O23">
        <f t="shared" si="27"/>
        <v>4</v>
      </c>
      <c r="P23" t="str">
        <f t="shared" si="28"/>
        <v>abril</v>
      </c>
      <c r="Q23">
        <f t="shared" si="29"/>
        <v>2025</v>
      </c>
      <c r="R23" t="str">
        <f t="shared" si="30"/>
        <v>abril-2025</v>
      </c>
      <c r="S23">
        <f t="shared" si="31"/>
        <v>6</v>
      </c>
      <c r="T23" t="str">
        <f t="shared" si="32"/>
        <v>junio</v>
      </c>
      <c r="U23">
        <f t="shared" si="33"/>
        <v>2025</v>
      </c>
      <c r="V23" t="str">
        <f t="shared" si="34"/>
        <v>junio-2025</v>
      </c>
      <c r="W23">
        <f>IFERROR(_xlfn.DAYS('Jira BUGS'!I23,'Jira BUGS'!H23),0)</f>
        <v>35</v>
      </c>
      <c r="X23">
        <f>VLOOKUP(D23,SLAs!A:B,2,0)</f>
        <v>21</v>
      </c>
      <c r="Y23" t="str">
        <f t="shared" si="35"/>
        <v>NO CUMPLE</v>
      </c>
    </row>
    <row r="24" spans="1:25" ht="60" x14ac:dyDescent="0.25">
      <c r="A24" s="42" t="s">
        <v>1934</v>
      </c>
      <c r="B24" s="44" t="s">
        <v>1935</v>
      </c>
      <c r="C24" s="44" t="s">
        <v>1936</v>
      </c>
      <c r="D24" s="44" t="s">
        <v>16</v>
      </c>
      <c r="E24" s="44" t="s">
        <v>1817</v>
      </c>
      <c r="F24" s="46">
        <v>45812.39900153935</v>
      </c>
      <c r="G24" s="44" t="s">
        <v>53</v>
      </c>
      <c r="H24" s="50">
        <v>45748.734941030096</v>
      </c>
      <c r="I24" s="47">
        <v>45812</v>
      </c>
      <c r="J24" s="47">
        <v>45751</v>
      </c>
      <c r="K24" s="43" t="s">
        <v>53</v>
      </c>
      <c r="L24" s="44" t="s">
        <v>1830</v>
      </c>
      <c r="M24" s="43" t="s">
        <v>1819</v>
      </c>
      <c r="N24" t="s">
        <v>1973</v>
      </c>
      <c r="O24">
        <f t="shared" si="27"/>
        <v>4</v>
      </c>
      <c r="P24" t="str">
        <f t="shared" si="28"/>
        <v>abril</v>
      </c>
      <c r="Q24">
        <f t="shared" si="29"/>
        <v>2025</v>
      </c>
      <c r="R24" t="str">
        <f t="shared" si="30"/>
        <v>abril-2025</v>
      </c>
      <c r="S24">
        <f t="shared" si="31"/>
        <v>6</v>
      </c>
      <c r="T24" t="str">
        <f t="shared" si="32"/>
        <v>junio</v>
      </c>
      <c r="U24">
        <f t="shared" si="33"/>
        <v>2025</v>
      </c>
      <c r="V24" t="str">
        <f t="shared" si="34"/>
        <v>junio-2025</v>
      </c>
      <c r="W24">
        <f>IFERROR(_xlfn.DAYS('Jira BUGS'!I24,'Jira BUGS'!H24),0)</f>
        <v>64</v>
      </c>
      <c r="X24">
        <f>VLOOKUP(D24,SLAs!A:B,2,0)</f>
        <v>21</v>
      </c>
      <c r="Y24" t="str">
        <f t="shared" si="35"/>
        <v>NO CUMPLE</v>
      </c>
    </row>
    <row r="25" spans="1:25" ht="45" x14ac:dyDescent="0.25">
      <c r="A25" s="42" t="s">
        <v>1937</v>
      </c>
      <c r="B25" s="44" t="s">
        <v>1938</v>
      </c>
      <c r="C25" s="44" t="s">
        <v>1936</v>
      </c>
      <c r="D25" s="44" t="s">
        <v>16</v>
      </c>
      <c r="E25" s="44" t="s">
        <v>1817</v>
      </c>
      <c r="F25" s="46">
        <v>45812.398912673612</v>
      </c>
      <c r="G25" s="44" t="s">
        <v>53</v>
      </c>
      <c r="H25" s="46">
        <v>45758.543942534721</v>
      </c>
      <c r="I25" s="47">
        <v>45812</v>
      </c>
      <c r="J25" s="47">
        <v>45758</v>
      </c>
      <c r="K25" s="43" t="s">
        <v>53</v>
      </c>
      <c r="L25" s="44" t="s">
        <v>1939</v>
      </c>
      <c r="M25" s="43" t="s">
        <v>1819</v>
      </c>
      <c r="N25" t="s">
        <v>1973</v>
      </c>
      <c r="O25">
        <f t="shared" si="27"/>
        <v>4</v>
      </c>
      <c r="P25" t="str">
        <f t="shared" si="28"/>
        <v>abril</v>
      </c>
      <c r="Q25">
        <f t="shared" si="29"/>
        <v>2025</v>
      </c>
      <c r="R25" t="str">
        <f t="shared" si="30"/>
        <v>abril-2025</v>
      </c>
      <c r="S25">
        <f t="shared" si="31"/>
        <v>6</v>
      </c>
      <c r="T25" t="str">
        <f t="shared" si="32"/>
        <v>junio</v>
      </c>
      <c r="U25">
        <f t="shared" si="33"/>
        <v>2025</v>
      </c>
      <c r="V25" t="str">
        <f t="shared" si="34"/>
        <v>junio-2025</v>
      </c>
      <c r="W25">
        <f>IFERROR(_xlfn.DAYS('Jira BUGS'!I25,'Jira BUGS'!H25),0)</f>
        <v>54</v>
      </c>
      <c r="X25">
        <f>VLOOKUP(D25,SLAs!A:B,2,0)</f>
        <v>21</v>
      </c>
      <c r="Y25" t="str">
        <f t="shared" si="35"/>
        <v>NO CUMPLE</v>
      </c>
    </row>
    <row r="26" spans="1:25" ht="30" x14ac:dyDescent="0.25">
      <c r="A26" s="42" t="s">
        <v>1921</v>
      </c>
      <c r="B26" s="44" t="s">
        <v>1922</v>
      </c>
      <c r="C26" s="44" t="s">
        <v>1923</v>
      </c>
      <c r="D26" s="44" t="s">
        <v>16</v>
      </c>
      <c r="E26" s="44" t="s">
        <v>1817</v>
      </c>
      <c r="F26" s="46">
        <v>45895.43281528935</v>
      </c>
      <c r="G26" s="44" t="s">
        <v>53</v>
      </c>
      <c r="H26" s="46">
        <v>45743.634456585649</v>
      </c>
      <c r="I26" s="47">
        <v>45799</v>
      </c>
      <c r="J26" s="47">
        <v>45743</v>
      </c>
      <c r="K26" s="43" t="s">
        <v>53</v>
      </c>
      <c r="L26" s="44" t="s">
        <v>1924</v>
      </c>
      <c r="M26" s="43" t="s">
        <v>1819</v>
      </c>
      <c r="N26" t="s">
        <v>1973</v>
      </c>
      <c r="O26">
        <f t="shared" si="27"/>
        <v>3</v>
      </c>
      <c r="P26" t="str">
        <f t="shared" si="28"/>
        <v>marzo</v>
      </c>
      <c r="Q26">
        <f t="shared" si="29"/>
        <v>2025</v>
      </c>
      <c r="R26" t="str">
        <f t="shared" si="30"/>
        <v>marzo-2025</v>
      </c>
      <c r="S26">
        <f t="shared" si="31"/>
        <v>5</v>
      </c>
      <c r="T26" t="str">
        <f t="shared" si="32"/>
        <v>mayo</v>
      </c>
      <c r="U26">
        <f t="shared" si="33"/>
        <v>2025</v>
      </c>
      <c r="V26" t="str">
        <f t="shared" si="34"/>
        <v>mayo-2025</v>
      </c>
      <c r="W26">
        <f>IFERROR(_xlfn.DAYS('Jira BUGS'!I26,'Jira BUGS'!H26),0)</f>
        <v>56</v>
      </c>
      <c r="X26">
        <f>VLOOKUP(D26,SLAs!A:B,2,0)</f>
        <v>21</v>
      </c>
      <c r="Y26" t="str">
        <f t="shared" si="35"/>
        <v>NO CUMPLE</v>
      </c>
    </row>
    <row r="27" spans="1:25" ht="45" x14ac:dyDescent="0.25">
      <c r="A27" s="42" t="s">
        <v>1925</v>
      </c>
      <c r="B27" s="44" t="s">
        <v>1926</v>
      </c>
      <c r="C27" s="44" t="s">
        <v>1822</v>
      </c>
      <c r="D27" s="44" t="s">
        <v>16</v>
      </c>
      <c r="E27" s="44" t="s">
        <v>1817</v>
      </c>
      <c r="F27" s="46">
        <v>45797.080755057868</v>
      </c>
      <c r="G27" s="44" t="s">
        <v>53</v>
      </c>
      <c r="H27" s="46">
        <v>45768.718896157407</v>
      </c>
      <c r="I27" s="47">
        <v>45796</v>
      </c>
      <c r="J27" s="47">
        <v>45779</v>
      </c>
      <c r="K27" s="43" t="s">
        <v>1926</v>
      </c>
      <c r="L27" s="44" t="s">
        <v>1885</v>
      </c>
      <c r="M27" s="43" t="s">
        <v>1819</v>
      </c>
      <c r="N27" t="s">
        <v>1973</v>
      </c>
      <c r="O27">
        <f t="shared" ref="O27:O28" si="36">MONTH(H27)</f>
        <v>4</v>
      </c>
      <c r="P27" t="str">
        <f t="shared" ref="P27:P28" si="37">IF(O27=1,"enero",IF(O27=2,"febrero",IF(O27=3,"marzo",IF(O27=4,"abril",IF(O27=5,"mayo",IF(O27=6,"junio",IF(O27=7,"julio",IF(O27=8,"agosto",IF(O27=9,"septiembre",IF(O27=10,"octubre",IF(O27=11,"noviembre",IF(O27=12,"diciembre","REVISAR"))))))))))))</f>
        <v>abril</v>
      </c>
      <c r="Q27">
        <f t="shared" ref="Q27:Q28" si="38">YEAR(H27)</f>
        <v>2025</v>
      </c>
      <c r="R27" t="str">
        <f t="shared" ref="R27:R28" si="39">CONCATENATE(P27,"-",Q27)</f>
        <v>abril-2025</v>
      </c>
      <c r="S27">
        <f t="shared" ref="S27:S28" si="40">MONTH(I27)</f>
        <v>5</v>
      </c>
      <c r="T27" t="str">
        <f t="shared" ref="T27:T28" si="41">IF(S27=1,"enero",IF(S27=2,"febrero",IF(S27=3,"marzo",IF(S27=4,"abril",IF(S27=5,"mayo",IF(S27=6,"junio",IF(S27=7,"julio",IF(S27=8,"agosto",IF(S27=9,"septiembre",IF(S27=10,"octubre",IF(S27=11,"noviembre",IF(S27=12,"diciembre","REVISAR"))))))))))))</f>
        <v>mayo</v>
      </c>
      <c r="U27">
        <f t="shared" ref="U27:U28" si="42">YEAR(I27)</f>
        <v>2025</v>
      </c>
      <c r="V27" t="str">
        <f t="shared" ref="V27:V28" si="43">CONCATENATE(T27,"-",U27)</f>
        <v>mayo-2025</v>
      </c>
      <c r="W27">
        <f>IFERROR(_xlfn.DAYS('Jira BUGS'!I27,'Jira BUGS'!H27),0)</f>
        <v>28</v>
      </c>
      <c r="X27">
        <f>VLOOKUP(D27,SLAs!A:B,2,0)</f>
        <v>21</v>
      </c>
      <c r="Y27" t="str">
        <f t="shared" ref="Y27:Y28" si="44">IF(N27&gt;=X27,"NO CUMPLE","CUMPLE")</f>
        <v>NO CUMPLE</v>
      </c>
    </row>
    <row r="28" spans="1:25" ht="60" x14ac:dyDescent="0.25">
      <c r="A28" s="42" t="s">
        <v>1927</v>
      </c>
      <c r="B28" s="44" t="s">
        <v>1928</v>
      </c>
      <c r="C28" s="44" t="s">
        <v>1920</v>
      </c>
      <c r="D28" s="44" t="s">
        <v>16</v>
      </c>
      <c r="E28" s="44" t="s">
        <v>1817</v>
      </c>
      <c r="F28" s="46">
        <v>45895.433254710646</v>
      </c>
      <c r="G28" s="44" t="s">
        <v>53</v>
      </c>
      <c r="H28" s="46">
        <v>45727.468990856483</v>
      </c>
      <c r="I28" s="47">
        <v>45796</v>
      </c>
      <c r="J28" s="47">
        <v>45727</v>
      </c>
      <c r="K28" s="43" t="s">
        <v>53</v>
      </c>
      <c r="L28" s="44" t="s">
        <v>1929</v>
      </c>
      <c r="M28" s="43" t="s">
        <v>1819</v>
      </c>
      <c r="N28" t="s">
        <v>1973</v>
      </c>
      <c r="O28">
        <f t="shared" si="36"/>
        <v>3</v>
      </c>
      <c r="P28" t="str">
        <f t="shared" si="37"/>
        <v>marzo</v>
      </c>
      <c r="Q28">
        <f t="shared" si="38"/>
        <v>2025</v>
      </c>
      <c r="R28" t="str">
        <f t="shared" si="39"/>
        <v>marzo-2025</v>
      </c>
      <c r="S28">
        <f t="shared" si="40"/>
        <v>5</v>
      </c>
      <c r="T28" t="str">
        <f t="shared" si="41"/>
        <v>mayo</v>
      </c>
      <c r="U28">
        <f t="shared" si="42"/>
        <v>2025</v>
      </c>
      <c r="V28" t="str">
        <f t="shared" si="43"/>
        <v>mayo-2025</v>
      </c>
      <c r="W28">
        <f>IFERROR(_xlfn.DAYS('Jira BUGS'!I28,'Jira BUGS'!H28),0)</f>
        <v>69</v>
      </c>
      <c r="X28">
        <f>VLOOKUP(D28,SLAs!A:B,2,0)</f>
        <v>21</v>
      </c>
      <c r="Y28" t="str">
        <f t="shared" si="44"/>
        <v>NO CUMPLE</v>
      </c>
    </row>
    <row r="29" spans="1:25" x14ac:dyDescent="0.25">
      <c r="A29" s="42" t="s">
        <v>1908</v>
      </c>
      <c r="B29" s="44" t="s">
        <v>1909</v>
      </c>
      <c r="C29" s="44" t="s">
        <v>53</v>
      </c>
      <c r="D29" s="44" t="s">
        <v>16</v>
      </c>
      <c r="E29" s="44" t="s">
        <v>1817</v>
      </c>
      <c r="F29" s="46">
        <v>45784.581673032408</v>
      </c>
      <c r="G29" s="44" t="s">
        <v>53</v>
      </c>
      <c r="H29" s="46">
        <v>45736.613696469911</v>
      </c>
      <c r="I29" s="47">
        <v>45784</v>
      </c>
      <c r="J29" s="47">
        <v>45751</v>
      </c>
      <c r="K29" s="43" t="s">
        <v>1909</v>
      </c>
      <c r="L29" s="44" t="s">
        <v>1910</v>
      </c>
      <c r="M29" s="43" t="s">
        <v>1819</v>
      </c>
      <c r="N29" t="s">
        <v>1973</v>
      </c>
      <c r="O29">
        <f t="shared" ref="O29:O30" si="45">MONTH(H29)</f>
        <v>3</v>
      </c>
      <c r="P29" t="str">
        <f t="shared" ref="P29:P30" si="46">IF(O29=1,"enero",IF(O29=2,"febrero",IF(O29=3,"marzo",IF(O29=4,"abril",IF(O29=5,"mayo",IF(O29=6,"junio",IF(O29=7,"julio",IF(O29=8,"agosto",IF(O29=9,"septiembre",IF(O29=10,"octubre",IF(O29=11,"noviembre",IF(O29=12,"diciembre","REVISAR"))))))))))))</f>
        <v>marzo</v>
      </c>
      <c r="Q29">
        <f t="shared" ref="Q29:Q30" si="47">YEAR(H29)</f>
        <v>2025</v>
      </c>
      <c r="R29" t="str">
        <f t="shared" ref="R29:R30" si="48">CONCATENATE(P29,"-",Q29)</f>
        <v>marzo-2025</v>
      </c>
      <c r="S29">
        <f t="shared" ref="S29:S30" si="49">MONTH(I29)</f>
        <v>5</v>
      </c>
      <c r="T29" t="str">
        <f t="shared" ref="T29:T30" si="50">IF(S29=1,"enero",IF(S29=2,"febrero",IF(S29=3,"marzo",IF(S29=4,"abril",IF(S29=5,"mayo",IF(S29=6,"junio",IF(S29=7,"julio",IF(S29=8,"agosto",IF(S29=9,"septiembre",IF(S29=10,"octubre",IF(S29=11,"noviembre",IF(S29=12,"diciembre","REVISAR"))))))))))))</f>
        <v>mayo</v>
      </c>
      <c r="U29">
        <f t="shared" ref="U29:U30" si="51">YEAR(I29)</f>
        <v>2025</v>
      </c>
      <c r="V29" t="str">
        <f t="shared" ref="V29:V30" si="52">CONCATENATE(T29,"-",U29)</f>
        <v>mayo-2025</v>
      </c>
      <c r="W29">
        <f>IFERROR(_xlfn.DAYS('Jira BUGS'!I29,'Jira BUGS'!H29),0)</f>
        <v>48</v>
      </c>
      <c r="X29">
        <f>VLOOKUP(D29,SLAs!A:B,2,0)</f>
        <v>21</v>
      </c>
      <c r="Y29" t="str">
        <f t="shared" ref="Y29:Y30" si="53">IF(N29&gt;=X29,"NO CUMPLE","CUMPLE")</f>
        <v>NO CUMPLE</v>
      </c>
    </row>
    <row r="30" spans="1:25" ht="45" x14ac:dyDescent="0.25">
      <c r="A30" s="42" t="s">
        <v>1911</v>
      </c>
      <c r="B30" s="44" t="s">
        <v>1912</v>
      </c>
      <c r="C30" s="44" t="s">
        <v>1822</v>
      </c>
      <c r="D30" s="44" t="s">
        <v>16</v>
      </c>
      <c r="E30" s="44" t="s">
        <v>1817</v>
      </c>
      <c r="F30" s="46">
        <v>45784.111612060187</v>
      </c>
      <c r="G30" s="44" t="s">
        <v>53</v>
      </c>
      <c r="H30" s="46">
        <v>45777.565899108798</v>
      </c>
      <c r="I30" s="47">
        <v>45784</v>
      </c>
      <c r="J30" s="43" t="s">
        <v>53</v>
      </c>
      <c r="K30" s="43" t="s">
        <v>53</v>
      </c>
      <c r="L30" s="44" t="s">
        <v>1913</v>
      </c>
      <c r="M30" s="43" t="s">
        <v>1819</v>
      </c>
      <c r="N30" t="s">
        <v>1973</v>
      </c>
      <c r="O30">
        <f t="shared" si="45"/>
        <v>4</v>
      </c>
      <c r="P30" t="str">
        <f t="shared" si="46"/>
        <v>abril</v>
      </c>
      <c r="Q30">
        <f t="shared" si="47"/>
        <v>2025</v>
      </c>
      <c r="R30" t="str">
        <f t="shared" si="48"/>
        <v>abril-2025</v>
      </c>
      <c r="S30">
        <f t="shared" si="49"/>
        <v>5</v>
      </c>
      <c r="T30" t="str">
        <f t="shared" si="50"/>
        <v>mayo</v>
      </c>
      <c r="U30">
        <f t="shared" si="51"/>
        <v>2025</v>
      </c>
      <c r="V30" t="str">
        <f t="shared" si="52"/>
        <v>mayo-2025</v>
      </c>
      <c r="W30">
        <f>IFERROR(_xlfn.DAYS('Jira BUGS'!I30,'Jira BUGS'!H30),0)</f>
        <v>7</v>
      </c>
      <c r="X30">
        <f>VLOOKUP(D30,SLAs!A:B,2,0)</f>
        <v>21</v>
      </c>
      <c r="Y30" t="str">
        <f t="shared" si="53"/>
        <v>NO CUMPLE</v>
      </c>
    </row>
    <row r="31" spans="1:25" ht="45" x14ac:dyDescent="0.25">
      <c r="A31" s="42" t="s">
        <v>1914</v>
      </c>
      <c r="B31" s="44" t="s">
        <v>1915</v>
      </c>
      <c r="C31" s="44" t="s">
        <v>1822</v>
      </c>
      <c r="D31" s="44" t="s">
        <v>16</v>
      </c>
      <c r="E31" s="44" t="s">
        <v>1817</v>
      </c>
      <c r="F31" s="46">
        <v>45786.343421562502</v>
      </c>
      <c r="G31" s="44" t="s">
        <v>53</v>
      </c>
      <c r="H31" s="46">
        <v>45750.674549675925</v>
      </c>
      <c r="I31" s="47">
        <v>45784</v>
      </c>
      <c r="J31" s="47">
        <v>45769</v>
      </c>
      <c r="K31" s="43" t="s">
        <v>1915</v>
      </c>
      <c r="L31" s="44" t="s">
        <v>1861</v>
      </c>
      <c r="M31" s="43" t="s">
        <v>1819</v>
      </c>
      <c r="N31" t="s">
        <v>1973</v>
      </c>
      <c r="O31">
        <f t="shared" ref="O31:O34" si="54">MONTH(H31)</f>
        <v>4</v>
      </c>
      <c r="P31" t="str">
        <f t="shared" ref="P31:P34" si="55">IF(O31=1,"enero",IF(O31=2,"febrero",IF(O31=3,"marzo",IF(O31=4,"abril",IF(O31=5,"mayo",IF(O31=6,"junio",IF(O31=7,"julio",IF(O31=8,"agosto",IF(O31=9,"septiembre",IF(O31=10,"octubre",IF(O31=11,"noviembre",IF(O31=12,"diciembre","REVISAR"))))))))))))</f>
        <v>abril</v>
      </c>
      <c r="Q31">
        <f t="shared" ref="Q31:Q34" si="56">YEAR(H31)</f>
        <v>2025</v>
      </c>
      <c r="R31" t="str">
        <f t="shared" ref="R31:R34" si="57">CONCATENATE(P31,"-",Q31)</f>
        <v>abril-2025</v>
      </c>
      <c r="S31">
        <f t="shared" ref="S31:S34" si="58">MONTH(I31)</f>
        <v>5</v>
      </c>
      <c r="T31" t="str">
        <f t="shared" ref="T31:T34" si="59">IF(S31=1,"enero",IF(S31=2,"febrero",IF(S31=3,"marzo",IF(S31=4,"abril",IF(S31=5,"mayo",IF(S31=6,"junio",IF(S31=7,"julio",IF(S31=8,"agosto",IF(S31=9,"septiembre",IF(S31=10,"octubre",IF(S31=11,"noviembre",IF(S31=12,"diciembre","REVISAR"))))))))))))</f>
        <v>mayo</v>
      </c>
      <c r="U31">
        <f t="shared" ref="U31:U34" si="60">YEAR(I31)</f>
        <v>2025</v>
      </c>
      <c r="V31" t="str">
        <f t="shared" ref="V31:V34" si="61">CONCATENATE(T31,"-",U31)</f>
        <v>mayo-2025</v>
      </c>
      <c r="W31">
        <f>IFERROR(_xlfn.DAYS('Jira BUGS'!I31,'Jira BUGS'!H31),0)</f>
        <v>34</v>
      </c>
      <c r="X31">
        <f>VLOOKUP(D31,SLAs!A:B,2,0)</f>
        <v>21</v>
      </c>
      <c r="Y31" t="str">
        <f t="shared" ref="Y31:Y34" si="62">IF(N31&gt;=X31,"NO CUMPLE","CUMPLE")</f>
        <v>NO CUMPLE</v>
      </c>
    </row>
    <row r="32" spans="1:25" ht="45" x14ac:dyDescent="0.25">
      <c r="A32" s="42" t="s">
        <v>1916</v>
      </c>
      <c r="B32" s="44" t="s">
        <v>1917</v>
      </c>
      <c r="C32" s="44" t="s">
        <v>1822</v>
      </c>
      <c r="D32" s="44" t="s">
        <v>16</v>
      </c>
      <c r="E32" s="44" t="s">
        <v>1817</v>
      </c>
      <c r="F32" s="46">
        <v>45784.1113266088</v>
      </c>
      <c r="G32" s="44" t="s">
        <v>53</v>
      </c>
      <c r="H32" s="46">
        <v>45750.524938483795</v>
      </c>
      <c r="I32" s="47">
        <v>45784</v>
      </c>
      <c r="J32" s="47">
        <v>45782</v>
      </c>
      <c r="K32" s="43" t="s">
        <v>53</v>
      </c>
      <c r="L32" s="44" t="s">
        <v>1861</v>
      </c>
      <c r="M32" s="43" t="s">
        <v>1819</v>
      </c>
      <c r="N32" t="s">
        <v>1973</v>
      </c>
      <c r="O32">
        <f t="shared" si="54"/>
        <v>4</v>
      </c>
      <c r="P32" t="str">
        <f t="shared" si="55"/>
        <v>abril</v>
      </c>
      <c r="Q32">
        <f t="shared" si="56"/>
        <v>2025</v>
      </c>
      <c r="R32" t="str">
        <f t="shared" si="57"/>
        <v>abril-2025</v>
      </c>
      <c r="S32">
        <f t="shared" si="58"/>
        <v>5</v>
      </c>
      <c r="T32" t="str">
        <f t="shared" si="59"/>
        <v>mayo</v>
      </c>
      <c r="U32">
        <f t="shared" si="60"/>
        <v>2025</v>
      </c>
      <c r="V32" t="str">
        <f t="shared" si="61"/>
        <v>mayo-2025</v>
      </c>
      <c r="W32">
        <f>IFERROR(_xlfn.DAYS('Jira BUGS'!I32,'Jira BUGS'!H32),0)</f>
        <v>34</v>
      </c>
      <c r="X32">
        <f>VLOOKUP(D32,SLAs!A:B,2,0)</f>
        <v>21</v>
      </c>
      <c r="Y32" t="str">
        <f t="shared" si="62"/>
        <v>NO CUMPLE</v>
      </c>
    </row>
    <row r="33" spans="1:25" ht="45" x14ac:dyDescent="0.25">
      <c r="A33" s="42" t="s">
        <v>1918</v>
      </c>
      <c r="B33" s="44" t="s">
        <v>1919</v>
      </c>
      <c r="C33" s="44" t="s">
        <v>1920</v>
      </c>
      <c r="D33" s="44" t="s">
        <v>16</v>
      </c>
      <c r="E33" s="44" t="s">
        <v>1817</v>
      </c>
      <c r="F33" s="46">
        <v>45770.615701689814</v>
      </c>
      <c r="G33" s="44" t="s">
        <v>53</v>
      </c>
      <c r="H33" s="46">
        <v>45727.477939537035</v>
      </c>
      <c r="I33" s="47">
        <v>45770</v>
      </c>
      <c r="J33" s="47">
        <v>45729</v>
      </c>
      <c r="K33" s="43" t="s">
        <v>53</v>
      </c>
      <c r="L33" s="44" t="s">
        <v>1839</v>
      </c>
      <c r="M33" s="43" t="s">
        <v>1819</v>
      </c>
      <c r="N33" t="s">
        <v>1973</v>
      </c>
      <c r="O33">
        <f t="shared" si="54"/>
        <v>3</v>
      </c>
      <c r="P33" t="str">
        <f t="shared" si="55"/>
        <v>marzo</v>
      </c>
      <c r="Q33">
        <f t="shared" si="56"/>
        <v>2025</v>
      </c>
      <c r="R33" t="str">
        <f t="shared" si="57"/>
        <v>marzo-2025</v>
      </c>
      <c r="S33">
        <f t="shared" si="58"/>
        <v>4</v>
      </c>
      <c r="T33" t="str">
        <f t="shared" si="59"/>
        <v>abril</v>
      </c>
      <c r="U33">
        <f t="shared" si="60"/>
        <v>2025</v>
      </c>
      <c r="V33" t="str">
        <f t="shared" si="61"/>
        <v>abril-2025</v>
      </c>
      <c r="W33">
        <f>IFERROR(_xlfn.DAYS('Jira BUGS'!I33,'Jira BUGS'!H33),0)</f>
        <v>43</v>
      </c>
      <c r="X33">
        <f>VLOOKUP(D33,SLAs!A:B,2,0)</f>
        <v>21</v>
      </c>
      <c r="Y33" t="str">
        <f t="shared" si="62"/>
        <v>NO CUMPLE</v>
      </c>
    </row>
    <row r="34" spans="1:25" ht="45" x14ac:dyDescent="0.25">
      <c r="A34" s="42" t="s">
        <v>1898</v>
      </c>
      <c r="B34" s="44" t="s">
        <v>1899</v>
      </c>
      <c r="C34" s="44" t="s">
        <v>1848</v>
      </c>
      <c r="D34" s="44" t="s">
        <v>16</v>
      </c>
      <c r="E34" s="44" t="s">
        <v>1817</v>
      </c>
      <c r="F34" s="46">
        <v>45895.432881493056</v>
      </c>
      <c r="G34" s="44" t="s">
        <v>53</v>
      </c>
      <c r="H34" s="46">
        <v>45740.660810960646</v>
      </c>
      <c r="I34" s="47">
        <v>45769</v>
      </c>
      <c r="J34" s="43" t="s">
        <v>53</v>
      </c>
      <c r="K34" s="43" t="s">
        <v>53</v>
      </c>
      <c r="L34" s="44" t="s">
        <v>1900</v>
      </c>
      <c r="M34" s="43" t="s">
        <v>1819</v>
      </c>
      <c r="N34" t="s">
        <v>1973</v>
      </c>
      <c r="O34">
        <f t="shared" si="54"/>
        <v>3</v>
      </c>
      <c r="P34" t="str">
        <f t="shared" si="55"/>
        <v>marzo</v>
      </c>
      <c r="Q34">
        <f t="shared" si="56"/>
        <v>2025</v>
      </c>
      <c r="R34" t="str">
        <f t="shared" si="57"/>
        <v>marzo-2025</v>
      </c>
      <c r="S34">
        <f t="shared" si="58"/>
        <v>4</v>
      </c>
      <c r="T34" t="str">
        <f t="shared" si="59"/>
        <v>abril</v>
      </c>
      <c r="U34">
        <f t="shared" si="60"/>
        <v>2025</v>
      </c>
      <c r="V34" t="str">
        <f t="shared" si="61"/>
        <v>abril-2025</v>
      </c>
      <c r="W34">
        <f>IFERROR(_xlfn.DAYS('Jira BUGS'!I34,'Jira BUGS'!H34),0)</f>
        <v>29</v>
      </c>
      <c r="X34">
        <f>VLOOKUP(D34,SLAs!A:B,2,0)</f>
        <v>21</v>
      </c>
      <c r="Y34" t="str">
        <f t="shared" si="62"/>
        <v>NO CUMPLE</v>
      </c>
    </row>
    <row r="35" spans="1:25" ht="45" x14ac:dyDescent="0.25">
      <c r="A35" s="42" t="s">
        <v>1901</v>
      </c>
      <c r="B35" s="44" t="s">
        <v>1902</v>
      </c>
      <c r="C35" s="44" t="s">
        <v>1860</v>
      </c>
      <c r="D35" s="44" t="s">
        <v>16</v>
      </c>
      <c r="E35" s="44" t="s">
        <v>1817</v>
      </c>
      <c r="F35" s="46">
        <v>45895.434669189817</v>
      </c>
      <c r="G35" s="44" t="s">
        <v>53</v>
      </c>
      <c r="H35" s="46">
        <v>45714.375429479165</v>
      </c>
      <c r="I35" s="47">
        <v>45758</v>
      </c>
      <c r="J35" s="47">
        <v>45714</v>
      </c>
      <c r="K35" s="43" t="s">
        <v>53</v>
      </c>
      <c r="L35" s="44" t="s">
        <v>1903</v>
      </c>
      <c r="M35" s="43" t="s">
        <v>1819</v>
      </c>
      <c r="N35" t="s">
        <v>1973</v>
      </c>
      <c r="O35">
        <f t="shared" ref="O35" si="63">MONTH(H35)</f>
        <v>2</v>
      </c>
      <c r="P35" t="str">
        <f t="shared" ref="P35" si="64">IF(O35=1,"enero",IF(O35=2,"febrero",IF(O35=3,"marzo",IF(O35=4,"abril",IF(O35=5,"mayo",IF(O35=6,"junio",IF(O35=7,"julio",IF(O35=8,"agosto",IF(O35=9,"septiembre",IF(O35=10,"octubre",IF(O35=11,"noviembre",IF(O35=12,"diciembre","REVISAR"))))))))))))</f>
        <v>febrero</v>
      </c>
      <c r="Q35">
        <f t="shared" ref="Q35" si="65">YEAR(H35)</f>
        <v>2025</v>
      </c>
      <c r="R35" t="str">
        <f t="shared" ref="R35" si="66">CONCATENATE(P35,"-",Q35)</f>
        <v>febrero-2025</v>
      </c>
      <c r="S35">
        <f t="shared" ref="S35" si="67">MONTH(I35)</f>
        <v>4</v>
      </c>
      <c r="T35" t="str">
        <f t="shared" ref="T35" si="68">IF(S35=1,"enero",IF(S35=2,"febrero",IF(S35=3,"marzo",IF(S35=4,"abril",IF(S35=5,"mayo",IF(S35=6,"junio",IF(S35=7,"julio",IF(S35=8,"agosto",IF(S35=9,"septiembre",IF(S35=10,"octubre",IF(S35=11,"noviembre",IF(S35=12,"diciembre","REVISAR"))))))))))))</f>
        <v>abril</v>
      </c>
      <c r="U35">
        <f t="shared" ref="U35" si="69">YEAR(I35)</f>
        <v>2025</v>
      </c>
      <c r="V35" t="str">
        <f t="shared" ref="V35" si="70">CONCATENATE(T35,"-",U35)</f>
        <v>abril-2025</v>
      </c>
      <c r="W35">
        <f>IFERROR(_xlfn.DAYS('Jira BUGS'!I35,'Jira BUGS'!H35),0)</f>
        <v>44</v>
      </c>
      <c r="X35">
        <f>VLOOKUP(D35,SLAs!A:B,2,0)</f>
        <v>21</v>
      </c>
      <c r="Y35" t="str">
        <f t="shared" ref="Y35" si="71">IF(N35&gt;=X35,"NO CUMPLE","CUMPLE")</f>
        <v>NO CUMPLE</v>
      </c>
    </row>
    <row r="36" spans="1:25" ht="45" x14ac:dyDescent="0.25">
      <c r="A36" s="42" t="s">
        <v>1904</v>
      </c>
      <c r="B36" s="44" t="s">
        <v>1905</v>
      </c>
      <c r="C36" s="44" t="s">
        <v>1822</v>
      </c>
      <c r="D36" s="44" t="s">
        <v>16</v>
      </c>
      <c r="E36" s="44" t="s">
        <v>1817</v>
      </c>
      <c r="F36" s="46">
        <v>45756.523500532407</v>
      </c>
      <c r="G36" s="44" t="s">
        <v>53</v>
      </c>
      <c r="H36" s="46">
        <v>45722.547589745373</v>
      </c>
      <c r="I36" s="47">
        <v>45756</v>
      </c>
      <c r="J36" s="47">
        <v>45741</v>
      </c>
      <c r="K36" s="43" t="s">
        <v>1905</v>
      </c>
      <c r="L36" s="44" t="s">
        <v>1842</v>
      </c>
      <c r="M36" s="43" t="s">
        <v>1819</v>
      </c>
      <c r="N36" t="s">
        <v>1973</v>
      </c>
      <c r="O36">
        <f t="shared" ref="O36:O38" si="72">MONTH(H36)</f>
        <v>3</v>
      </c>
      <c r="P36" t="str">
        <f t="shared" ref="P36:P38" si="73">IF(O36=1,"enero",IF(O36=2,"febrero",IF(O36=3,"marzo",IF(O36=4,"abril",IF(O36=5,"mayo",IF(O36=6,"junio",IF(O36=7,"julio",IF(O36=8,"agosto",IF(O36=9,"septiembre",IF(O36=10,"octubre",IF(O36=11,"noviembre",IF(O36=12,"diciembre","REVISAR"))))))))))))</f>
        <v>marzo</v>
      </c>
      <c r="Q36">
        <f t="shared" ref="Q36:Q38" si="74">YEAR(H36)</f>
        <v>2025</v>
      </c>
      <c r="R36" t="str">
        <f t="shared" ref="R36:R38" si="75">CONCATENATE(P36,"-",Q36)</f>
        <v>marzo-2025</v>
      </c>
      <c r="S36">
        <f t="shared" ref="S36:S38" si="76">MONTH(I36)</f>
        <v>4</v>
      </c>
      <c r="T36" t="str">
        <f t="shared" ref="T36:T38" si="77">IF(S36=1,"enero",IF(S36=2,"febrero",IF(S36=3,"marzo",IF(S36=4,"abril",IF(S36=5,"mayo",IF(S36=6,"junio",IF(S36=7,"julio",IF(S36=8,"agosto",IF(S36=9,"septiembre",IF(S36=10,"octubre",IF(S36=11,"noviembre",IF(S36=12,"diciembre","REVISAR"))))))))))))</f>
        <v>abril</v>
      </c>
      <c r="U36">
        <f t="shared" ref="U36:U38" si="78">YEAR(I36)</f>
        <v>2025</v>
      </c>
      <c r="V36" t="str">
        <f t="shared" ref="V36:V38" si="79">CONCATENATE(T36,"-",U36)</f>
        <v>abril-2025</v>
      </c>
      <c r="W36">
        <f>IFERROR(_xlfn.DAYS('Jira BUGS'!I36,'Jira BUGS'!H36),0)</f>
        <v>34</v>
      </c>
      <c r="X36">
        <f>VLOOKUP(D36,SLAs!A:B,2,0)</f>
        <v>21</v>
      </c>
      <c r="Y36" t="str">
        <f t="shared" ref="Y36:Y38" si="80">IF(N36&gt;=X36,"NO CUMPLE","CUMPLE")</f>
        <v>NO CUMPLE</v>
      </c>
    </row>
    <row r="37" spans="1:25" ht="45" x14ac:dyDescent="0.25">
      <c r="A37" s="42" t="s">
        <v>1906</v>
      </c>
      <c r="B37" s="44" t="s">
        <v>1907</v>
      </c>
      <c r="C37" s="44" t="s">
        <v>1822</v>
      </c>
      <c r="D37" s="44" t="s">
        <v>16</v>
      </c>
      <c r="E37" s="44" t="s">
        <v>1817</v>
      </c>
      <c r="F37" s="46">
        <v>45750.476973807868</v>
      </c>
      <c r="G37" s="44" t="s">
        <v>53</v>
      </c>
      <c r="H37" s="46">
        <v>45734.581070925924</v>
      </c>
      <c r="I37" s="47">
        <v>45750</v>
      </c>
      <c r="J37" s="47">
        <v>45737</v>
      </c>
      <c r="K37" s="43" t="s">
        <v>53</v>
      </c>
      <c r="L37" s="44" t="s">
        <v>1849</v>
      </c>
      <c r="M37" s="43" t="s">
        <v>1819</v>
      </c>
      <c r="N37" t="s">
        <v>1973</v>
      </c>
      <c r="O37">
        <f t="shared" si="72"/>
        <v>3</v>
      </c>
      <c r="P37" t="str">
        <f t="shared" si="73"/>
        <v>marzo</v>
      </c>
      <c r="Q37">
        <f t="shared" si="74"/>
        <v>2025</v>
      </c>
      <c r="R37" t="str">
        <f t="shared" si="75"/>
        <v>marzo-2025</v>
      </c>
      <c r="S37">
        <f t="shared" si="76"/>
        <v>4</v>
      </c>
      <c r="T37" t="str">
        <f t="shared" si="77"/>
        <v>abril</v>
      </c>
      <c r="U37">
        <f t="shared" si="78"/>
        <v>2025</v>
      </c>
      <c r="V37" t="str">
        <f t="shared" si="79"/>
        <v>abril-2025</v>
      </c>
      <c r="W37">
        <f>IFERROR(_xlfn.DAYS('Jira BUGS'!I37,'Jira BUGS'!H37),0)</f>
        <v>16</v>
      </c>
      <c r="X37">
        <f>VLOOKUP(D37,SLAs!A:B,2,0)</f>
        <v>21</v>
      </c>
      <c r="Y37" t="str">
        <f t="shared" si="80"/>
        <v>NO CUMPLE</v>
      </c>
    </row>
    <row r="38" spans="1:25" ht="45" x14ac:dyDescent="0.25">
      <c r="A38" s="42" t="s">
        <v>1896</v>
      </c>
      <c r="B38" s="44" t="s">
        <v>1897</v>
      </c>
      <c r="C38" s="44" t="s">
        <v>1860</v>
      </c>
      <c r="D38" s="44" t="s">
        <v>16</v>
      </c>
      <c r="E38" s="44" t="s">
        <v>1817</v>
      </c>
      <c r="F38" s="46">
        <v>45747.769688738423</v>
      </c>
      <c r="G38" s="44" t="s">
        <v>53</v>
      </c>
      <c r="H38" s="46">
        <v>45720.543327025465</v>
      </c>
      <c r="I38" s="47">
        <v>45747</v>
      </c>
      <c r="J38" s="47">
        <v>45720</v>
      </c>
      <c r="K38" s="43" t="s">
        <v>53</v>
      </c>
      <c r="L38" s="44" t="s">
        <v>1845</v>
      </c>
      <c r="M38" s="43" t="s">
        <v>1819</v>
      </c>
      <c r="N38" t="s">
        <v>1973</v>
      </c>
      <c r="O38">
        <f t="shared" si="72"/>
        <v>3</v>
      </c>
      <c r="P38" t="str">
        <f t="shared" si="73"/>
        <v>marzo</v>
      </c>
      <c r="Q38">
        <f t="shared" si="74"/>
        <v>2025</v>
      </c>
      <c r="R38" t="str">
        <f t="shared" si="75"/>
        <v>marzo-2025</v>
      </c>
      <c r="S38">
        <f t="shared" si="76"/>
        <v>3</v>
      </c>
      <c r="T38" t="str">
        <f t="shared" si="77"/>
        <v>marzo</v>
      </c>
      <c r="U38">
        <f t="shared" si="78"/>
        <v>2025</v>
      </c>
      <c r="V38" t="str">
        <f t="shared" si="79"/>
        <v>marzo-2025</v>
      </c>
      <c r="W38">
        <f>IFERROR(_xlfn.DAYS('Jira BUGS'!I38,'Jira BUGS'!H38),0)</f>
        <v>27</v>
      </c>
      <c r="X38">
        <f>VLOOKUP(D38,SLAs!A:B,2,0)</f>
        <v>21</v>
      </c>
      <c r="Y38" t="str">
        <f t="shared" si="80"/>
        <v>NO CUMPLE</v>
      </c>
    </row>
    <row r="39" spans="1:25" ht="45" x14ac:dyDescent="0.25">
      <c r="A39" s="42" t="s">
        <v>1894</v>
      </c>
      <c r="B39" s="44" t="s">
        <v>1895</v>
      </c>
      <c r="C39" s="44" t="s">
        <v>1860</v>
      </c>
      <c r="D39" s="44" t="s">
        <v>16</v>
      </c>
      <c r="E39" s="44" t="s">
        <v>1817</v>
      </c>
      <c r="F39" s="46">
        <v>45740.50831931713</v>
      </c>
      <c r="G39" s="44" t="s">
        <v>53</v>
      </c>
      <c r="H39" s="46">
        <v>45713.465263981481</v>
      </c>
      <c r="I39" s="47">
        <v>45740</v>
      </c>
      <c r="J39" s="47">
        <v>45713</v>
      </c>
      <c r="K39" s="43" t="s">
        <v>53</v>
      </c>
      <c r="L39" s="44" t="s">
        <v>1845</v>
      </c>
      <c r="M39" s="43" t="s">
        <v>1819</v>
      </c>
      <c r="N39" t="s">
        <v>1973</v>
      </c>
      <c r="O39">
        <f t="shared" ref="O39:O42" si="81">MONTH(H39)</f>
        <v>2</v>
      </c>
      <c r="P39" t="str">
        <f t="shared" ref="P39:P42" si="82">IF(O39=1,"enero",IF(O39=2,"febrero",IF(O39=3,"marzo",IF(O39=4,"abril",IF(O39=5,"mayo",IF(O39=6,"junio",IF(O39=7,"julio",IF(O39=8,"agosto",IF(O39=9,"septiembre",IF(O39=10,"octubre",IF(O39=11,"noviembre",IF(O39=12,"diciembre","REVISAR"))))))))))))</f>
        <v>febrero</v>
      </c>
      <c r="Q39">
        <f t="shared" ref="Q39:Q42" si="83">YEAR(H39)</f>
        <v>2025</v>
      </c>
      <c r="R39" t="str">
        <f t="shared" ref="R39:R42" si="84">CONCATENATE(P39,"-",Q39)</f>
        <v>febrero-2025</v>
      </c>
      <c r="S39">
        <f t="shared" ref="S39:S42" si="85">MONTH(I39)</f>
        <v>3</v>
      </c>
      <c r="T39" t="str">
        <f t="shared" ref="T39:T42" si="86">IF(S39=1,"enero",IF(S39=2,"febrero",IF(S39=3,"marzo",IF(S39=4,"abril",IF(S39=5,"mayo",IF(S39=6,"junio",IF(S39=7,"julio",IF(S39=8,"agosto",IF(S39=9,"septiembre",IF(S39=10,"octubre",IF(S39=11,"noviembre",IF(S39=12,"diciembre","REVISAR"))))))))))))</f>
        <v>marzo</v>
      </c>
      <c r="U39">
        <f t="shared" ref="U39:U42" si="87">YEAR(I39)</f>
        <v>2025</v>
      </c>
      <c r="V39" t="str">
        <f t="shared" ref="V39:V42" si="88">CONCATENATE(T39,"-",U39)</f>
        <v>marzo-2025</v>
      </c>
      <c r="W39">
        <f>IFERROR(_xlfn.DAYS('Jira BUGS'!I39,'Jira BUGS'!H39),0)</f>
        <v>27</v>
      </c>
      <c r="X39">
        <f>VLOOKUP(D39,SLAs!A:B,2,0)</f>
        <v>21</v>
      </c>
      <c r="Y39" t="str">
        <f t="shared" ref="Y39:Y42" si="89">IF(N39&gt;=X39,"NO CUMPLE","CUMPLE")</f>
        <v>NO CUMPLE</v>
      </c>
    </row>
    <row r="40" spans="1:25" ht="45" x14ac:dyDescent="0.25">
      <c r="A40" s="42" t="s">
        <v>1889</v>
      </c>
      <c r="B40" s="44" t="s">
        <v>1890</v>
      </c>
      <c r="C40" s="44" t="s">
        <v>1822</v>
      </c>
      <c r="D40" s="44" t="s">
        <v>16</v>
      </c>
      <c r="E40" s="44" t="s">
        <v>1817</v>
      </c>
      <c r="F40" s="46">
        <v>45735.609161643515</v>
      </c>
      <c r="G40" s="44" t="s">
        <v>53</v>
      </c>
      <c r="H40" s="46">
        <v>45730.478109768519</v>
      </c>
      <c r="I40" s="47">
        <v>45735</v>
      </c>
      <c r="J40" s="47">
        <v>45730</v>
      </c>
      <c r="K40" s="43" t="s">
        <v>53</v>
      </c>
      <c r="L40" s="44" t="s">
        <v>1891</v>
      </c>
      <c r="M40" s="43" t="s">
        <v>1819</v>
      </c>
      <c r="N40" t="s">
        <v>1973</v>
      </c>
      <c r="O40">
        <f t="shared" si="81"/>
        <v>3</v>
      </c>
      <c r="P40" t="str">
        <f t="shared" si="82"/>
        <v>marzo</v>
      </c>
      <c r="Q40">
        <f t="shared" si="83"/>
        <v>2025</v>
      </c>
      <c r="R40" t="str">
        <f t="shared" si="84"/>
        <v>marzo-2025</v>
      </c>
      <c r="S40">
        <f t="shared" si="85"/>
        <v>3</v>
      </c>
      <c r="T40" t="str">
        <f t="shared" si="86"/>
        <v>marzo</v>
      </c>
      <c r="U40">
        <f t="shared" si="87"/>
        <v>2025</v>
      </c>
      <c r="V40" t="str">
        <f t="shared" si="88"/>
        <v>marzo-2025</v>
      </c>
      <c r="W40">
        <f>IFERROR(_xlfn.DAYS('Jira BUGS'!I40,'Jira BUGS'!H40),0)</f>
        <v>5</v>
      </c>
      <c r="X40">
        <f>VLOOKUP(D40,SLAs!A:B,2,0)</f>
        <v>21</v>
      </c>
      <c r="Y40" t="str">
        <f t="shared" si="89"/>
        <v>NO CUMPLE</v>
      </c>
    </row>
    <row r="41" spans="1:25" ht="45" x14ac:dyDescent="0.25">
      <c r="A41" s="42" t="s">
        <v>1892</v>
      </c>
      <c r="B41" s="44" t="s">
        <v>1893</v>
      </c>
      <c r="C41" s="44" t="s">
        <v>1822</v>
      </c>
      <c r="D41" s="44" t="s">
        <v>16</v>
      </c>
      <c r="E41" s="44" t="s">
        <v>1817</v>
      </c>
      <c r="F41" s="46">
        <v>45735.606984722224</v>
      </c>
      <c r="G41" s="44" t="s">
        <v>53</v>
      </c>
      <c r="H41" s="46">
        <v>45708.59691104167</v>
      </c>
      <c r="I41" s="47">
        <v>45735</v>
      </c>
      <c r="J41" s="47">
        <v>45723</v>
      </c>
      <c r="K41" s="43" t="s">
        <v>1893</v>
      </c>
      <c r="L41" s="44" t="s">
        <v>1845</v>
      </c>
      <c r="M41" s="43" t="s">
        <v>1819</v>
      </c>
      <c r="N41" t="s">
        <v>1973</v>
      </c>
      <c r="O41">
        <f t="shared" si="81"/>
        <v>2</v>
      </c>
      <c r="P41" t="str">
        <f t="shared" si="82"/>
        <v>febrero</v>
      </c>
      <c r="Q41">
        <f t="shared" si="83"/>
        <v>2025</v>
      </c>
      <c r="R41" t="str">
        <f t="shared" si="84"/>
        <v>febrero-2025</v>
      </c>
      <c r="S41">
        <f t="shared" si="85"/>
        <v>3</v>
      </c>
      <c r="T41" t="str">
        <f t="shared" si="86"/>
        <v>marzo</v>
      </c>
      <c r="U41">
        <f t="shared" si="87"/>
        <v>2025</v>
      </c>
      <c r="V41" t="str">
        <f t="shared" si="88"/>
        <v>marzo-2025</v>
      </c>
      <c r="W41">
        <f>IFERROR(_xlfn.DAYS('Jira BUGS'!I41,'Jira BUGS'!H41),0)</f>
        <v>27</v>
      </c>
      <c r="X41">
        <f>VLOOKUP(D41,SLAs!A:B,2,0)</f>
        <v>21</v>
      </c>
      <c r="Y41" t="str">
        <f t="shared" si="89"/>
        <v>NO CUMPLE</v>
      </c>
    </row>
    <row r="42" spans="1:25" ht="45" x14ac:dyDescent="0.25">
      <c r="A42" s="42" t="s">
        <v>1886</v>
      </c>
      <c r="B42" s="44" t="s">
        <v>1887</v>
      </c>
      <c r="C42" s="44" t="s">
        <v>1822</v>
      </c>
      <c r="D42" s="44" t="s">
        <v>16</v>
      </c>
      <c r="E42" s="44" t="s">
        <v>1817</v>
      </c>
      <c r="F42" s="46">
        <v>45728.023786944446</v>
      </c>
      <c r="G42" s="44" t="s">
        <v>53</v>
      </c>
      <c r="H42" s="46">
        <v>45723.426046111112</v>
      </c>
      <c r="I42" s="47">
        <v>45727</v>
      </c>
      <c r="J42" s="47">
        <v>45723</v>
      </c>
      <c r="K42" s="43" t="s">
        <v>53</v>
      </c>
      <c r="L42" s="44" t="s">
        <v>1888</v>
      </c>
      <c r="M42" s="43" t="s">
        <v>1819</v>
      </c>
      <c r="N42" t="s">
        <v>1973</v>
      </c>
      <c r="O42">
        <f t="shared" si="81"/>
        <v>3</v>
      </c>
      <c r="P42" t="str">
        <f t="shared" si="82"/>
        <v>marzo</v>
      </c>
      <c r="Q42">
        <f t="shared" si="83"/>
        <v>2025</v>
      </c>
      <c r="R42" t="str">
        <f t="shared" si="84"/>
        <v>marzo-2025</v>
      </c>
      <c r="S42">
        <f t="shared" si="85"/>
        <v>3</v>
      </c>
      <c r="T42" t="str">
        <f t="shared" si="86"/>
        <v>marzo</v>
      </c>
      <c r="U42">
        <f t="shared" si="87"/>
        <v>2025</v>
      </c>
      <c r="V42" t="str">
        <f t="shared" si="88"/>
        <v>marzo-2025</v>
      </c>
      <c r="W42">
        <f>IFERROR(_xlfn.DAYS('Jira BUGS'!I42,'Jira BUGS'!H42),0)</f>
        <v>4</v>
      </c>
      <c r="X42">
        <f>VLOOKUP(D42,SLAs!A:B,2,0)</f>
        <v>21</v>
      </c>
      <c r="Y42" t="str">
        <f t="shared" si="89"/>
        <v>NO CUMPLE</v>
      </c>
    </row>
    <row r="43" spans="1:25" ht="45" x14ac:dyDescent="0.25">
      <c r="A43" s="42" t="s">
        <v>1862</v>
      </c>
      <c r="B43" s="44" t="s">
        <v>1863</v>
      </c>
      <c r="C43" s="44" t="s">
        <v>1860</v>
      </c>
      <c r="D43" s="44" t="s">
        <v>16</v>
      </c>
      <c r="E43" s="44" t="s">
        <v>1817</v>
      </c>
      <c r="F43" s="46">
        <v>45895.436723043982</v>
      </c>
      <c r="G43" s="44" t="s">
        <v>53</v>
      </c>
      <c r="H43" s="46">
        <v>45701.438048402779</v>
      </c>
      <c r="I43" s="47">
        <v>45723</v>
      </c>
      <c r="J43" s="47">
        <v>45701</v>
      </c>
      <c r="K43" s="43" t="s">
        <v>53</v>
      </c>
      <c r="L43" s="44" t="s">
        <v>1864</v>
      </c>
      <c r="M43" s="43" t="s">
        <v>1819</v>
      </c>
      <c r="N43" t="s">
        <v>1973</v>
      </c>
      <c r="O43">
        <f t="shared" ref="O43:O44" si="90">MONTH(H43)</f>
        <v>2</v>
      </c>
      <c r="P43" t="str">
        <f t="shared" ref="P43:P44" si="91">IF(O43=1,"enero",IF(O43=2,"febrero",IF(O43=3,"marzo",IF(O43=4,"abril",IF(O43=5,"mayo",IF(O43=6,"junio",IF(O43=7,"julio",IF(O43=8,"agosto",IF(O43=9,"septiembre",IF(O43=10,"octubre",IF(O43=11,"noviembre",IF(O43=12,"diciembre","REVISAR"))))))))))))</f>
        <v>febrero</v>
      </c>
      <c r="Q43">
        <f t="shared" ref="Q43:Q44" si="92">YEAR(H43)</f>
        <v>2025</v>
      </c>
      <c r="R43" t="str">
        <f t="shared" ref="R43:R44" si="93">CONCATENATE(P43,"-",Q43)</f>
        <v>febrero-2025</v>
      </c>
      <c r="S43">
        <f t="shared" ref="S43:S44" si="94">MONTH(I43)</f>
        <v>3</v>
      </c>
      <c r="T43" t="str">
        <f t="shared" ref="T43:T44" si="95">IF(S43=1,"enero",IF(S43=2,"febrero",IF(S43=3,"marzo",IF(S43=4,"abril",IF(S43=5,"mayo",IF(S43=6,"junio",IF(S43=7,"julio",IF(S43=8,"agosto",IF(S43=9,"septiembre",IF(S43=10,"octubre",IF(S43=11,"noviembre",IF(S43=12,"diciembre","REVISAR"))))))))))))</f>
        <v>marzo</v>
      </c>
      <c r="U43">
        <f t="shared" ref="U43:U44" si="96">YEAR(I43)</f>
        <v>2025</v>
      </c>
      <c r="V43" t="str">
        <f t="shared" ref="V43:V44" si="97">CONCATENATE(T43,"-",U43)</f>
        <v>marzo-2025</v>
      </c>
      <c r="W43">
        <f>IFERROR(_xlfn.DAYS('Jira BUGS'!I43,'Jira BUGS'!H43),0)</f>
        <v>22</v>
      </c>
      <c r="X43">
        <f>VLOOKUP(D43,SLAs!A:B,2,0)</f>
        <v>21</v>
      </c>
      <c r="Y43" t="str">
        <f t="shared" ref="Y43:Y44" si="98">IF(N43&gt;=X43,"NO CUMPLE","CUMPLE")</f>
        <v>NO CUMPLE</v>
      </c>
    </row>
    <row r="44" spans="1:25" ht="45" x14ac:dyDescent="0.25">
      <c r="A44" s="42" t="s">
        <v>1865</v>
      </c>
      <c r="B44" s="44" t="s">
        <v>1866</v>
      </c>
      <c r="C44" s="44" t="s">
        <v>1822</v>
      </c>
      <c r="D44" s="44" t="s">
        <v>16</v>
      </c>
      <c r="E44" s="44" t="s">
        <v>1817</v>
      </c>
      <c r="F44" s="46">
        <v>45721.055738518517</v>
      </c>
      <c r="G44" s="44" t="s">
        <v>53</v>
      </c>
      <c r="H44" s="46">
        <v>45713.723535740741</v>
      </c>
      <c r="I44" s="47">
        <v>45721</v>
      </c>
      <c r="J44" s="47">
        <v>45716</v>
      </c>
      <c r="K44" s="43" t="s">
        <v>53</v>
      </c>
      <c r="L44" s="44" t="s">
        <v>1867</v>
      </c>
      <c r="M44" s="43" t="s">
        <v>1819</v>
      </c>
      <c r="N44" t="s">
        <v>1973</v>
      </c>
      <c r="O44">
        <f t="shared" si="90"/>
        <v>2</v>
      </c>
      <c r="P44" t="str">
        <f t="shared" si="91"/>
        <v>febrero</v>
      </c>
      <c r="Q44">
        <f t="shared" si="92"/>
        <v>2025</v>
      </c>
      <c r="R44" t="str">
        <f t="shared" si="93"/>
        <v>febrero-2025</v>
      </c>
      <c r="S44">
        <f t="shared" si="94"/>
        <v>3</v>
      </c>
      <c r="T44" t="str">
        <f t="shared" si="95"/>
        <v>marzo</v>
      </c>
      <c r="U44">
        <f t="shared" si="96"/>
        <v>2025</v>
      </c>
      <c r="V44" t="str">
        <f t="shared" si="97"/>
        <v>marzo-2025</v>
      </c>
      <c r="W44">
        <f>IFERROR(_xlfn.DAYS('Jira BUGS'!I44,'Jira BUGS'!H44),0)</f>
        <v>8</v>
      </c>
      <c r="X44">
        <f>VLOOKUP(D44,SLAs!A:B,2,0)</f>
        <v>21</v>
      </c>
      <c r="Y44" t="str">
        <f t="shared" si="98"/>
        <v>NO CUMPLE</v>
      </c>
    </row>
    <row r="45" spans="1:25" ht="45" x14ac:dyDescent="0.25">
      <c r="A45" s="42" t="s">
        <v>1868</v>
      </c>
      <c r="B45" s="44" t="s">
        <v>1869</v>
      </c>
      <c r="C45" s="44" t="s">
        <v>1822</v>
      </c>
      <c r="D45" s="44" t="s">
        <v>16</v>
      </c>
      <c r="E45" s="44" t="s">
        <v>1817</v>
      </c>
      <c r="F45" s="46">
        <v>45799.572605462963</v>
      </c>
      <c r="G45" s="44" t="s">
        <v>53</v>
      </c>
      <c r="H45" s="46">
        <v>45694.560073009263</v>
      </c>
      <c r="I45" s="47">
        <v>45721</v>
      </c>
      <c r="J45" s="47">
        <v>45709</v>
      </c>
      <c r="K45" s="43" t="s">
        <v>1930</v>
      </c>
      <c r="L45" s="44" t="s">
        <v>1870</v>
      </c>
      <c r="M45" s="43" t="s">
        <v>1819</v>
      </c>
      <c r="N45" t="s">
        <v>1973</v>
      </c>
      <c r="O45">
        <f t="shared" ref="O45:O46" si="99">MONTH(H45)</f>
        <v>2</v>
      </c>
      <c r="P45" t="str">
        <f t="shared" ref="P45:P46" si="100">IF(O45=1,"enero",IF(O45=2,"febrero",IF(O45=3,"marzo",IF(O45=4,"abril",IF(O45=5,"mayo",IF(O45=6,"junio",IF(O45=7,"julio",IF(O45=8,"agosto",IF(O45=9,"septiembre",IF(O45=10,"octubre",IF(O45=11,"noviembre",IF(O45=12,"diciembre","REVISAR"))))))))))))</f>
        <v>febrero</v>
      </c>
      <c r="Q45">
        <f t="shared" ref="Q45:Q46" si="101">YEAR(H45)</f>
        <v>2025</v>
      </c>
      <c r="R45" t="str">
        <f t="shared" ref="R45:R46" si="102">CONCATENATE(P45,"-",Q45)</f>
        <v>febrero-2025</v>
      </c>
      <c r="S45">
        <f t="shared" ref="S45:S46" si="103">MONTH(I45)</f>
        <v>3</v>
      </c>
      <c r="T45" t="str">
        <f t="shared" ref="T45:T46" si="104">IF(S45=1,"enero",IF(S45=2,"febrero",IF(S45=3,"marzo",IF(S45=4,"abril",IF(S45=5,"mayo",IF(S45=6,"junio",IF(S45=7,"julio",IF(S45=8,"agosto",IF(S45=9,"septiembre",IF(S45=10,"octubre",IF(S45=11,"noviembre",IF(S45=12,"diciembre","REVISAR"))))))))))))</f>
        <v>marzo</v>
      </c>
      <c r="U45">
        <f t="shared" ref="U45:U46" si="105">YEAR(I45)</f>
        <v>2025</v>
      </c>
      <c r="V45" t="str">
        <f t="shared" ref="V45:V46" si="106">CONCATENATE(T45,"-",U45)</f>
        <v>marzo-2025</v>
      </c>
      <c r="W45">
        <f>IFERROR(_xlfn.DAYS('Jira BUGS'!I45,'Jira BUGS'!H45),0)</f>
        <v>27</v>
      </c>
      <c r="X45">
        <f>VLOOKUP(D45,SLAs!A:B,2,0)</f>
        <v>21</v>
      </c>
      <c r="Y45" t="str">
        <f t="shared" ref="Y45:Y46" si="107">IF(N45&gt;=X45,"NO CUMPLE","CUMPLE")</f>
        <v>NO CUMPLE</v>
      </c>
    </row>
    <row r="46" spans="1:25" ht="45" x14ac:dyDescent="0.25">
      <c r="A46" s="42" t="s">
        <v>1871</v>
      </c>
      <c r="B46" s="44" t="s">
        <v>1872</v>
      </c>
      <c r="C46" s="44" t="s">
        <v>1860</v>
      </c>
      <c r="D46" s="44" t="s">
        <v>16</v>
      </c>
      <c r="E46" s="44" t="s">
        <v>1817</v>
      </c>
      <c r="F46" s="46">
        <v>45719.686215347225</v>
      </c>
      <c r="G46" s="44" t="s">
        <v>53</v>
      </c>
      <c r="H46" s="46">
        <v>45692.679902986114</v>
      </c>
      <c r="I46" s="47">
        <v>45719</v>
      </c>
      <c r="J46" s="47">
        <v>45698</v>
      </c>
      <c r="K46" s="43" t="s">
        <v>53</v>
      </c>
      <c r="L46" s="44" t="s">
        <v>1845</v>
      </c>
      <c r="M46" s="43" t="s">
        <v>1819</v>
      </c>
      <c r="N46" t="s">
        <v>1973</v>
      </c>
      <c r="O46">
        <f t="shared" si="99"/>
        <v>2</v>
      </c>
      <c r="P46" t="str">
        <f t="shared" si="100"/>
        <v>febrero</v>
      </c>
      <c r="Q46">
        <f t="shared" si="101"/>
        <v>2025</v>
      </c>
      <c r="R46" t="str">
        <f t="shared" si="102"/>
        <v>febrero-2025</v>
      </c>
      <c r="S46">
        <f t="shared" si="103"/>
        <v>3</v>
      </c>
      <c r="T46" t="str">
        <f t="shared" si="104"/>
        <v>marzo</v>
      </c>
      <c r="U46">
        <f t="shared" si="105"/>
        <v>2025</v>
      </c>
      <c r="V46" t="str">
        <f t="shared" si="106"/>
        <v>marzo-2025</v>
      </c>
      <c r="W46">
        <f>IFERROR(_xlfn.DAYS('Jira BUGS'!I46,'Jira BUGS'!H46),0)</f>
        <v>27</v>
      </c>
      <c r="X46">
        <f>VLOOKUP(D46,SLAs!A:B,2,0)</f>
        <v>21</v>
      </c>
      <c r="Y46" t="str">
        <f t="shared" si="107"/>
        <v>NO CUMPLE</v>
      </c>
    </row>
    <row r="47" spans="1:25" ht="45" x14ac:dyDescent="0.25">
      <c r="A47" s="42" t="s">
        <v>1873</v>
      </c>
      <c r="B47" s="44" t="s">
        <v>1874</v>
      </c>
      <c r="C47" s="44" t="s">
        <v>1860</v>
      </c>
      <c r="D47" s="44" t="s">
        <v>16</v>
      </c>
      <c r="E47" s="44" t="s">
        <v>1817</v>
      </c>
      <c r="F47" s="46">
        <v>45895.436250740742</v>
      </c>
      <c r="G47" s="44" t="s">
        <v>53</v>
      </c>
      <c r="H47" s="46">
        <v>45701.733834386578</v>
      </c>
      <c r="I47" s="47">
        <v>45719</v>
      </c>
      <c r="J47" s="47">
        <v>45701</v>
      </c>
      <c r="K47" s="43" t="s">
        <v>53</v>
      </c>
      <c r="L47" s="44" t="s">
        <v>1875</v>
      </c>
      <c r="M47" s="43" t="s">
        <v>1819</v>
      </c>
      <c r="N47" t="s">
        <v>1973</v>
      </c>
      <c r="O47">
        <f t="shared" ref="O47:O48" si="108">MONTH(H47)</f>
        <v>2</v>
      </c>
      <c r="P47" t="str">
        <f t="shared" ref="P47:P48" si="109">IF(O47=1,"enero",IF(O47=2,"febrero",IF(O47=3,"marzo",IF(O47=4,"abril",IF(O47=5,"mayo",IF(O47=6,"junio",IF(O47=7,"julio",IF(O47=8,"agosto",IF(O47=9,"septiembre",IF(O47=10,"octubre",IF(O47=11,"noviembre",IF(O47=12,"diciembre","REVISAR"))))))))))))</f>
        <v>febrero</v>
      </c>
      <c r="Q47">
        <f t="shared" ref="Q47:Q48" si="110">YEAR(H47)</f>
        <v>2025</v>
      </c>
      <c r="R47" t="str">
        <f t="shared" ref="R47:R48" si="111">CONCATENATE(P47,"-",Q47)</f>
        <v>febrero-2025</v>
      </c>
      <c r="S47">
        <f t="shared" ref="S47:S48" si="112">MONTH(I47)</f>
        <v>3</v>
      </c>
      <c r="T47" t="str">
        <f t="shared" ref="T47:T48" si="113">IF(S47=1,"enero",IF(S47=2,"febrero",IF(S47=3,"marzo",IF(S47=4,"abril",IF(S47=5,"mayo",IF(S47=6,"junio",IF(S47=7,"julio",IF(S47=8,"agosto",IF(S47=9,"septiembre",IF(S47=10,"octubre",IF(S47=11,"noviembre",IF(S47=12,"diciembre","REVISAR"))))))))))))</f>
        <v>marzo</v>
      </c>
      <c r="U47">
        <f t="shared" ref="U47:U48" si="114">YEAR(I47)</f>
        <v>2025</v>
      </c>
      <c r="V47" t="str">
        <f t="shared" ref="V47:V48" si="115">CONCATENATE(T47,"-",U47)</f>
        <v>marzo-2025</v>
      </c>
      <c r="W47">
        <f>IFERROR(_xlfn.DAYS('Jira BUGS'!I47,'Jira BUGS'!H47),0)</f>
        <v>18</v>
      </c>
      <c r="X47">
        <f>VLOOKUP(D47,SLAs!A:B,2,0)</f>
        <v>21</v>
      </c>
      <c r="Y47" t="str">
        <f t="shared" ref="Y47:Y48" si="116">IF(N47&gt;=X47,"NO CUMPLE","CUMPLE")</f>
        <v>NO CUMPLE</v>
      </c>
    </row>
    <row r="48" spans="1:25" ht="45" x14ac:dyDescent="0.25">
      <c r="A48" s="42" t="s">
        <v>1876</v>
      </c>
      <c r="B48" s="44" t="s">
        <v>1877</v>
      </c>
      <c r="C48" s="44" t="s">
        <v>1860</v>
      </c>
      <c r="D48" s="44" t="s">
        <v>16</v>
      </c>
      <c r="E48" s="44" t="s">
        <v>1817</v>
      </c>
      <c r="F48" s="46">
        <v>45895.441660393517</v>
      </c>
      <c r="G48" s="44" t="s">
        <v>53</v>
      </c>
      <c r="H48" s="46">
        <v>45625.399581261576</v>
      </c>
      <c r="I48" s="47">
        <v>45716</v>
      </c>
      <c r="J48" s="47">
        <v>45625</v>
      </c>
      <c r="K48" s="43" t="s">
        <v>1878</v>
      </c>
      <c r="L48" s="44" t="s">
        <v>1879</v>
      </c>
      <c r="M48" s="43" t="s">
        <v>1819</v>
      </c>
      <c r="N48" t="s">
        <v>1973</v>
      </c>
      <c r="O48">
        <f t="shared" si="108"/>
        <v>11</v>
      </c>
      <c r="P48" t="str">
        <f t="shared" si="109"/>
        <v>noviembre</v>
      </c>
      <c r="Q48">
        <f t="shared" si="110"/>
        <v>2024</v>
      </c>
      <c r="R48" t="str">
        <f t="shared" si="111"/>
        <v>noviembre-2024</v>
      </c>
      <c r="S48">
        <f t="shared" si="112"/>
        <v>2</v>
      </c>
      <c r="T48" t="str">
        <f t="shared" si="113"/>
        <v>febrero</v>
      </c>
      <c r="U48">
        <f t="shared" si="114"/>
        <v>2025</v>
      </c>
      <c r="V48" t="str">
        <f t="shared" si="115"/>
        <v>febrero-2025</v>
      </c>
      <c r="W48">
        <f>IFERROR(_xlfn.DAYS('Jira BUGS'!I48,'Jira BUGS'!H48),0)</f>
        <v>91</v>
      </c>
      <c r="X48">
        <f>VLOOKUP(D48,SLAs!A:B,2,0)</f>
        <v>21</v>
      </c>
      <c r="Y48" t="str">
        <f t="shared" si="116"/>
        <v>NO CUMPLE</v>
      </c>
    </row>
    <row r="49" spans="1:25" ht="45" x14ac:dyDescent="0.25">
      <c r="A49" s="42" t="s">
        <v>1880</v>
      </c>
      <c r="B49" s="44" t="s">
        <v>1881</v>
      </c>
      <c r="C49" s="44" t="s">
        <v>1822</v>
      </c>
      <c r="D49" s="44" t="s">
        <v>16</v>
      </c>
      <c r="E49" s="44" t="s">
        <v>1817</v>
      </c>
      <c r="F49" s="46">
        <v>45712.733780717594</v>
      </c>
      <c r="G49" s="44" t="s">
        <v>53</v>
      </c>
      <c r="H49" s="46">
        <v>45698.44372959491</v>
      </c>
      <c r="I49" s="47">
        <v>45712</v>
      </c>
      <c r="J49" s="47">
        <v>45698</v>
      </c>
      <c r="K49" s="43" t="s">
        <v>1881</v>
      </c>
      <c r="L49" s="44" t="s">
        <v>1882</v>
      </c>
      <c r="M49" s="43" t="s">
        <v>1819</v>
      </c>
      <c r="N49" t="s">
        <v>1973</v>
      </c>
      <c r="O49">
        <f t="shared" ref="O49:O50" si="117">MONTH(H49)</f>
        <v>2</v>
      </c>
      <c r="P49" t="str">
        <f t="shared" ref="P49:P50" si="118">IF(O49=1,"enero",IF(O49=2,"febrero",IF(O49=3,"marzo",IF(O49=4,"abril",IF(O49=5,"mayo",IF(O49=6,"junio",IF(O49=7,"julio",IF(O49=8,"agosto",IF(O49=9,"septiembre",IF(O49=10,"octubre",IF(O49=11,"noviembre",IF(O49=12,"diciembre","REVISAR"))))))))))))</f>
        <v>febrero</v>
      </c>
      <c r="Q49">
        <f t="shared" ref="Q49:Q50" si="119">YEAR(H49)</f>
        <v>2025</v>
      </c>
      <c r="R49" t="str">
        <f t="shared" ref="R49:R50" si="120">CONCATENATE(P49,"-",Q49)</f>
        <v>febrero-2025</v>
      </c>
      <c r="S49">
        <f t="shared" ref="S49:S50" si="121">MONTH(I49)</f>
        <v>2</v>
      </c>
      <c r="T49" t="str">
        <f t="shared" ref="T49:T50" si="122">IF(S49=1,"enero",IF(S49=2,"febrero",IF(S49=3,"marzo",IF(S49=4,"abril",IF(S49=5,"mayo",IF(S49=6,"junio",IF(S49=7,"julio",IF(S49=8,"agosto",IF(S49=9,"septiembre",IF(S49=10,"octubre",IF(S49=11,"noviembre",IF(S49=12,"diciembre","REVISAR"))))))))))))</f>
        <v>febrero</v>
      </c>
      <c r="U49">
        <f t="shared" ref="U49:U50" si="123">YEAR(I49)</f>
        <v>2025</v>
      </c>
      <c r="V49" t="str">
        <f t="shared" ref="V49:V50" si="124">CONCATENATE(T49,"-",U49)</f>
        <v>febrero-2025</v>
      </c>
      <c r="W49">
        <f>IFERROR(_xlfn.DAYS('Jira BUGS'!I49,'Jira BUGS'!H49),0)</f>
        <v>14</v>
      </c>
      <c r="X49">
        <f>VLOOKUP(D49,SLAs!A:B,2,0)</f>
        <v>21</v>
      </c>
      <c r="Y49" t="str">
        <f t="shared" ref="Y49:Y50" si="125">IF(N49&gt;=X49,"NO CUMPLE","CUMPLE")</f>
        <v>NO CUMPLE</v>
      </c>
    </row>
    <row r="50" spans="1:25" ht="45" x14ac:dyDescent="0.25">
      <c r="A50" s="42" t="s">
        <v>1883</v>
      </c>
      <c r="B50" s="44" t="s">
        <v>1884</v>
      </c>
      <c r="C50" s="44" t="s">
        <v>1822</v>
      </c>
      <c r="D50" s="44" t="s">
        <v>16</v>
      </c>
      <c r="E50" s="44" t="s">
        <v>1817</v>
      </c>
      <c r="F50" s="46">
        <v>45708.383296956017</v>
      </c>
      <c r="G50" s="44" t="s">
        <v>53</v>
      </c>
      <c r="H50" s="46">
        <v>45680.562537175923</v>
      </c>
      <c r="I50" s="47">
        <v>45708</v>
      </c>
      <c r="J50" s="47">
        <v>45694</v>
      </c>
      <c r="K50" s="43" t="s">
        <v>1884</v>
      </c>
      <c r="L50" s="44" t="s">
        <v>1885</v>
      </c>
      <c r="M50" s="43" t="s">
        <v>1819</v>
      </c>
      <c r="N50" t="s">
        <v>1973</v>
      </c>
      <c r="O50">
        <f t="shared" si="117"/>
        <v>1</v>
      </c>
      <c r="P50" t="str">
        <f t="shared" si="118"/>
        <v>enero</v>
      </c>
      <c r="Q50">
        <f t="shared" si="119"/>
        <v>2025</v>
      </c>
      <c r="R50" t="str">
        <f t="shared" si="120"/>
        <v>enero-2025</v>
      </c>
      <c r="S50">
        <f t="shared" si="121"/>
        <v>2</v>
      </c>
      <c r="T50" t="str">
        <f t="shared" si="122"/>
        <v>febrero</v>
      </c>
      <c r="U50">
        <f t="shared" si="123"/>
        <v>2025</v>
      </c>
      <c r="V50" t="str">
        <f t="shared" si="124"/>
        <v>febrero-2025</v>
      </c>
      <c r="W50">
        <f>IFERROR(_xlfn.DAYS('Jira BUGS'!I50,'Jira BUGS'!H50),0)</f>
        <v>28</v>
      </c>
      <c r="X50">
        <f>VLOOKUP(D50,SLAs!A:B,2,0)</f>
        <v>21</v>
      </c>
      <c r="Y50" t="str">
        <f t="shared" si="125"/>
        <v>NO CUMPLE</v>
      </c>
    </row>
    <row r="51" spans="1:25" ht="30" x14ac:dyDescent="0.25">
      <c r="A51" s="42" t="s">
        <v>1854</v>
      </c>
      <c r="B51" s="44" t="s">
        <v>1855</v>
      </c>
      <c r="C51" s="44" t="s">
        <v>1856</v>
      </c>
      <c r="D51" s="44" t="s">
        <v>16</v>
      </c>
      <c r="E51" s="44" t="s">
        <v>1817</v>
      </c>
      <c r="F51" s="46">
        <v>45707.532416979164</v>
      </c>
      <c r="G51" s="44" t="s">
        <v>53</v>
      </c>
      <c r="H51" s="46">
        <v>45694.550098425927</v>
      </c>
      <c r="I51" s="47">
        <v>45707</v>
      </c>
      <c r="J51" s="47">
        <v>45701</v>
      </c>
      <c r="K51" s="43" t="s">
        <v>53</v>
      </c>
      <c r="L51" s="44" t="s">
        <v>1857</v>
      </c>
      <c r="M51" s="43" t="s">
        <v>1819</v>
      </c>
      <c r="N51" t="s">
        <v>1973</v>
      </c>
      <c r="O51">
        <f t="shared" ref="O51" si="126">MONTH(H51)</f>
        <v>2</v>
      </c>
      <c r="P51" t="str">
        <f t="shared" ref="P51" si="127">IF(O51=1,"enero",IF(O51=2,"febrero",IF(O51=3,"marzo",IF(O51=4,"abril",IF(O51=5,"mayo",IF(O51=6,"junio",IF(O51=7,"julio",IF(O51=8,"agosto",IF(O51=9,"septiembre",IF(O51=10,"octubre",IF(O51=11,"noviembre",IF(O51=12,"diciembre","REVISAR"))))))))))))</f>
        <v>febrero</v>
      </c>
      <c r="Q51">
        <f t="shared" ref="Q51" si="128">YEAR(H51)</f>
        <v>2025</v>
      </c>
      <c r="R51" t="str">
        <f t="shared" ref="R51" si="129">CONCATENATE(P51,"-",Q51)</f>
        <v>febrero-2025</v>
      </c>
      <c r="S51">
        <f t="shared" ref="S51" si="130">MONTH(I51)</f>
        <v>2</v>
      </c>
      <c r="T51" t="str">
        <f t="shared" ref="T51" si="131">IF(S51=1,"enero",IF(S51=2,"febrero",IF(S51=3,"marzo",IF(S51=4,"abril",IF(S51=5,"mayo",IF(S51=6,"junio",IF(S51=7,"julio",IF(S51=8,"agosto",IF(S51=9,"septiembre",IF(S51=10,"octubre",IF(S51=11,"noviembre",IF(S51=12,"diciembre","REVISAR"))))))))))))</f>
        <v>febrero</v>
      </c>
      <c r="U51">
        <f t="shared" ref="U51" si="132">YEAR(I51)</f>
        <v>2025</v>
      </c>
      <c r="V51" t="str">
        <f t="shared" ref="V51" si="133">CONCATENATE(T51,"-",U51)</f>
        <v>febrero-2025</v>
      </c>
      <c r="W51">
        <f>IFERROR(_xlfn.DAYS('Jira BUGS'!I51,'Jira BUGS'!H51),0)</f>
        <v>13</v>
      </c>
      <c r="X51">
        <f>VLOOKUP(D51,SLAs!A:B,2,0)</f>
        <v>21</v>
      </c>
      <c r="Y51" t="str">
        <f t="shared" ref="Y51" si="134">IF(N51&gt;=X51,"NO CUMPLE","CUMPLE")</f>
        <v>NO CUMPLE</v>
      </c>
    </row>
    <row r="52" spans="1:25" ht="45" x14ac:dyDescent="0.25">
      <c r="A52" s="42" t="s">
        <v>1858</v>
      </c>
      <c r="B52" s="44" t="s">
        <v>1859</v>
      </c>
      <c r="C52" s="44" t="s">
        <v>1860</v>
      </c>
      <c r="D52" s="44" t="s">
        <v>16</v>
      </c>
      <c r="E52" s="44" t="s">
        <v>1817</v>
      </c>
      <c r="F52" s="46">
        <v>45895.438973738426</v>
      </c>
      <c r="G52" s="44" t="s">
        <v>53</v>
      </c>
      <c r="H52" s="46">
        <v>45673.386595150463</v>
      </c>
      <c r="I52" s="47">
        <v>45706</v>
      </c>
      <c r="J52" s="47">
        <v>45673</v>
      </c>
      <c r="K52" s="43" t="s">
        <v>53</v>
      </c>
      <c r="L52" s="44" t="s">
        <v>1861</v>
      </c>
      <c r="M52" s="43" t="s">
        <v>1819</v>
      </c>
      <c r="N52" t="s">
        <v>1973</v>
      </c>
      <c r="O52">
        <f t="shared" ref="O52" si="135">MONTH(H52)</f>
        <v>1</v>
      </c>
      <c r="P52" t="str">
        <f t="shared" ref="P52" si="136">IF(O52=1,"enero",IF(O52=2,"febrero",IF(O52=3,"marzo",IF(O52=4,"abril",IF(O52=5,"mayo",IF(O52=6,"junio",IF(O52=7,"julio",IF(O52=8,"agosto",IF(O52=9,"septiembre",IF(O52=10,"octubre",IF(O52=11,"noviembre",IF(O52=12,"diciembre","REVISAR"))))))))))))</f>
        <v>enero</v>
      </c>
      <c r="Q52">
        <f t="shared" ref="Q52" si="137">YEAR(H52)</f>
        <v>2025</v>
      </c>
      <c r="R52" t="str">
        <f t="shared" ref="R52" si="138">CONCATENATE(P52,"-",Q52)</f>
        <v>enero-2025</v>
      </c>
      <c r="S52">
        <f t="shared" ref="S52" si="139">MONTH(I52)</f>
        <v>2</v>
      </c>
      <c r="T52" t="str">
        <f t="shared" ref="T52" si="140">IF(S52=1,"enero",IF(S52=2,"febrero",IF(S52=3,"marzo",IF(S52=4,"abril",IF(S52=5,"mayo",IF(S52=6,"junio",IF(S52=7,"julio",IF(S52=8,"agosto",IF(S52=9,"septiembre",IF(S52=10,"octubre",IF(S52=11,"noviembre",IF(S52=12,"diciembre","REVISAR"))))))))))))</f>
        <v>febrero</v>
      </c>
      <c r="U52">
        <f t="shared" ref="U52" si="141">YEAR(I52)</f>
        <v>2025</v>
      </c>
      <c r="V52" t="str">
        <f t="shared" ref="V52" si="142">CONCATENATE(T52,"-",U52)</f>
        <v>febrero-2025</v>
      </c>
      <c r="W52">
        <f>IFERROR(_xlfn.DAYS('Jira BUGS'!I52,'Jira BUGS'!H52),0)</f>
        <v>33</v>
      </c>
      <c r="X52">
        <f>VLOOKUP(D52,SLAs!A:B,2,0)</f>
        <v>21</v>
      </c>
      <c r="Y52" t="str">
        <f t="shared" ref="Y52" si="143">IF(N52&gt;=X52,"NO CUMPLE","CUMPLE")</f>
        <v>NO CUMPLE</v>
      </c>
    </row>
    <row r="53" spans="1:25" x14ac:dyDescent="0.25">
      <c r="A53" s="42" t="s">
        <v>1834</v>
      </c>
      <c r="B53" s="44" t="s">
        <v>1835</v>
      </c>
      <c r="C53" s="44" t="s">
        <v>53</v>
      </c>
      <c r="D53" s="44" t="s">
        <v>16</v>
      </c>
      <c r="E53" s="44" t="s">
        <v>1817</v>
      </c>
      <c r="F53" s="46">
        <v>45701.303026319445</v>
      </c>
      <c r="G53" s="44" t="s">
        <v>53</v>
      </c>
      <c r="H53" s="46">
        <v>45630.571289189815</v>
      </c>
      <c r="I53" s="47">
        <v>45701</v>
      </c>
      <c r="J53" s="47">
        <v>45656</v>
      </c>
      <c r="K53" s="43" t="s">
        <v>53</v>
      </c>
      <c r="L53" s="44" t="s">
        <v>1836</v>
      </c>
      <c r="M53" s="43" t="s">
        <v>1819</v>
      </c>
      <c r="N53" t="s">
        <v>1973</v>
      </c>
      <c r="O53">
        <f t="shared" ref="O53:O54" si="144">MONTH(H53)</f>
        <v>12</v>
      </c>
      <c r="P53" t="str">
        <f t="shared" ref="P53:P54" si="145">IF(O53=1,"enero",IF(O53=2,"febrero",IF(O53=3,"marzo",IF(O53=4,"abril",IF(O53=5,"mayo",IF(O53=6,"junio",IF(O53=7,"julio",IF(O53=8,"agosto",IF(O53=9,"septiembre",IF(O53=10,"octubre",IF(O53=11,"noviembre",IF(O53=12,"diciembre","REVISAR"))))))))))))</f>
        <v>diciembre</v>
      </c>
      <c r="Q53">
        <f t="shared" ref="Q53:Q54" si="146">YEAR(H53)</f>
        <v>2024</v>
      </c>
      <c r="R53" t="str">
        <f t="shared" ref="R53:R54" si="147">CONCATENATE(P53,"-",Q53)</f>
        <v>diciembre-2024</v>
      </c>
      <c r="S53">
        <f t="shared" ref="S53:S54" si="148">MONTH(I53)</f>
        <v>2</v>
      </c>
      <c r="T53" t="str">
        <f t="shared" ref="T53:T54" si="149">IF(S53=1,"enero",IF(S53=2,"febrero",IF(S53=3,"marzo",IF(S53=4,"abril",IF(S53=5,"mayo",IF(S53=6,"junio",IF(S53=7,"julio",IF(S53=8,"agosto",IF(S53=9,"septiembre",IF(S53=10,"octubre",IF(S53=11,"noviembre",IF(S53=12,"diciembre","REVISAR"))))))))))))</f>
        <v>febrero</v>
      </c>
      <c r="U53">
        <f t="shared" ref="U53:U54" si="150">YEAR(I53)</f>
        <v>2025</v>
      </c>
      <c r="V53" t="str">
        <f t="shared" ref="V53:V54" si="151">CONCATENATE(T53,"-",U53)</f>
        <v>febrero-2025</v>
      </c>
      <c r="W53">
        <f>IFERROR(_xlfn.DAYS('Jira BUGS'!I53,'Jira BUGS'!H53),0)</f>
        <v>71</v>
      </c>
      <c r="X53">
        <f>VLOOKUP(D53,SLAs!A:B,2,0)</f>
        <v>21</v>
      </c>
      <c r="Y53" t="str">
        <f t="shared" ref="Y53:Y54" si="152">IF(N53&gt;=X53,"NO CUMPLE","CUMPLE")</f>
        <v>NO CUMPLE</v>
      </c>
    </row>
    <row r="54" spans="1:25" ht="45" x14ac:dyDescent="0.25">
      <c r="A54" s="42" t="s">
        <v>1843</v>
      </c>
      <c r="B54" s="44" t="s">
        <v>1844</v>
      </c>
      <c r="C54" s="44" t="s">
        <v>1822</v>
      </c>
      <c r="D54" s="44" t="s">
        <v>16</v>
      </c>
      <c r="E54" s="44" t="s">
        <v>1817</v>
      </c>
      <c r="F54" s="46">
        <v>45699.348951041669</v>
      </c>
      <c r="G54" s="44" t="s">
        <v>53</v>
      </c>
      <c r="H54" s="46">
        <v>45666.672384560188</v>
      </c>
      <c r="I54" s="47">
        <v>45693</v>
      </c>
      <c r="J54" s="47">
        <v>45680</v>
      </c>
      <c r="K54" s="43" t="s">
        <v>1844</v>
      </c>
      <c r="L54" s="44" t="s">
        <v>1845</v>
      </c>
      <c r="M54" s="43" t="s">
        <v>1819</v>
      </c>
      <c r="N54" t="s">
        <v>1973</v>
      </c>
      <c r="O54">
        <f t="shared" si="144"/>
        <v>1</v>
      </c>
      <c r="P54" t="str">
        <f t="shared" si="145"/>
        <v>enero</v>
      </c>
      <c r="Q54">
        <f t="shared" si="146"/>
        <v>2025</v>
      </c>
      <c r="R54" t="str">
        <f t="shared" si="147"/>
        <v>enero-2025</v>
      </c>
      <c r="S54">
        <f t="shared" si="148"/>
        <v>2</v>
      </c>
      <c r="T54" t="str">
        <f t="shared" si="149"/>
        <v>febrero</v>
      </c>
      <c r="U54">
        <f t="shared" si="150"/>
        <v>2025</v>
      </c>
      <c r="V54" t="str">
        <f t="shared" si="151"/>
        <v>febrero-2025</v>
      </c>
      <c r="W54">
        <f>IFERROR(_xlfn.DAYS('Jira BUGS'!I54,'Jira BUGS'!H54),0)</f>
        <v>27</v>
      </c>
      <c r="X54">
        <f>VLOOKUP(D54,SLAs!A:B,2,0)</f>
        <v>21</v>
      </c>
      <c r="Y54" t="str">
        <f t="shared" si="152"/>
        <v>NO CUMPLE</v>
      </c>
    </row>
    <row r="55" spans="1:25" ht="45" x14ac:dyDescent="0.25">
      <c r="A55" s="42" t="s">
        <v>1846</v>
      </c>
      <c r="B55" s="44" t="s">
        <v>1847</v>
      </c>
      <c r="C55" s="44" t="s">
        <v>1848</v>
      </c>
      <c r="D55" s="44" t="s">
        <v>16</v>
      </c>
      <c r="E55" s="44" t="s">
        <v>1817</v>
      </c>
      <c r="F55" s="46">
        <v>45699.348973229164</v>
      </c>
      <c r="G55" s="44" t="s">
        <v>53</v>
      </c>
      <c r="H55" s="46">
        <v>45670.432990810186</v>
      </c>
      <c r="I55" s="47">
        <v>45686</v>
      </c>
      <c r="J55" s="47">
        <v>45670</v>
      </c>
      <c r="K55" s="43" t="s">
        <v>1847</v>
      </c>
      <c r="L55" s="44" t="s">
        <v>1849</v>
      </c>
      <c r="M55" s="43" t="s">
        <v>1819</v>
      </c>
      <c r="N55" t="s">
        <v>1973</v>
      </c>
      <c r="O55">
        <f>MONTH(H55)</f>
        <v>1</v>
      </c>
      <c r="P55" t="str">
        <f>IF(O55=1,"enero",IF(O55=2,"febrero",IF(O55=3,"marzo",IF(O55=4,"abril",IF(O55=5,"mayo",IF(O55=6,"junio",IF(O55=7,"julio",IF(O55=8,"agosto",IF(O55=9,"septiembre",IF(O55=10,"octubre",IF(O55=11,"noviembre",IF(O55=12,"diciembre","REVISAR"))))))))))))</f>
        <v>enero</v>
      </c>
      <c r="Q55">
        <f>YEAR(H55)</f>
        <v>2025</v>
      </c>
      <c r="R55" t="str">
        <f>CONCATENATE(P55,"-",Q55)</f>
        <v>enero-2025</v>
      </c>
      <c r="S55">
        <f>MONTH(I55)</f>
        <v>1</v>
      </c>
      <c r="T55" t="str">
        <f>IF(S55=1,"enero",IF(S55=2,"febrero",IF(S55=3,"marzo",IF(S55=4,"abril",IF(S55=5,"mayo",IF(S55=6,"junio",IF(S55=7,"julio",IF(S55=8,"agosto",IF(S55=9,"septiembre",IF(S55=10,"octubre",IF(S55=11,"noviembre",IF(S55=12,"diciembre","REVISAR"))))))))))))</f>
        <v>enero</v>
      </c>
      <c r="U55">
        <f>YEAR(I55)</f>
        <v>2025</v>
      </c>
      <c r="V55" t="str">
        <f>CONCATENATE(T55,"-",U55)</f>
        <v>enero-2025</v>
      </c>
      <c r="W55">
        <f>IFERROR(_xlfn.DAYS('Jira BUGS'!I55,'Jira BUGS'!H55),0)</f>
        <v>16</v>
      </c>
      <c r="X55">
        <f>VLOOKUP(D55,SLAs!A:B,2,0)</f>
        <v>21</v>
      </c>
      <c r="Y55" t="str">
        <f>IF(N55&gt;=X55,"NO CUMPLE","CUMPLE")</f>
        <v>NO CUMPLE</v>
      </c>
    </row>
    <row r="56" spans="1:25" ht="45" x14ac:dyDescent="0.25">
      <c r="A56" s="42" t="s">
        <v>1840</v>
      </c>
      <c r="B56" s="44" t="s">
        <v>1841</v>
      </c>
      <c r="C56" s="44" t="s">
        <v>1822</v>
      </c>
      <c r="D56" s="44" t="s">
        <v>16</v>
      </c>
      <c r="E56" s="44" t="s">
        <v>1817</v>
      </c>
      <c r="F56" s="46">
        <v>45699.348936273149</v>
      </c>
      <c r="G56" s="44" t="s">
        <v>53</v>
      </c>
      <c r="H56" s="46">
        <v>45645.58230141204</v>
      </c>
      <c r="I56" s="47">
        <v>45679</v>
      </c>
      <c r="J56" s="47">
        <v>45670</v>
      </c>
      <c r="K56" s="43" t="s">
        <v>1841</v>
      </c>
      <c r="L56" s="44" t="s">
        <v>1842</v>
      </c>
      <c r="M56" s="43" t="s">
        <v>1819</v>
      </c>
      <c r="N56" t="s">
        <v>1973</v>
      </c>
      <c r="O56">
        <f t="shared" ref="O56:O58" si="153">MONTH(H56)</f>
        <v>12</v>
      </c>
      <c r="P56" t="str">
        <f t="shared" ref="P56:P58" si="154">IF(O56=1,"enero",IF(O56=2,"febrero",IF(O56=3,"marzo",IF(O56=4,"abril",IF(O56=5,"mayo",IF(O56=6,"junio",IF(O56=7,"julio",IF(O56=8,"agosto",IF(O56=9,"septiembre",IF(O56=10,"octubre",IF(O56=11,"noviembre",IF(O56=12,"diciembre","REVISAR"))))))))))))</f>
        <v>diciembre</v>
      </c>
      <c r="Q56">
        <f t="shared" ref="Q56:Q58" si="155">YEAR(H56)</f>
        <v>2024</v>
      </c>
      <c r="R56" t="str">
        <f t="shared" ref="R56:R58" si="156">CONCATENATE(P56,"-",Q56)</f>
        <v>diciembre-2024</v>
      </c>
      <c r="S56">
        <f t="shared" ref="S56:S58" si="157">MONTH(I56)</f>
        <v>1</v>
      </c>
      <c r="T56" t="str">
        <f t="shared" ref="T56:T58" si="158">IF(S56=1,"enero",IF(S56=2,"febrero",IF(S56=3,"marzo",IF(S56=4,"abril",IF(S56=5,"mayo",IF(S56=6,"junio",IF(S56=7,"julio",IF(S56=8,"agosto",IF(S56=9,"septiembre",IF(S56=10,"octubre",IF(S56=11,"noviembre",IF(S56=12,"diciembre","REVISAR"))))))))))))</f>
        <v>enero</v>
      </c>
      <c r="U56">
        <f t="shared" ref="U56:U58" si="159">YEAR(I56)</f>
        <v>2025</v>
      </c>
      <c r="V56" t="str">
        <f t="shared" ref="V56:V58" si="160">CONCATENATE(T56,"-",U56)</f>
        <v>enero-2025</v>
      </c>
      <c r="W56">
        <f>IFERROR(_xlfn.DAYS('Jira BUGS'!I56,'Jira BUGS'!H56),0)</f>
        <v>34</v>
      </c>
      <c r="X56">
        <f>VLOOKUP(D56,SLAs!A:B,2,0)</f>
        <v>21</v>
      </c>
      <c r="Y56" t="str">
        <f t="shared" ref="Y56:Y58" si="161">IF(N56&gt;=X56,"NO CUMPLE","CUMPLE")</f>
        <v>NO CUMPLE</v>
      </c>
    </row>
    <row r="57" spans="1:25" ht="45" x14ac:dyDescent="0.25">
      <c r="A57" s="42" t="s">
        <v>1820</v>
      </c>
      <c r="B57" s="44" t="s">
        <v>1821</v>
      </c>
      <c r="C57" s="44" t="s">
        <v>1822</v>
      </c>
      <c r="D57" s="44" t="s">
        <v>16</v>
      </c>
      <c r="E57" s="44" t="s">
        <v>1817</v>
      </c>
      <c r="F57" s="46">
        <v>45699.348876608798</v>
      </c>
      <c r="G57" s="44" t="s">
        <v>53</v>
      </c>
      <c r="H57" s="46">
        <v>45552.396680949074</v>
      </c>
      <c r="I57" s="47">
        <v>45674</v>
      </c>
      <c r="J57" s="47">
        <v>45552</v>
      </c>
      <c r="K57" s="43" t="s">
        <v>1823</v>
      </c>
      <c r="L57" s="44" t="s">
        <v>1824</v>
      </c>
      <c r="M57" s="43" t="s">
        <v>1819</v>
      </c>
      <c r="N57" t="s">
        <v>1973</v>
      </c>
      <c r="O57">
        <f t="shared" si="153"/>
        <v>9</v>
      </c>
      <c r="P57" t="str">
        <f t="shared" si="154"/>
        <v>septiembre</v>
      </c>
      <c r="Q57">
        <f t="shared" si="155"/>
        <v>2024</v>
      </c>
      <c r="R57" t="str">
        <f t="shared" si="156"/>
        <v>septiembre-2024</v>
      </c>
      <c r="S57">
        <f t="shared" si="157"/>
        <v>1</v>
      </c>
      <c r="T57" t="str">
        <f t="shared" si="158"/>
        <v>enero</v>
      </c>
      <c r="U57">
        <f t="shared" si="159"/>
        <v>2025</v>
      </c>
      <c r="V57" t="str">
        <f t="shared" si="160"/>
        <v>enero-2025</v>
      </c>
      <c r="W57">
        <f>IFERROR(_xlfn.DAYS('Jira BUGS'!I57,'Jira BUGS'!H57),0)</f>
        <v>122</v>
      </c>
      <c r="X57">
        <f>VLOOKUP(D57,SLAs!A:B,2,0)</f>
        <v>21</v>
      </c>
      <c r="Y57" t="str">
        <f t="shared" si="161"/>
        <v>NO CUMPLE</v>
      </c>
    </row>
    <row r="58" spans="1:25" ht="45" x14ac:dyDescent="0.25">
      <c r="A58" s="42" t="s">
        <v>1837</v>
      </c>
      <c r="B58" s="44" t="s">
        <v>1838</v>
      </c>
      <c r="C58" s="44" t="s">
        <v>1822</v>
      </c>
      <c r="D58" s="44" t="s">
        <v>16</v>
      </c>
      <c r="E58" s="44" t="s">
        <v>1817</v>
      </c>
      <c r="F58" s="46">
        <v>45699.348980011571</v>
      </c>
      <c r="G58" s="44" t="s">
        <v>53</v>
      </c>
      <c r="H58" s="46">
        <v>45631.682005671297</v>
      </c>
      <c r="I58" s="47">
        <v>45674</v>
      </c>
      <c r="J58" s="47">
        <v>45646</v>
      </c>
      <c r="K58" s="43" t="s">
        <v>1838</v>
      </c>
      <c r="L58" s="44" t="s">
        <v>1839</v>
      </c>
      <c r="M58" s="43" t="s">
        <v>1819</v>
      </c>
      <c r="N58" t="s">
        <v>1973</v>
      </c>
      <c r="O58">
        <f t="shared" si="153"/>
        <v>12</v>
      </c>
      <c r="P58" t="str">
        <f t="shared" si="154"/>
        <v>diciembre</v>
      </c>
      <c r="Q58">
        <f t="shared" si="155"/>
        <v>2024</v>
      </c>
      <c r="R58" t="str">
        <f t="shared" si="156"/>
        <v>diciembre-2024</v>
      </c>
      <c r="S58">
        <f t="shared" si="157"/>
        <v>1</v>
      </c>
      <c r="T58" t="str">
        <f t="shared" si="158"/>
        <v>enero</v>
      </c>
      <c r="U58">
        <f t="shared" si="159"/>
        <v>2025</v>
      </c>
      <c r="V58" t="str">
        <f t="shared" si="160"/>
        <v>enero-2025</v>
      </c>
      <c r="W58">
        <f>IFERROR(_xlfn.DAYS('Jira BUGS'!I58,'Jira BUGS'!H58),0)</f>
        <v>43</v>
      </c>
      <c r="X58">
        <f>VLOOKUP(D58,SLAs!A:B,2,0)</f>
        <v>21</v>
      </c>
      <c r="Y58" t="str">
        <f t="shared" si="161"/>
        <v>NO CUMPLE</v>
      </c>
    </row>
    <row r="59" spans="1:25" ht="45" x14ac:dyDescent="0.25">
      <c r="A59" s="42" t="s">
        <v>1831</v>
      </c>
      <c r="B59" s="44" t="s">
        <v>1832</v>
      </c>
      <c r="C59" s="44" t="s">
        <v>1822</v>
      </c>
      <c r="D59" s="44" t="s">
        <v>16</v>
      </c>
      <c r="E59" s="44" t="s">
        <v>1817</v>
      </c>
      <c r="F59" s="46">
        <v>45702.431296099538</v>
      </c>
      <c r="G59" s="44" t="s">
        <v>53</v>
      </c>
      <c r="H59" s="46">
        <v>45617.576198460651</v>
      </c>
      <c r="I59" s="47">
        <v>45674</v>
      </c>
      <c r="J59" s="47">
        <v>45636</v>
      </c>
      <c r="K59" s="43" t="s">
        <v>1832</v>
      </c>
      <c r="L59" s="44" t="s">
        <v>1833</v>
      </c>
      <c r="M59" s="43" t="s">
        <v>1819</v>
      </c>
      <c r="N59" t="s">
        <v>1973</v>
      </c>
      <c r="O59">
        <f t="shared" ref="O59" si="162">MONTH(H59)</f>
        <v>11</v>
      </c>
      <c r="P59" t="str">
        <f t="shared" ref="P59" si="163">IF(O59=1,"enero",IF(O59=2,"febrero",IF(O59=3,"marzo",IF(O59=4,"abril",IF(O59=5,"mayo",IF(O59=6,"junio",IF(O59=7,"julio",IF(O59=8,"agosto",IF(O59=9,"septiembre",IF(O59=10,"octubre",IF(O59=11,"noviembre",IF(O59=12,"diciembre","REVISAR"))))))))))))</f>
        <v>noviembre</v>
      </c>
      <c r="Q59">
        <f t="shared" ref="Q59" si="164">YEAR(H59)</f>
        <v>2024</v>
      </c>
      <c r="R59" t="str">
        <f t="shared" ref="R59" si="165">CONCATENATE(P59,"-",Q59)</f>
        <v>noviembre-2024</v>
      </c>
      <c r="S59">
        <f t="shared" ref="S59" si="166">MONTH(I59)</f>
        <v>1</v>
      </c>
      <c r="T59" t="str">
        <f t="shared" ref="T59" si="167">IF(S59=1,"enero",IF(S59=2,"febrero",IF(S59=3,"marzo",IF(S59=4,"abril",IF(S59=5,"mayo",IF(S59=6,"junio",IF(S59=7,"julio",IF(S59=8,"agosto",IF(S59=9,"septiembre",IF(S59=10,"octubre",IF(S59=11,"noviembre",IF(S59=12,"diciembre","REVISAR"))))))))))))</f>
        <v>enero</v>
      </c>
      <c r="U59">
        <f t="shared" ref="U59" si="168">YEAR(I59)</f>
        <v>2025</v>
      </c>
      <c r="V59" t="str">
        <f t="shared" ref="V59" si="169">CONCATENATE(T59,"-",U59)</f>
        <v>enero-2025</v>
      </c>
      <c r="W59">
        <f>IFERROR(_xlfn.DAYS('Jira BUGS'!I59,'Jira BUGS'!H59),0)</f>
        <v>57</v>
      </c>
      <c r="X59">
        <f>VLOOKUP(D59,SLAs!A:B,2,0)</f>
        <v>21</v>
      </c>
      <c r="Y59" t="str">
        <f t="shared" ref="Y59" si="170">IF(N59&gt;=X59,"NO CUMPLE","CUMPLE")</f>
        <v>NO CUMPLE</v>
      </c>
    </row>
    <row r="60" spans="1:25" ht="45" x14ac:dyDescent="0.25">
      <c r="A60" s="42" t="s">
        <v>1828</v>
      </c>
      <c r="B60" s="44" t="s">
        <v>1829</v>
      </c>
      <c r="C60" s="44" t="s">
        <v>1822</v>
      </c>
      <c r="D60" s="44" t="s">
        <v>16</v>
      </c>
      <c r="E60" s="44" t="s">
        <v>1817</v>
      </c>
      <c r="F60" s="46">
        <v>45699.348917870368</v>
      </c>
      <c r="G60" s="44" t="s">
        <v>53</v>
      </c>
      <c r="H60" s="46">
        <v>45610.701666712965</v>
      </c>
      <c r="I60" s="47">
        <v>45674</v>
      </c>
      <c r="J60" s="47">
        <v>45666</v>
      </c>
      <c r="K60" s="43" t="s">
        <v>1829</v>
      </c>
      <c r="L60" s="44" t="s">
        <v>1830</v>
      </c>
      <c r="M60" s="43" t="s">
        <v>1819</v>
      </c>
      <c r="N60" t="s">
        <v>1973</v>
      </c>
      <c r="O60">
        <f t="shared" ref="O60:O62" si="171">MONTH(H60)</f>
        <v>11</v>
      </c>
      <c r="P60" t="str">
        <f t="shared" ref="P60:P62" si="172">IF(O60=1,"enero",IF(O60=2,"febrero",IF(O60=3,"marzo",IF(O60=4,"abril",IF(O60=5,"mayo",IF(O60=6,"junio",IF(O60=7,"julio",IF(O60=8,"agosto",IF(O60=9,"septiembre",IF(O60=10,"octubre",IF(O60=11,"noviembre",IF(O60=12,"diciembre","REVISAR"))))))))))))</f>
        <v>noviembre</v>
      </c>
      <c r="Q60">
        <f t="shared" ref="Q60:Q62" si="173">YEAR(H60)</f>
        <v>2024</v>
      </c>
      <c r="R60" t="str">
        <f t="shared" ref="R60:R62" si="174">CONCATENATE(P60,"-",Q60)</f>
        <v>noviembre-2024</v>
      </c>
      <c r="S60">
        <f t="shared" ref="S60:S62" si="175">MONTH(I60)</f>
        <v>1</v>
      </c>
      <c r="T60" t="str">
        <f t="shared" ref="T60:T62" si="176">IF(S60=1,"enero",IF(S60=2,"febrero",IF(S60=3,"marzo",IF(S60=4,"abril",IF(S60=5,"mayo",IF(S60=6,"junio",IF(S60=7,"julio",IF(S60=8,"agosto",IF(S60=9,"septiembre",IF(S60=10,"octubre",IF(S60=11,"noviembre",IF(S60=12,"diciembre","REVISAR"))))))))))))</f>
        <v>enero</v>
      </c>
      <c r="U60">
        <f t="shared" ref="U60:U62" si="177">YEAR(I60)</f>
        <v>2025</v>
      </c>
      <c r="V60" t="str">
        <f t="shared" ref="V60:V62" si="178">CONCATENATE(T60,"-",U60)</f>
        <v>enero-2025</v>
      </c>
      <c r="W60">
        <f>IFERROR(_xlfn.DAYS('Jira BUGS'!I60,'Jira BUGS'!H60),0)</f>
        <v>64</v>
      </c>
      <c r="X60">
        <f>VLOOKUP(D60,SLAs!A:B,2,0)</f>
        <v>21</v>
      </c>
      <c r="Y60" t="str">
        <f t="shared" ref="Y60:Y62" si="179">IF(N60&gt;=X60,"NO CUMPLE","CUMPLE")</f>
        <v>NO CUMPLE</v>
      </c>
    </row>
    <row r="61" spans="1:25" ht="45" x14ac:dyDescent="0.25">
      <c r="A61" s="42" t="s">
        <v>1814</v>
      </c>
      <c r="B61" s="44" t="s">
        <v>1815</v>
      </c>
      <c r="C61" s="44" t="s">
        <v>1816</v>
      </c>
      <c r="D61" s="44" t="s">
        <v>16</v>
      </c>
      <c r="E61" s="44" t="s">
        <v>1817</v>
      </c>
      <c r="F61" s="46">
        <v>45895.447043437503</v>
      </c>
      <c r="G61" s="44" t="s">
        <v>53</v>
      </c>
      <c r="H61" s="46">
        <v>45537.473638993055</v>
      </c>
      <c r="I61" s="47">
        <v>45670</v>
      </c>
      <c r="J61" s="47">
        <v>45546</v>
      </c>
      <c r="K61" s="43" t="s">
        <v>1815</v>
      </c>
      <c r="L61" s="44" t="s">
        <v>1818</v>
      </c>
      <c r="M61" s="43" t="s">
        <v>1819</v>
      </c>
      <c r="N61" t="s">
        <v>1973</v>
      </c>
      <c r="O61">
        <f t="shared" si="171"/>
        <v>9</v>
      </c>
      <c r="P61" t="str">
        <f t="shared" si="172"/>
        <v>septiembre</v>
      </c>
      <c r="Q61">
        <f t="shared" si="173"/>
        <v>2024</v>
      </c>
      <c r="R61" t="str">
        <f t="shared" si="174"/>
        <v>septiembre-2024</v>
      </c>
      <c r="S61">
        <f t="shared" si="175"/>
        <v>1</v>
      </c>
      <c r="T61" t="str">
        <f t="shared" si="176"/>
        <v>enero</v>
      </c>
      <c r="U61">
        <f t="shared" si="177"/>
        <v>2025</v>
      </c>
      <c r="V61" t="str">
        <f t="shared" si="178"/>
        <v>enero-2025</v>
      </c>
      <c r="W61">
        <f>IFERROR(_xlfn.DAYS('Jira BUGS'!I61,'Jira BUGS'!H61),0)</f>
        <v>133</v>
      </c>
      <c r="X61">
        <f>VLOOKUP(D61,SLAs!A:B,2,0)</f>
        <v>21</v>
      </c>
      <c r="Y61" t="str">
        <f t="shared" si="179"/>
        <v>NO CUMPLE</v>
      </c>
    </row>
    <row r="62" spans="1:25" ht="45" x14ac:dyDescent="0.25">
      <c r="A62" s="42" t="s">
        <v>1825</v>
      </c>
      <c r="B62" s="44" t="s">
        <v>1826</v>
      </c>
      <c r="C62" s="44" t="s">
        <v>53</v>
      </c>
      <c r="D62" s="44" t="s">
        <v>16</v>
      </c>
      <c r="E62" s="44" t="s">
        <v>1817</v>
      </c>
      <c r="F62" s="46">
        <v>45699.724067048614</v>
      </c>
      <c r="G62" s="44" t="s">
        <v>53</v>
      </c>
      <c r="H62" s="46">
        <v>45590.488881504629</v>
      </c>
      <c r="I62" s="47">
        <v>45664</v>
      </c>
      <c r="J62" s="43" t="s">
        <v>53</v>
      </c>
      <c r="K62" s="43" t="s">
        <v>53</v>
      </c>
      <c r="L62" s="44" t="s">
        <v>1827</v>
      </c>
      <c r="M62" s="43" t="s">
        <v>1819</v>
      </c>
      <c r="N62" t="s">
        <v>1973</v>
      </c>
      <c r="O62">
        <f t="shared" si="171"/>
        <v>10</v>
      </c>
      <c r="P62" t="str">
        <f t="shared" si="172"/>
        <v>octubre</v>
      </c>
      <c r="Q62">
        <f t="shared" si="173"/>
        <v>2024</v>
      </c>
      <c r="R62" t="str">
        <f t="shared" si="174"/>
        <v>octubre-2024</v>
      </c>
      <c r="S62">
        <f t="shared" si="175"/>
        <v>1</v>
      </c>
      <c r="T62" t="str">
        <f t="shared" si="176"/>
        <v>enero</v>
      </c>
      <c r="U62">
        <f t="shared" si="177"/>
        <v>2025</v>
      </c>
      <c r="V62" t="str">
        <f t="shared" si="178"/>
        <v>enero-2025</v>
      </c>
      <c r="W62">
        <f>IFERROR(_xlfn.DAYS('Jira BUGS'!I62,'Jira BUGS'!H62),0)</f>
        <v>74</v>
      </c>
      <c r="X62">
        <f>VLOOKUP(D62,SLAs!A:B,2,0)</f>
        <v>21</v>
      </c>
      <c r="Y62" t="str">
        <f t="shared" si="179"/>
        <v>NO CUMPLE</v>
      </c>
    </row>
    <row r="63" spans="1:25" x14ac:dyDescent="0.25">
      <c r="A63" s="42"/>
      <c r="B63" s="44"/>
      <c r="C63" s="44"/>
      <c r="D63" s="45"/>
      <c r="E63" s="44"/>
      <c r="F63" s="43"/>
      <c r="G63" s="44"/>
      <c r="H63" s="43"/>
      <c r="I63" s="43"/>
      <c r="J63" s="43"/>
      <c r="K63" s="43"/>
      <c r="L63" s="44"/>
      <c r="M63" s="43"/>
    </row>
    <row r="64" spans="1:25" x14ac:dyDescent="0.25">
      <c r="A64" s="42"/>
      <c r="B64" s="44"/>
      <c r="C64" s="44"/>
      <c r="D64" s="45"/>
      <c r="E64" s="44"/>
      <c r="F64" s="43"/>
      <c r="G64" s="44"/>
      <c r="H64" s="43"/>
      <c r="I64" s="43"/>
      <c r="J64" s="43"/>
      <c r="K64" s="43"/>
      <c r="L64" s="44"/>
      <c r="M64" s="43"/>
    </row>
    <row r="65" spans="1:13" x14ac:dyDescent="0.25">
      <c r="A65" s="42"/>
      <c r="B65" s="44"/>
      <c r="C65" s="44"/>
      <c r="D65" s="45"/>
      <c r="E65" s="45"/>
      <c r="F65" s="43"/>
      <c r="G65" s="44"/>
      <c r="H65" s="43"/>
      <c r="I65" s="43"/>
      <c r="J65" s="43"/>
      <c r="K65" s="43"/>
      <c r="L65" s="44"/>
      <c r="M65" s="43"/>
    </row>
    <row r="66" spans="1:13" x14ac:dyDescent="0.25">
      <c r="A66" s="42"/>
      <c r="B66" s="44"/>
      <c r="C66" s="44"/>
      <c r="D66" s="45"/>
      <c r="E66" s="44"/>
      <c r="F66" s="43"/>
      <c r="G66" s="44"/>
      <c r="H66" s="43"/>
      <c r="I66" s="43"/>
      <c r="J66" s="43"/>
      <c r="K66" s="43"/>
      <c r="L66" s="44"/>
      <c r="M66" s="43"/>
    </row>
    <row r="67" spans="1:13" x14ac:dyDescent="0.25">
      <c r="A67" s="42"/>
      <c r="B67" s="44"/>
      <c r="C67" s="44"/>
      <c r="D67" s="45"/>
      <c r="E67" s="44"/>
      <c r="F67" s="43"/>
      <c r="G67" s="44"/>
      <c r="H67" s="43"/>
      <c r="I67" s="43"/>
      <c r="J67" s="43"/>
      <c r="K67" s="43"/>
      <c r="L67" s="44"/>
      <c r="M67" s="43"/>
    </row>
    <row r="68" spans="1:13" x14ac:dyDescent="0.25">
      <c r="A68" s="42"/>
      <c r="B68" s="44"/>
      <c r="C68" s="44"/>
      <c r="D68" s="45"/>
      <c r="E68" s="44"/>
      <c r="F68" s="43"/>
      <c r="G68" s="44"/>
      <c r="H68" s="43"/>
      <c r="I68" s="43"/>
      <c r="J68" s="43"/>
      <c r="K68" s="43"/>
      <c r="L68" s="44"/>
      <c r="M68" s="43"/>
    </row>
    <row r="69" spans="1:13" x14ac:dyDescent="0.25">
      <c r="A69" s="42"/>
      <c r="B69" s="44"/>
      <c r="C69" s="44"/>
      <c r="D69" s="45"/>
      <c r="E69" s="44"/>
      <c r="F69" s="43"/>
      <c r="G69" s="44"/>
      <c r="H69" s="43"/>
      <c r="I69" s="43"/>
      <c r="J69" s="43"/>
      <c r="K69" s="43"/>
      <c r="L69" s="44"/>
      <c r="M69" s="43"/>
    </row>
    <row r="70" spans="1:13" x14ac:dyDescent="0.25">
      <c r="A70" s="42"/>
      <c r="B70" s="44"/>
      <c r="C70" s="44"/>
      <c r="D70" s="45"/>
      <c r="E70" s="44"/>
      <c r="F70" s="43"/>
      <c r="G70" s="44"/>
      <c r="H70" s="43"/>
      <c r="I70" s="43"/>
      <c r="J70" s="43"/>
      <c r="K70" s="43"/>
      <c r="L70" s="44"/>
      <c r="M70" s="43"/>
    </row>
    <row r="71" spans="1:13" x14ac:dyDescent="0.25">
      <c r="A71" s="42"/>
      <c r="B71" s="44"/>
      <c r="C71" s="44"/>
      <c r="D71" s="45"/>
      <c r="E71" s="44"/>
      <c r="F71" s="43"/>
      <c r="G71" s="44"/>
      <c r="H71" s="43"/>
      <c r="I71" s="43"/>
      <c r="J71" s="43"/>
      <c r="K71" s="43"/>
      <c r="L71" s="44"/>
      <c r="M71" s="43"/>
    </row>
    <row r="72" spans="1:13" x14ac:dyDescent="0.25">
      <c r="A72" s="1"/>
      <c r="D72" s="23"/>
      <c r="E72" s="23"/>
    </row>
    <row r="73" spans="1:13" x14ac:dyDescent="0.25">
      <c r="A73" s="1"/>
      <c r="D73" s="23"/>
      <c r="E73" s="23"/>
    </row>
    <row r="74" spans="1:13" x14ac:dyDescent="0.25">
      <c r="A74" s="1"/>
      <c r="D74" s="23"/>
      <c r="E74" s="23"/>
    </row>
    <row r="75" spans="1:13" x14ac:dyDescent="0.25">
      <c r="A75" s="1"/>
      <c r="D75" s="23"/>
      <c r="E75" s="23"/>
    </row>
    <row r="76" spans="1:13" x14ac:dyDescent="0.25">
      <c r="A76" s="1"/>
      <c r="D76" s="23"/>
      <c r="E76" s="23"/>
    </row>
    <row r="77" spans="1:13" x14ac:dyDescent="0.25">
      <c r="A77" s="1"/>
      <c r="D77" s="23"/>
      <c r="E77" s="23"/>
    </row>
    <row r="78" spans="1:13" x14ac:dyDescent="0.25">
      <c r="A78" s="1"/>
      <c r="D78" s="23"/>
      <c r="E78" s="23"/>
    </row>
    <row r="79" spans="1:13" x14ac:dyDescent="0.25">
      <c r="A79" s="1"/>
      <c r="D79" s="23"/>
      <c r="E79" s="23"/>
    </row>
    <row r="80" spans="1:13" x14ac:dyDescent="0.25">
      <c r="A80" s="1"/>
      <c r="D80" s="23"/>
      <c r="E80" s="23"/>
    </row>
    <row r="81" spans="1:5" x14ac:dyDescent="0.25">
      <c r="A81" s="1"/>
      <c r="D81" s="23"/>
      <c r="E81" s="23"/>
    </row>
    <row r="82" spans="1:5" x14ac:dyDescent="0.25">
      <c r="A82" s="1"/>
      <c r="D82" s="23"/>
      <c r="E82" s="23"/>
    </row>
    <row r="83" spans="1:5" x14ac:dyDescent="0.25">
      <c r="A83" s="1"/>
      <c r="D83" s="23"/>
      <c r="E83" s="23"/>
    </row>
    <row r="84" spans="1:5" x14ac:dyDescent="0.25">
      <c r="A84" s="1"/>
      <c r="D84" s="23"/>
      <c r="E84" s="23"/>
    </row>
    <row r="85" spans="1:5" x14ac:dyDescent="0.25">
      <c r="A85" s="1"/>
      <c r="D85" s="23"/>
      <c r="E85" s="23"/>
    </row>
    <row r="86" spans="1:5" x14ac:dyDescent="0.25">
      <c r="A86" s="1"/>
      <c r="D86" s="23"/>
      <c r="E86" s="23"/>
    </row>
    <row r="87" spans="1:5" x14ac:dyDescent="0.25">
      <c r="A87" s="1"/>
      <c r="D87" s="23"/>
      <c r="E87" s="23"/>
    </row>
    <row r="88" spans="1:5" x14ac:dyDescent="0.25">
      <c r="A88" s="1"/>
      <c r="D88" s="23"/>
      <c r="E88" s="23"/>
    </row>
    <row r="89" spans="1:5" x14ac:dyDescent="0.25">
      <c r="A89" s="1"/>
      <c r="D89" s="23"/>
      <c r="E89" s="23"/>
    </row>
    <row r="90" spans="1:5" x14ac:dyDescent="0.25">
      <c r="A90" s="1"/>
      <c r="D90" s="23"/>
      <c r="E90" s="23"/>
    </row>
    <row r="91" spans="1:5" x14ac:dyDescent="0.25">
      <c r="A91" s="1"/>
      <c r="D91" s="23"/>
      <c r="E91" s="23"/>
    </row>
    <row r="92" spans="1:5" x14ac:dyDescent="0.25">
      <c r="A92" s="1"/>
      <c r="D92" s="23"/>
      <c r="E92" s="23"/>
    </row>
    <row r="93" spans="1:5" x14ac:dyDescent="0.25">
      <c r="A93" s="1"/>
      <c r="D93" s="23"/>
      <c r="E93" s="23"/>
    </row>
    <row r="94" spans="1:5" x14ac:dyDescent="0.25">
      <c r="A94" s="1"/>
      <c r="D94" s="23"/>
      <c r="E94" s="23"/>
    </row>
    <row r="95" spans="1:5" x14ac:dyDescent="0.25">
      <c r="A95" s="1"/>
      <c r="D95" s="23"/>
      <c r="E95" s="23"/>
    </row>
    <row r="96" spans="1:5" x14ac:dyDescent="0.25">
      <c r="A96" s="1"/>
      <c r="D96" s="23"/>
      <c r="E96" s="23"/>
    </row>
    <row r="97" spans="1:5" x14ac:dyDescent="0.25">
      <c r="A97" s="1"/>
      <c r="D97" s="23"/>
      <c r="E97" s="23"/>
    </row>
    <row r="98" spans="1:5" x14ac:dyDescent="0.25">
      <c r="A98" s="1"/>
      <c r="D98" s="23"/>
      <c r="E98" s="23"/>
    </row>
    <row r="99" spans="1:5" x14ac:dyDescent="0.25">
      <c r="A99" s="1"/>
      <c r="D99" s="23"/>
      <c r="E99" s="23"/>
    </row>
    <row r="100" spans="1:5" x14ac:dyDescent="0.25">
      <c r="A100" s="1"/>
      <c r="D100" s="23"/>
      <c r="E100" s="23"/>
    </row>
    <row r="101" spans="1:5" x14ac:dyDescent="0.25">
      <c r="A101" s="1"/>
      <c r="D101" s="23"/>
      <c r="E101" s="23"/>
    </row>
    <row r="102" spans="1:5" x14ac:dyDescent="0.25">
      <c r="A102" s="1"/>
      <c r="D102" s="23"/>
      <c r="E102" s="23"/>
    </row>
    <row r="103" spans="1:5" x14ac:dyDescent="0.25">
      <c r="A103" s="1"/>
      <c r="D103" s="23"/>
      <c r="E103" s="23"/>
    </row>
    <row r="104" spans="1:5" x14ac:dyDescent="0.25">
      <c r="A104" s="1"/>
      <c r="D104" s="23"/>
      <c r="E104" s="23"/>
    </row>
    <row r="105" spans="1:5" x14ac:dyDescent="0.25">
      <c r="A105" s="1"/>
      <c r="D105" s="23"/>
      <c r="E105" s="23"/>
    </row>
    <row r="106" spans="1:5" x14ac:dyDescent="0.25">
      <c r="A106" s="1"/>
      <c r="D106" s="23"/>
      <c r="E106" s="23"/>
    </row>
    <row r="107" spans="1:5" x14ac:dyDescent="0.25">
      <c r="A107" s="1"/>
      <c r="D107" s="23"/>
      <c r="E107" s="23"/>
    </row>
    <row r="108" spans="1:5" x14ac:dyDescent="0.25">
      <c r="A108" s="1"/>
      <c r="D108" s="23"/>
      <c r="E108" s="23"/>
    </row>
    <row r="109" spans="1:5" x14ac:dyDescent="0.25">
      <c r="A109" s="1"/>
      <c r="D109" s="23"/>
      <c r="E109" s="23"/>
    </row>
    <row r="110" spans="1:5" x14ac:dyDescent="0.25">
      <c r="A110" s="1"/>
      <c r="D110" s="23"/>
      <c r="E110" s="23"/>
    </row>
    <row r="111" spans="1:5" x14ac:dyDescent="0.25">
      <c r="A111" s="1"/>
      <c r="D111" s="23"/>
      <c r="E111" s="23"/>
    </row>
    <row r="112" spans="1:5" x14ac:dyDescent="0.25">
      <c r="A112" s="1"/>
      <c r="D112" s="23"/>
      <c r="E112" s="23"/>
    </row>
    <row r="113" spans="1:5" x14ac:dyDescent="0.25">
      <c r="A113" s="1"/>
      <c r="D113" s="23"/>
      <c r="E113" s="23"/>
    </row>
    <row r="114" spans="1:5" x14ac:dyDescent="0.25">
      <c r="A114" s="1"/>
      <c r="D114" s="23"/>
      <c r="E114" s="23"/>
    </row>
    <row r="115" spans="1:5" x14ac:dyDescent="0.25">
      <c r="A115" s="1"/>
      <c r="D115" s="23"/>
      <c r="E115" s="23"/>
    </row>
    <row r="116" spans="1:5" x14ac:dyDescent="0.25">
      <c r="A116" s="1"/>
      <c r="D116" s="23"/>
      <c r="E116" s="23"/>
    </row>
    <row r="117" spans="1:5" x14ac:dyDescent="0.25">
      <c r="A117" s="1"/>
      <c r="D117" s="23"/>
      <c r="E117" s="23"/>
    </row>
    <row r="118" spans="1:5" x14ac:dyDescent="0.25">
      <c r="A118" s="1"/>
      <c r="D118" s="23"/>
      <c r="E118" s="23"/>
    </row>
    <row r="119" spans="1:5" x14ac:dyDescent="0.25">
      <c r="A119" s="1"/>
      <c r="D119" s="23"/>
      <c r="E119" s="23"/>
    </row>
    <row r="120" spans="1:5" x14ac:dyDescent="0.25">
      <c r="A120" s="1"/>
      <c r="D120" s="23"/>
      <c r="E120" s="23"/>
    </row>
    <row r="121" spans="1:5" x14ac:dyDescent="0.25">
      <c r="A121" s="1"/>
      <c r="D121" s="23"/>
      <c r="E121" s="23"/>
    </row>
    <row r="122" spans="1:5" x14ac:dyDescent="0.25">
      <c r="A122" s="1"/>
      <c r="D122" s="23"/>
      <c r="E122" s="23"/>
    </row>
    <row r="123" spans="1:5" x14ac:dyDescent="0.25">
      <c r="A123" s="1"/>
      <c r="D123" s="23"/>
      <c r="E123" s="23"/>
    </row>
    <row r="124" spans="1:5" x14ac:dyDescent="0.25">
      <c r="A124" s="1"/>
      <c r="D124" s="23"/>
      <c r="E124" s="23"/>
    </row>
    <row r="125" spans="1:5" x14ac:dyDescent="0.25">
      <c r="A125" s="1"/>
      <c r="D125" s="23"/>
      <c r="E125" s="23"/>
    </row>
    <row r="126" spans="1:5" x14ac:dyDescent="0.25">
      <c r="A126" s="1"/>
      <c r="D126" s="23"/>
      <c r="E126" s="23"/>
    </row>
    <row r="127" spans="1:5" x14ac:dyDescent="0.25">
      <c r="A127" s="1"/>
      <c r="D127" s="23"/>
      <c r="E127" s="23"/>
    </row>
    <row r="128" spans="1:5" x14ac:dyDescent="0.25">
      <c r="A128" s="1"/>
      <c r="D128" s="23"/>
      <c r="E128" s="23"/>
    </row>
    <row r="129" spans="1:5" x14ac:dyDescent="0.25">
      <c r="A129" s="1"/>
      <c r="D129" s="23"/>
      <c r="E129" s="23"/>
    </row>
    <row r="130" spans="1:5" x14ac:dyDescent="0.25">
      <c r="A130" s="1"/>
      <c r="D130" s="23"/>
      <c r="E130" s="23"/>
    </row>
    <row r="131" spans="1:5" x14ac:dyDescent="0.25">
      <c r="A131" s="1"/>
      <c r="D131" s="23"/>
      <c r="E131" s="23"/>
    </row>
    <row r="132" spans="1:5" x14ac:dyDescent="0.25">
      <c r="A132" s="1"/>
      <c r="D132" s="23"/>
      <c r="E132" s="23"/>
    </row>
    <row r="133" spans="1:5" x14ac:dyDescent="0.25">
      <c r="A133" s="1"/>
      <c r="D133" s="23"/>
      <c r="E133" s="23"/>
    </row>
    <row r="134" spans="1:5" x14ac:dyDescent="0.25">
      <c r="A134" s="1"/>
      <c r="D134" s="23"/>
      <c r="E134" s="23"/>
    </row>
    <row r="135" spans="1:5" x14ac:dyDescent="0.25">
      <c r="A135" s="1"/>
      <c r="D135" s="23"/>
      <c r="E135" s="23"/>
    </row>
    <row r="136" spans="1:5" x14ac:dyDescent="0.25">
      <c r="A136" s="1"/>
      <c r="D136" s="23"/>
      <c r="E136" s="23"/>
    </row>
    <row r="137" spans="1:5" x14ac:dyDescent="0.25">
      <c r="A137" s="1"/>
      <c r="D137" s="23"/>
      <c r="E137" s="23"/>
    </row>
    <row r="138" spans="1:5" x14ac:dyDescent="0.25">
      <c r="A138" s="1"/>
      <c r="D138" s="23"/>
      <c r="E138" s="23"/>
    </row>
    <row r="139" spans="1:5" x14ac:dyDescent="0.25">
      <c r="A139" s="1"/>
      <c r="D139" s="23"/>
      <c r="E139" s="23"/>
    </row>
    <row r="140" spans="1:5" x14ac:dyDescent="0.25">
      <c r="A140" s="1"/>
      <c r="D140" s="23"/>
      <c r="E140" s="23"/>
    </row>
    <row r="141" spans="1:5" x14ac:dyDescent="0.25">
      <c r="A141" s="1"/>
      <c r="D141" s="23"/>
      <c r="E141" s="23"/>
    </row>
    <row r="142" spans="1:5" x14ac:dyDescent="0.25">
      <c r="A142" s="1"/>
      <c r="D142" s="23"/>
      <c r="E142" s="23"/>
    </row>
    <row r="143" spans="1:5" x14ac:dyDescent="0.25">
      <c r="A143" s="1"/>
      <c r="D143" s="23"/>
      <c r="E143" s="23"/>
    </row>
    <row r="144" spans="1:5" x14ac:dyDescent="0.25">
      <c r="A144" s="1"/>
      <c r="D144" s="23"/>
      <c r="E144" s="23"/>
    </row>
    <row r="145" spans="1:5" x14ac:dyDescent="0.25">
      <c r="A145" s="1"/>
      <c r="D145" s="23"/>
      <c r="E145" s="23"/>
    </row>
    <row r="146" spans="1:5" x14ac:dyDescent="0.25">
      <c r="A146" s="1"/>
      <c r="D146" s="23"/>
      <c r="E146" s="23"/>
    </row>
    <row r="147" spans="1:5" x14ac:dyDescent="0.25">
      <c r="A147" s="1"/>
      <c r="D147" s="23"/>
      <c r="E147" s="23"/>
    </row>
    <row r="148" spans="1:5" x14ac:dyDescent="0.25">
      <c r="A148" s="1"/>
      <c r="D148" s="23"/>
      <c r="E148" s="23"/>
    </row>
    <row r="149" spans="1:5" x14ac:dyDescent="0.25">
      <c r="A149" s="1"/>
      <c r="D149" s="23"/>
      <c r="E149" s="23"/>
    </row>
    <row r="150" spans="1:5" x14ac:dyDescent="0.25">
      <c r="A150" s="1"/>
      <c r="D150" s="23"/>
      <c r="E150" s="23"/>
    </row>
    <row r="151" spans="1:5" x14ac:dyDescent="0.25">
      <c r="A151" s="1"/>
      <c r="D151" s="23"/>
      <c r="E151" s="23"/>
    </row>
    <row r="152" spans="1:5" x14ac:dyDescent="0.25">
      <c r="A152" s="1"/>
      <c r="D152" s="23"/>
      <c r="E152" s="23"/>
    </row>
    <row r="153" spans="1:5" x14ac:dyDescent="0.25">
      <c r="A153" s="1"/>
      <c r="D153" s="23"/>
      <c r="E153" s="23"/>
    </row>
    <row r="154" spans="1:5" x14ac:dyDescent="0.25">
      <c r="A154" s="1"/>
      <c r="D154" s="23"/>
      <c r="E154" s="23"/>
    </row>
    <row r="155" spans="1:5" x14ac:dyDescent="0.25">
      <c r="A155" s="1"/>
      <c r="D155" s="23"/>
      <c r="E155" s="23"/>
    </row>
    <row r="156" spans="1:5" x14ac:dyDescent="0.25">
      <c r="A156" s="1"/>
      <c r="D156" s="23"/>
      <c r="E156" s="23"/>
    </row>
    <row r="157" spans="1:5" x14ac:dyDescent="0.25">
      <c r="A157" s="1"/>
      <c r="D157" s="23"/>
      <c r="E157" s="23"/>
    </row>
    <row r="158" spans="1:5" x14ac:dyDescent="0.25">
      <c r="A158" s="1"/>
      <c r="D158" s="23"/>
      <c r="E158" s="23"/>
    </row>
    <row r="159" spans="1:5" x14ac:dyDescent="0.25">
      <c r="A159" s="1"/>
      <c r="D159" s="23"/>
      <c r="E159" s="23"/>
    </row>
    <row r="160" spans="1:5" x14ac:dyDescent="0.25">
      <c r="A160" s="1"/>
      <c r="D160" s="23"/>
      <c r="E160" s="23"/>
    </row>
    <row r="161" spans="1:5" x14ac:dyDescent="0.25">
      <c r="A161" s="1"/>
      <c r="D161" s="23"/>
      <c r="E161" s="23"/>
    </row>
    <row r="162" spans="1:5" x14ac:dyDescent="0.25">
      <c r="A162" s="1"/>
      <c r="D162" s="23"/>
      <c r="E162" s="23"/>
    </row>
    <row r="163" spans="1:5" x14ac:dyDescent="0.25">
      <c r="A163" s="1"/>
      <c r="D163" s="23"/>
      <c r="E163" s="23"/>
    </row>
    <row r="164" spans="1:5" x14ac:dyDescent="0.25">
      <c r="A164" s="1"/>
      <c r="D164" s="23"/>
      <c r="E164" s="23"/>
    </row>
    <row r="165" spans="1:5" x14ac:dyDescent="0.25">
      <c r="A165" s="1"/>
      <c r="D165" s="23"/>
      <c r="E165" s="23"/>
    </row>
    <row r="166" spans="1:5" x14ac:dyDescent="0.25">
      <c r="A166" s="1"/>
      <c r="D166" s="23"/>
      <c r="E166" s="23"/>
    </row>
    <row r="167" spans="1:5" x14ac:dyDescent="0.25">
      <c r="A167" s="1"/>
      <c r="D167" s="23"/>
      <c r="E167" s="23"/>
    </row>
    <row r="168" spans="1:5" x14ac:dyDescent="0.25">
      <c r="A168" s="1"/>
      <c r="D168" s="23"/>
      <c r="E168" s="23"/>
    </row>
    <row r="169" spans="1:5" x14ac:dyDescent="0.25">
      <c r="A169" s="1"/>
      <c r="D169" s="23"/>
      <c r="E169" s="23"/>
    </row>
    <row r="170" spans="1:5" x14ac:dyDescent="0.25">
      <c r="A170" s="1"/>
      <c r="D170" s="23"/>
      <c r="E170" s="23"/>
    </row>
    <row r="171" spans="1:5" x14ac:dyDescent="0.25">
      <c r="A171" s="1"/>
      <c r="D171" s="23"/>
      <c r="E171" s="23"/>
    </row>
    <row r="172" spans="1:5" x14ac:dyDescent="0.25">
      <c r="A172" s="1"/>
      <c r="D172" s="23"/>
      <c r="E172" s="23"/>
    </row>
  </sheetData>
  <conditionalFormatting sqref="Y1:Y1048576">
    <cfRule type="cellIs" dxfId="1" priority="1" operator="equal">
      <formula>"NO CUMPLE"</formula>
    </cfRule>
    <cfRule type="cellIs" dxfId="0" priority="2" operator="equal">
      <formula>"CUMPLE"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229B-EF12-42A7-9F61-5620681FBA5E}">
  <sheetPr>
    <tabColor theme="5"/>
  </sheetPr>
  <dimension ref="A1:N274"/>
  <sheetViews>
    <sheetView showGridLines="0" tabSelected="1" topLeftCell="E210" zoomScale="90" zoomScaleNormal="90" workbookViewId="0">
      <selection activeCell="N232" sqref="N232"/>
    </sheetView>
  </sheetViews>
  <sheetFormatPr baseColWidth="10" defaultColWidth="11.42578125" defaultRowHeight="15" x14ac:dyDescent="0.25"/>
  <cols>
    <col min="1" max="1" width="25.140625" bestFit="1" customWidth="1"/>
    <col min="2" max="2" width="21.5703125" style="8" bestFit="1" customWidth="1"/>
    <col min="3" max="3" width="27.140625" style="8" bestFit="1" customWidth="1"/>
    <col min="4" max="4" width="7.85546875" style="8" customWidth="1"/>
    <col min="5" max="5" width="12.5703125" bestFit="1" customWidth="1"/>
    <col min="6" max="6" width="14.5703125" style="8" bestFit="1" customWidth="1"/>
    <col min="7" max="7" width="27.140625" bestFit="1" customWidth="1"/>
    <col min="8" max="8" width="19.5703125" bestFit="1" customWidth="1"/>
    <col min="9" max="9" width="32.140625" bestFit="1" customWidth="1"/>
    <col min="10" max="10" width="17.5703125" bestFit="1" customWidth="1"/>
    <col min="11" max="11" width="30" bestFit="1" customWidth="1"/>
    <col min="12" max="12" width="12.5703125" bestFit="1" customWidth="1"/>
    <col min="13" max="13" width="13.28515625" bestFit="1" customWidth="1"/>
    <col min="14" max="14" width="24.5703125" bestFit="1" customWidth="1"/>
    <col min="15" max="15" width="24.28515625" bestFit="1" customWidth="1"/>
    <col min="16" max="16" width="20.28515625" bestFit="1" customWidth="1"/>
    <col min="17" max="17" width="19" bestFit="1" customWidth="1"/>
    <col min="18" max="18" width="28.5703125" bestFit="1" customWidth="1"/>
    <col min="19" max="19" width="14.85546875" bestFit="1" customWidth="1"/>
    <col min="20" max="20" width="49" bestFit="1" customWidth="1"/>
    <col min="21" max="21" width="43.28515625" bestFit="1" customWidth="1"/>
    <col min="22" max="22" width="42" bestFit="1" customWidth="1"/>
    <col min="23" max="23" width="17.42578125" bestFit="1" customWidth="1"/>
    <col min="24" max="24" width="12.5703125" bestFit="1" customWidth="1"/>
    <col min="25" max="25" width="12.42578125" bestFit="1" customWidth="1"/>
    <col min="26" max="26" width="18" bestFit="1" customWidth="1"/>
    <col min="27" max="27" width="22.28515625" bestFit="1" customWidth="1"/>
    <col min="28" max="28" width="16.85546875" bestFit="1" customWidth="1"/>
    <col min="29" max="29" width="16.140625" bestFit="1" customWidth="1"/>
    <col min="30" max="30" width="35.7109375" bestFit="1" customWidth="1"/>
    <col min="31" max="31" width="17.7109375" bestFit="1" customWidth="1"/>
    <col min="32" max="32" width="13.5703125" bestFit="1" customWidth="1"/>
    <col min="33" max="33" width="31.28515625" bestFit="1" customWidth="1"/>
    <col min="34" max="34" width="19.7109375" bestFit="1" customWidth="1"/>
    <col min="35" max="35" width="39" bestFit="1" customWidth="1"/>
    <col min="36" max="36" width="30.28515625" bestFit="1" customWidth="1"/>
    <col min="37" max="37" width="15.140625" bestFit="1" customWidth="1"/>
    <col min="38" max="38" width="19.28515625" bestFit="1" customWidth="1"/>
    <col min="39" max="39" width="17.85546875" bestFit="1" customWidth="1"/>
    <col min="40" max="40" width="68.140625" bestFit="1" customWidth="1"/>
    <col min="41" max="41" width="14.42578125" bestFit="1" customWidth="1"/>
    <col min="42" max="42" width="59.140625" bestFit="1" customWidth="1"/>
    <col min="43" max="43" width="14.42578125" bestFit="1" customWidth="1"/>
    <col min="44" max="44" width="18.42578125" bestFit="1" customWidth="1"/>
    <col min="45" max="45" width="14.42578125" bestFit="1" customWidth="1"/>
    <col min="46" max="46" width="28.85546875" bestFit="1" customWidth="1"/>
    <col min="47" max="47" width="37.140625" bestFit="1" customWidth="1"/>
    <col min="48" max="48" width="11" bestFit="1" customWidth="1"/>
    <col min="49" max="49" width="12.5703125" bestFit="1" customWidth="1"/>
  </cols>
  <sheetData>
    <row r="1" spans="1:14" s="11" customFormat="1" ht="19.5" thickBot="1" x14ac:dyDescent="0.35">
      <c r="A1" s="11" t="s">
        <v>25</v>
      </c>
      <c r="B1" s="12"/>
      <c r="C1" s="12"/>
      <c r="D1" s="12"/>
      <c r="F1" s="12"/>
    </row>
    <row r="3" spans="1:14" x14ac:dyDescent="0.25">
      <c r="A3" s="5" t="s">
        <v>27</v>
      </c>
      <c r="B3" t="s">
        <v>1852</v>
      </c>
      <c r="C3" s="8" t="s">
        <v>28</v>
      </c>
      <c r="D3"/>
      <c r="F3"/>
      <c r="K3" t="s">
        <v>26</v>
      </c>
    </row>
    <row r="4" spans="1:14" x14ac:dyDescent="0.25">
      <c r="A4" s="6" t="s">
        <v>1851</v>
      </c>
      <c r="B4">
        <v>2</v>
      </c>
      <c r="C4">
        <v>127.5</v>
      </c>
      <c r="D4"/>
      <c r="F4"/>
    </row>
    <row r="5" spans="1:14" x14ac:dyDescent="0.25">
      <c r="A5" s="6" t="s">
        <v>29</v>
      </c>
      <c r="B5">
        <v>1</v>
      </c>
      <c r="C5">
        <v>74</v>
      </c>
      <c r="D5"/>
      <c r="F5"/>
    </row>
    <row r="6" spans="1:14" x14ac:dyDescent="0.25">
      <c r="A6" s="6" t="s">
        <v>30</v>
      </c>
      <c r="B6">
        <v>3</v>
      </c>
      <c r="C6">
        <v>70.666666666666671</v>
      </c>
      <c r="D6"/>
      <c r="F6"/>
      <c r="L6" s="7"/>
      <c r="M6" s="7"/>
      <c r="N6" s="7"/>
    </row>
    <row r="7" spans="1:14" x14ac:dyDescent="0.25">
      <c r="A7" s="6" t="s">
        <v>31</v>
      </c>
      <c r="B7">
        <v>3</v>
      </c>
      <c r="C7">
        <v>49.333333333333336</v>
      </c>
      <c r="D7"/>
      <c r="F7"/>
      <c r="L7" s="7"/>
      <c r="M7" s="7"/>
      <c r="N7" s="7"/>
    </row>
    <row r="8" spans="1:14" x14ac:dyDescent="0.25">
      <c r="A8" s="6" t="s">
        <v>32</v>
      </c>
      <c r="B8">
        <v>4</v>
      </c>
      <c r="C8">
        <v>26</v>
      </c>
      <c r="D8"/>
      <c r="F8"/>
      <c r="L8" s="7"/>
      <c r="M8" s="7"/>
      <c r="N8" s="7"/>
    </row>
    <row r="9" spans="1:14" x14ac:dyDescent="0.25">
      <c r="A9" s="6" t="s">
        <v>33</v>
      </c>
      <c r="B9">
        <v>10</v>
      </c>
      <c r="C9">
        <v>22.7</v>
      </c>
      <c r="D9"/>
      <c r="F9"/>
      <c r="L9" s="7"/>
      <c r="M9" s="7"/>
      <c r="N9" s="7"/>
    </row>
    <row r="10" spans="1:14" ht="14.25" customHeight="1" x14ac:dyDescent="0.25">
      <c r="A10" s="6" t="s">
        <v>1850</v>
      </c>
      <c r="B10"/>
      <c r="C10"/>
      <c r="D10"/>
      <c r="F10"/>
      <c r="L10" s="7"/>
      <c r="M10" s="7"/>
      <c r="N10" s="7"/>
    </row>
    <row r="11" spans="1:14" x14ac:dyDescent="0.25">
      <c r="A11" s="6" t="s">
        <v>42</v>
      </c>
      <c r="B11">
        <v>6</v>
      </c>
      <c r="C11">
        <v>19.166666666666668</v>
      </c>
      <c r="D11"/>
      <c r="F11"/>
      <c r="L11" s="7"/>
      <c r="M11" s="7"/>
      <c r="N11" s="7"/>
    </row>
    <row r="12" spans="1:14" x14ac:dyDescent="0.25">
      <c r="A12" s="6" t="s">
        <v>34</v>
      </c>
      <c r="B12">
        <v>29</v>
      </c>
      <c r="C12">
        <v>39.137931034482762</v>
      </c>
      <c r="D12"/>
      <c r="F12"/>
      <c r="L12" s="7"/>
      <c r="M12" s="7"/>
      <c r="N12" s="7"/>
    </row>
    <row r="13" spans="1:14" x14ac:dyDescent="0.25">
      <c r="B13"/>
      <c r="C13"/>
      <c r="D13"/>
      <c r="F13"/>
      <c r="L13" s="7"/>
      <c r="M13" s="7"/>
    </row>
    <row r="14" spans="1:14" x14ac:dyDescent="0.25">
      <c r="B14"/>
      <c r="C14"/>
      <c r="D14"/>
      <c r="F14"/>
      <c r="L14" s="7"/>
      <c r="M14" s="7"/>
    </row>
    <row r="15" spans="1:14" x14ac:dyDescent="0.25">
      <c r="B15"/>
      <c r="C15"/>
      <c r="D15"/>
      <c r="F15"/>
      <c r="L15" s="7"/>
      <c r="M15" s="7"/>
    </row>
    <row r="16" spans="1:14" x14ac:dyDescent="0.25">
      <c r="B16"/>
      <c r="C16"/>
      <c r="D16"/>
      <c r="F16"/>
      <c r="L16" s="7"/>
      <c r="M16" s="7"/>
    </row>
    <row r="17" spans="1:13" x14ac:dyDescent="0.25">
      <c r="B17"/>
      <c r="C17"/>
      <c r="D17"/>
      <c r="F17"/>
      <c r="L17" s="7"/>
      <c r="M17" s="7"/>
    </row>
    <row r="18" spans="1:13" x14ac:dyDescent="0.25">
      <c r="B18"/>
      <c r="C18"/>
      <c r="D18"/>
      <c r="F18"/>
    </row>
    <row r="19" spans="1:13" x14ac:dyDescent="0.25">
      <c r="B19"/>
      <c r="C19"/>
      <c r="D19"/>
      <c r="F19"/>
    </row>
    <row r="20" spans="1:13" x14ac:dyDescent="0.25">
      <c r="A20" s="6"/>
      <c r="B20"/>
      <c r="C20"/>
      <c r="D20"/>
      <c r="F20"/>
      <c r="J20" s="8"/>
      <c r="K20" s="8"/>
    </row>
    <row r="21" spans="1:13" x14ac:dyDescent="0.25">
      <c r="A21" s="6"/>
      <c r="B21"/>
      <c r="C21"/>
      <c r="D21"/>
      <c r="F21"/>
      <c r="J21" s="8"/>
      <c r="K21" s="8"/>
    </row>
    <row r="23" spans="1:13" s="11" customFormat="1" ht="19.5" thickBot="1" x14ac:dyDescent="0.35">
      <c r="A23" s="11" t="s">
        <v>35</v>
      </c>
      <c r="B23" s="12"/>
      <c r="C23" s="12"/>
      <c r="D23" s="12"/>
      <c r="F23" s="12"/>
    </row>
    <row r="25" spans="1:13" x14ac:dyDescent="0.25">
      <c r="A25" s="5" t="s">
        <v>27</v>
      </c>
      <c r="B25" s="8" t="s">
        <v>36</v>
      </c>
      <c r="C25"/>
      <c r="D25"/>
      <c r="F25"/>
    </row>
    <row r="26" spans="1:13" x14ac:dyDescent="0.25">
      <c r="A26" s="6" t="s">
        <v>32</v>
      </c>
      <c r="B26" s="10">
        <v>8</v>
      </c>
      <c r="C26"/>
      <c r="D26"/>
      <c r="F26"/>
    </row>
    <row r="27" spans="1:13" x14ac:dyDescent="0.25">
      <c r="A27" s="6" t="s">
        <v>33</v>
      </c>
      <c r="B27" s="10">
        <v>7</v>
      </c>
      <c r="C27"/>
      <c r="D27"/>
      <c r="F27"/>
    </row>
    <row r="28" spans="1:13" x14ac:dyDescent="0.25">
      <c r="A28" s="6" t="s">
        <v>34</v>
      </c>
      <c r="B28" s="10">
        <v>15</v>
      </c>
      <c r="C28"/>
      <c r="D28"/>
      <c r="F28"/>
    </row>
    <row r="29" spans="1:13" x14ac:dyDescent="0.25">
      <c r="B29"/>
      <c r="C29"/>
      <c r="D29"/>
      <c r="F29"/>
    </row>
    <row r="30" spans="1:13" x14ac:dyDescent="0.25">
      <c r="B30"/>
      <c r="C30"/>
      <c r="D30"/>
      <c r="F30"/>
    </row>
    <row r="31" spans="1:13" x14ac:dyDescent="0.25">
      <c r="B31"/>
      <c r="C31"/>
      <c r="D31"/>
      <c r="F31"/>
    </row>
    <row r="32" spans="1:13" x14ac:dyDescent="0.25">
      <c r="B32"/>
      <c r="C32"/>
      <c r="D32"/>
      <c r="F32"/>
    </row>
    <row r="33" spans="1:6" x14ac:dyDescent="0.25">
      <c r="B33"/>
      <c r="C33"/>
      <c r="D33"/>
      <c r="F33"/>
    </row>
    <row r="34" spans="1:6" x14ac:dyDescent="0.25">
      <c r="B34"/>
      <c r="C34"/>
      <c r="D34"/>
      <c r="F34"/>
    </row>
    <row r="35" spans="1:6" x14ac:dyDescent="0.25">
      <c r="B35"/>
      <c r="C35"/>
      <c r="D35"/>
      <c r="F35"/>
    </row>
    <row r="36" spans="1:6" x14ac:dyDescent="0.25">
      <c r="B36"/>
      <c r="C36"/>
      <c r="D36"/>
      <c r="F36"/>
    </row>
    <row r="37" spans="1:6" x14ac:dyDescent="0.25">
      <c r="B37"/>
      <c r="C37"/>
      <c r="D37"/>
      <c r="F37"/>
    </row>
    <row r="38" spans="1:6" x14ac:dyDescent="0.25">
      <c r="B38"/>
      <c r="C38"/>
      <c r="D38"/>
      <c r="F38"/>
    </row>
    <row r="39" spans="1:6" x14ac:dyDescent="0.25">
      <c r="B39"/>
      <c r="C39"/>
      <c r="D39"/>
      <c r="F39"/>
    </row>
    <row r="40" spans="1:6" x14ac:dyDescent="0.25">
      <c r="B40"/>
      <c r="C40"/>
      <c r="D40"/>
      <c r="F40"/>
    </row>
    <row r="41" spans="1:6" x14ac:dyDescent="0.25">
      <c r="B41"/>
      <c r="C41"/>
      <c r="D41"/>
      <c r="F41"/>
    </row>
    <row r="44" spans="1:6" s="11" customFormat="1" ht="19.5" thickBot="1" x14ac:dyDescent="0.35">
      <c r="A44" s="11" t="s">
        <v>37</v>
      </c>
      <c r="B44" s="12"/>
      <c r="C44" s="12"/>
      <c r="D44" s="12"/>
      <c r="F44" s="12"/>
    </row>
    <row r="46" spans="1:6" x14ac:dyDescent="0.25">
      <c r="B46"/>
      <c r="C46" s="27"/>
    </row>
    <row r="48" spans="1:6" x14ac:dyDescent="0.25">
      <c r="A48" s="5" t="s">
        <v>27</v>
      </c>
      <c r="B48" s="8" t="s">
        <v>36</v>
      </c>
      <c r="C48"/>
      <c r="D48"/>
      <c r="F48"/>
    </row>
    <row r="49" spans="1:6" x14ac:dyDescent="0.25">
      <c r="A49" s="6" t="s">
        <v>31</v>
      </c>
      <c r="B49" s="10">
        <v>3</v>
      </c>
      <c r="C49"/>
      <c r="D49"/>
      <c r="F49"/>
    </row>
    <row r="50" spans="1:6" x14ac:dyDescent="0.25">
      <c r="A50" s="6" t="s">
        <v>33</v>
      </c>
      <c r="B50" s="10">
        <v>10</v>
      </c>
      <c r="C50"/>
      <c r="D50"/>
      <c r="F50"/>
    </row>
    <row r="51" spans="1:6" x14ac:dyDescent="0.25">
      <c r="A51" s="6" t="s">
        <v>30</v>
      </c>
      <c r="B51" s="10">
        <v>3</v>
      </c>
      <c r="C51"/>
      <c r="D51"/>
      <c r="F51"/>
    </row>
    <row r="52" spans="1:6" x14ac:dyDescent="0.25">
      <c r="A52" s="6" t="s">
        <v>29</v>
      </c>
      <c r="B52" s="10">
        <v>1</v>
      </c>
      <c r="C52"/>
      <c r="D52"/>
      <c r="F52"/>
    </row>
    <row r="53" spans="1:6" x14ac:dyDescent="0.25">
      <c r="A53" s="6" t="s">
        <v>1851</v>
      </c>
      <c r="B53" s="10">
        <v>2</v>
      </c>
      <c r="C53"/>
      <c r="D53"/>
      <c r="F53"/>
    </row>
    <row r="54" spans="1:6" x14ac:dyDescent="0.25">
      <c r="A54" s="6" t="s">
        <v>1850</v>
      </c>
      <c r="B54" s="10"/>
      <c r="C54"/>
      <c r="D54"/>
      <c r="F54"/>
    </row>
    <row r="55" spans="1:6" x14ac:dyDescent="0.25">
      <c r="A55" s="6" t="s">
        <v>32</v>
      </c>
      <c r="B55" s="10">
        <v>4</v>
      </c>
      <c r="C55"/>
      <c r="D55"/>
      <c r="F55"/>
    </row>
    <row r="56" spans="1:6" x14ac:dyDescent="0.25">
      <c r="A56" s="6" t="s">
        <v>42</v>
      </c>
      <c r="B56" s="10">
        <v>6</v>
      </c>
      <c r="C56"/>
      <c r="D56"/>
      <c r="F56"/>
    </row>
    <row r="57" spans="1:6" x14ac:dyDescent="0.25">
      <c r="A57" s="6" t="s">
        <v>34</v>
      </c>
      <c r="B57" s="10">
        <v>29</v>
      </c>
      <c r="C57"/>
      <c r="D57"/>
      <c r="F57"/>
    </row>
    <row r="58" spans="1:6" x14ac:dyDescent="0.25">
      <c r="B58"/>
      <c r="C58"/>
      <c r="D58"/>
      <c r="F58"/>
    </row>
    <row r="59" spans="1:6" x14ac:dyDescent="0.25">
      <c r="B59"/>
      <c r="C59"/>
      <c r="D59"/>
      <c r="F59"/>
    </row>
    <row r="60" spans="1:6" x14ac:dyDescent="0.25">
      <c r="B60"/>
      <c r="C60"/>
      <c r="D60"/>
      <c r="F60"/>
    </row>
    <row r="61" spans="1:6" x14ac:dyDescent="0.25">
      <c r="B61"/>
      <c r="C61"/>
      <c r="D61"/>
      <c r="F61"/>
    </row>
    <row r="63" spans="1:6" s="11" customFormat="1" ht="19.5" thickBot="1" x14ac:dyDescent="0.35">
      <c r="A63" s="11" t="s">
        <v>38</v>
      </c>
      <c r="B63" s="12"/>
      <c r="C63" s="12"/>
      <c r="D63" s="12"/>
      <c r="F63" s="12"/>
    </row>
    <row r="67" spans="1:3" x14ac:dyDescent="0.25">
      <c r="A67" s="2" t="s">
        <v>39</v>
      </c>
      <c r="B67" s="9" t="s">
        <v>40</v>
      </c>
      <c r="C67" s="8" t="s">
        <v>41</v>
      </c>
    </row>
    <row r="68" spans="1:3" x14ac:dyDescent="0.25">
      <c r="A68" s="28" t="s">
        <v>32</v>
      </c>
      <c r="B68" s="8">
        <f>COUNTIFS('Jira BUGS'!R:R,Tabla2[[#This Row],[Mes]])</f>
        <v>4</v>
      </c>
      <c r="C68" s="8">
        <f>COUNTIFS('Jira BUGS'!V:V,Tabla2[[#This Row],[Mes]])</f>
        <v>8</v>
      </c>
    </row>
    <row r="69" spans="1:3" x14ac:dyDescent="0.25">
      <c r="A69" s="28" t="s">
        <v>33</v>
      </c>
      <c r="B69" s="8">
        <f>COUNTIFS('Jira BUGS'!R:R,Tabla2[[#This Row],[Mes]])</f>
        <v>10</v>
      </c>
      <c r="C69" s="8">
        <f>COUNTIFS('Jira BUGS'!V:V,Tabla2[[#This Row],[Mes]])</f>
        <v>7</v>
      </c>
    </row>
    <row r="70" spans="1:3" x14ac:dyDescent="0.25">
      <c r="A70" s="28" t="s">
        <v>42</v>
      </c>
      <c r="B70" s="8">
        <f>COUNTIFS('Jira BUGS'!R:R,Tabla2[[#This Row],[Mes]])</f>
        <v>10</v>
      </c>
      <c r="C70" s="8">
        <f>COUNTIFS('Jira BUGS'!V:V,Tabla2[[#This Row],[Mes]])</f>
        <v>10</v>
      </c>
    </row>
    <row r="71" spans="1:3" x14ac:dyDescent="0.25">
      <c r="A71" s="28" t="s">
        <v>43</v>
      </c>
      <c r="B71" s="8">
        <f>COUNTIFS('Jira BUGS'!R:R,Tabla2[[#This Row],[Mes]])</f>
        <v>7</v>
      </c>
      <c r="C71" s="8">
        <f>COUNTIFS('Jira BUGS'!V:V,Tabla2[[#This Row],[Mes]])</f>
        <v>5</v>
      </c>
    </row>
    <row r="72" spans="1:3" x14ac:dyDescent="0.25">
      <c r="A72" s="28" t="s">
        <v>44</v>
      </c>
      <c r="B72" s="8">
        <f>COUNTIFS('Jira BUGS'!R:R,Tabla2[[#This Row],[Mes]])</f>
        <v>3</v>
      </c>
      <c r="C72" s="8">
        <f>COUNTIFS('Jira BUGS'!V:V,Tabla2[[#This Row],[Mes]])</f>
        <v>7</v>
      </c>
    </row>
    <row r="73" spans="1:3" x14ac:dyDescent="0.25">
      <c r="A73" s="28" t="s">
        <v>45</v>
      </c>
      <c r="B73" s="8">
        <f>COUNTIFS('Jira BUGS'!R:R,Tabla2[[#This Row],[Mes]])</f>
        <v>3</v>
      </c>
      <c r="C73" s="8">
        <f>COUNTIFS('Jira BUGS'!V:V,Tabla2[[#This Row],[Mes]])</f>
        <v>6</v>
      </c>
    </row>
    <row r="74" spans="1:3" x14ac:dyDescent="0.25">
      <c r="A74" s="28" t="s">
        <v>46</v>
      </c>
      <c r="B74" s="8">
        <f>COUNTIFS('Jira BUGS'!R:R,Tabla2[[#This Row],[Mes]])</f>
        <v>6</v>
      </c>
      <c r="C74" s="8">
        <f>COUNTIFS('Jira BUGS'!V:V,Tabla2[[#This Row],[Mes]])</f>
        <v>6</v>
      </c>
    </row>
    <row r="75" spans="1:3" x14ac:dyDescent="0.25">
      <c r="A75" s="28" t="s">
        <v>47</v>
      </c>
      <c r="B75" s="8">
        <f>COUNTIFS('Jira BUGS'!R:R,Tabla2[[#This Row],[Mes]])</f>
        <v>4</v>
      </c>
      <c r="C75" s="8">
        <f>COUNTIFS('Jira BUGS'!V:V,Tabla2[[#This Row],[Mes]])</f>
        <v>3</v>
      </c>
    </row>
    <row r="76" spans="1:3" x14ac:dyDescent="0.25">
      <c r="A76" s="28" t="s">
        <v>48</v>
      </c>
      <c r="B76" s="8">
        <f>COUNTIFS('Jira BUGS'!R:R,Tabla2[[#This Row],[Mes]])</f>
        <v>3</v>
      </c>
      <c r="C76" s="8">
        <f>COUNTIFS('Jira BUGS'!V:V,Tabla2[[#This Row],[Mes]])</f>
        <v>5</v>
      </c>
    </row>
    <row r="77" spans="1:3" x14ac:dyDescent="0.25">
      <c r="A77" s="28" t="s">
        <v>49</v>
      </c>
      <c r="B77" s="8">
        <f>COUNTIFS('Jira BUGS'!R:R,Tabla2[[#This Row],[Mes]])</f>
        <v>2</v>
      </c>
      <c r="C77" s="8">
        <f>COUNTIFS('Jira BUGS'!V:V,Tabla2[[#This Row],[Mes]])</f>
        <v>4</v>
      </c>
    </row>
    <row r="78" spans="1:3" x14ac:dyDescent="0.25">
      <c r="A78" s="28" t="s">
        <v>50</v>
      </c>
      <c r="B78" s="8">
        <f>COUNTIFS('Jira BUGS'!R:R,Tabla2[[#This Row],[Mes]])</f>
        <v>0</v>
      </c>
      <c r="C78" s="8">
        <f>COUNTIFS('Jira BUGS'!V:V,Tabla2[[#This Row],[Mes]])</f>
        <v>0</v>
      </c>
    </row>
    <row r="79" spans="1:3" x14ac:dyDescent="0.25">
      <c r="A79" s="28" t="s">
        <v>51</v>
      </c>
      <c r="B79" s="8">
        <f>COUNTIFS('Jira BUGS'!R:R,Tabla2[[#This Row],[Mes]])</f>
        <v>0</v>
      </c>
      <c r="C79" s="8">
        <f>COUNTIFS('Jira BUGS'!V:V,Tabla2[[#This Row],[Mes]])</f>
        <v>0</v>
      </c>
    </row>
    <row r="80" spans="1:3" x14ac:dyDescent="0.25">
      <c r="B80" s="8">
        <f>SUBTOTAL(109,Tabla2[Bugs Abiertos])</f>
        <v>52</v>
      </c>
      <c r="C80" s="8">
        <f>SUBTOTAL(109,Tabla2[Bugs Cerrados])</f>
        <v>61</v>
      </c>
    </row>
    <row r="82" spans="1:6" x14ac:dyDescent="0.25">
      <c r="B82"/>
      <c r="C82"/>
      <c r="D82"/>
    </row>
    <row r="83" spans="1:6" x14ac:dyDescent="0.25">
      <c r="B83"/>
      <c r="C83"/>
      <c r="D83"/>
    </row>
    <row r="84" spans="1:6" x14ac:dyDescent="0.25">
      <c r="B84"/>
      <c r="C84"/>
      <c r="D84"/>
    </row>
    <row r="89" spans="1:6" s="11" customFormat="1" ht="19.5" thickBot="1" x14ac:dyDescent="0.35">
      <c r="A89" s="11" t="s">
        <v>52</v>
      </c>
      <c r="B89" s="12"/>
      <c r="C89" s="12"/>
      <c r="D89" s="12"/>
      <c r="F89" s="12"/>
    </row>
    <row r="91" spans="1:6" x14ac:dyDescent="0.25">
      <c r="B91"/>
      <c r="D91" s="27"/>
    </row>
    <row r="93" spans="1:6" x14ac:dyDescent="0.25">
      <c r="A93" s="5" t="s">
        <v>2</v>
      </c>
      <c r="B93"/>
      <c r="C93"/>
      <c r="D93"/>
    </row>
    <row r="94" spans="1:6" x14ac:dyDescent="0.25">
      <c r="A94" t="s">
        <v>1850</v>
      </c>
      <c r="B94"/>
      <c r="C94"/>
      <c r="D94"/>
    </row>
    <row r="95" spans="1:6" x14ac:dyDescent="0.25">
      <c r="A95" t="s">
        <v>1814</v>
      </c>
      <c r="B95"/>
      <c r="C95"/>
      <c r="D95"/>
    </row>
    <row r="96" spans="1:6" x14ac:dyDescent="0.25">
      <c r="A96" t="s">
        <v>1820</v>
      </c>
      <c r="B96"/>
      <c r="C96"/>
      <c r="D96"/>
    </row>
    <row r="97" spans="1:4" x14ac:dyDescent="0.25">
      <c r="A97" t="s">
        <v>1825</v>
      </c>
      <c r="B97"/>
      <c r="C97"/>
      <c r="D97"/>
    </row>
    <row r="98" spans="1:4" x14ac:dyDescent="0.25">
      <c r="A98" t="s">
        <v>1828</v>
      </c>
      <c r="B98"/>
      <c r="C98"/>
      <c r="D98"/>
    </row>
    <row r="99" spans="1:4" x14ac:dyDescent="0.25">
      <c r="A99" t="s">
        <v>1831</v>
      </c>
      <c r="B99"/>
      <c r="C99"/>
      <c r="D99"/>
    </row>
    <row r="100" spans="1:4" x14ac:dyDescent="0.25">
      <c r="A100" t="s">
        <v>1834</v>
      </c>
      <c r="B100"/>
      <c r="C100"/>
      <c r="D100"/>
    </row>
    <row r="101" spans="1:4" x14ac:dyDescent="0.25">
      <c r="A101" t="s">
        <v>1837</v>
      </c>
      <c r="B101"/>
      <c r="C101"/>
      <c r="D101"/>
    </row>
    <row r="102" spans="1:4" x14ac:dyDescent="0.25">
      <c r="A102" t="s">
        <v>1840</v>
      </c>
      <c r="B102"/>
      <c r="C102"/>
      <c r="D102"/>
    </row>
    <row r="103" spans="1:4" x14ac:dyDescent="0.25">
      <c r="A103" t="s">
        <v>1843</v>
      </c>
      <c r="B103"/>
      <c r="C103"/>
      <c r="D103"/>
    </row>
    <row r="104" spans="1:4" x14ac:dyDescent="0.25">
      <c r="A104" t="s">
        <v>1846</v>
      </c>
      <c r="B104"/>
      <c r="C104"/>
      <c r="D104"/>
    </row>
    <row r="105" spans="1:4" x14ac:dyDescent="0.25">
      <c r="A105" t="s">
        <v>1854</v>
      </c>
      <c r="B105"/>
      <c r="C105"/>
      <c r="D105"/>
    </row>
    <row r="106" spans="1:4" x14ac:dyDescent="0.25">
      <c r="A106" t="s">
        <v>1858</v>
      </c>
      <c r="B106"/>
      <c r="C106"/>
      <c r="D106"/>
    </row>
    <row r="107" spans="1:4" x14ac:dyDescent="0.25">
      <c r="A107" t="s">
        <v>1862</v>
      </c>
      <c r="B107"/>
      <c r="C107"/>
      <c r="D107"/>
    </row>
    <row r="108" spans="1:4" x14ac:dyDescent="0.25">
      <c r="A108" t="s">
        <v>1865</v>
      </c>
      <c r="B108"/>
      <c r="C108"/>
      <c r="D108"/>
    </row>
    <row r="109" spans="1:4" x14ac:dyDescent="0.25">
      <c r="A109" t="s">
        <v>1868</v>
      </c>
      <c r="B109"/>
      <c r="C109"/>
      <c r="D109"/>
    </row>
    <row r="110" spans="1:4" x14ac:dyDescent="0.25">
      <c r="A110" t="s">
        <v>1871</v>
      </c>
      <c r="B110"/>
      <c r="C110"/>
      <c r="D110"/>
    </row>
    <row r="111" spans="1:4" x14ac:dyDescent="0.25">
      <c r="A111" t="s">
        <v>1873</v>
      </c>
      <c r="B111"/>
      <c r="C111"/>
      <c r="D111"/>
    </row>
    <row r="112" spans="1:4" x14ac:dyDescent="0.25">
      <c r="A112" t="s">
        <v>1876</v>
      </c>
      <c r="B112"/>
      <c r="C112"/>
      <c r="D112"/>
    </row>
    <row r="113" spans="1:6" x14ac:dyDescent="0.25">
      <c r="A113" t="s">
        <v>1880</v>
      </c>
      <c r="B113"/>
      <c r="C113"/>
      <c r="D113"/>
    </row>
    <row r="114" spans="1:6" x14ac:dyDescent="0.25">
      <c r="A114" t="s">
        <v>1883</v>
      </c>
      <c r="B114"/>
      <c r="C114"/>
      <c r="D114"/>
    </row>
    <row r="115" spans="1:6" x14ac:dyDescent="0.25">
      <c r="A115" t="s">
        <v>1886</v>
      </c>
      <c r="B115"/>
      <c r="C115"/>
      <c r="D115"/>
    </row>
    <row r="116" spans="1:6" x14ac:dyDescent="0.25">
      <c r="A116" t="s">
        <v>1889</v>
      </c>
      <c r="B116"/>
      <c r="C116"/>
      <c r="D116"/>
    </row>
    <row r="117" spans="1:6" x14ac:dyDescent="0.25">
      <c r="A117" t="s">
        <v>1892</v>
      </c>
      <c r="B117"/>
      <c r="C117"/>
      <c r="D117"/>
    </row>
    <row r="118" spans="1:6" x14ac:dyDescent="0.25">
      <c r="A118" t="s">
        <v>1896</v>
      </c>
      <c r="B118"/>
      <c r="C118"/>
      <c r="D118"/>
    </row>
    <row r="119" spans="1:6" x14ac:dyDescent="0.25">
      <c r="A119" t="s">
        <v>1894</v>
      </c>
      <c r="B119"/>
      <c r="C119"/>
      <c r="D119"/>
    </row>
    <row r="120" spans="1:6" x14ac:dyDescent="0.25">
      <c r="A120" t="s">
        <v>1898</v>
      </c>
      <c r="B120"/>
      <c r="C120"/>
      <c r="D120"/>
    </row>
    <row r="121" spans="1:6" x14ac:dyDescent="0.25">
      <c r="A121" t="s">
        <v>1901</v>
      </c>
      <c r="B121"/>
      <c r="C121"/>
      <c r="D121"/>
    </row>
    <row r="122" spans="1:6" x14ac:dyDescent="0.25">
      <c r="A122" t="s">
        <v>1904</v>
      </c>
      <c r="B122"/>
      <c r="C122"/>
      <c r="D122"/>
    </row>
    <row r="123" spans="1:6" x14ac:dyDescent="0.25">
      <c r="A123" t="s">
        <v>1906</v>
      </c>
      <c r="B123"/>
      <c r="C123"/>
      <c r="D123"/>
    </row>
    <row r="124" spans="1:6" x14ac:dyDescent="0.25">
      <c r="A124" t="s">
        <v>34</v>
      </c>
      <c r="B124"/>
      <c r="C124"/>
      <c r="D124"/>
      <c r="F124"/>
    </row>
    <row r="126" spans="1:6" s="11" customFormat="1" ht="19.5" thickBot="1" x14ac:dyDescent="0.35">
      <c r="A126" s="11" t="s">
        <v>54</v>
      </c>
      <c r="B126" s="12"/>
      <c r="C126" s="12"/>
      <c r="D126" s="12"/>
      <c r="F126" s="12"/>
    </row>
    <row r="128" spans="1:6" x14ac:dyDescent="0.25">
      <c r="B128"/>
    </row>
    <row r="130" spans="1:6" x14ac:dyDescent="0.25">
      <c r="A130" s="5" t="s">
        <v>27</v>
      </c>
      <c r="B130" t="s">
        <v>55</v>
      </c>
      <c r="C130"/>
      <c r="D130"/>
      <c r="F130"/>
    </row>
    <row r="131" spans="1:6" x14ac:dyDescent="0.25">
      <c r="A131" s="6" t="s">
        <v>33</v>
      </c>
      <c r="B131">
        <v>10</v>
      </c>
      <c r="C131"/>
      <c r="D131"/>
      <c r="F131"/>
    </row>
    <row r="132" spans="1:6" x14ac:dyDescent="0.25">
      <c r="A132" s="6" t="s">
        <v>1851</v>
      </c>
      <c r="B132">
        <v>2</v>
      </c>
      <c r="C132"/>
      <c r="D132"/>
      <c r="F132"/>
    </row>
    <row r="133" spans="1:6" x14ac:dyDescent="0.25">
      <c r="A133" s="6" t="s">
        <v>29</v>
      </c>
      <c r="B133">
        <v>1</v>
      </c>
      <c r="C133"/>
      <c r="D133"/>
      <c r="F133"/>
    </row>
    <row r="134" spans="1:6" x14ac:dyDescent="0.25">
      <c r="A134" s="6" t="s">
        <v>30</v>
      </c>
      <c r="B134">
        <v>3</v>
      </c>
      <c r="C134"/>
      <c r="D134"/>
      <c r="F134"/>
    </row>
    <row r="135" spans="1:6" x14ac:dyDescent="0.25">
      <c r="A135" s="6" t="s">
        <v>1850</v>
      </c>
      <c r="B135"/>
      <c r="C135"/>
      <c r="D135"/>
      <c r="F135"/>
    </row>
    <row r="136" spans="1:6" x14ac:dyDescent="0.25">
      <c r="A136" s="6" t="s">
        <v>31</v>
      </c>
      <c r="B136">
        <v>3</v>
      </c>
      <c r="C136"/>
      <c r="D136"/>
      <c r="F136"/>
    </row>
    <row r="137" spans="1:6" x14ac:dyDescent="0.25">
      <c r="A137" s="6" t="s">
        <v>32</v>
      </c>
      <c r="B137">
        <v>4</v>
      </c>
      <c r="C137"/>
      <c r="D137"/>
      <c r="F137"/>
    </row>
    <row r="138" spans="1:6" x14ac:dyDescent="0.25">
      <c r="A138" s="6" t="s">
        <v>42</v>
      </c>
      <c r="B138">
        <v>6</v>
      </c>
      <c r="C138"/>
      <c r="D138"/>
      <c r="F138"/>
    </row>
    <row r="139" spans="1:6" x14ac:dyDescent="0.25">
      <c r="A139" s="6" t="s">
        <v>34</v>
      </c>
      <c r="B139">
        <v>29</v>
      </c>
      <c r="C139"/>
      <c r="D139"/>
      <c r="F139"/>
    </row>
    <row r="140" spans="1:6" x14ac:dyDescent="0.25">
      <c r="B140"/>
      <c r="C140"/>
      <c r="D140"/>
      <c r="F140"/>
    </row>
    <row r="141" spans="1:6" x14ac:dyDescent="0.25">
      <c r="B141"/>
      <c r="C141"/>
      <c r="D141"/>
    </row>
    <row r="142" spans="1:6" x14ac:dyDescent="0.25">
      <c r="B142"/>
      <c r="C142"/>
      <c r="F142"/>
    </row>
    <row r="143" spans="1:6" s="11" customFormat="1" ht="19.5" thickBot="1" x14ac:dyDescent="0.35">
      <c r="A143" s="11" t="s">
        <v>56</v>
      </c>
      <c r="B143" s="12"/>
      <c r="C143" s="12"/>
      <c r="D143" s="12"/>
      <c r="F143" s="12"/>
    </row>
    <row r="144" spans="1:6" x14ac:dyDescent="0.25">
      <c r="B144"/>
      <c r="C144"/>
      <c r="F144"/>
    </row>
    <row r="145" spans="1:6" x14ac:dyDescent="0.25">
      <c r="B145"/>
      <c r="C145"/>
      <c r="F145"/>
    </row>
    <row r="146" spans="1:6" x14ac:dyDescent="0.25">
      <c r="A146" s="5" t="s">
        <v>27</v>
      </c>
      <c r="B146" t="s">
        <v>55</v>
      </c>
      <c r="C146"/>
      <c r="D146"/>
      <c r="F146"/>
    </row>
    <row r="147" spans="1:6" x14ac:dyDescent="0.25">
      <c r="A147" s="6" t="s">
        <v>1851</v>
      </c>
      <c r="B147">
        <v>2</v>
      </c>
      <c r="C147"/>
      <c r="D147"/>
      <c r="F147"/>
    </row>
    <row r="148" spans="1:6" x14ac:dyDescent="0.25">
      <c r="A148" s="6" t="s">
        <v>29</v>
      </c>
      <c r="B148">
        <v>1</v>
      </c>
      <c r="C148"/>
      <c r="D148"/>
      <c r="F148"/>
    </row>
    <row r="149" spans="1:6" x14ac:dyDescent="0.25">
      <c r="A149" s="6" t="s">
        <v>30</v>
      </c>
      <c r="B149">
        <v>3</v>
      </c>
      <c r="C149"/>
      <c r="D149"/>
      <c r="F149"/>
    </row>
    <row r="150" spans="1:6" x14ac:dyDescent="0.25">
      <c r="A150" s="6" t="s">
        <v>31</v>
      </c>
      <c r="B150">
        <v>3</v>
      </c>
      <c r="C150"/>
      <c r="D150"/>
      <c r="F150"/>
    </row>
    <row r="151" spans="1:6" x14ac:dyDescent="0.25">
      <c r="A151" s="6" t="s">
        <v>1850</v>
      </c>
      <c r="B151"/>
      <c r="C151"/>
      <c r="D151"/>
      <c r="F151"/>
    </row>
    <row r="152" spans="1:6" x14ac:dyDescent="0.25">
      <c r="A152" s="6" t="s">
        <v>32</v>
      </c>
      <c r="B152">
        <v>4</v>
      </c>
      <c r="C152"/>
      <c r="D152"/>
      <c r="F152"/>
    </row>
    <row r="153" spans="1:6" x14ac:dyDescent="0.25">
      <c r="A153" s="6" t="s">
        <v>33</v>
      </c>
      <c r="B153">
        <v>10</v>
      </c>
      <c r="C153"/>
      <c r="D153"/>
      <c r="F153"/>
    </row>
    <row r="154" spans="1:6" x14ac:dyDescent="0.25">
      <c r="A154" s="6" t="s">
        <v>42</v>
      </c>
      <c r="B154">
        <v>6</v>
      </c>
      <c r="C154"/>
      <c r="D154"/>
      <c r="F154"/>
    </row>
    <row r="155" spans="1:6" x14ac:dyDescent="0.25">
      <c r="A155" s="6" t="s">
        <v>34</v>
      </c>
      <c r="B155">
        <v>29</v>
      </c>
      <c r="C155"/>
      <c r="D155"/>
      <c r="F155"/>
    </row>
    <row r="156" spans="1:6" x14ac:dyDescent="0.25">
      <c r="B156"/>
      <c r="C156"/>
      <c r="D156"/>
      <c r="F156"/>
    </row>
    <row r="157" spans="1:6" x14ac:dyDescent="0.25">
      <c r="B157"/>
      <c r="C157"/>
      <c r="D157"/>
      <c r="F157"/>
    </row>
    <row r="158" spans="1:6" x14ac:dyDescent="0.25">
      <c r="B158"/>
      <c r="C158"/>
      <c r="D158"/>
      <c r="F158"/>
    </row>
    <row r="159" spans="1:6" x14ac:dyDescent="0.25">
      <c r="B159"/>
      <c r="C159"/>
      <c r="D159"/>
      <c r="F159"/>
    </row>
    <row r="160" spans="1:6" x14ac:dyDescent="0.25">
      <c r="B160"/>
      <c r="C160"/>
      <c r="D160"/>
      <c r="F160"/>
    </row>
    <row r="161" spans="1:6" x14ac:dyDescent="0.25">
      <c r="B161"/>
      <c r="C161"/>
      <c r="D161"/>
      <c r="F161"/>
    </row>
    <row r="162" spans="1:6" x14ac:dyDescent="0.25">
      <c r="B162"/>
      <c r="C162"/>
      <c r="D162"/>
      <c r="F162"/>
    </row>
    <row r="163" spans="1:6" s="11" customFormat="1" ht="19.5" thickBot="1" x14ac:dyDescent="0.35">
      <c r="A163" s="11" t="s">
        <v>57</v>
      </c>
      <c r="B163" s="12"/>
      <c r="C163" s="12"/>
      <c r="D163" s="12"/>
      <c r="F163" s="12"/>
    </row>
    <row r="164" spans="1:6" x14ac:dyDescent="0.25">
      <c r="B164"/>
      <c r="C164"/>
      <c r="D164"/>
      <c r="F164"/>
    </row>
    <row r="165" spans="1:6" x14ac:dyDescent="0.25">
      <c r="A165" s="5" t="s">
        <v>8</v>
      </c>
      <c r="B165" t="s">
        <v>58</v>
      </c>
      <c r="D165" s="27"/>
      <c r="F165"/>
    </row>
    <row r="166" spans="1:6" x14ac:dyDescent="0.25">
      <c r="F166"/>
    </row>
    <row r="167" spans="1:6" x14ac:dyDescent="0.25">
      <c r="B167"/>
      <c r="C167"/>
      <c r="D167"/>
      <c r="F167"/>
    </row>
    <row r="168" spans="1:6" x14ac:dyDescent="0.25">
      <c r="B168"/>
      <c r="C168"/>
      <c r="D168"/>
      <c r="F168"/>
    </row>
    <row r="169" spans="1:6" x14ac:dyDescent="0.25">
      <c r="B169"/>
      <c r="C169"/>
      <c r="D169"/>
      <c r="F169"/>
    </row>
    <row r="170" spans="1:6" x14ac:dyDescent="0.25">
      <c r="B170"/>
      <c r="C170"/>
      <c r="D170"/>
      <c r="F170"/>
    </row>
    <row r="171" spans="1:6" x14ac:dyDescent="0.25">
      <c r="B171"/>
      <c r="C171"/>
      <c r="D171"/>
      <c r="F171"/>
    </row>
    <row r="172" spans="1:6" x14ac:dyDescent="0.25">
      <c r="B172"/>
      <c r="C172"/>
      <c r="D172"/>
      <c r="F172"/>
    </row>
    <row r="173" spans="1:6" x14ac:dyDescent="0.25">
      <c r="B173"/>
      <c r="C173"/>
      <c r="D173"/>
      <c r="F173"/>
    </row>
    <row r="174" spans="1:6" x14ac:dyDescent="0.25">
      <c r="B174"/>
      <c r="C174"/>
      <c r="D174"/>
      <c r="F174"/>
    </row>
    <row r="175" spans="1:6" x14ac:dyDescent="0.25">
      <c r="B175"/>
      <c r="C175"/>
      <c r="D175"/>
      <c r="F175"/>
    </row>
    <row r="176" spans="1:6" x14ac:dyDescent="0.25">
      <c r="B176"/>
      <c r="C176"/>
      <c r="D176"/>
      <c r="F176"/>
    </row>
    <row r="177" spans="1:6" x14ac:dyDescent="0.25">
      <c r="B177"/>
      <c r="C177"/>
      <c r="D177"/>
      <c r="F177"/>
    </row>
    <row r="178" spans="1:6" x14ac:dyDescent="0.25">
      <c r="B178"/>
      <c r="C178"/>
      <c r="D178"/>
      <c r="F178"/>
    </row>
    <row r="179" spans="1:6" x14ac:dyDescent="0.25">
      <c r="B179"/>
      <c r="C179"/>
      <c r="D179"/>
      <c r="F179"/>
    </row>
    <row r="180" spans="1:6" x14ac:dyDescent="0.25">
      <c r="B180"/>
      <c r="C180"/>
      <c r="D180"/>
      <c r="F180"/>
    </row>
    <row r="181" spans="1:6" x14ac:dyDescent="0.25">
      <c r="B181"/>
      <c r="C181"/>
      <c r="D181"/>
      <c r="F181"/>
    </row>
    <row r="182" spans="1:6" x14ac:dyDescent="0.25">
      <c r="B182"/>
      <c r="C182"/>
      <c r="D182"/>
      <c r="F182"/>
    </row>
    <row r="183" spans="1:6" x14ac:dyDescent="0.25">
      <c r="B183"/>
      <c r="C183"/>
      <c r="D183"/>
      <c r="F183"/>
    </row>
    <row r="184" spans="1:6" x14ac:dyDescent="0.25">
      <c r="B184"/>
      <c r="C184"/>
      <c r="D184"/>
      <c r="F184"/>
    </row>
    <row r="185" spans="1:6" x14ac:dyDescent="0.25">
      <c r="B185"/>
      <c r="C185"/>
      <c r="D185"/>
      <c r="F185"/>
    </row>
    <row r="186" spans="1:6" x14ac:dyDescent="0.25">
      <c r="B186"/>
      <c r="C186"/>
      <c r="D186"/>
      <c r="F186"/>
    </row>
    <row r="187" spans="1:6" x14ac:dyDescent="0.25">
      <c r="B187"/>
      <c r="C187"/>
      <c r="D187"/>
      <c r="F187"/>
    </row>
    <row r="188" spans="1:6" x14ac:dyDescent="0.25">
      <c r="B188"/>
      <c r="C188"/>
      <c r="D188"/>
      <c r="F188"/>
    </row>
    <row r="189" spans="1:6" s="11" customFormat="1" ht="19.5" thickBot="1" x14ac:dyDescent="0.35">
      <c r="A189" s="31" t="s">
        <v>59</v>
      </c>
      <c r="B189" s="32"/>
      <c r="C189" s="32"/>
      <c r="D189" s="32"/>
      <c r="E189" s="31"/>
      <c r="F189" s="12"/>
    </row>
    <row r="190" spans="1:6" x14ac:dyDescent="0.25">
      <c r="B190"/>
      <c r="C190"/>
      <c r="D190"/>
      <c r="F190"/>
    </row>
    <row r="191" spans="1:6" x14ac:dyDescent="0.25">
      <c r="B191"/>
      <c r="C191"/>
      <c r="D191"/>
      <c r="F191"/>
    </row>
    <row r="192" spans="1:6" x14ac:dyDescent="0.25">
      <c r="B192"/>
      <c r="C192"/>
      <c r="D192"/>
      <c r="F192"/>
    </row>
    <row r="193" spans="1:8" x14ac:dyDescent="0.25">
      <c r="A193" t="s">
        <v>60</v>
      </c>
      <c r="B193"/>
      <c r="C193"/>
      <c r="D193"/>
      <c r="F193"/>
    </row>
    <row r="194" spans="1:8" x14ac:dyDescent="0.25">
      <c r="A194" s="29">
        <v>34.862068965517238</v>
      </c>
      <c r="B194"/>
      <c r="C194"/>
      <c r="D194"/>
      <c r="F194"/>
    </row>
    <row r="195" spans="1:8" x14ac:dyDescent="0.25">
      <c r="B195"/>
      <c r="C195"/>
      <c r="D195"/>
      <c r="F195"/>
    </row>
    <row r="196" spans="1:8" x14ac:dyDescent="0.25">
      <c r="B196"/>
      <c r="C196"/>
      <c r="D196"/>
      <c r="F196"/>
    </row>
    <row r="197" spans="1:8" s="11" customFormat="1" ht="19.5" thickBot="1" x14ac:dyDescent="0.35">
      <c r="A197" s="31" t="s">
        <v>61</v>
      </c>
      <c r="B197" s="32"/>
      <c r="C197" s="32"/>
      <c r="D197" s="32"/>
      <c r="E197" s="31"/>
      <c r="F197" s="12"/>
    </row>
    <row r="198" spans="1:8" x14ac:dyDescent="0.25">
      <c r="B198"/>
      <c r="C198"/>
      <c r="D198"/>
      <c r="F198"/>
    </row>
    <row r="199" spans="1:8" x14ac:dyDescent="0.25">
      <c r="B199"/>
      <c r="C199"/>
      <c r="D199"/>
      <c r="F199"/>
    </row>
    <row r="200" spans="1:8" x14ac:dyDescent="0.25">
      <c r="B200"/>
      <c r="C200"/>
      <c r="D200"/>
      <c r="F200"/>
    </row>
    <row r="201" spans="1:8" x14ac:dyDescent="0.25">
      <c r="A201" s="5" t="s">
        <v>27</v>
      </c>
      <c r="B201" t="s">
        <v>62</v>
      </c>
      <c r="C201"/>
      <c r="D201"/>
      <c r="F201" s="33"/>
      <c r="G201" s="51">
        <v>2025</v>
      </c>
      <c r="H201" s="51"/>
    </row>
    <row r="202" spans="1:8" x14ac:dyDescent="0.25">
      <c r="A202" s="6">
        <v>21</v>
      </c>
      <c r="B202">
        <v>58</v>
      </c>
      <c r="C202"/>
      <c r="D202"/>
      <c r="F202" s="33" t="s">
        <v>63</v>
      </c>
      <c r="G202" s="36" t="s">
        <v>64</v>
      </c>
      <c r="H202" s="36" t="s">
        <v>65</v>
      </c>
    </row>
    <row r="203" spans="1:8" x14ac:dyDescent="0.25">
      <c r="A203" s="6" t="s">
        <v>1850</v>
      </c>
      <c r="B203"/>
      <c r="C203"/>
      <c r="D203"/>
      <c r="F203" s="34" t="s">
        <v>19</v>
      </c>
      <c r="G203" s="40" t="e">
        <f>COUNTIFS('Jira BUGS'!J:J,F203,'Jira BUGS'!Y:Y,G202,'Jira BUGS'!K:K,"CERRADO",'Jira BUGS'!U:U,G201)/GETPIVOTDATA("Cumple SLA",$A$201,"Priority","Highest")</f>
        <v>#REF!</v>
      </c>
      <c r="H203" s="41" t="e">
        <f>COUNTIFS('Jira BUGS'!J:J,F203,'Jira BUGS'!Y:Y,H202,'Jira BUGS'!K:K,"CERRADO",'Jira BUGS'!U:U,G201)/GETPIVOTDATA("Cumple SLA",$A$201,"Priority","Highest")</f>
        <v>#REF!</v>
      </c>
    </row>
    <row r="204" spans="1:8" x14ac:dyDescent="0.25">
      <c r="A204" s="6" t="s">
        <v>34</v>
      </c>
      <c r="B204">
        <v>58</v>
      </c>
      <c r="C204"/>
      <c r="D204"/>
      <c r="F204" s="34" t="s">
        <v>66</v>
      </c>
      <c r="G204" s="40" t="e">
        <f>COUNTIFS('Jira BUGS'!J:J,F204,'Jira BUGS'!Y:Y,G202,'Jira BUGS'!K:K,"CERRADO",'Jira BUGS'!U:U,G201)/GETPIVOTDATA("Cumple SLA",$A$201,"Priority","High")</f>
        <v>#REF!</v>
      </c>
      <c r="H204" s="41" t="e">
        <f>COUNTIFS('Jira BUGS'!J:J,F204,'Jira BUGS'!Y:Y,H202,'Jira BUGS'!K:K,"CERRADO",'Jira BUGS'!U:U,G201)/GETPIVOTDATA("Cumple SLA",$A$201,"Priority","High")</f>
        <v>#REF!</v>
      </c>
    </row>
    <row r="205" spans="1:8" x14ac:dyDescent="0.25">
      <c r="B205"/>
      <c r="C205"/>
      <c r="D205"/>
      <c r="F205" s="34" t="s">
        <v>16</v>
      </c>
      <c r="G205" s="40" t="e">
        <f>COUNTIFS('Jira BUGS'!J:J,F205,'Jira BUGS'!Y:Y,G202,'Jira BUGS'!K:K,"CERRADO",'Jira BUGS'!U:U,G201)/GETPIVOTDATA("Cumple SLA",$A$201,"Priority","Medium")</f>
        <v>#REF!</v>
      </c>
      <c r="H205" s="41" t="e">
        <f>COUNTIFS('Jira BUGS'!J:J,F205,'Jira BUGS'!Y:Y,H202,'Jira BUGS'!K:K,"CERRADO",'Jira BUGS'!U:U,G201)/GETPIVOTDATA("Cumple SLA",$A$201,"Priority","Medium")</f>
        <v>#REF!</v>
      </c>
    </row>
    <row r="206" spans="1:8" x14ac:dyDescent="0.25">
      <c r="B206"/>
      <c r="C206"/>
      <c r="D206"/>
      <c r="F206"/>
    </row>
    <row r="207" spans="1:8" x14ac:dyDescent="0.25">
      <c r="B207"/>
      <c r="C207"/>
      <c r="D207"/>
      <c r="F207"/>
    </row>
    <row r="208" spans="1:8" x14ac:dyDescent="0.25">
      <c r="B208"/>
      <c r="C208"/>
      <c r="D208"/>
      <c r="F208"/>
    </row>
    <row r="209" spans="1:7" x14ac:dyDescent="0.25">
      <c r="B209"/>
      <c r="C209"/>
      <c r="D209"/>
      <c r="F209"/>
    </row>
    <row r="210" spans="1:7" s="11" customFormat="1" ht="19.5" thickBot="1" x14ac:dyDescent="0.35">
      <c r="A210" s="31" t="s">
        <v>67</v>
      </c>
      <c r="B210" s="32"/>
      <c r="C210" s="32"/>
      <c r="D210" s="32"/>
      <c r="E210" s="31"/>
      <c r="F210" s="12"/>
    </row>
    <row r="211" spans="1:7" x14ac:dyDescent="0.25">
      <c r="B211"/>
      <c r="C211"/>
      <c r="D211"/>
      <c r="E211" s="52" t="s">
        <v>68</v>
      </c>
      <c r="F211" s="53"/>
      <c r="G211" s="53"/>
    </row>
    <row r="212" spans="1:7" x14ac:dyDescent="0.25">
      <c r="A212" s="33" t="s">
        <v>12</v>
      </c>
      <c r="B212" s="36" t="s">
        <v>19</v>
      </c>
      <c r="C212" s="36" t="s">
        <v>66</v>
      </c>
      <c r="D212" s="36" t="s">
        <v>16</v>
      </c>
      <c r="E212" s="37" t="s">
        <v>1853</v>
      </c>
      <c r="F212" s="36" t="s">
        <v>66</v>
      </c>
      <c r="G212" s="36" t="s">
        <v>16</v>
      </c>
    </row>
    <row r="213" spans="1:7" x14ac:dyDescent="0.25">
      <c r="A213" s="34" t="s">
        <v>32</v>
      </c>
      <c r="B213" s="38">
        <f>IFERROR(SUMIFS('Jira BUGS'!L:L,'Jira BUGS'!V:V,A213,'Jira BUGS'!D:D,B$212)/E213,0)</f>
        <v>0</v>
      </c>
      <c r="C213" s="38">
        <f>IFERROR(SUMIFS('Jira BUGS'!L:L,'Jira BUGS'!V:V,A213,'Jira BUGS'!J:J,C$212)/F213,0)</f>
        <v>0</v>
      </c>
      <c r="D213" s="38">
        <f>IFERROR(SUMIFS('Jira BUGS'!W:W,'Jira BUGS'!V:V,A213,'Jira BUGS'!D:D,D$212)/G213,0)</f>
        <v>67.875</v>
      </c>
      <c r="E213" s="39">
        <v>30</v>
      </c>
      <c r="F213" s="30">
        <v>20</v>
      </c>
      <c r="G213" s="30">
        <f>COUNTIFS('Jira BUGS'!V:V,A213,'Jira BUGS'!D:D,G$212)</f>
        <v>8</v>
      </c>
    </row>
    <row r="214" spans="1:7" x14ac:dyDescent="0.25">
      <c r="A214" s="35" t="s">
        <v>33</v>
      </c>
      <c r="B214" s="38">
        <f>IFERROR(SUMIFS('Jira BUGS'!L:L,'Jira BUGS'!V:V,A214,'Jira BUGS'!D:D,B$212)/E214,0)</f>
        <v>0</v>
      </c>
      <c r="C214" s="38">
        <f>IFERROR(SUMIFS('Jira BUGS'!L:L,'Jira BUGS'!V:V,A214,'Jira BUGS'!J:J,C$212)/F214,0)</f>
        <v>0</v>
      </c>
      <c r="D214" s="38">
        <f>IFERROR(SUMIFS('Jira BUGS'!W:W,'Jira BUGS'!V:V,A214,'Jira BUGS'!D:D,D$212)/G214,0)</f>
        <v>39.571428571428569</v>
      </c>
      <c r="E214" s="39">
        <v>30</v>
      </c>
      <c r="F214" s="30">
        <v>20</v>
      </c>
      <c r="G214" s="30">
        <f>COUNTIFS('Jira BUGS'!V:V,A214,'Jira BUGS'!D:D,G$212)</f>
        <v>7</v>
      </c>
    </row>
    <row r="215" spans="1:7" x14ac:dyDescent="0.25">
      <c r="A215" s="34" t="s">
        <v>42</v>
      </c>
      <c r="B215" s="38">
        <f>IFERROR(SUMIFS('Jira BUGS'!L:L,'Jira BUGS'!V:V,A215,'Jira BUGS'!D:D,B$212)/E215,0)</f>
        <v>0</v>
      </c>
      <c r="C215" s="38">
        <f>IFERROR(SUMIFS('Jira BUGS'!L:L,'Jira BUGS'!V:V,A215,'Jira BUGS'!J:J,C$212)/F215,0)</f>
        <v>0</v>
      </c>
      <c r="D215" s="38">
        <f>IFERROR(SUMIFS('Jira BUGS'!W:W,'Jira BUGS'!V:V,A215,'Jira BUGS'!D:D,D$212)/G215,0)</f>
        <v>19.2</v>
      </c>
      <c r="E215" s="39">
        <v>30</v>
      </c>
      <c r="F215" s="30">
        <v>20</v>
      </c>
      <c r="G215" s="30">
        <f>COUNTIFS('Jira BUGS'!V:V,A215,'Jira BUGS'!D:D,G$212)</f>
        <v>10</v>
      </c>
    </row>
    <row r="216" spans="1:7" x14ac:dyDescent="0.25">
      <c r="A216" s="34" t="s">
        <v>43</v>
      </c>
      <c r="B216" s="38">
        <f>IFERROR(SUMIFS('Jira BUGS'!L:L,'Jira BUGS'!V:V,A216,'Jira BUGS'!D:D,B$212)/E216,0)</f>
        <v>0</v>
      </c>
      <c r="C216" s="38">
        <f>IFERROR(SUMIFS('Jira BUGS'!L:L,'Jira BUGS'!V:V,A216,'Jira BUGS'!J:J,C$212)/F216,0)</f>
        <v>0</v>
      </c>
      <c r="D216" s="38">
        <f>IFERROR(SUMIFS('Jira BUGS'!W:W,'Jira BUGS'!V:V,A216,'Jira BUGS'!D:D,D$212)/G216,0)</f>
        <v>33.200000000000003</v>
      </c>
      <c r="E216" s="39">
        <v>30</v>
      </c>
      <c r="F216" s="30">
        <v>20</v>
      </c>
      <c r="G216" s="30">
        <f>COUNTIFS('Jira BUGS'!V:V,A216,'Jira BUGS'!D:D,G$212)</f>
        <v>5</v>
      </c>
    </row>
    <row r="217" spans="1:7" x14ac:dyDescent="0.25">
      <c r="A217" s="34" t="s">
        <v>44</v>
      </c>
      <c r="B217" s="38">
        <f>IFERROR(SUMIFS('Jira BUGS'!L:L,'Jira BUGS'!V:V,A217,'Jira BUGS'!D:D,B$212)/E217,0)</f>
        <v>0</v>
      </c>
      <c r="C217" s="38">
        <f>IFERROR(SUMIFS('Jira BUGS'!L:L,'Jira BUGS'!V:V,A217,'Jira BUGS'!J:J,C$212)/F217,0)</f>
        <v>0</v>
      </c>
      <c r="D217" s="38">
        <f>IFERROR(SUMIFS('Jira BUGS'!W:W,'Jira BUGS'!V:V,A217,'Jira BUGS'!D:D,D$212)/G217,0)</f>
        <v>39.428571428571431</v>
      </c>
      <c r="E217" s="39">
        <v>30</v>
      </c>
      <c r="F217" s="30">
        <v>20</v>
      </c>
      <c r="G217" s="30">
        <f>COUNTIFS('Jira BUGS'!V:V,A217,'Jira BUGS'!D:D,G$212)</f>
        <v>7</v>
      </c>
    </row>
    <row r="218" spans="1:7" x14ac:dyDescent="0.25">
      <c r="A218" s="34" t="s">
        <v>45</v>
      </c>
      <c r="B218" s="38">
        <f>IFERROR(SUMIFS('Jira BUGS'!L:L,'Jira BUGS'!V:V,A218,'Jira BUGS'!D:D,B$212)/E218,0)</f>
        <v>0</v>
      </c>
      <c r="C218" s="38">
        <f>IFERROR(SUMIFS('Jira BUGS'!L:L,'Jira BUGS'!V:V,A218,'Jira BUGS'!J:J,C$212)/F218,0)</f>
        <v>0</v>
      </c>
      <c r="D218" s="38">
        <f>IFERROR(SUMIFS('Jira BUGS'!W:W,'Jira BUGS'!V:V,A218,'Jira BUGS'!D:D,D$212)/G218,0)</f>
        <v>40</v>
      </c>
      <c r="E218" s="39">
        <v>30</v>
      </c>
      <c r="F218" s="30">
        <v>20</v>
      </c>
      <c r="G218" s="30">
        <f>COUNTIFS('Jira BUGS'!V:V,A218,'Jira BUGS'!D:D,G$212)</f>
        <v>6</v>
      </c>
    </row>
    <row r="219" spans="1:7" x14ac:dyDescent="0.25">
      <c r="A219" s="34" t="s">
        <v>46</v>
      </c>
      <c r="B219" s="38">
        <f>IFERROR(SUMIFS('Jira BUGS'!L:L,'Jira BUGS'!V:V,A219,'Jira BUGS'!D:D,B$212)/E219,0)</f>
        <v>0</v>
      </c>
      <c r="C219" s="38">
        <f>IFERROR(SUMIFS('Jira BUGS'!L:L,'Jira BUGS'!V:V,A219,'Jira BUGS'!J:J,C$212)/F219,0)</f>
        <v>0</v>
      </c>
      <c r="D219" s="38">
        <f>IFERROR(SUMIFS('Jira BUGS'!W:W,'Jira BUGS'!V:V,A219,'Jira BUGS'!D:D,D$212)/G219,0)</f>
        <v>16.666666666666668</v>
      </c>
      <c r="E219" s="39">
        <v>30</v>
      </c>
      <c r="F219" s="30">
        <v>20</v>
      </c>
      <c r="G219" s="30">
        <f>COUNTIFS('Jira BUGS'!V:V,A219,'Jira BUGS'!D:D,G$212)</f>
        <v>6</v>
      </c>
    </row>
    <row r="220" spans="1:7" x14ac:dyDescent="0.25">
      <c r="A220" s="34" t="s">
        <v>47</v>
      </c>
      <c r="B220" s="38">
        <f>IFERROR(SUMIFS('Jira BUGS'!L:L,'Jira BUGS'!V:V,A220,'Jira BUGS'!D:D,B$212)/E220,0)</f>
        <v>0</v>
      </c>
      <c r="C220" s="38">
        <f>IFERROR(SUMIFS('Jira BUGS'!L:L,'Jira BUGS'!V:V,A220,'Jira BUGS'!J:J,C$212)/F220,0)</f>
        <v>0</v>
      </c>
      <c r="D220" s="38">
        <f>IFERROR(SUMIFS('Jira BUGS'!W:W,'Jira BUGS'!V:V,A220,'Jira BUGS'!D:D,D$212)/G220,0)</f>
        <v>20</v>
      </c>
      <c r="E220" s="39">
        <v>30</v>
      </c>
      <c r="F220" s="30">
        <v>20</v>
      </c>
      <c r="G220" s="30">
        <f>COUNTIFS('Jira BUGS'!V:V,A220,'Jira BUGS'!D:D,G$212)</f>
        <v>3</v>
      </c>
    </row>
    <row r="221" spans="1:7" x14ac:dyDescent="0.25">
      <c r="A221" s="34" t="s">
        <v>48</v>
      </c>
      <c r="B221" s="38">
        <f>IFERROR(SUMIFS('Jira BUGS'!L:L,'Jira BUGS'!V:V,A221,'Jira BUGS'!D:D,B$212)/E221,0)</f>
        <v>0</v>
      </c>
      <c r="C221" s="38">
        <f>IFERROR(SUMIFS('Jira BUGS'!L:L,'Jira BUGS'!V:V,A221,'Jira BUGS'!J:J,C$212)/F221,0)</f>
        <v>0</v>
      </c>
      <c r="D221" s="38">
        <f>IFERROR(SUMIFS('Jira BUGS'!W:W,'Jira BUGS'!V:V,A221,'Jira BUGS'!D:D,D$212)/G221,0)</f>
        <v>28</v>
      </c>
      <c r="E221" s="39">
        <v>30</v>
      </c>
      <c r="F221" s="30">
        <v>20</v>
      </c>
      <c r="G221" s="30">
        <f>COUNTIFS('Jira BUGS'!V:V,A221,'Jira BUGS'!D:D,G$212)</f>
        <v>5</v>
      </c>
    </row>
    <row r="222" spans="1:7" x14ac:dyDescent="0.25">
      <c r="A222" s="34" t="s">
        <v>49</v>
      </c>
      <c r="B222" s="38">
        <f>IFERROR(SUMIFS('Jira BUGS'!L:L,'Jira BUGS'!V:V,A222,'Jira BUGS'!D:D,B$212)/E222,0)</f>
        <v>0</v>
      </c>
      <c r="C222" s="38">
        <f>IFERROR(SUMIFS('Jira BUGS'!L:L,'Jira BUGS'!V:V,A222,'Jira BUGS'!J:J,C$212)/F222,0)</f>
        <v>0</v>
      </c>
      <c r="D222" s="38">
        <f>IFERROR(SUMIFS('Jira BUGS'!W:W,'Jira BUGS'!V:V,A222,'Jira BUGS'!D:D,D$212)/G222,0)</f>
        <v>25.25</v>
      </c>
      <c r="E222" s="39">
        <v>30</v>
      </c>
      <c r="F222" s="30">
        <v>20</v>
      </c>
      <c r="G222" s="30">
        <f>COUNTIFS('Jira BUGS'!V:V,A222,'Jira BUGS'!D:D,G$212)</f>
        <v>4</v>
      </c>
    </row>
    <row r="223" spans="1:7" x14ac:dyDescent="0.25">
      <c r="A223" s="34" t="s">
        <v>50</v>
      </c>
      <c r="B223" s="38">
        <f>IFERROR(SUMIFS('Jira BUGS'!L:L,'Jira BUGS'!V:V,A223,'Jira BUGS'!D:D,B$212)/E223,0)</f>
        <v>0</v>
      </c>
      <c r="C223" s="38">
        <f>IFERROR(SUMIFS('Jira BUGS'!L:L,'Jira BUGS'!V:V,A223,'Jira BUGS'!J:J,C$212)/F223,0)</f>
        <v>0</v>
      </c>
      <c r="D223" s="38">
        <f>IFERROR(SUMIFS('Jira BUGS'!W:W,'Jira BUGS'!V:V,A223,'Jira BUGS'!D:D,D$212)/G223,0)</f>
        <v>0</v>
      </c>
      <c r="E223" s="39">
        <v>30</v>
      </c>
      <c r="F223" s="30">
        <v>20</v>
      </c>
      <c r="G223" s="30">
        <f>COUNTIFS('Jira BUGS'!V:V,A223,'Jira BUGS'!D:D,G$212)</f>
        <v>0</v>
      </c>
    </row>
    <row r="224" spans="1:7" x14ac:dyDescent="0.25">
      <c r="A224" s="34" t="s">
        <v>51</v>
      </c>
      <c r="B224" s="38">
        <f>IFERROR(SUMIFS('Jira BUGS'!L:L,'Jira BUGS'!V:V,A224,'Jira BUGS'!D:D,B$212)/E224,0)</f>
        <v>0</v>
      </c>
      <c r="C224" s="38">
        <f>IFERROR(SUMIFS('Jira BUGS'!L:L,'Jira BUGS'!V:V,A224,'Jira BUGS'!J:J,C$212)/F224,0)</f>
        <v>0</v>
      </c>
      <c r="D224" s="38">
        <f>IFERROR(SUMIFS('Jira BUGS'!W:W,'Jira BUGS'!V:V,A224,'Jira BUGS'!D:D,D$212)/G224,0)</f>
        <v>0</v>
      </c>
      <c r="E224" s="39">
        <v>30</v>
      </c>
      <c r="F224" s="30">
        <v>20</v>
      </c>
      <c r="G224" s="30">
        <f>COUNTIFS('Jira BUGS'!V:V,A224,'Jira BUGS'!D:D,G$212)</f>
        <v>0</v>
      </c>
    </row>
    <row r="225" spans="4:4" customFormat="1" x14ac:dyDescent="0.25">
      <c r="D225" s="38">
        <f>IFERROR(SUMIFS('Jira BUGS'!W:W,'Jira BUGS'!V:V,A225,'Jira BUGS'!D:D,D$212)/G225,0)</f>
        <v>0</v>
      </c>
    </row>
    <row r="226" spans="4:4" customFormat="1" x14ac:dyDescent="0.25"/>
    <row r="227" spans="4:4" customFormat="1" x14ac:dyDescent="0.25"/>
    <row r="228" spans="4:4" customFormat="1" x14ac:dyDescent="0.25"/>
    <row r="229" spans="4:4" customFormat="1" x14ac:dyDescent="0.25"/>
    <row r="230" spans="4:4" customFormat="1" x14ac:dyDescent="0.25"/>
    <row r="231" spans="4:4" customFormat="1" x14ac:dyDescent="0.25"/>
    <row r="232" spans="4:4" customFormat="1" x14ac:dyDescent="0.25"/>
    <row r="233" spans="4:4" customFormat="1" x14ac:dyDescent="0.25"/>
    <row r="234" spans="4:4" customFormat="1" x14ac:dyDescent="0.25"/>
    <row r="235" spans="4:4" customFormat="1" x14ac:dyDescent="0.25"/>
    <row r="236" spans="4:4" customFormat="1" x14ac:dyDescent="0.25"/>
    <row r="237" spans="4:4" customFormat="1" x14ac:dyDescent="0.25"/>
    <row r="238" spans="4:4" customFormat="1" x14ac:dyDescent="0.25"/>
    <row r="239" spans="4:4" customFormat="1" x14ac:dyDescent="0.25"/>
    <row r="240" spans="4:4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</sheetData>
  <mergeCells count="2">
    <mergeCell ref="G201:H201"/>
    <mergeCell ref="E211:G211"/>
  </mergeCells>
  <phoneticPr fontId="10" type="noConversion"/>
  <pageMargins left="0.7" right="0.7" top="0.75" bottom="0.75" header="0.3" footer="0.3"/>
  <pageSetup paperSize="9" orientation="portrait" r:id="rId10"/>
  <drawing r:id="rId11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D333-71F0-4D97-A7C8-B4FC295DA3E3}">
  <sheetPr>
    <tabColor theme="1"/>
  </sheetPr>
  <dimension ref="A1:B4"/>
  <sheetViews>
    <sheetView workbookViewId="0">
      <selection activeCell="A4" sqref="A4:B4"/>
    </sheetView>
  </sheetViews>
  <sheetFormatPr baseColWidth="10" defaultColWidth="11.42578125" defaultRowHeight="15" x14ac:dyDescent="0.25"/>
  <sheetData>
    <row r="1" spans="1:2" x14ac:dyDescent="0.25">
      <c r="A1" t="s">
        <v>63</v>
      </c>
      <c r="B1" t="s">
        <v>69</v>
      </c>
    </row>
    <row r="2" spans="1:2" x14ac:dyDescent="0.25">
      <c r="A2" t="s">
        <v>19</v>
      </c>
      <c r="B2">
        <v>7</v>
      </c>
    </row>
    <row r="3" spans="1:2" x14ac:dyDescent="0.25">
      <c r="A3" t="s">
        <v>66</v>
      </c>
      <c r="B3">
        <v>14</v>
      </c>
    </row>
    <row r="4" spans="1:2" x14ac:dyDescent="0.25">
      <c r="A4" t="s">
        <v>16</v>
      </c>
      <c r="B4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5753-1215-48A8-9760-27C29AD4A652}">
  <dimension ref="A1:V122"/>
  <sheetViews>
    <sheetView showGridLines="0" zoomScale="59" zoomScaleNormal="100" workbookViewId="0">
      <selection activeCell="K68" sqref="K68"/>
    </sheetView>
  </sheetViews>
  <sheetFormatPr baseColWidth="10" defaultColWidth="11.42578125" defaultRowHeight="15" x14ac:dyDescent="0.25"/>
  <cols>
    <col min="1" max="1" width="17" bestFit="1" customWidth="1"/>
    <col min="2" max="2" width="18" bestFit="1" customWidth="1"/>
    <col min="3" max="3" width="18" customWidth="1"/>
    <col min="4" max="4" width="20.42578125" customWidth="1"/>
    <col min="6" max="7" width="74.7109375" customWidth="1"/>
    <col min="8" max="8" width="36.7109375" customWidth="1"/>
    <col min="9" max="9" width="11.42578125" style="4"/>
    <col min="10" max="10" width="24.7109375" bestFit="1" customWidth="1"/>
    <col min="11" max="11" width="18.140625" bestFit="1" customWidth="1"/>
    <col min="12" max="12" width="18.85546875" bestFit="1" customWidth="1"/>
    <col min="13" max="13" width="14.5703125" bestFit="1" customWidth="1"/>
    <col min="14" max="15" width="11.42578125" customWidth="1"/>
    <col min="16" max="16" width="20.5703125" customWidth="1"/>
    <col min="19" max="19" width="11.85546875" bestFit="1" customWidth="1"/>
  </cols>
  <sheetData>
    <row r="1" spans="1:17" s="2" customFormat="1" x14ac:dyDescent="0.25">
      <c r="A1" s="2" t="s">
        <v>70</v>
      </c>
      <c r="B1" s="2" t="s">
        <v>4</v>
      </c>
      <c r="C1" s="2" t="s">
        <v>5</v>
      </c>
      <c r="D1" s="2" t="s">
        <v>9</v>
      </c>
      <c r="E1" s="2" t="s">
        <v>63</v>
      </c>
      <c r="F1" s="2" t="s">
        <v>71</v>
      </c>
      <c r="G1" s="2" t="s">
        <v>72</v>
      </c>
      <c r="H1" s="2" t="s">
        <v>73</v>
      </c>
      <c r="I1" s="3"/>
      <c r="J1" s="2" t="s">
        <v>6</v>
      </c>
      <c r="K1" s="2" t="s">
        <v>74</v>
      </c>
      <c r="P1" s="2" t="s">
        <v>75</v>
      </c>
      <c r="Q1" s="2" t="s">
        <v>76</v>
      </c>
    </row>
    <row r="2" spans="1:17" x14ac:dyDescent="0.25">
      <c r="A2" t="str">
        <f>'Jira BUGS'!A2</f>
        <v>ESPC360-21480</v>
      </c>
      <c r="B2">
        <f>IFERROR(NETWORKDAYS('Jira BUGS'!D2,'Jira BUGS'!E2),0)</f>
        <v>0</v>
      </c>
      <c r="C2">
        <f>'Jira BUGS'!O2</f>
        <v>10</v>
      </c>
      <c r="D2">
        <f>'Jira BUGS'!S2</f>
        <v>10</v>
      </c>
      <c r="E2">
        <f>'Jira BUGS'!J2</f>
        <v>45946</v>
      </c>
      <c r="F2" t="str">
        <f>'Jira BUGS'!C2</f>
        <v>ERNESTO Gimeno Valiente</v>
      </c>
      <c r="G2" t="str">
        <f>'Jira BUGS'!G2</f>
        <v/>
      </c>
      <c r="J2" cm="1">
        <f t="array" ref="J2:J14">_xlfn.UNIQUE($C$2:$C$122)</f>
        <v>10</v>
      </c>
      <c r="K2">
        <f t="shared" ref="K2:K12" si="0">COUNTIF($C$2:$C$1030,$J2)</f>
        <v>3</v>
      </c>
      <c r="P2" t="str" cm="1">
        <f t="array" ref="P2:P12">_xlfn.UNIQUE(F2:F1030)</f>
        <v>ERNESTO Gimeno Valiente</v>
      </c>
      <c r="Q2">
        <f t="shared" ref="Q2:Q45" si="1">COUNTIF($F$2:$F$1030,$P2)</f>
        <v>35</v>
      </c>
    </row>
    <row r="3" spans="1:17" x14ac:dyDescent="0.25">
      <c r="A3" t="str">
        <f>'Jira BUGS'!A3</f>
        <v>ESPC360-21196</v>
      </c>
      <c r="B3">
        <f>IFERROR(NETWORKDAYS('Jira BUGS'!D3,'Jira BUGS'!E3),0)</f>
        <v>0</v>
      </c>
      <c r="C3">
        <f>'Jira BUGS'!O3</f>
        <v>10</v>
      </c>
      <c r="D3">
        <f>'Jira BUGS'!S3</f>
        <v>10</v>
      </c>
      <c r="E3">
        <f>'Jira BUGS'!J3</f>
        <v>45950</v>
      </c>
      <c r="F3" t="str">
        <f>'Jira BUGS'!C3</f>
        <v/>
      </c>
      <c r="G3" t="str">
        <f>'Jira BUGS'!G3</f>
        <v/>
      </c>
      <c r="J3">
        <v>9</v>
      </c>
      <c r="K3">
        <f t="shared" si="0"/>
        <v>5</v>
      </c>
      <c r="P3" t="str">
        <v/>
      </c>
      <c r="Q3">
        <f t="shared" si="1"/>
        <v>914</v>
      </c>
    </row>
    <row r="4" spans="1:17" x14ac:dyDescent="0.25">
      <c r="A4" t="str">
        <f>'Jira BUGS'!A4</f>
        <v>ESPC360-20940</v>
      </c>
      <c r="B4">
        <f>IFERROR(NETWORKDAYS('Jira BUGS'!D4,'Jira BUGS'!E4),0)</f>
        <v>0</v>
      </c>
      <c r="C4">
        <f>'Jira BUGS'!O4</f>
        <v>9</v>
      </c>
      <c r="D4">
        <f>'Jira BUGS'!S4</f>
        <v>10</v>
      </c>
      <c r="E4">
        <f>'Jira BUGS'!J4</f>
        <v>45951</v>
      </c>
      <c r="F4" t="str">
        <f>'Jira BUGS'!C4</f>
        <v>ERNESTO Gimeno Valiente</v>
      </c>
      <c r="G4" t="str">
        <f>'Jira BUGS'!G4</f>
        <v/>
      </c>
      <c r="J4">
        <v>8</v>
      </c>
      <c r="K4">
        <f t="shared" si="0"/>
        <v>4</v>
      </c>
      <c r="P4" t="str">
        <v>GONZALO GARCIA MORENO</v>
      </c>
      <c r="Q4">
        <f t="shared" si="1"/>
        <v>2</v>
      </c>
    </row>
    <row r="5" spans="1:17" x14ac:dyDescent="0.25">
      <c r="A5" t="str">
        <f>'Jira BUGS'!A5</f>
        <v>ESPC360-20658</v>
      </c>
      <c r="B5">
        <f>IFERROR(NETWORKDAYS('Jira BUGS'!D5,'Jira BUGS'!E5),0)</f>
        <v>0</v>
      </c>
      <c r="C5">
        <f>'Jira BUGS'!O5</f>
        <v>9</v>
      </c>
      <c r="D5">
        <f>'Jira BUGS'!S5</f>
        <v>10</v>
      </c>
      <c r="E5">
        <f>'Jira BUGS'!J5</f>
        <v>45918</v>
      </c>
      <c r="F5" t="str">
        <f>'Jira BUGS'!C5</f>
        <v>ERNESTO Gimeno Valiente</v>
      </c>
      <c r="G5" t="str">
        <f>'Jira BUGS'!G5</f>
        <v/>
      </c>
      <c r="J5">
        <v>7</v>
      </c>
      <c r="K5">
        <f t="shared" si="0"/>
        <v>6</v>
      </c>
      <c r="P5" t="str">
        <v>BORJA CORTIJO LAJARA</v>
      </c>
      <c r="Q5">
        <f t="shared" si="1"/>
        <v>3</v>
      </c>
    </row>
    <row r="6" spans="1:17" x14ac:dyDescent="0.25">
      <c r="A6" t="str">
        <f>'Jira BUGS'!A6</f>
        <v>ESPC360-20902</v>
      </c>
      <c r="B6">
        <f>IFERROR(NETWORKDAYS('Jira BUGS'!D6,'Jira BUGS'!E6),0)</f>
        <v>0</v>
      </c>
      <c r="C6">
        <f>'Jira BUGS'!O6</f>
        <v>9</v>
      </c>
      <c r="D6">
        <f>'Jira BUGS'!S6</f>
        <v>9</v>
      </c>
      <c r="E6">
        <f>'Jira BUGS'!J6</f>
        <v>45917</v>
      </c>
      <c r="F6" t="str">
        <f>'Jira BUGS'!C6</f>
        <v>ERNESTO Gimeno Valiente</v>
      </c>
      <c r="G6" t="str">
        <f>'Jira BUGS'!G6</f>
        <v/>
      </c>
      <c r="J6">
        <v>6</v>
      </c>
      <c r="K6">
        <f t="shared" si="0"/>
        <v>3</v>
      </c>
      <c r="P6" t="str">
        <v>Andrei Brinza</v>
      </c>
      <c r="Q6">
        <f t="shared" si="1"/>
        <v>3</v>
      </c>
    </row>
    <row r="7" spans="1:17" x14ac:dyDescent="0.25">
      <c r="A7" t="str">
        <f>'Jira BUGS'!A7</f>
        <v>ESPC360-20479</v>
      </c>
      <c r="B7">
        <f>IFERROR(NETWORKDAYS('Jira BUGS'!D7,'Jira BUGS'!E7),0)</f>
        <v>0</v>
      </c>
      <c r="C7">
        <f>'Jira BUGS'!O7</f>
        <v>8</v>
      </c>
      <c r="D7">
        <f>'Jira BUGS'!S7</f>
        <v>9</v>
      </c>
      <c r="E7">
        <f>'Jira BUGS'!J7</f>
        <v>45912</v>
      </c>
      <c r="F7" t="str">
        <f>'Jira BUGS'!C7</f>
        <v>ERNESTO Gimeno Valiente</v>
      </c>
      <c r="G7" t="str">
        <f>'Jira BUGS'!G7</f>
        <v/>
      </c>
      <c r="J7">
        <v>5</v>
      </c>
      <c r="K7">
        <f t="shared" si="0"/>
        <v>3</v>
      </c>
      <c r="P7" t="str">
        <v>ERIC REVELLES SEGALES</v>
      </c>
      <c r="Q7">
        <f t="shared" si="1"/>
        <v>1</v>
      </c>
    </row>
    <row r="8" spans="1:17" x14ac:dyDescent="0.25">
      <c r="A8" t="str">
        <f>'Jira BUGS'!A8</f>
        <v>ESPC360-20508</v>
      </c>
      <c r="B8">
        <f>IFERROR(NETWORKDAYS('Jira BUGS'!D8,'Jira BUGS'!E8),0)</f>
        <v>0</v>
      </c>
      <c r="C8">
        <f>'Jira BUGS'!O8</f>
        <v>8</v>
      </c>
      <c r="D8">
        <f>'Jira BUGS'!S8</f>
        <v>9</v>
      </c>
      <c r="E8">
        <f>'Jira BUGS'!J8</f>
        <v>45901</v>
      </c>
      <c r="F8" t="str">
        <f>'Jira BUGS'!C8</f>
        <v>GONZALO GARCIA MORENO</v>
      </c>
      <c r="G8" t="str">
        <f>'Jira BUGS'!G8</f>
        <v/>
      </c>
      <c r="J8">
        <v>4</v>
      </c>
      <c r="K8">
        <f t="shared" si="0"/>
        <v>7</v>
      </c>
      <c r="P8" t="str">
        <v>JOSE FELIZ HERNANDEZ</v>
      </c>
      <c r="Q8">
        <f t="shared" si="1"/>
        <v>2</v>
      </c>
    </row>
    <row r="9" spans="1:17" x14ac:dyDescent="0.25">
      <c r="A9" t="str">
        <f>'Jira BUGS'!A9</f>
        <v>ESPC360-19953</v>
      </c>
      <c r="B9">
        <f>IFERROR(NETWORKDAYS('Jira BUGS'!D9,'Jira BUGS'!E9),0)</f>
        <v>0</v>
      </c>
      <c r="C9">
        <f>'Jira BUGS'!O9</f>
        <v>7</v>
      </c>
      <c r="D9">
        <f>'Jira BUGS'!S9</f>
        <v>9</v>
      </c>
      <c r="E9">
        <f>'Jira BUGS'!J9</f>
        <v>45862</v>
      </c>
      <c r="F9" t="str">
        <f>'Jira BUGS'!C9</f>
        <v>BORJA CORTIJO LAJARA</v>
      </c>
      <c r="G9" t="str">
        <f>'Jira BUGS'!G9</f>
        <v/>
      </c>
      <c r="J9">
        <v>3</v>
      </c>
      <c r="K9">
        <f t="shared" si="0"/>
        <v>10</v>
      </c>
      <c r="P9" t="str">
        <v>CARLOS Camacho Menchero</v>
      </c>
      <c r="Q9">
        <f t="shared" si="1"/>
        <v>8</v>
      </c>
    </row>
    <row r="10" spans="1:17" x14ac:dyDescent="0.25">
      <c r="A10" t="str">
        <f>'Jira BUGS'!A10</f>
        <v>ESPC360-20269</v>
      </c>
      <c r="B10">
        <f>IFERROR(NETWORKDAYS('Jira BUGS'!D10,'Jira BUGS'!E10),0)</f>
        <v>0</v>
      </c>
      <c r="C10">
        <f>'Jira BUGS'!O10</f>
        <v>8</v>
      </c>
      <c r="D10">
        <f>'Jira BUGS'!S10</f>
        <v>9</v>
      </c>
      <c r="E10">
        <f>'Jira BUGS'!J10</f>
        <v>45897</v>
      </c>
      <c r="F10" t="str">
        <f>'Jira BUGS'!C10</f>
        <v>ERNESTO Gimeno Valiente</v>
      </c>
      <c r="G10" t="str">
        <f>'Jira BUGS'!G10</f>
        <v/>
      </c>
      <c r="J10">
        <v>2</v>
      </c>
      <c r="K10">
        <f t="shared" si="0"/>
        <v>10</v>
      </c>
      <c r="P10" t="str">
        <v>Arturo Ruiz Simon</v>
      </c>
      <c r="Q10">
        <f t="shared" si="1"/>
        <v>1</v>
      </c>
    </row>
    <row r="11" spans="1:17" x14ac:dyDescent="0.25">
      <c r="A11" t="str">
        <f>'Jira BUGS'!A11</f>
        <v>ESPC360-19956</v>
      </c>
      <c r="B11">
        <f>IFERROR(NETWORKDAYS('Jira BUGS'!D11,'Jira BUGS'!E11),0)</f>
        <v>0</v>
      </c>
      <c r="C11">
        <f>'Jira BUGS'!O11</f>
        <v>7</v>
      </c>
      <c r="D11">
        <f>'Jira BUGS'!S11</f>
        <v>8</v>
      </c>
      <c r="E11">
        <f>'Jira BUGS'!J11</f>
        <v>45877</v>
      </c>
      <c r="F11" t="str">
        <f>'Jira BUGS'!C11</f>
        <v>ERNESTO Gimeno Valiente</v>
      </c>
      <c r="G11" t="str">
        <f>'Jira BUGS'!G11</f>
        <v/>
      </c>
      <c r="J11">
        <v>11</v>
      </c>
      <c r="K11">
        <f t="shared" si="0"/>
        <v>3</v>
      </c>
      <c r="P11">
        <v>0</v>
      </c>
      <c r="Q11">
        <f t="shared" si="1"/>
        <v>60</v>
      </c>
    </row>
    <row r="12" spans="1:17" x14ac:dyDescent="0.25">
      <c r="A12" t="str">
        <f>'Jira BUGS'!A12</f>
        <v>ESPC360-20264</v>
      </c>
      <c r="B12">
        <f>IFERROR(NETWORKDAYS('Jira BUGS'!D12,'Jira BUGS'!E12),0)</f>
        <v>0</v>
      </c>
      <c r="C12">
        <f>'Jira BUGS'!O12</f>
        <v>8</v>
      </c>
      <c r="D12">
        <f>'Jira BUGS'!S12</f>
        <v>8</v>
      </c>
      <c r="E12">
        <f>'Jira BUGS'!J12</f>
        <v>45876</v>
      </c>
      <c r="F12" t="str">
        <f>'Jira BUGS'!C12</f>
        <v>ERNESTO Gimeno Valiente</v>
      </c>
      <c r="G12" t="str">
        <f>'Jira BUGS'!G12</f>
        <v/>
      </c>
      <c r="J12">
        <v>1</v>
      </c>
      <c r="K12">
        <f t="shared" si="0"/>
        <v>4</v>
      </c>
      <c r="P12">
        <v>0</v>
      </c>
      <c r="Q12">
        <f t="shared" si="1"/>
        <v>60</v>
      </c>
    </row>
    <row r="13" spans="1:17" x14ac:dyDescent="0.25">
      <c r="A13" t="str">
        <f>'Jira BUGS'!A13</f>
        <v>ESPC360-19693</v>
      </c>
      <c r="B13">
        <f>IFERROR(NETWORKDAYS('Jira BUGS'!D13,'Jira BUGS'!E13),0)</f>
        <v>0</v>
      </c>
      <c r="C13">
        <f>'Jira BUGS'!O13</f>
        <v>7</v>
      </c>
      <c r="D13">
        <f>'Jira BUGS'!S13</f>
        <v>8</v>
      </c>
      <c r="E13">
        <f>'Jira BUGS'!J13</f>
        <v>45869</v>
      </c>
      <c r="F13" t="str">
        <f>'Jira BUGS'!C13</f>
        <v/>
      </c>
      <c r="G13" t="str">
        <f>'Jira BUGS'!G13</f>
        <v/>
      </c>
      <c r="J13">
        <v>12</v>
      </c>
      <c r="Q13">
        <f t="shared" si="1"/>
        <v>60</v>
      </c>
    </row>
    <row r="14" spans="1:17" x14ac:dyDescent="0.25">
      <c r="A14" t="str">
        <f>'Jira BUGS'!A14</f>
        <v>ESPC360-19944</v>
      </c>
      <c r="B14">
        <f>IFERROR(NETWORKDAYS('Jira BUGS'!D14,'Jira BUGS'!E14),0)</f>
        <v>0</v>
      </c>
      <c r="C14">
        <f>'Jira BUGS'!O14</f>
        <v>7</v>
      </c>
      <c r="D14">
        <f>'Jira BUGS'!S14</f>
        <v>7</v>
      </c>
      <c r="E14">
        <f>'Jira BUGS'!J14</f>
        <v>45862</v>
      </c>
      <c r="F14" t="str">
        <f>'Jira BUGS'!C14</f>
        <v>ERNESTO Gimeno Valiente</v>
      </c>
      <c r="G14" t="str">
        <f>'Jira BUGS'!G14</f>
        <v/>
      </c>
      <c r="J14">
        <v>0</v>
      </c>
      <c r="Q14">
        <f t="shared" si="1"/>
        <v>60</v>
      </c>
    </row>
    <row r="15" spans="1:17" x14ac:dyDescent="0.25">
      <c r="A15" t="str">
        <f>'Jira BUGS'!A15</f>
        <v>ESPC360-19826</v>
      </c>
      <c r="B15">
        <f>IFERROR(NETWORKDAYS('Jira BUGS'!D15,'Jira BUGS'!E15),0)</f>
        <v>0</v>
      </c>
      <c r="C15">
        <f>'Jira BUGS'!O15</f>
        <v>7</v>
      </c>
      <c r="D15">
        <f>'Jira BUGS'!S15</f>
        <v>7</v>
      </c>
      <c r="E15">
        <f>'Jira BUGS'!J15</f>
        <v>45861</v>
      </c>
      <c r="F15" t="str">
        <f>'Jira BUGS'!C15</f>
        <v>ERNESTO Gimeno Valiente</v>
      </c>
      <c r="G15" t="str">
        <f>'Jira BUGS'!G15</f>
        <v/>
      </c>
      <c r="Q15">
        <f t="shared" si="1"/>
        <v>60</v>
      </c>
    </row>
    <row r="16" spans="1:17" x14ac:dyDescent="0.25">
      <c r="A16" t="str">
        <f>'Jira BUGS'!A16</f>
        <v>ESPC360-19407</v>
      </c>
      <c r="B16">
        <f>IFERROR(NETWORKDAYS('Jira BUGS'!D16,'Jira BUGS'!E16),0)</f>
        <v>0</v>
      </c>
      <c r="C16">
        <f>'Jira BUGS'!O16</f>
        <v>6</v>
      </c>
      <c r="D16">
        <f>'Jira BUGS'!S16</f>
        <v>7</v>
      </c>
      <c r="E16">
        <f>'Jira BUGS'!J16</f>
        <v>45855</v>
      </c>
      <c r="F16" t="str">
        <f>'Jira BUGS'!C16</f>
        <v>ERNESTO Gimeno Valiente</v>
      </c>
      <c r="G16" t="str">
        <f>'Jira BUGS'!G16</f>
        <v/>
      </c>
      <c r="J16" s="2" t="s">
        <v>77</v>
      </c>
      <c r="K16">
        <f>ROUND(AVERAGE(B2:B1030),0)</f>
        <v>0</v>
      </c>
      <c r="Q16">
        <f t="shared" si="1"/>
        <v>60</v>
      </c>
    </row>
    <row r="17" spans="1:17" x14ac:dyDescent="0.25">
      <c r="A17" t="str">
        <f>'Jira BUGS'!A17</f>
        <v>ESPC360-19755</v>
      </c>
      <c r="B17">
        <f>IFERROR(NETWORKDAYS('Jira BUGS'!D17,'Jira BUGS'!E17),0)</f>
        <v>0</v>
      </c>
      <c r="C17">
        <f>'Jira BUGS'!O17</f>
        <v>7</v>
      </c>
      <c r="D17">
        <f>'Jira BUGS'!S17</f>
        <v>7</v>
      </c>
      <c r="E17">
        <f>'Jira BUGS'!J17</f>
        <v>45849</v>
      </c>
      <c r="F17" t="str">
        <f>'Jira BUGS'!C17</f>
        <v>Andrei Brinza</v>
      </c>
      <c r="G17" t="str">
        <f>'Jira BUGS'!G17</f>
        <v/>
      </c>
      <c r="Q17">
        <f t="shared" si="1"/>
        <v>60</v>
      </c>
    </row>
    <row r="18" spans="1:17" x14ac:dyDescent="0.25">
      <c r="A18" t="str">
        <f>'Jira BUGS'!A18</f>
        <v>ESPC360-19490</v>
      </c>
      <c r="B18">
        <f>IFERROR(NETWORKDAYS('Jira BUGS'!D18,'Jira BUGS'!E18),0)</f>
        <v>0</v>
      </c>
      <c r="C18">
        <f>'Jira BUGS'!O18</f>
        <v>6</v>
      </c>
      <c r="D18">
        <f>'Jira BUGS'!S18</f>
        <v>7</v>
      </c>
      <c r="E18">
        <f>'Jira BUGS'!J18</f>
        <v>45835</v>
      </c>
      <c r="F18" t="str">
        <f>'Jira BUGS'!C18</f>
        <v>ERNESTO Gimeno Valiente</v>
      </c>
      <c r="G18" t="str">
        <f>'Jira BUGS'!G18</f>
        <v/>
      </c>
      <c r="Q18">
        <f t="shared" si="1"/>
        <v>60</v>
      </c>
    </row>
    <row r="19" spans="1:17" x14ac:dyDescent="0.25">
      <c r="A19" t="str">
        <f>'Jira BUGS'!A19</f>
        <v>ESPC360-19162</v>
      </c>
      <c r="B19">
        <f>IFERROR(NETWORKDAYS('Jira BUGS'!D19,'Jira BUGS'!E19),0)</f>
        <v>0</v>
      </c>
      <c r="C19">
        <f>'Jira BUGS'!O19</f>
        <v>6</v>
      </c>
      <c r="D19">
        <f>'Jira BUGS'!S19</f>
        <v>7</v>
      </c>
      <c r="E19">
        <f>'Jira BUGS'!J19</f>
        <v>45835</v>
      </c>
      <c r="F19" t="str">
        <f>'Jira BUGS'!C19</f>
        <v>ERNESTO Gimeno Valiente</v>
      </c>
      <c r="G19" t="str">
        <f>'Jira BUGS'!G19</f>
        <v/>
      </c>
      <c r="J19" s="2" t="s">
        <v>78</v>
      </c>
      <c r="Q19">
        <f t="shared" si="1"/>
        <v>60</v>
      </c>
    </row>
    <row r="20" spans="1:17" x14ac:dyDescent="0.25">
      <c r="A20" t="str">
        <f>'Jira BUGS'!A20</f>
        <v>ESPC360-18907</v>
      </c>
      <c r="B20">
        <f>IFERROR(NETWORKDAYS('Jira BUGS'!D20,'Jira BUGS'!E20),0)</f>
        <v>0</v>
      </c>
      <c r="C20">
        <f>'Jira BUGS'!O20</f>
        <v>5</v>
      </c>
      <c r="D20">
        <f>'Jira BUGS'!S20</f>
        <v>6</v>
      </c>
      <c r="E20">
        <f>'Jira BUGS'!J20</f>
        <v>45821</v>
      </c>
      <c r="F20" t="str">
        <f>'Jira BUGS'!C20</f>
        <v>ERNESTO Gimeno Valiente</v>
      </c>
      <c r="G20" t="str">
        <f>'Jira BUGS'!G20</f>
        <v/>
      </c>
      <c r="J20" s="2" t="s">
        <v>39</v>
      </c>
      <c r="K20" s="2" t="s">
        <v>79</v>
      </c>
      <c r="L20" s="2" t="s">
        <v>80</v>
      </c>
      <c r="M20" s="2" t="s">
        <v>81</v>
      </c>
      <c r="Q20">
        <f t="shared" si="1"/>
        <v>60</v>
      </c>
    </row>
    <row r="21" spans="1:17" x14ac:dyDescent="0.25">
      <c r="A21" t="str">
        <f>'Jira BUGS'!A21</f>
        <v>ESPC360-18427</v>
      </c>
      <c r="B21">
        <f>IFERROR(NETWORKDAYS('Jira BUGS'!D21,'Jira BUGS'!E21),0)</f>
        <v>0</v>
      </c>
      <c r="C21">
        <f>'Jira BUGS'!O21</f>
        <v>5</v>
      </c>
      <c r="D21">
        <f>'Jira BUGS'!S21</f>
        <v>6</v>
      </c>
      <c r="E21">
        <f>'Jira BUGS'!J21</f>
        <v>45813</v>
      </c>
      <c r="F21" t="str">
        <f>'Jira BUGS'!C21</f>
        <v>ERNESTO Gimeno Valiente</v>
      </c>
      <c r="G21" t="str">
        <f>'Jira BUGS'!G21</f>
        <v/>
      </c>
      <c r="J21" cm="1">
        <f t="array" ref="J21:J31">_xlfn.UNIQUE($D$2:$D$122)</f>
        <v>10</v>
      </c>
      <c r="K21">
        <f t="shared" ref="K21:K31" si="2">COUNTIF($D$2:$D$5030,$J21)</f>
        <v>4</v>
      </c>
      <c r="L21">
        <f t="shared" ref="L21:L31" si="3">SUMIF($D$2:$D$5030,$J21,$B$2:$B$5030)</f>
        <v>0</v>
      </c>
      <c r="M21">
        <f>ROUND(L21/K21,0)</f>
        <v>0</v>
      </c>
      <c r="Q21">
        <f t="shared" si="1"/>
        <v>60</v>
      </c>
    </row>
    <row r="22" spans="1:17" x14ac:dyDescent="0.25">
      <c r="A22" t="str">
        <f>'Jira BUGS'!A22</f>
        <v>ESPC360-18426</v>
      </c>
      <c r="B22">
        <f>IFERROR(NETWORKDAYS('Jira BUGS'!D22,'Jira BUGS'!E22),0)</f>
        <v>0</v>
      </c>
      <c r="C22">
        <f>'Jira BUGS'!O22</f>
        <v>5</v>
      </c>
      <c r="D22">
        <f>'Jira BUGS'!S22</f>
        <v>6</v>
      </c>
      <c r="E22" t="str">
        <f>'Jira BUGS'!J22</f>
        <v/>
      </c>
      <c r="F22" t="str">
        <f>'Jira BUGS'!C22</f>
        <v>ERNESTO Gimeno Valiente</v>
      </c>
      <c r="G22" t="str">
        <f>'Jira BUGS'!G22</f>
        <v/>
      </c>
      <c r="J22">
        <v>9</v>
      </c>
      <c r="K22">
        <f t="shared" si="2"/>
        <v>5</v>
      </c>
      <c r="L22">
        <f t="shared" si="3"/>
        <v>0</v>
      </c>
      <c r="M22">
        <f t="shared" ref="M22:M30" si="4">ROUND(L22/K22,0)</f>
        <v>0</v>
      </c>
      <c r="Q22">
        <f t="shared" si="1"/>
        <v>60</v>
      </c>
    </row>
    <row r="23" spans="1:17" x14ac:dyDescent="0.25">
      <c r="A23" t="str">
        <f>'Jira BUGS'!A23</f>
        <v>ESPC360-18050</v>
      </c>
      <c r="B23">
        <f>IFERROR(NETWORKDAYS('Jira BUGS'!D23,'Jira BUGS'!E23),0)</f>
        <v>0</v>
      </c>
      <c r="C23">
        <f>'Jira BUGS'!O23</f>
        <v>4</v>
      </c>
      <c r="D23">
        <f>'Jira BUGS'!S23</f>
        <v>6</v>
      </c>
      <c r="E23" t="str">
        <f>'Jira BUGS'!J23</f>
        <v/>
      </c>
      <c r="F23" t="str">
        <f>'Jira BUGS'!C23</f>
        <v/>
      </c>
      <c r="G23" t="str">
        <f>'Jira BUGS'!G23</f>
        <v/>
      </c>
      <c r="J23">
        <v>8</v>
      </c>
      <c r="K23">
        <f t="shared" si="2"/>
        <v>3</v>
      </c>
      <c r="L23">
        <f t="shared" si="3"/>
        <v>0</v>
      </c>
      <c r="M23">
        <f t="shared" si="4"/>
        <v>0</v>
      </c>
      <c r="Q23">
        <f t="shared" si="1"/>
        <v>60</v>
      </c>
    </row>
    <row r="24" spans="1:17" x14ac:dyDescent="0.25">
      <c r="A24" t="str">
        <f>'Jira BUGS'!A24</f>
        <v>ESPC360-17357</v>
      </c>
      <c r="B24">
        <f>IFERROR(NETWORKDAYS('Jira BUGS'!D24,'Jira BUGS'!E24),0)</f>
        <v>0</v>
      </c>
      <c r="C24">
        <f>'Jira BUGS'!O24</f>
        <v>4</v>
      </c>
      <c r="D24">
        <f>'Jira BUGS'!S24</f>
        <v>6</v>
      </c>
      <c r="E24">
        <f>'Jira BUGS'!J24</f>
        <v>45751</v>
      </c>
      <c r="F24" t="str">
        <f>'Jira BUGS'!C24</f>
        <v>Andrei Brinza</v>
      </c>
      <c r="G24" t="str">
        <f>'Jira BUGS'!G24</f>
        <v/>
      </c>
      <c r="J24">
        <v>7</v>
      </c>
      <c r="K24">
        <f t="shared" si="2"/>
        <v>6</v>
      </c>
      <c r="L24">
        <f t="shared" si="3"/>
        <v>0</v>
      </c>
      <c r="M24">
        <f t="shared" si="4"/>
        <v>0</v>
      </c>
      <c r="Q24">
        <f t="shared" si="1"/>
        <v>60</v>
      </c>
    </row>
    <row r="25" spans="1:17" x14ac:dyDescent="0.25">
      <c r="A25" t="str">
        <f>'Jira BUGS'!A25</f>
        <v>ESPC360-17664</v>
      </c>
      <c r="B25">
        <f>IFERROR(NETWORKDAYS('Jira BUGS'!D25,'Jira BUGS'!E25),0)</f>
        <v>0</v>
      </c>
      <c r="C25">
        <f>'Jira BUGS'!O25</f>
        <v>4</v>
      </c>
      <c r="D25">
        <f>'Jira BUGS'!S25</f>
        <v>6</v>
      </c>
      <c r="E25">
        <f>'Jira BUGS'!J25</f>
        <v>45758</v>
      </c>
      <c r="F25" t="str">
        <f>'Jira BUGS'!C25</f>
        <v>Andrei Brinza</v>
      </c>
      <c r="G25" t="str">
        <f>'Jira BUGS'!G25</f>
        <v/>
      </c>
      <c r="J25">
        <v>6</v>
      </c>
      <c r="K25">
        <f t="shared" si="2"/>
        <v>6</v>
      </c>
      <c r="L25">
        <f t="shared" si="3"/>
        <v>0</v>
      </c>
      <c r="M25">
        <f t="shared" si="4"/>
        <v>0</v>
      </c>
      <c r="Q25">
        <f t="shared" si="1"/>
        <v>60</v>
      </c>
    </row>
    <row r="26" spans="1:17" x14ac:dyDescent="0.25">
      <c r="A26" t="str">
        <f>'Jira BUGS'!A26</f>
        <v>ESPC360-17189</v>
      </c>
      <c r="B26">
        <f>IFERROR(NETWORKDAYS('Jira BUGS'!D26,'Jira BUGS'!E26),0)</f>
        <v>0</v>
      </c>
      <c r="C26">
        <f>'Jira BUGS'!O26</f>
        <v>3</v>
      </c>
      <c r="D26">
        <f>'Jira BUGS'!S26</f>
        <v>5</v>
      </c>
      <c r="E26">
        <f>'Jira BUGS'!J26</f>
        <v>45743</v>
      </c>
      <c r="F26" t="str">
        <f>'Jira BUGS'!C26</f>
        <v>ERIC REVELLES SEGALES</v>
      </c>
      <c r="G26" t="str">
        <f>'Jira BUGS'!G26</f>
        <v/>
      </c>
      <c r="J26">
        <v>5</v>
      </c>
      <c r="K26">
        <f t="shared" si="2"/>
        <v>7</v>
      </c>
      <c r="L26">
        <f t="shared" si="3"/>
        <v>0</v>
      </c>
      <c r="M26">
        <f t="shared" si="4"/>
        <v>0</v>
      </c>
      <c r="Q26">
        <f t="shared" si="1"/>
        <v>60</v>
      </c>
    </row>
    <row r="27" spans="1:17" x14ac:dyDescent="0.25">
      <c r="A27" t="str">
        <f>'Jira BUGS'!A27</f>
        <v>ESPC360-17713</v>
      </c>
      <c r="B27">
        <f>IFERROR(NETWORKDAYS('Jira BUGS'!D27,'Jira BUGS'!E27),0)</f>
        <v>0</v>
      </c>
      <c r="C27">
        <f>'Jira BUGS'!O27</f>
        <v>4</v>
      </c>
      <c r="D27">
        <f>'Jira BUGS'!S27</f>
        <v>5</v>
      </c>
      <c r="E27">
        <f>'Jira BUGS'!J27</f>
        <v>45779</v>
      </c>
      <c r="F27" t="str">
        <f>'Jira BUGS'!C27</f>
        <v>ERNESTO Gimeno Valiente</v>
      </c>
      <c r="G27" t="str">
        <f>'Jira BUGS'!G27</f>
        <v/>
      </c>
      <c r="J27">
        <v>4</v>
      </c>
      <c r="K27">
        <f t="shared" si="2"/>
        <v>5</v>
      </c>
      <c r="L27">
        <f t="shared" si="3"/>
        <v>0</v>
      </c>
      <c r="M27">
        <f t="shared" si="4"/>
        <v>0</v>
      </c>
      <c r="Q27">
        <f t="shared" si="1"/>
        <v>60</v>
      </c>
    </row>
    <row r="28" spans="1:17" x14ac:dyDescent="0.25">
      <c r="A28" t="str">
        <f>'Jira BUGS'!A28</f>
        <v>ESPC360-16743</v>
      </c>
      <c r="B28">
        <f>IFERROR(NETWORKDAYS('Jira BUGS'!D28,'Jira BUGS'!E28),0)</f>
        <v>0</v>
      </c>
      <c r="C28">
        <f>'Jira BUGS'!O28</f>
        <v>3</v>
      </c>
      <c r="D28">
        <f>'Jira BUGS'!S28</f>
        <v>5</v>
      </c>
      <c r="E28">
        <f>'Jira BUGS'!J28</f>
        <v>45727</v>
      </c>
      <c r="F28" t="str">
        <f>'Jira BUGS'!C28</f>
        <v>BORJA CORTIJO LAJARA</v>
      </c>
      <c r="G28" t="str">
        <f>'Jira BUGS'!G28</f>
        <v/>
      </c>
      <c r="J28">
        <v>3</v>
      </c>
      <c r="K28">
        <f t="shared" si="2"/>
        <v>10</v>
      </c>
      <c r="L28">
        <f t="shared" si="3"/>
        <v>0</v>
      </c>
      <c r="M28">
        <f t="shared" si="4"/>
        <v>0</v>
      </c>
      <c r="Q28">
        <f t="shared" si="1"/>
        <v>60</v>
      </c>
    </row>
    <row r="29" spans="1:17" x14ac:dyDescent="0.25">
      <c r="A29" t="str">
        <f>'Jira BUGS'!A29</f>
        <v>ESPC360-17055</v>
      </c>
      <c r="B29">
        <f>IFERROR(NETWORKDAYS('Jira BUGS'!D29,'Jira BUGS'!E29),0)</f>
        <v>0</v>
      </c>
      <c r="C29">
        <f>'Jira BUGS'!O29</f>
        <v>3</v>
      </c>
      <c r="D29">
        <f>'Jira BUGS'!S29</f>
        <v>5</v>
      </c>
      <c r="E29">
        <f>'Jira BUGS'!J29</f>
        <v>45751</v>
      </c>
      <c r="F29" t="str">
        <f>'Jira BUGS'!C29</f>
        <v/>
      </c>
      <c r="G29" t="str">
        <f>'Jira BUGS'!G29</f>
        <v/>
      </c>
      <c r="J29">
        <v>2</v>
      </c>
      <c r="K29">
        <f t="shared" si="2"/>
        <v>7</v>
      </c>
      <c r="L29">
        <f t="shared" si="3"/>
        <v>0</v>
      </c>
      <c r="M29">
        <f t="shared" si="4"/>
        <v>0</v>
      </c>
      <c r="Q29">
        <f t="shared" si="1"/>
        <v>60</v>
      </c>
    </row>
    <row r="30" spans="1:17" x14ac:dyDescent="0.25">
      <c r="A30" t="str">
        <f>'Jira BUGS'!A30</f>
        <v>ESPC360-18044</v>
      </c>
      <c r="B30">
        <f>IFERROR(NETWORKDAYS('Jira BUGS'!D30,'Jira BUGS'!E30),0)</f>
        <v>0</v>
      </c>
      <c r="C30">
        <f>'Jira BUGS'!O30</f>
        <v>4</v>
      </c>
      <c r="D30">
        <f>'Jira BUGS'!S30</f>
        <v>5</v>
      </c>
      <c r="E30" t="str">
        <f>'Jira BUGS'!J30</f>
        <v/>
      </c>
      <c r="F30" t="str">
        <f>'Jira BUGS'!C30</f>
        <v>ERNESTO Gimeno Valiente</v>
      </c>
      <c r="G30" t="str">
        <f>'Jira BUGS'!G30</f>
        <v/>
      </c>
      <c r="J30">
        <v>1</v>
      </c>
      <c r="K30">
        <f t="shared" si="2"/>
        <v>8</v>
      </c>
      <c r="L30">
        <f t="shared" si="3"/>
        <v>0</v>
      </c>
      <c r="M30">
        <f t="shared" si="4"/>
        <v>0</v>
      </c>
      <c r="Q30">
        <f t="shared" si="1"/>
        <v>60</v>
      </c>
    </row>
    <row r="31" spans="1:17" x14ac:dyDescent="0.25">
      <c r="A31" t="str">
        <f>'Jira BUGS'!A31</f>
        <v>ESPC360-17446</v>
      </c>
      <c r="B31">
        <f>IFERROR(NETWORKDAYS('Jira BUGS'!D31,'Jira BUGS'!E31),0)</f>
        <v>0</v>
      </c>
      <c r="C31">
        <f>'Jira BUGS'!O31</f>
        <v>4</v>
      </c>
      <c r="D31">
        <f>'Jira BUGS'!S31</f>
        <v>5</v>
      </c>
      <c r="E31">
        <f>'Jira BUGS'!J31</f>
        <v>45769</v>
      </c>
      <c r="F31" t="str">
        <f>'Jira BUGS'!C31</f>
        <v>ERNESTO Gimeno Valiente</v>
      </c>
      <c r="G31" t="str">
        <f>'Jira BUGS'!G31</f>
        <v/>
      </c>
      <c r="J31">
        <v>0</v>
      </c>
      <c r="K31">
        <f t="shared" si="2"/>
        <v>60</v>
      </c>
      <c r="L31">
        <f t="shared" si="3"/>
        <v>0</v>
      </c>
      <c r="M31">
        <f>ROUND(L31/K31,0)</f>
        <v>0</v>
      </c>
      <c r="Q31">
        <f t="shared" si="1"/>
        <v>60</v>
      </c>
    </row>
    <row r="32" spans="1:17" x14ac:dyDescent="0.25">
      <c r="A32" t="str">
        <f>'Jira BUGS'!A32</f>
        <v>ESPC360-17380</v>
      </c>
      <c r="B32">
        <f>IFERROR(NETWORKDAYS('Jira BUGS'!D32,'Jira BUGS'!E32),0)</f>
        <v>0</v>
      </c>
      <c r="C32">
        <f>'Jira BUGS'!O32</f>
        <v>4</v>
      </c>
      <c r="D32">
        <f>'Jira BUGS'!S32</f>
        <v>5</v>
      </c>
      <c r="E32">
        <f>'Jira BUGS'!J32</f>
        <v>45782</v>
      </c>
      <c r="F32" t="str">
        <f>'Jira BUGS'!C32</f>
        <v>ERNESTO Gimeno Valiente</v>
      </c>
      <c r="G32" t="str">
        <f>'Jira BUGS'!G32</f>
        <v/>
      </c>
      <c r="Q32">
        <f t="shared" si="1"/>
        <v>60</v>
      </c>
    </row>
    <row r="33" spans="1:17" x14ac:dyDescent="0.25">
      <c r="A33" t="str">
        <f>'Jira BUGS'!A33</f>
        <v>ESPC360-16744</v>
      </c>
      <c r="B33">
        <f>IFERROR(NETWORKDAYS('Jira BUGS'!D33,'Jira BUGS'!E33),0)</f>
        <v>0</v>
      </c>
      <c r="C33">
        <f>'Jira BUGS'!O33</f>
        <v>3</v>
      </c>
      <c r="D33">
        <f>'Jira BUGS'!S33</f>
        <v>4</v>
      </c>
      <c r="E33">
        <f>'Jira BUGS'!J33</f>
        <v>45729</v>
      </c>
      <c r="F33" t="str">
        <f>'Jira BUGS'!C33</f>
        <v>BORJA CORTIJO LAJARA</v>
      </c>
      <c r="G33" t="str">
        <f>'Jira BUGS'!G33</f>
        <v/>
      </c>
      <c r="Q33">
        <f t="shared" si="1"/>
        <v>60</v>
      </c>
    </row>
    <row r="34" spans="1:17" x14ac:dyDescent="0.25">
      <c r="A34" t="str">
        <f>'Jira BUGS'!A34</f>
        <v>ESPC360-17120</v>
      </c>
      <c r="B34">
        <f>IFERROR(NETWORKDAYS('Jira BUGS'!D34,'Jira BUGS'!E34),0)</f>
        <v>0</v>
      </c>
      <c r="C34">
        <f>'Jira BUGS'!O34</f>
        <v>3</v>
      </c>
      <c r="D34">
        <f>'Jira BUGS'!S34</f>
        <v>4</v>
      </c>
      <c r="E34" t="str">
        <f>'Jira BUGS'!J34</f>
        <v/>
      </c>
      <c r="F34" t="str">
        <f>'Jira BUGS'!C34</f>
        <v>JOSE FELIZ HERNANDEZ</v>
      </c>
      <c r="G34" t="str">
        <f>'Jira BUGS'!G34</f>
        <v/>
      </c>
      <c r="J34" s="2" t="s">
        <v>82</v>
      </c>
      <c r="Q34">
        <f t="shared" si="1"/>
        <v>60</v>
      </c>
    </row>
    <row r="35" spans="1:17" x14ac:dyDescent="0.25">
      <c r="A35" t="str">
        <f>'Jira BUGS'!A35</f>
        <v>ESPC360-16230</v>
      </c>
      <c r="B35">
        <f>IFERROR(NETWORKDAYS('Jira BUGS'!D35,'Jira BUGS'!E35),0)</f>
        <v>0</v>
      </c>
      <c r="C35">
        <f>'Jira BUGS'!O35</f>
        <v>2</v>
      </c>
      <c r="D35">
        <f>'Jira BUGS'!S35</f>
        <v>4</v>
      </c>
      <c r="E35">
        <f>'Jira BUGS'!J35</f>
        <v>45714</v>
      </c>
      <c r="F35" t="str">
        <f>'Jira BUGS'!C35</f>
        <v>CARLOS Camacho Menchero</v>
      </c>
      <c r="G35" t="str">
        <f>'Jira BUGS'!G35</f>
        <v/>
      </c>
      <c r="J35" s="2" t="s">
        <v>63</v>
      </c>
      <c r="K35" s="2" t="s">
        <v>79</v>
      </c>
      <c r="L35" s="2" t="s">
        <v>80</v>
      </c>
      <c r="M35" s="2" t="s">
        <v>83</v>
      </c>
      <c r="N35" s="2" t="s">
        <v>84</v>
      </c>
      <c r="Q35">
        <f t="shared" si="1"/>
        <v>60</v>
      </c>
    </row>
    <row r="36" spans="1:17" x14ac:dyDescent="0.25">
      <c r="A36" t="str">
        <f>'Jira BUGS'!A36</f>
        <v>ESPC360-16562</v>
      </c>
      <c r="B36">
        <f>IFERROR(NETWORKDAYS('Jira BUGS'!D36,'Jira BUGS'!E36),0)</f>
        <v>0</v>
      </c>
      <c r="C36">
        <f>'Jira BUGS'!O36</f>
        <v>3</v>
      </c>
      <c r="D36">
        <f>'Jira BUGS'!S36</f>
        <v>4</v>
      </c>
      <c r="E36">
        <f>'Jira BUGS'!J36</f>
        <v>45741</v>
      </c>
      <c r="F36" t="str">
        <f>'Jira BUGS'!C36</f>
        <v>ERNESTO Gimeno Valiente</v>
      </c>
      <c r="G36" t="str">
        <f>'Jira BUGS'!G36</f>
        <v/>
      </c>
      <c r="J36" t="e" cm="1" vm="1">
        <f t="array" aca="1" ref="J36" ca="1">_xlfn.UNIQUE($E$2:$E$122)</f>
        <v>#VALUE!</v>
      </c>
      <c r="K36">
        <f ca="1">COUNTIF($E$2:$E$122,$J36)</f>
        <v>0</v>
      </c>
      <c r="L36">
        <f ca="1">SUMIF($E$2:$E$5030,$J36,$B$2:$B$5030)</f>
        <v>0</v>
      </c>
      <c r="M36" t="e">
        <f ca="1">ROUND(L36/K36,0)</f>
        <v>#DIV/0!</v>
      </c>
      <c r="Q36">
        <f t="shared" si="1"/>
        <v>60</v>
      </c>
    </row>
    <row r="37" spans="1:17" x14ac:dyDescent="0.25">
      <c r="A37" t="str">
        <f>'Jira BUGS'!A37</f>
        <v>ESPC360-16947</v>
      </c>
      <c r="B37">
        <f>IFERROR(NETWORKDAYS('Jira BUGS'!D37,'Jira BUGS'!E37),0)</f>
        <v>0</v>
      </c>
      <c r="C37">
        <f>'Jira BUGS'!O37</f>
        <v>3</v>
      </c>
      <c r="D37">
        <f>'Jira BUGS'!S37</f>
        <v>4</v>
      </c>
      <c r="E37">
        <f>'Jira BUGS'!J37</f>
        <v>45737</v>
      </c>
      <c r="F37" t="str">
        <f>'Jira BUGS'!C37</f>
        <v>ERNESTO Gimeno Valiente</v>
      </c>
      <c r="G37" t="str">
        <f>'Jira BUGS'!G37</f>
        <v/>
      </c>
      <c r="K37">
        <f t="shared" ref="K37:K38" si="5">COUNTIF($E$2:$E$122,$J37)</f>
        <v>60</v>
      </c>
      <c r="L37">
        <f>SUMIF($E$2:$E$5030,$J37,$B$2:$B$5030)</f>
        <v>0</v>
      </c>
      <c r="M37">
        <f t="shared" ref="M37:M38" si="6">ROUND(L37/K37,0)</f>
        <v>0</v>
      </c>
      <c r="Q37">
        <f t="shared" si="1"/>
        <v>60</v>
      </c>
    </row>
    <row r="38" spans="1:17" x14ac:dyDescent="0.25">
      <c r="A38" t="str">
        <f>'Jira BUGS'!A38</f>
        <v>ESPC360-16517</v>
      </c>
      <c r="B38">
        <f>IFERROR(NETWORKDAYS('Jira BUGS'!D38,'Jira BUGS'!E38),0)</f>
        <v>0</v>
      </c>
      <c r="C38">
        <f>'Jira BUGS'!O38</f>
        <v>3</v>
      </c>
      <c r="D38">
        <f>'Jira BUGS'!S38</f>
        <v>3</v>
      </c>
      <c r="E38">
        <f>'Jira BUGS'!J38</f>
        <v>45720</v>
      </c>
      <c r="F38" t="str">
        <f>'Jira BUGS'!C38</f>
        <v>CARLOS Camacho Menchero</v>
      </c>
      <c r="G38" t="str">
        <f>'Jira BUGS'!G38</f>
        <v/>
      </c>
      <c r="K38">
        <f t="shared" si="5"/>
        <v>60</v>
      </c>
      <c r="L38">
        <f>SUMIF($E$2:$E$5030,$J38,$B$2:$B$5030)</f>
        <v>0</v>
      </c>
      <c r="M38">
        <f t="shared" si="6"/>
        <v>0</v>
      </c>
      <c r="Q38">
        <f t="shared" si="1"/>
        <v>60</v>
      </c>
    </row>
    <row r="39" spans="1:17" x14ac:dyDescent="0.25">
      <c r="A39" t="str">
        <f>'Jira BUGS'!A39</f>
        <v>ESPC360-16212</v>
      </c>
      <c r="B39">
        <f>IFERROR(NETWORKDAYS('Jira BUGS'!D39,'Jira BUGS'!E39),0)</f>
        <v>0</v>
      </c>
      <c r="C39">
        <f>'Jira BUGS'!O39</f>
        <v>2</v>
      </c>
      <c r="D39">
        <f>'Jira BUGS'!S39</f>
        <v>3</v>
      </c>
      <c r="E39">
        <f>'Jira BUGS'!J39</f>
        <v>45713</v>
      </c>
      <c r="F39" t="str">
        <f>'Jira BUGS'!C39</f>
        <v>CARLOS Camacho Menchero</v>
      </c>
      <c r="G39" t="str">
        <f>'Jira BUGS'!G39</f>
        <v/>
      </c>
      <c r="Q39">
        <f t="shared" si="1"/>
        <v>60</v>
      </c>
    </row>
    <row r="40" spans="1:17" x14ac:dyDescent="0.25">
      <c r="A40" t="str">
        <f>'Jira BUGS'!A40</f>
        <v>ESPC360-16862</v>
      </c>
      <c r="B40">
        <f>IFERROR(NETWORKDAYS('Jira BUGS'!D40,'Jira BUGS'!E40),0)</f>
        <v>0</v>
      </c>
      <c r="C40">
        <f>'Jira BUGS'!O40</f>
        <v>3</v>
      </c>
      <c r="D40">
        <f>'Jira BUGS'!S40</f>
        <v>3</v>
      </c>
      <c r="E40">
        <f>'Jira BUGS'!J40</f>
        <v>45730</v>
      </c>
      <c r="F40" t="str">
        <f>'Jira BUGS'!C40</f>
        <v>ERNESTO Gimeno Valiente</v>
      </c>
      <c r="G40" t="str">
        <f>'Jira BUGS'!G40</f>
        <v/>
      </c>
      <c r="Q40">
        <f t="shared" si="1"/>
        <v>60</v>
      </c>
    </row>
    <row r="41" spans="1:17" x14ac:dyDescent="0.25">
      <c r="A41" t="str">
        <f>'Jira BUGS'!A41</f>
        <v>ESPC360-16098</v>
      </c>
      <c r="B41">
        <f>IFERROR(NETWORKDAYS('Jira BUGS'!D41,'Jira BUGS'!E41),0)</f>
        <v>0</v>
      </c>
      <c r="C41">
        <f>'Jira BUGS'!O41</f>
        <v>2</v>
      </c>
      <c r="D41">
        <f>'Jira BUGS'!S41</f>
        <v>3</v>
      </c>
      <c r="E41">
        <f>'Jira BUGS'!J41</f>
        <v>45723</v>
      </c>
      <c r="F41" t="str">
        <f>'Jira BUGS'!C41</f>
        <v>ERNESTO Gimeno Valiente</v>
      </c>
      <c r="G41" t="str">
        <f>'Jira BUGS'!G41</f>
        <v/>
      </c>
      <c r="Q41">
        <f t="shared" si="1"/>
        <v>60</v>
      </c>
    </row>
    <row r="42" spans="1:17" x14ac:dyDescent="0.25">
      <c r="A42" t="str">
        <f>'Jira BUGS'!A42</f>
        <v>ESPC360-16688</v>
      </c>
      <c r="B42">
        <f>IFERROR(NETWORKDAYS('Jira BUGS'!D42,'Jira BUGS'!E42),0)</f>
        <v>0</v>
      </c>
      <c r="C42">
        <f>'Jira BUGS'!O42</f>
        <v>3</v>
      </c>
      <c r="D42">
        <f>'Jira BUGS'!S42</f>
        <v>3</v>
      </c>
      <c r="E42">
        <f>'Jira BUGS'!J42</f>
        <v>45723</v>
      </c>
      <c r="F42" t="str">
        <f>'Jira BUGS'!C42</f>
        <v>ERNESTO Gimeno Valiente</v>
      </c>
      <c r="G42" t="str">
        <f>'Jira BUGS'!G42</f>
        <v/>
      </c>
      <c r="Q42">
        <f t="shared" si="1"/>
        <v>60</v>
      </c>
    </row>
    <row r="43" spans="1:17" x14ac:dyDescent="0.25">
      <c r="A43" t="str">
        <f>'Jira BUGS'!A43</f>
        <v>ESPC360-15720</v>
      </c>
      <c r="B43">
        <f>IFERROR(NETWORKDAYS('Jira BUGS'!D43,'Jira BUGS'!E43),0)</f>
        <v>0</v>
      </c>
      <c r="C43">
        <f>'Jira BUGS'!O43</f>
        <v>2</v>
      </c>
      <c r="D43">
        <f>'Jira BUGS'!S43</f>
        <v>3</v>
      </c>
      <c r="E43">
        <f>'Jira BUGS'!J43</f>
        <v>45701</v>
      </c>
      <c r="F43" t="str">
        <f>'Jira BUGS'!C43</f>
        <v>CARLOS Camacho Menchero</v>
      </c>
      <c r="G43" t="str">
        <f>'Jira BUGS'!G43</f>
        <v/>
      </c>
      <c r="Q43">
        <f t="shared" si="1"/>
        <v>60</v>
      </c>
    </row>
    <row r="44" spans="1:17" x14ac:dyDescent="0.25">
      <c r="A44" t="str">
        <f>'Jira BUGS'!A44</f>
        <v>ESPC360-16226</v>
      </c>
      <c r="B44">
        <f>IFERROR(NETWORKDAYS('Jira BUGS'!D44,'Jira BUGS'!E44),0)</f>
        <v>0</v>
      </c>
      <c r="C44">
        <f>'Jira BUGS'!O44</f>
        <v>2</v>
      </c>
      <c r="D44">
        <f>'Jira BUGS'!S44</f>
        <v>3</v>
      </c>
      <c r="E44">
        <f>'Jira BUGS'!J44</f>
        <v>45716</v>
      </c>
      <c r="F44" t="str">
        <f>'Jira BUGS'!C44</f>
        <v>ERNESTO Gimeno Valiente</v>
      </c>
      <c r="G44" t="str">
        <f>'Jira BUGS'!G44</f>
        <v/>
      </c>
      <c r="Q44">
        <f t="shared" si="1"/>
        <v>60</v>
      </c>
    </row>
    <row r="45" spans="1:17" x14ac:dyDescent="0.25">
      <c r="A45" t="str">
        <f>'Jira BUGS'!A45</f>
        <v>ESPC360-15489</v>
      </c>
      <c r="B45">
        <f>IFERROR(NETWORKDAYS('Jira BUGS'!D45,'Jira BUGS'!E45),0)</f>
        <v>0</v>
      </c>
      <c r="C45">
        <f>'Jira BUGS'!O45</f>
        <v>2</v>
      </c>
      <c r="D45">
        <f>'Jira BUGS'!S45</f>
        <v>3</v>
      </c>
      <c r="E45">
        <f>'Jira BUGS'!J45</f>
        <v>45709</v>
      </c>
      <c r="F45" t="str">
        <f>'Jira BUGS'!C45</f>
        <v>ERNESTO Gimeno Valiente</v>
      </c>
      <c r="G45" t="str">
        <f>'Jira BUGS'!G45</f>
        <v/>
      </c>
      <c r="Q45">
        <f t="shared" si="1"/>
        <v>60</v>
      </c>
    </row>
    <row r="46" spans="1:17" x14ac:dyDescent="0.25">
      <c r="A46" t="str">
        <f>'Jira BUGS'!A46</f>
        <v>ESPC360-15448</v>
      </c>
      <c r="B46">
        <f>IFERROR(NETWORKDAYS('Jira BUGS'!D46,'Jira BUGS'!E46),0)</f>
        <v>0</v>
      </c>
      <c r="C46">
        <f>'Jira BUGS'!O46</f>
        <v>2</v>
      </c>
      <c r="D46">
        <f>'Jira BUGS'!S46</f>
        <v>3</v>
      </c>
      <c r="E46">
        <f>'Jira BUGS'!J46</f>
        <v>45698</v>
      </c>
      <c r="F46" t="str">
        <f>'Jira BUGS'!C46</f>
        <v>CARLOS Camacho Menchero</v>
      </c>
      <c r="G46" t="str">
        <f>'Jira BUGS'!G46</f>
        <v/>
      </c>
    </row>
    <row r="47" spans="1:17" x14ac:dyDescent="0.25">
      <c r="A47" t="str">
        <f>'Jira BUGS'!A47</f>
        <v>ESPC360-15926</v>
      </c>
      <c r="B47">
        <f>IFERROR(NETWORKDAYS('Jira BUGS'!D47,'Jira BUGS'!E47),0)</f>
        <v>0</v>
      </c>
      <c r="C47">
        <f>'Jira BUGS'!O47</f>
        <v>2</v>
      </c>
      <c r="D47">
        <f>'Jira BUGS'!S47</f>
        <v>3</v>
      </c>
      <c r="E47">
        <f>'Jira BUGS'!J47</f>
        <v>45701</v>
      </c>
      <c r="F47" t="str">
        <f>'Jira BUGS'!C47</f>
        <v>CARLOS Camacho Menchero</v>
      </c>
      <c r="G47" t="str">
        <f>'Jira BUGS'!G47</f>
        <v/>
      </c>
      <c r="J47" t="s">
        <v>85</v>
      </c>
    </row>
    <row r="48" spans="1:17" x14ac:dyDescent="0.25">
      <c r="A48" t="str">
        <f>'Jira BUGS'!A48</f>
        <v>ESPC360-13775</v>
      </c>
      <c r="B48">
        <f>IFERROR(NETWORKDAYS('Jira BUGS'!D48,'Jira BUGS'!E48),0)</f>
        <v>0</v>
      </c>
      <c r="C48">
        <f>'Jira BUGS'!O48</f>
        <v>11</v>
      </c>
      <c r="D48">
        <f>'Jira BUGS'!S48</f>
        <v>2</v>
      </c>
      <c r="E48">
        <f>'Jira BUGS'!J48</f>
        <v>45625</v>
      </c>
      <c r="F48" t="str">
        <f>'Jira BUGS'!C48</f>
        <v>CARLOS Camacho Menchero</v>
      </c>
      <c r="G48" t="str">
        <f>'Jira BUGS'!G48</f>
        <v/>
      </c>
    </row>
    <row r="49" spans="1:12" x14ac:dyDescent="0.25">
      <c r="A49" t="str">
        <f>'Jira BUGS'!A49</f>
        <v>ESPC360-15635</v>
      </c>
      <c r="B49">
        <f>IFERROR(NETWORKDAYS('Jira BUGS'!D49,'Jira BUGS'!E49),0)</f>
        <v>0</v>
      </c>
      <c r="C49">
        <f>'Jira BUGS'!O49</f>
        <v>2</v>
      </c>
      <c r="D49">
        <f>'Jira BUGS'!S49</f>
        <v>2</v>
      </c>
      <c r="E49">
        <f>'Jira BUGS'!J49</f>
        <v>45698</v>
      </c>
      <c r="F49" t="str">
        <f>'Jira BUGS'!C49</f>
        <v>ERNESTO Gimeno Valiente</v>
      </c>
      <c r="G49" t="str">
        <f>'Jira BUGS'!G49</f>
        <v/>
      </c>
      <c r="J49" s="2"/>
    </row>
    <row r="50" spans="1:12" x14ac:dyDescent="0.25">
      <c r="A50" t="str">
        <f>'Jira BUGS'!A50</f>
        <v>ESPC360-14953</v>
      </c>
      <c r="B50">
        <f>IFERROR(NETWORKDAYS('Jira BUGS'!D50,'Jira BUGS'!E50),0)</f>
        <v>0</v>
      </c>
      <c r="C50">
        <f>'Jira BUGS'!O50</f>
        <v>1</v>
      </c>
      <c r="D50">
        <f>'Jira BUGS'!S50</f>
        <v>2</v>
      </c>
      <c r="E50">
        <f>'Jira BUGS'!J50</f>
        <v>45694</v>
      </c>
      <c r="F50" t="str">
        <f>'Jira BUGS'!C50</f>
        <v>ERNESTO Gimeno Valiente</v>
      </c>
      <c r="G50" t="str">
        <f>'Jira BUGS'!G50</f>
        <v/>
      </c>
    </row>
    <row r="51" spans="1:12" x14ac:dyDescent="0.25">
      <c r="A51" t="str">
        <f>'Jira BUGS'!A51</f>
        <v>ESPC360-15487</v>
      </c>
      <c r="B51">
        <f>IFERROR(NETWORKDAYS('Jira BUGS'!D51,'Jira BUGS'!E51),0)</f>
        <v>0</v>
      </c>
      <c r="C51">
        <f>'Jira BUGS'!O51</f>
        <v>2</v>
      </c>
      <c r="D51">
        <f>'Jira BUGS'!S51</f>
        <v>2</v>
      </c>
      <c r="E51">
        <f>'Jira BUGS'!J51</f>
        <v>45701</v>
      </c>
      <c r="F51" t="str">
        <f>'Jira BUGS'!C51</f>
        <v>Arturo Ruiz Simon</v>
      </c>
      <c r="G51" t="str">
        <f>'Jira BUGS'!G51</f>
        <v/>
      </c>
    </row>
    <row r="52" spans="1:12" x14ac:dyDescent="0.25">
      <c r="A52" t="str">
        <f>'Jira BUGS'!A52</f>
        <v>ESPC360-14498</v>
      </c>
      <c r="B52">
        <f>IFERROR(NETWORKDAYS('Jira BUGS'!D52,'Jira BUGS'!E52),0)</f>
        <v>0</v>
      </c>
      <c r="C52">
        <f>'Jira BUGS'!O52</f>
        <v>1</v>
      </c>
      <c r="D52">
        <f>'Jira BUGS'!S52</f>
        <v>2</v>
      </c>
      <c r="E52">
        <f>'Jira BUGS'!J52</f>
        <v>45673</v>
      </c>
      <c r="F52" t="str">
        <f>'Jira BUGS'!C52</f>
        <v>CARLOS Camacho Menchero</v>
      </c>
      <c r="G52" t="str">
        <f>'Jira BUGS'!G52</f>
        <v/>
      </c>
    </row>
    <row r="53" spans="1:12" x14ac:dyDescent="0.25">
      <c r="A53" t="str">
        <f>'Jira BUGS'!A53</f>
        <v>ESPC360-13826</v>
      </c>
      <c r="B53">
        <f>IFERROR(NETWORKDAYS('Jira BUGS'!D53,'Jira BUGS'!E53),0)</f>
        <v>0</v>
      </c>
      <c r="C53">
        <f>'Jira BUGS'!O53</f>
        <v>12</v>
      </c>
      <c r="D53">
        <f>'Jira BUGS'!S53</f>
        <v>2</v>
      </c>
      <c r="E53">
        <f>'Jira BUGS'!J53</f>
        <v>45656</v>
      </c>
      <c r="F53" t="str">
        <f>'Jira BUGS'!C53</f>
        <v/>
      </c>
      <c r="G53" t="str">
        <f>'Jira BUGS'!G53</f>
        <v/>
      </c>
    </row>
    <row r="54" spans="1:12" x14ac:dyDescent="0.25">
      <c r="A54" t="str">
        <f>'Jira BUGS'!A54</f>
        <v>ESPC360-14394</v>
      </c>
      <c r="B54">
        <f>IFERROR(NETWORKDAYS('Jira BUGS'!D54,'Jira BUGS'!E54),0)</f>
        <v>0</v>
      </c>
      <c r="C54">
        <f>'Jira BUGS'!O54</f>
        <v>1</v>
      </c>
      <c r="D54">
        <f>'Jira BUGS'!S54</f>
        <v>2</v>
      </c>
      <c r="E54">
        <f>'Jira BUGS'!J54</f>
        <v>45680</v>
      </c>
      <c r="F54" t="str">
        <f>'Jira BUGS'!C54</f>
        <v>ERNESTO Gimeno Valiente</v>
      </c>
      <c r="G54" t="str">
        <f>'Jira BUGS'!G54</f>
        <v/>
      </c>
    </row>
    <row r="55" spans="1:12" x14ac:dyDescent="0.25">
      <c r="A55" t="str">
        <f>'Jira BUGS'!A55</f>
        <v>ESPC360-14429</v>
      </c>
      <c r="B55">
        <f>IFERROR(NETWORKDAYS('Jira BUGS'!D55,'Jira BUGS'!E55),0)</f>
        <v>0</v>
      </c>
      <c r="C55">
        <f>'Jira BUGS'!O55</f>
        <v>1</v>
      </c>
      <c r="D55">
        <f>'Jira BUGS'!S55</f>
        <v>1</v>
      </c>
      <c r="E55">
        <f>'Jira BUGS'!J55</f>
        <v>45670</v>
      </c>
      <c r="F55" t="str">
        <f>'Jira BUGS'!C55</f>
        <v>JOSE FELIZ HERNANDEZ</v>
      </c>
      <c r="G55" t="str">
        <f>'Jira BUGS'!G55</f>
        <v/>
      </c>
    </row>
    <row r="56" spans="1:12" x14ac:dyDescent="0.25">
      <c r="A56" t="str">
        <f>'Jira BUGS'!A56</f>
        <v>ESPC360-14111</v>
      </c>
      <c r="B56">
        <f>IFERROR(NETWORKDAYS('Jira BUGS'!D56,'Jira BUGS'!E56),0)</f>
        <v>0</v>
      </c>
      <c r="C56">
        <f>'Jira BUGS'!O56</f>
        <v>12</v>
      </c>
      <c r="D56">
        <f>'Jira BUGS'!S56</f>
        <v>1</v>
      </c>
      <c r="E56">
        <f>'Jira BUGS'!J56</f>
        <v>45670</v>
      </c>
      <c r="F56" t="str">
        <f>'Jira BUGS'!C56</f>
        <v>ERNESTO Gimeno Valiente</v>
      </c>
      <c r="G56" t="str">
        <f>'Jira BUGS'!G56</f>
        <v/>
      </c>
      <c r="K56" s="2" t="s">
        <v>86</v>
      </c>
      <c r="L56" s="2" t="s">
        <v>87</v>
      </c>
    </row>
    <row r="57" spans="1:12" x14ac:dyDescent="0.25">
      <c r="A57" t="str">
        <f>'Jira BUGS'!A57</f>
        <v>ESPC360-11498</v>
      </c>
      <c r="B57">
        <f>IFERROR(NETWORKDAYS('Jira BUGS'!D57,'Jira BUGS'!E57),0)</f>
        <v>0</v>
      </c>
      <c r="C57">
        <f>'Jira BUGS'!O57</f>
        <v>9</v>
      </c>
      <c r="D57">
        <f>'Jira BUGS'!S57</f>
        <v>1</v>
      </c>
      <c r="E57">
        <f>'Jira BUGS'!J57</f>
        <v>45552</v>
      </c>
      <c r="F57" t="str">
        <f>'Jira BUGS'!C57</f>
        <v>ERNESTO Gimeno Valiente</v>
      </c>
      <c r="G57" t="str">
        <f>'Jira BUGS'!G57</f>
        <v/>
      </c>
      <c r="J57" s="2" t="s">
        <v>88</v>
      </c>
    </row>
    <row r="58" spans="1:12" x14ac:dyDescent="0.25">
      <c r="A58" t="str">
        <f>'Jira BUGS'!A58</f>
        <v>ESPC360-13855</v>
      </c>
      <c r="B58">
        <f>IFERROR(NETWORKDAYS('Jira BUGS'!D58,'Jira BUGS'!E58),0)</f>
        <v>0</v>
      </c>
      <c r="C58">
        <f>'Jira BUGS'!O58</f>
        <v>12</v>
      </c>
      <c r="D58">
        <f>'Jira BUGS'!S58</f>
        <v>1</v>
      </c>
      <c r="E58">
        <f>'Jira BUGS'!J58</f>
        <v>45646</v>
      </c>
      <c r="F58" t="str">
        <f>'Jira BUGS'!C58</f>
        <v>ERNESTO Gimeno Valiente</v>
      </c>
      <c r="G58" t="str">
        <f>'Jira BUGS'!G58</f>
        <v/>
      </c>
      <c r="J58" t="s">
        <v>89</v>
      </c>
    </row>
    <row r="59" spans="1:12" x14ac:dyDescent="0.25">
      <c r="A59" t="str">
        <f>'Jira BUGS'!A59</f>
        <v>ESPC360-13475</v>
      </c>
      <c r="B59">
        <f>IFERROR(NETWORKDAYS('Jira BUGS'!D59,'Jira BUGS'!E59),0)</f>
        <v>0</v>
      </c>
      <c r="C59">
        <f>'Jira BUGS'!O59</f>
        <v>11</v>
      </c>
      <c r="D59">
        <f>'Jira BUGS'!S59</f>
        <v>1</v>
      </c>
      <c r="E59">
        <f>'Jira BUGS'!J59</f>
        <v>45636</v>
      </c>
      <c r="F59" t="str">
        <f>'Jira BUGS'!C59</f>
        <v>ERNESTO Gimeno Valiente</v>
      </c>
      <c r="G59" t="str">
        <f>'Jira BUGS'!G59</f>
        <v/>
      </c>
      <c r="J59" t="s">
        <v>90</v>
      </c>
    </row>
    <row r="60" spans="1:12" x14ac:dyDescent="0.25">
      <c r="A60" t="str">
        <f>'Jira BUGS'!A60</f>
        <v>ESPC360-13290</v>
      </c>
      <c r="B60">
        <f>IFERROR(NETWORKDAYS('Jira BUGS'!D60,'Jira BUGS'!E60),0)</f>
        <v>0</v>
      </c>
      <c r="C60">
        <f>'Jira BUGS'!O60</f>
        <v>11</v>
      </c>
      <c r="D60">
        <f>'Jira BUGS'!S60</f>
        <v>1</v>
      </c>
      <c r="E60">
        <f>'Jira BUGS'!J60</f>
        <v>45666</v>
      </c>
      <c r="F60" t="str">
        <f>'Jira BUGS'!C60</f>
        <v>ERNESTO Gimeno Valiente</v>
      </c>
      <c r="G60" t="str">
        <f>'Jira BUGS'!G60</f>
        <v/>
      </c>
      <c r="J60" s="2" t="s">
        <v>91</v>
      </c>
    </row>
    <row r="61" spans="1:12" x14ac:dyDescent="0.25">
      <c r="A61" t="str">
        <f>'Jira BUGS'!A61</f>
        <v>ESPC360-11178</v>
      </c>
      <c r="B61">
        <f>IFERROR(NETWORKDAYS('Jira BUGS'!D61,'Jira BUGS'!E61),0)</f>
        <v>0</v>
      </c>
      <c r="C61">
        <f>'Jira BUGS'!O61</f>
        <v>9</v>
      </c>
      <c r="D61">
        <f>'Jira BUGS'!S61</f>
        <v>1</v>
      </c>
      <c r="E61">
        <f>'Jira BUGS'!J61</f>
        <v>45546</v>
      </c>
      <c r="F61" t="str">
        <f>'Jira BUGS'!C61</f>
        <v>GONZALO GARCIA MORENO</v>
      </c>
      <c r="G61" t="str">
        <f>'Jira BUGS'!G61</f>
        <v/>
      </c>
      <c r="J61" t="s">
        <v>92</v>
      </c>
    </row>
    <row r="62" spans="1:12" x14ac:dyDescent="0.25">
      <c r="A62" t="str">
        <f>'Jira BUGS'!A62</f>
        <v>ESPC360-12718</v>
      </c>
      <c r="B62">
        <f>IFERROR(NETWORKDAYS('Jira BUGS'!D62,'Jira BUGS'!E62),0)</f>
        <v>0</v>
      </c>
      <c r="C62">
        <f>'Jira BUGS'!O62</f>
        <v>10</v>
      </c>
      <c r="D62">
        <f>'Jira BUGS'!S62</f>
        <v>1</v>
      </c>
      <c r="E62" t="str">
        <f>'Jira BUGS'!J62</f>
        <v/>
      </c>
      <c r="F62" t="str">
        <f>'Jira BUGS'!C62</f>
        <v/>
      </c>
      <c r="G62" t="str">
        <f>'Jira BUGS'!G62</f>
        <v/>
      </c>
      <c r="J62" t="s">
        <v>93</v>
      </c>
    </row>
    <row r="63" spans="1:12" x14ac:dyDescent="0.25">
      <c r="A63">
        <f>'Jira BUGS'!A63</f>
        <v>0</v>
      </c>
      <c r="B63">
        <f>IFERROR(NETWORKDAYS('Jira BUGS'!D63,'Jira BUGS'!E63),0)</f>
        <v>0</v>
      </c>
      <c r="C63">
        <f>'Jira BUGS'!O63</f>
        <v>0</v>
      </c>
      <c r="D63">
        <f>'Jira BUGS'!S63</f>
        <v>0</v>
      </c>
      <c r="E63">
        <f>'Jira BUGS'!J63</f>
        <v>0</v>
      </c>
      <c r="F63">
        <f>'Jira BUGS'!C63</f>
        <v>0</v>
      </c>
      <c r="G63">
        <f>'Jira BUGS'!G63</f>
        <v>0</v>
      </c>
      <c r="J63" s="2" t="s">
        <v>94</v>
      </c>
    </row>
    <row r="64" spans="1:12" x14ac:dyDescent="0.25">
      <c r="A64">
        <f>'Jira BUGS'!A64</f>
        <v>0</v>
      </c>
      <c r="B64">
        <f>IFERROR(NETWORKDAYS('Jira BUGS'!D64,'Jira BUGS'!E64),0)</f>
        <v>0</v>
      </c>
      <c r="C64">
        <f>'Jira BUGS'!O64</f>
        <v>0</v>
      </c>
      <c r="D64">
        <f>'Jira BUGS'!S64</f>
        <v>0</v>
      </c>
      <c r="E64">
        <f>'Jira BUGS'!J64</f>
        <v>0</v>
      </c>
      <c r="F64">
        <f>'Jira BUGS'!C64</f>
        <v>0</v>
      </c>
      <c r="G64">
        <f>'Jira BUGS'!G64</f>
        <v>0</v>
      </c>
      <c r="J64" t="s">
        <v>95</v>
      </c>
    </row>
    <row r="65" spans="1:22" x14ac:dyDescent="0.25">
      <c r="A65">
        <f>'Jira BUGS'!A65</f>
        <v>0</v>
      </c>
      <c r="B65">
        <f>IFERROR(NETWORKDAYS('Jira BUGS'!D65,'Jira BUGS'!E65),0)</f>
        <v>0</v>
      </c>
      <c r="C65">
        <f>'Jira BUGS'!O65</f>
        <v>0</v>
      </c>
      <c r="D65">
        <f>'Jira BUGS'!S65</f>
        <v>0</v>
      </c>
      <c r="E65">
        <f>'Jira BUGS'!J65</f>
        <v>0</v>
      </c>
      <c r="F65">
        <f>'Jira BUGS'!C65</f>
        <v>0</v>
      </c>
      <c r="G65">
        <f>'Jira BUGS'!G65</f>
        <v>0</v>
      </c>
      <c r="J65" t="s">
        <v>96</v>
      </c>
    </row>
    <row r="66" spans="1:22" x14ac:dyDescent="0.25">
      <c r="A66">
        <f>'Jira BUGS'!A66</f>
        <v>0</v>
      </c>
      <c r="B66">
        <f>IFERROR(NETWORKDAYS('Jira BUGS'!D66,'Jira BUGS'!E66),0)</f>
        <v>0</v>
      </c>
      <c r="C66">
        <f>'Jira BUGS'!O66</f>
        <v>0</v>
      </c>
      <c r="D66">
        <f>'Jira BUGS'!S66</f>
        <v>0</v>
      </c>
      <c r="E66">
        <f>'Jira BUGS'!J66</f>
        <v>0</v>
      </c>
      <c r="F66">
        <f>'Jira BUGS'!C66</f>
        <v>0</v>
      </c>
      <c r="G66">
        <f>'Jira BUGS'!G66</f>
        <v>0</v>
      </c>
    </row>
    <row r="67" spans="1:22" x14ac:dyDescent="0.25">
      <c r="A67">
        <f>'Jira BUGS'!A67</f>
        <v>0</v>
      </c>
      <c r="B67">
        <f>IFERROR(NETWORKDAYS('Jira BUGS'!D67,'Jira BUGS'!E67),0)</f>
        <v>0</v>
      </c>
      <c r="C67">
        <f>'Jira BUGS'!O67</f>
        <v>0</v>
      </c>
      <c r="D67">
        <f>'Jira BUGS'!S67</f>
        <v>0</v>
      </c>
      <c r="E67">
        <f>'Jira BUGS'!J67</f>
        <v>0</v>
      </c>
      <c r="F67">
        <f>'Jira BUGS'!C67</f>
        <v>0</v>
      </c>
      <c r="G67">
        <f>'Jira BUGS'!G67</f>
        <v>0</v>
      </c>
      <c r="K67" s="2" t="s">
        <v>97</v>
      </c>
      <c r="L67" s="2" t="s">
        <v>98</v>
      </c>
      <c r="M67" s="2" t="s">
        <v>99</v>
      </c>
      <c r="N67" s="2" t="s">
        <v>100</v>
      </c>
      <c r="O67" s="2" t="s">
        <v>101</v>
      </c>
      <c r="P67" s="2" t="s">
        <v>102</v>
      </c>
      <c r="Q67" s="2" t="s">
        <v>103</v>
      </c>
      <c r="R67" s="2" t="s">
        <v>104</v>
      </c>
      <c r="S67" s="2" t="s">
        <v>105</v>
      </c>
      <c r="T67" s="2" t="s">
        <v>106</v>
      </c>
      <c r="U67" s="2" t="s">
        <v>107</v>
      </c>
      <c r="V67" s="2" t="s">
        <v>108</v>
      </c>
    </row>
    <row r="68" spans="1:22" x14ac:dyDescent="0.25">
      <c r="A68">
        <f>'Jira BUGS'!A68</f>
        <v>0</v>
      </c>
      <c r="B68">
        <f>IFERROR(NETWORKDAYS('Jira BUGS'!D68,'Jira BUGS'!E68),0)</f>
        <v>0</v>
      </c>
      <c r="C68">
        <f>'Jira BUGS'!O68</f>
        <v>0</v>
      </c>
      <c r="D68">
        <f>'Jira BUGS'!S68</f>
        <v>0</v>
      </c>
      <c r="E68">
        <f>'Jira BUGS'!J68</f>
        <v>0</v>
      </c>
      <c r="F68">
        <f>'Jira BUGS'!C68</f>
        <v>0</v>
      </c>
      <c r="G68">
        <f>'Jira BUGS'!G68</f>
        <v>0</v>
      </c>
      <c r="J68" s="2" t="s">
        <v>88</v>
      </c>
    </row>
    <row r="69" spans="1:22" x14ac:dyDescent="0.25">
      <c r="A69">
        <f>'Jira BUGS'!A69</f>
        <v>0</v>
      </c>
      <c r="B69">
        <f>IFERROR(NETWORKDAYS('Jira BUGS'!D69,'Jira BUGS'!E69),0)</f>
        <v>0</v>
      </c>
      <c r="C69">
        <f>'Jira BUGS'!O69</f>
        <v>0</v>
      </c>
      <c r="D69">
        <f>'Jira BUGS'!S69</f>
        <v>0</v>
      </c>
      <c r="E69">
        <f>'Jira BUGS'!J69</f>
        <v>0</v>
      </c>
      <c r="F69">
        <f>'Jira BUGS'!C69</f>
        <v>0</v>
      </c>
      <c r="G69">
        <f>'Jira BUGS'!G69</f>
        <v>0</v>
      </c>
      <c r="J69" t="s">
        <v>89</v>
      </c>
      <c r="K69" s="2"/>
    </row>
    <row r="70" spans="1:22" x14ac:dyDescent="0.25">
      <c r="A70">
        <f>'Jira BUGS'!A70</f>
        <v>0</v>
      </c>
      <c r="B70">
        <f>IFERROR(NETWORKDAYS('Jira BUGS'!D70,'Jira BUGS'!E70),0)</f>
        <v>0</v>
      </c>
      <c r="C70">
        <f>'Jira BUGS'!O70</f>
        <v>0</v>
      </c>
      <c r="D70">
        <f>'Jira BUGS'!S70</f>
        <v>0</v>
      </c>
      <c r="E70">
        <f>'Jira BUGS'!J70</f>
        <v>0</v>
      </c>
      <c r="F70">
        <f>'Jira BUGS'!C70</f>
        <v>0</v>
      </c>
      <c r="G70">
        <f>'Jira BUGS'!G70</f>
        <v>0</v>
      </c>
      <c r="J70" t="s">
        <v>90</v>
      </c>
    </row>
    <row r="71" spans="1:22" x14ac:dyDescent="0.25">
      <c r="A71">
        <f>'Jira BUGS'!A71</f>
        <v>0</v>
      </c>
      <c r="B71">
        <f>IFERROR(NETWORKDAYS('Jira BUGS'!D71,'Jira BUGS'!E71),0)</f>
        <v>0</v>
      </c>
      <c r="C71">
        <f>'Jira BUGS'!O71</f>
        <v>0</v>
      </c>
      <c r="D71">
        <f>'Jira BUGS'!S71</f>
        <v>0</v>
      </c>
      <c r="E71">
        <f>'Jira BUGS'!J71</f>
        <v>0</v>
      </c>
      <c r="F71">
        <f>'Jira BUGS'!C71</f>
        <v>0</v>
      </c>
      <c r="G71">
        <f>'Jira BUGS'!G71</f>
        <v>0</v>
      </c>
      <c r="J71" s="2" t="s">
        <v>91</v>
      </c>
    </row>
    <row r="72" spans="1:22" x14ac:dyDescent="0.25">
      <c r="A72">
        <f>'Jira BUGS'!A72</f>
        <v>0</v>
      </c>
      <c r="B72">
        <f>IFERROR(NETWORKDAYS('Jira BUGS'!D72,'Jira BUGS'!E72),0)</f>
        <v>0</v>
      </c>
      <c r="C72">
        <f>'Jira BUGS'!O72</f>
        <v>0</v>
      </c>
      <c r="D72">
        <f>'Jira BUGS'!S72</f>
        <v>0</v>
      </c>
      <c r="E72">
        <f>'Jira BUGS'!J72</f>
        <v>0</v>
      </c>
      <c r="F72">
        <f>'Jira BUGS'!C72</f>
        <v>0</v>
      </c>
      <c r="G72">
        <f>'Jira BUGS'!G72</f>
        <v>0</v>
      </c>
      <c r="J72" t="s">
        <v>92</v>
      </c>
    </row>
    <row r="73" spans="1:22" x14ac:dyDescent="0.25">
      <c r="A73">
        <f>'Jira BUGS'!A73</f>
        <v>0</v>
      </c>
      <c r="B73">
        <f>IFERROR(NETWORKDAYS('Jira BUGS'!D73,'Jira BUGS'!E73),0)</f>
        <v>0</v>
      </c>
      <c r="C73">
        <f>'Jira BUGS'!O73</f>
        <v>0</v>
      </c>
      <c r="D73">
        <f>'Jira BUGS'!S73</f>
        <v>0</v>
      </c>
      <c r="E73">
        <f>'Jira BUGS'!J73</f>
        <v>0</v>
      </c>
      <c r="F73">
        <f>'Jira BUGS'!C73</f>
        <v>0</v>
      </c>
      <c r="G73">
        <f>'Jira BUGS'!G73</f>
        <v>0</v>
      </c>
      <c r="J73" t="s">
        <v>93</v>
      </c>
    </row>
    <row r="74" spans="1:22" x14ac:dyDescent="0.25">
      <c r="A74">
        <f>'Jira BUGS'!A74</f>
        <v>0</v>
      </c>
      <c r="B74">
        <f>IFERROR(NETWORKDAYS('Jira BUGS'!D74,'Jira BUGS'!E74),0)</f>
        <v>0</v>
      </c>
      <c r="C74">
        <f>'Jira BUGS'!O74</f>
        <v>0</v>
      </c>
      <c r="D74">
        <f>'Jira BUGS'!S74</f>
        <v>0</v>
      </c>
      <c r="E74">
        <f>'Jira BUGS'!J74</f>
        <v>0</v>
      </c>
      <c r="F74">
        <f>'Jira BUGS'!C74</f>
        <v>0</v>
      </c>
      <c r="G74">
        <f>'Jira BUGS'!G74</f>
        <v>0</v>
      </c>
      <c r="J74" s="2" t="s">
        <v>94</v>
      </c>
    </row>
    <row r="75" spans="1:22" x14ac:dyDescent="0.25">
      <c r="A75">
        <f>'Jira BUGS'!A75</f>
        <v>0</v>
      </c>
      <c r="B75">
        <f>IFERROR(NETWORKDAYS('Jira BUGS'!D75,'Jira BUGS'!E75),0)</f>
        <v>0</v>
      </c>
      <c r="C75">
        <f>'Jira BUGS'!O75</f>
        <v>0</v>
      </c>
      <c r="D75">
        <f>'Jira BUGS'!S75</f>
        <v>0</v>
      </c>
      <c r="E75">
        <f>'Jira BUGS'!J75</f>
        <v>0</v>
      </c>
      <c r="F75">
        <f>'Jira BUGS'!C75</f>
        <v>0</v>
      </c>
      <c r="G75">
        <f>'Jira BUGS'!G75</f>
        <v>0</v>
      </c>
      <c r="J75" t="s">
        <v>95</v>
      </c>
    </row>
    <row r="76" spans="1:22" x14ac:dyDescent="0.25">
      <c r="A76">
        <f>'Jira BUGS'!A76</f>
        <v>0</v>
      </c>
      <c r="B76">
        <f>IFERROR(NETWORKDAYS('Jira BUGS'!D76,'Jira BUGS'!E76),0)</f>
        <v>0</v>
      </c>
      <c r="C76">
        <f>'Jira BUGS'!O76</f>
        <v>0</v>
      </c>
      <c r="D76">
        <f>'Jira BUGS'!S76</f>
        <v>0</v>
      </c>
      <c r="E76">
        <f>'Jira BUGS'!J76</f>
        <v>0</v>
      </c>
      <c r="F76">
        <f>'Jira BUGS'!C76</f>
        <v>0</v>
      </c>
      <c r="G76">
        <f>'Jira BUGS'!G76</f>
        <v>0</v>
      </c>
      <c r="J76" t="s">
        <v>96</v>
      </c>
    </row>
    <row r="77" spans="1:22" x14ac:dyDescent="0.25">
      <c r="A77">
        <f>'Jira BUGS'!A77</f>
        <v>0</v>
      </c>
      <c r="B77">
        <f>IFERROR(NETWORKDAYS('Jira BUGS'!D77,'Jira BUGS'!E77),0)</f>
        <v>0</v>
      </c>
      <c r="C77">
        <f>'Jira BUGS'!O77</f>
        <v>0</v>
      </c>
      <c r="D77">
        <f>'Jira BUGS'!S77</f>
        <v>0</v>
      </c>
      <c r="E77">
        <f>'Jira BUGS'!J77</f>
        <v>0</v>
      </c>
      <c r="F77">
        <f>'Jira BUGS'!C77</f>
        <v>0</v>
      </c>
      <c r="G77">
        <f>'Jira BUGS'!G77</f>
        <v>0</v>
      </c>
    </row>
    <row r="78" spans="1:22" x14ac:dyDescent="0.25">
      <c r="A78">
        <f>'Jira BUGS'!A78</f>
        <v>0</v>
      </c>
      <c r="B78">
        <f>IFERROR(NETWORKDAYS('Jira BUGS'!D78,'Jira BUGS'!E78),0)</f>
        <v>0</v>
      </c>
      <c r="C78">
        <f>'Jira BUGS'!O78</f>
        <v>0</v>
      </c>
      <c r="D78">
        <f>'Jira BUGS'!S78</f>
        <v>0</v>
      </c>
      <c r="E78">
        <f>'Jira BUGS'!J78</f>
        <v>0</v>
      </c>
      <c r="F78">
        <f>'Jira BUGS'!C78</f>
        <v>0</v>
      </c>
      <c r="G78">
        <f>'Jira BUGS'!G78</f>
        <v>0</v>
      </c>
    </row>
    <row r="79" spans="1:22" x14ac:dyDescent="0.25">
      <c r="A79">
        <f>'Jira BUGS'!A79</f>
        <v>0</v>
      </c>
      <c r="B79">
        <f>IFERROR(NETWORKDAYS('Jira BUGS'!D79,'Jira BUGS'!E79),0)</f>
        <v>0</v>
      </c>
      <c r="C79">
        <f>'Jira BUGS'!O79</f>
        <v>0</v>
      </c>
      <c r="D79">
        <f>'Jira BUGS'!S79</f>
        <v>0</v>
      </c>
      <c r="E79">
        <f>'Jira BUGS'!J79</f>
        <v>0</v>
      </c>
      <c r="F79">
        <f>'Jira BUGS'!C79</f>
        <v>0</v>
      </c>
      <c r="G79">
        <f>'Jira BUGS'!G79</f>
        <v>0</v>
      </c>
    </row>
    <row r="80" spans="1:22" x14ac:dyDescent="0.25">
      <c r="A80">
        <f>'Jira BUGS'!A80</f>
        <v>0</v>
      </c>
      <c r="B80">
        <f>IFERROR(NETWORKDAYS('Jira BUGS'!D80,'Jira BUGS'!E80),0)</f>
        <v>0</v>
      </c>
      <c r="C80">
        <f>'Jira BUGS'!O80</f>
        <v>0</v>
      </c>
      <c r="D80">
        <f>'Jira BUGS'!S80</f>
        <v>0</v>
      </c>
      <c r="E80">
        <f>'Jira BUGS'!J80</f>
        <v>0</v>
      </c>
      <c r="F80">
        <f>'Jira BUGS'!C80</f>
        <v>0</v>
      </c>
      <c r="G80">
        <f>'Jira BUGS'!G80</f>
        <v>0</v>
      </c>
    </row>
    <row r="81" spans="1:7" x14ac:dyDescent="0.25">
      <c r="A81">
        <f>'Jira BUGS'!A81</f>
        <v>0</v>
      </c>
      <c r="B81">
        <f>IFERROR(NETWORKDAYS('Jira BUGS'!D81,'Jira BUGS'!E81),0)</f>
        <v>0</v>
      </c>
      <c r="C81">
        <f>'Jira BUGS'!O81</f>
        <v>0</v>
      </c>
      <c r="D81">
        <f>'Jira BUGS'!S81</f>
        <v>0</v>
      </c>
      <c r="E81">
        <f>'Jira BUGS'!J81</f>
        <v>0</v>
      </c>
      <c r="F81">
        <f>'Jira BUGS'!C81</f>
        <v>0</v>
      </c>
      <c r="G81">
        <f>'Jira BUGS'!G81</f>
        <v>0</v>
      </c>
    </row>
    <row r="82" spans="1:7" x14ac:dyDescent="0.25">
      <c r="A82">
        <f>'Jira BUGS'!A82</f>
        <v>0</v>
      </c>
      <c r="B82">
        <f>IFERROR(NETWORKDAYS('Jira BUGS'!D82,'Jira BUGS'!E82),0)</f>
        <v>0</v>
      </c>
      <c r="C82">
        <f>'Jira BUGS'!O82</f>
        <v>0</v>
      </c>
      <c r="D82">
        <f>'Jira BUGS'!S82</f>
        <v>0</v>
      </c>
      <c r="E82">
        <f>'Jira BUGS'!J82</f>
        <v>0</v>
      </c>
      <c r="F82">
        <f>'Jira BUGS'!C82</f>
        <v>0</v>
      </c>
      <c r="G82">
        <f>'Jira BUGS'!G82</f>
        <v>0</v>
      </c>
    </row>
    <row r="83" spans="1:7" x14ac:dyDescent="0.25">
      <c r="A83">
        <f>'Jira BUGS'!A83</f>
        <v>0</v>
      </c>
      <c r="B83">
        <f>IFERROR(NETWORKDAYS('Jira BUGS'!D83,'Jira BUGS'!E83),0)</f>
        <v>0</v>
      </c>
      <c r="C83">
        <f>'Jira BUGS'!O83</f>
        <v>0</v>
      </c>
      <c r="D83">
        <f>'Jira BUGS'!S83</f>
        <v>0</v>
      </c>
      <c r="E83">
        <f>'Jira BUGS'!J83</f>
        <v>0</v>
      </c>
      <c r="F83">
        <f>'Jira BUGS'!C83</f>
        <v>0</v>
      </c>
      <c r="G83">
        <f>'Jira BUGS'!G83</f>
        <v>0</v>
      </c>
    </row>
    <row r="84" spans="1:7" x14ac:dyDescent="0.25">
      <c r="A84">
        <f>'Jira BUGS'!A84</f>
        <v>0</v>
      </c>
      <c r="B84">
        <f>IFERROR(NETWORKDAYS('Jira BUGS'!D84,'Jira BUGS'!E84),0)</f>
        <v>0</v>
      </c>
      <c r="C84">
        <f>'Jira BUGS'!O84</f>
        <v>0</v>
      </c>
      <c r="D84">
        <f>'Jira BUGS'!S84</f>
        <v>0</v>
      </c>
      <c r="E84">
        <f>'Jira BUGS'!J84</f>
        <v>0</v>
      </c>
      <c r="F84">
        <f>'Jira BUGS'!C84</f>
        <v>0</v>
      </c>
      <c r="G84">
        <f>'Jira BUGS'!G84</f>
        <v>0</v>
      </c>
    </row>
    <row r="85" spans="1:7" x14ac:dyDescent="0.25">
      <c r="A85">
        <f>'Jira BUGS'!A85</f>
        <v>0</v>
      </c>
      <c r="B85">
        <f>IFERROR(NETWORKDAYS('Jira BUGS'!D85,'Jira BUGS'!E85),0)</f>
        <v>0</v>
      </c>
      <c r="C85">
        <f>'Jira BUGS'!O85</f>
        <v>0</v>
      </c>
      <c r="D85">
        <f>'Jira BUGS'!S85</f>
        <v>0</v>
      </c>
      <c r="E85">
        <f>'Jira BUGS'!J85</f>
        <v>0</v>
      </c>
      <c r="F85">
        <f>'Jira BUGS'!C85</f>
        <v>0</v>
      </c>
      <c r="G85">
        <f>'Jira BUGS'!G85</f>
        <v>0</v>
      </c>
    </row>
    <row r="86" spans="1:7" x14ac:dyDescent="0.25">
      <c r="A86">
        <f>'Jira BUGS'!A86</f>
        <v>0</v>
      </c>
      <c r="B86">
        <f>IFERROR(NETWORKDAYS('Jira BUGS'!D86,'Jira BUGS'!E86),0)</f>
        <v>0</v>
      </c>
      <c r="C86">
        <f>'Jira BUGS'!O86</f>
        <v>0</v>
      </c>
      <c r="D86">
        <f>'Jira BUGS'!S86</f>
        <v>0</v>
      </c>
      <c r="E86">
        <f>'Jira BUGS'!J86</f>
        <v>0</v>
      </c>
      <c r="F86">
        <f>'Jira BUGS'!C86</f>
        <v>0</v>
      </c>
      <c r="G86">
        <f>'Jira BUGS'!G86</f>
        <v>0</v>
      </c>
    </row>
    <row r="87" spans="1:7" x14ac:dyDescent="0.25">
      <c r="A87">
        <f>'Jira BUGS'!A87</f>
        <v>0</v>
      </c>
      <c r="B87">
        <f>IFERROR(NETWORKDAYS('Jira BUGS'!D87,'Jira BUGS'!E87),0)</f>
        <v>0</v>
      </c>
      <c r="C87">
        <f>'Jira BUGS'!O87</f>
        <v>0</v>
      </c>
      <c r="D87">
        <f>'Jira BUGS'!S87</f>
        <v>0</v>
      </c>
      <c r="E87">
        <f>'Jira BUGS'!J87</f>
        <v>0</v>
      </c>
      <c r="F87">
        <f>'Jira BUGS'!C87</f>
        <v>0</v>
      </c>
      <c r="G87">
        <f>'Jira BUGS'!G87</f>
        <v>0</v>
      </c>
    </row>
    <row r="88" spans="1:7" x14ac:dyDescent="0.25">
      <c r="A88">
        <f>'Jira BUGS'!A88</f>
        <v>0</v>
      </c>
      <c r="B88">
        <f>IFERROR(NETWORKDAYS('Jira BUGS'!D88,'Jira BUGS'!E88),0)</f>
        <v>0</v>
      </c>
      <c r="C88">
        <f>'Jira BUGS'!O88</f>
        <v>0</v>
      </c>
      <c r="D88">
        <f>'Jira BUGS'!S88</f>
        <v>0</v>
      </c>
      <c r="E88">
        <f>'Jira BUGS'!J88</f>
        <v>0</v>
      </c>
      <c r="F88">
        <f>'Jira BUGS'!C88</f>
        <v>0</v>
      </c>
      <c r="G88">
        <f>'Jira BUGS'!G88</f>
        <v>0</v>
      </c>
    </row>
    <row r="89" spans="1:7" x14ac:dyDescent="0.25">
      <c r="A89">
        <f>'Jira BUGS'!A89</f>
        <v>0</v>
      </c>
      <c r="B89">
        <f>IFERROR(NETWORKDAYS('Jira BUGS'!D89,'Jira BUGS'!E89),0)</f>
        <v>0</v>
      </c>
      <c r="C89">
        <f>'Jira BUGS'!O89</f>
        <v>0</v>
      </c>
      <c r="D89">
        <f>'Jira BUGS'!S89</f>
        <v>0</v>
      </c>
      <c r="E89">
        <f>'Jira BUGS'!J89</f>
        <v>0</v>
      </c>
      <c r="F89">
        <f>'Jira BUGS'!C89</f>
        <v>0</v>
      </c>
      <c r="G89">
        <f>'Jira BUGS'!G89</f>
        <v>0</v>
      </c>
    </row>
    <row r="90" spans="1:7" x14ac:dyDescent="0.25">
      <c r="A90">
        <f>'Jira BUGS'!A90</f>
        <v>0</v>
      </c>
      <c r="B90">
        <f>IFERROR(NETWORKDAYS('Jira BUGS'!D90,'Jira BUGS'!E90),0)</f>
        <v>0</v>
      </c>
      <c r="C90">
        <f>'Jira BUGS'!O90</f>
        <v>0</v>
      </c>
      <c r="D90">
        <f>'Jira BUGS'!S90</f>
        <v>0</v>
      </c>
      <c r="E90">
        <f>'Jira BUGS'!J90</f>
        <v>0</v>
      </c>
      <c r="F90">
        <f>'Jira BUGS'!C90</f>
        <v>0</v>
      </c>
      <c r="G90">
        <f>'Jira BUGS'!G90</f>
        <v>0</v>
      </c>
    </row>
    <row r="91" spans="1:7" x14ac:dyDescent="0.25">
      <c r="A91">
        <f>'Jira BUGS'!A91</f>
        <v>0</v>
      </c>
      <c r="B91">
        <f>IFERROR(NETWORKDAYS('Jira BUGS'!D91,'Jira BUGS'!E91),0)</f>
        <v>0</v>
      </c>
      <c r="C91">
        <f>'Jira BUGS'!O91</f>
        <v>0</v>
      </c>
      <c r="D91">
        <f>'Jira BUGS'!S91</f>
        <v>0</v>
      </c>
      <c r="E91">
        <f>'Jira BUGS'!J91</f>
        <v>0</v>
      </c>
      <c r="F91">
        <f>'Jira BUGS'!C91</f>
        <v>0</v>
      </c>
      <c r="G91">
        <f>'Jira BUGS'!G91</f>
        <v>0</v>
      </c>
    </row>
    <row r="92" spans="1:7" x14ac:dyDescent="0.25">
      <c r="A92">
        <f>'Jira BUGS'!A92</f>
        <v>0</v>
      </c>
      <c r="B92">
        <f>IFERROR(NETWORKDAYS('Jira BUGS'!D92,'Jira BUGS'!E92),0)</f>
        <v>0</v>
      </c>
      <c r="C92">
        <f>'Jira BUGS'!O92</f>
        <v>0</v>
      </c>
      <c r="D92">
        <f>'Jira BUGS'!S92</f>
        <v>0</v>
      </c>
      <c r="E92">
        <f>'Jira BUGS'!J92</f>
        <v>0</v>
      </c>
      <c r="F92">
        <f>'Jira BUGS'!C92</f>
        <v>0</v>
      </c>
      <c r="G92">
        <f>'Jira BUGS'!G92</f>
        <v>0</v>
      </c>
    </row>
    <row r="93" spans="1:7" x14ac:dyDescent="0.25">
      <c r="A93">
        <f>'Jira BUGS'!A93</f>
        <v>0</v>
      </c>
      <c r="B93">
        <f>IFERROR(NETWORKDAYS('Jira BUGS'!D93,'Jira BUGS'!E93),0)</f>
        <v>0</v>
      </c>
      <c r="C93">
        <f>'Jira BUGS'!O93</f>
        <v>0</v>
      </c>
      <c r="D93">
        <f>'Jira BUGS'!S93</f>
        <v>0</v>
      </c>
      <c r="E93">
        <f>'Jira BUGS'!J93</f>
        <v>0</v>
      </c>
      <c r="F93">
        <f>'Jira BUGS'!C93</f>
        <v>0</v>
      </c>
      <c r="G93">
        <f>'Jira BUGS'!G93</f>
        <v>0</v>
      </c>
    </row>
    <row r="94" spans="1:7" x14ac:dyDescent="0.25">
      <c r="A94">
        <f>'Jira BUGS'!A94</f>
        <v>0</v>
      </c>
      <c r="B94">
        <f>IFERROR(NETWORKDAYS('Jira BUGS'!D94,'Jira BUGS'!E94),0)</f>
        <v>0</v>
      </c>
      <c r="C94">
        <f>'Jira BUGS'!O94</f>
        <v>0</v>
      </c>
      <c r="D94">
        <f>'Jira BUGS'!S94</f>
        <v>0</v>
      </c>
      <c r="E94">
        <f>'Jira BUGS'!J94</f>
        <v>0</v>
      </c>
      <c r="F94">
        <f>'Jira BUGS'!C94</f>
        <v>0</v>
      </c>
      <c r="G94">
        <f>'Jira BUGS'!G94</f>
        <v>0</v>
      </c>
    </row>
    <row r="95" spans="1:7" x14ac:dyDescent="0.25">
      <c r="A95">
        <f>'Jira BUGS'!A95</f>
        <v>0</v>
      </c>
      <c r="B95">
        <f>IFERROR(NETWORKDAYS('Jira BUGS'!D95,'Jira BUGS'!E95),0)</f>
        <v>0</v>
      </c>
      <c r="C95">
        <f>'Jira BUGS'!O95</f>
        <v>0</v>
      </c>
      <c r="D95">
        <f>'Jira BUGS'!S95</f>
        <v>0</v>
      </c>
      <c r="E95">
        <f>'Jira BUGS'!J95</f>
        <v>0</v>
      </c>
      <c r="F95">
        <f>'Jira BUGS'!C95</f>
        <v>0</v>
      </c>
      <c r="G95">
        <f>'Jira BUGS'!G95</f>
        <v>0</v>
      </c>
    </row>
    <row r="96" spans="1:7" x14ac:dyDescent="0.25">
      <c r="A96">
        <f>'Jira BUGS'!A96</f>
        <v>0</v>
      </c>
      <c r="B96">
        <f>IFERROR(NETWORKDAYS('Jira BUGS'!D96,'Jira BUGS'!E96),0)</f>
        <v>0</v>
      </c>
      <c r="C96">
        <f>'Jira BUGS'!O96</f>
        <v>0</v>
      </c>
      <c r="D96">
        <f>'Jira BUGS'!S96</f>
        <v>0</v>
      </c>
      <c r="E96">
        <f>'Jira BUGS'!J96</f>
        <v>0</v>
      </c>
      <c r="F96">
        <f>'Jira BUGS'!C96</f>
        <v>0</v>
      </c>
      <c r="G96">
        <f>'Jira BUGS'!G96</f>
        <v>0</v>
      </c>
    </row>
    <row r="97" spans="1:7" x14ac:dyDescent="0.25">
      <c r="A97">
        <f>'Jira BUGS'!A97</f>
        <v>0</v>
      </c>
      <c r="B97">
        <f>IFERROR(NETWORKDAYS('Jira BUGS'!D97,'Jira BUGS'!E97),0)</f>
        <v>0</v>
      </c>
      <c r="C97">
        <f>'Jira BUGS'!O97</f>
        <v>0</v>
      </c>
      <c r="D97">
        <f>'Jira BUGS'!S97</f>
        <v>0</v>
      </c>
      <c r="E97">
        <f>'Jira BUGS'!J97</f>
        <v>0</v>
      </c>
      <c r="F97">
        <f>'Jira BUGS'!C97</f>
        <v>0</v>
      </c>
      <c r="G97">
        <f>'Jira BUGS'!G97</f>
        <v>0</v>
      </c>
    </row>
    <row r="98" spans="1:7" x14ac:dyDescent="0.25">
      <c r="A98">
        <f>'Jira BUGS'!A98</f>
        <v>0</v>
      </c>
      <c r="B98">
        <f>IFERROR(NETWORKDAYS('Jira BUGS'!D98,'Jira BUGS'!E98),0)</f>
        <v>0</v>
      </c>
      <c r="C98">
        <f>'Jira BUGS'!O98</f>
        <v>0</v>
      </c>
      <c r="D98">
        <f>'Jira BUGS'!S98</f>
        <v>0</v>
      </c>
      <c r="E98">
        <f>'Jira BUGS'!J98</f>
        <v>0</v>
      </c>
      <c r="F98">
        <f>'Jira BUGS'!C98</f>
        <v>0</v>
      </c>
      <c r="G98">
        <f>'Jira BUGS'!G98</f>
        <v>0</v>
      </c>
    </row>
    <row r="99" spans="1:7" x14ac:dyDescent="0.25">
      <c r="A99">
        <f>'Jira BUGS'!A99</f>
        <v>0</v>
      </c>
      <c r="B99">
        <f>IFERROR(NETWORKDAYS('Jira BUGS'!D99,'Jira BUGS'!E99),0)</f>
        <v>0</v>
      </c>
      <c r="C99">
        <f>'Jira BUGS'!O99</f>
        <v>0</v>
      </c>
      <c r="D99">
        <f>'Jira BUGS'!S99</f>
        <v>0</v>
      </c>
      <c r="E99">
        <f>'Jira BUGS'!J99</f>
        <v>0</v>
      </c>
      <c r="F99">
        <f>'Jira BUGS'!C99</f>
        <v>0</v>
      </c>
      <c r="G99">
        <f>'Jira BUGS'!G99</f>
        <v>0</v>
      </c>
    </row>
    <row r="100" spans="1:7" x14ac:dyDescent="0.25">
      <c r="A100">
        <f>'Jira BUGS'!A100</f>
        <v>0</v>
      </c>
      <c r="B100">
        <f>IFERROR(NETWORKDAYS('Jira BUGS'!D100,'Jira BUGS'!E100),0)</f>
        <v>0</v>
      </c>
      <c r="C100">
        <f>'Jira BUGS'!O100</f>
        <v>0</v>
      </c>
      <c r="D100">
        <f>'Jira BUGS'!S100</f>
        <v>0</v>
      </c>
      <c r="E100">
        <f>'Jira BUGS'!J100</f>
        <v>0</v>
      </c>
      <c r="F100">
        <f>'Jira BUGS'!C100</f>
        <v>0</v>
      </c>
      <c r="G100">
        <f>'Jira BUGS'!G100</f>
        <v>0</v>
      </c>
    </row>
    <row r="101" spans="1:7" x14ac:dyDescent="0.25">
      <c r="A101">
        <f>'Jira BUGS'!A101</f>
        <v>0</v>
      </c>
      <c r="B101">
        <f>IFERROR(NETWORKDAYS('Jira BUGS'!D101,'Jira BUGS'!E101),0)</f>
        <v>0</v>
      </c>
      <c r="C101">
        <f>'Jira BUGS'!O101</f>
        <v>0</v>
      </c>
      <c r="D101">
        <f>'Jira BUGS'!S101</f>
        <v>0</v>
      </c>
      <c r="E101">
        <f>'Jira BUGS'!J101</f>
        <v>0</v>
      </c>
      <c r="F101">
        <f>'Jira BUGS'!C101</f>
        <v>0</v>
      </c>
      <c r="G101">
        <f>'Jira BUGS'!G101</f>
        <v>0</v>
      </c>
    </row>
    <row r="102" spans="1:7" x14ac:dyDescent="0.25">
      <c r="A102">
        <f>'Jira BUGS'!A102</f>
        <v>0</v>
      </c>
      <c r="B102">
        <f>IFERROR(NETWORKDAYS('Jira BUGS'!D102,'Jira BUGS'!E102),0)</f>
        <v>0</v>
      </c>
      <c r="C102">
        <f>'Jira BUGS'!O102</f>
        <v>0</v>
      </c>
      <c r="D102">
        <f>'Jira BUGS'!S102</f>
        <v>0</v>
      </c>
      <c r="E102">
        <f>'Jira BUGS'!J102</f>
        <v>0</v>
      </c>
      <c r="F102">
        <f>'Jira BUGS'!C102</f>
        <v>0</v>
      </c>
      <c r="G102">
        <f>'Jira BUGS'!G102</f>
        <v>0</v>
      </c>
    </row>
    <row r="103" spans="1:7" x14ac:dyDescent="0.25">
      <c r="A103">
        <f>'Jira BUGS'!A103</f>
        <v>0</v>
      </c>
      <c r="B103">
        <f>IFERROR(NETWORKDAYS('Jira BUGS'!D103,'Jira BUGS'!E103),0)</f>
        <v>0</v>
      </c>
      <c r="C103">
        <f>'Jira BUGS'!O103</f>
        <v>0</v>
      </c>
      <c r="D103">
        <f>'Jira BUGS'!S103</f>
        <v>0</v>
      </c>
      <c r="E103">
        <f>'Jira BUGS'!J103</f>
        <v>0</v>
      </c>
      <c r="F103">
        <f>'Jira BUGS'!C103</f>
        <v>0</v>
      </c>
      <c r="G103">
        <f>'Jira BUGS'!G103</f>
        <v>0</v>
      </c>
    </row>
    <row r="104" spans="1:7" x14ac:dyDescent="0.25">
      <c r="A104">
        <f>'Jira BUGS'!A104</f>
        <v>0</v>
      </c>
      <c r="B104">
        <f>IFERROR(NETWORKDAYS('Jira BUGS'!D104,'Jira BUGS'!E104),0)</f>
        <v>0</v>
      </c>
      <c r="C104">
        <f>'Jira BUGS'!O104</f>
        <v>0</v>
      </c>
      <c r="D104">
        <f>'Jira BUGS'!S104</f>
        <v>0</v>
      </c>
      <c r="E104">
        <f>'Jira BUGS'!J104</f>
        <v>0</v>
      </c>
      <c r="F104">
        <f>'Jira BUGS'!C104</f>
        <v>0</v>
      </c>
      <c r="G104">
        <f>'Jira BUGS'!G104</f>
        <v>0</v>
      </c>
    </row>
    <row r="105" spans="1:7" x14ac:dyDescent="0.25">
      <c r="A105">
        <f>'Jira BUGS'!A105</f>
        <v>0</v>
      </c>
      <c r="B105">
        <f>IFERROR(NETWORKDAYS('Jira BUGS'!D105,'Jira BUGS'!E105),0)</f>
        <v>0</v>
      </c>
      <c r="C105">
        <f>'Jira BUGS'!O105</f>
        <v>0</v>
      </c>
      <c r="D105">
        <f>'Jira BUGS'!S105</f>
        <v>0</v>
      </c>
      <c r="E105">
        <f>'Jira BUGS'!J105</f>
        <v>0</v>
      </c>
      <c r="F105">
        <f>'Jira BUGS'!C105</f>
        <v>0</v>
      </c>
      <c r="G105">
        <f>'Jira BUGS'!G105</f>
        <v>0</v>
      </c>
    </row>
    <row r="106" spans="1:7" x14ac:dyDescent="0.25">
      <c r="A106">
        <f>'Jira BUGS'!A106</f>
        <v>0</v>
      </c>
      <c r="B106">
        <f>IFERROR(NETWORKDAYS('Jira BUGS'!D106,'Jira BUGS'!E106),0)</f>
        <v>0</v>
      </c>
      <c r="C106">
        <f>'Jira BUGS'!O106</f>
        <v>0</v>
      </c>
      <c r="D106">
        <f>'Jira BUGS'!S106</f>
        <v>0</v>
      </c>
      <c r="E106">
        <f>'Jira BUGS'!J106</f>
        <v>0</v>
      </c>
      <c r="F106">
        <f>'Jira BUGS'!C106</f>
        <v>0</v>
      </c>
      <c r="G106">
        <f>'Jira BUGS'!G106</f>
        <v>0</v>
      </c>
    </row>
    <row r="107" spans="1:7" x14ac:dyDescent="0.25">
      <c r="A107">
        <f>'Jira BUGS'!A107</f>
        <v>0</v>
      </c>
      <c r="B107">
        <f>IFERROR(NETWORKDAYS('Jira BUGS'!D107,'Jira BUGS'!E107),0)</f>
        <v>0</v>
      </c>
      <c r="C107">
        <f>'Jira BUGS'!O107</f>
        <v>0</v>
      </c>
      <c r="D107">
        <f>'Jira BUGS'!S107</f>
        <v>0</v>
      </c>
      <c r="E107">
        <f>'Jira BUGS'!J107</f>
        <v>0</v>
      </c>
      <c r="F107">
        <f>'Jira BUGS'!C107</f>
        <v>0</v>
      </c>
      <c r="G107">
        <f>'Jira BUGS'!G107</f>
        <v>0</v>
      </c>
    </row>
    <row r="108" spans="1:7" x14ac:dyDescent="0.25">
      <c r="A108">
        <f>'Jira BUGS'!A108</f>
        <v>0</v>
      </c>
      <c r="B108">
        <f>IFERROR(NETWORKDAYS('Jira BUGS'!D108,'Jira BUGS'!E108),0)</f>
        <v>0</v>
      </c>
      <c r="C108">
        <f>'Jira BUGS'!O108</f>
        <v>0</v>
      </c>
      <c r="D108">
        <f>'Jira BUGS'!S108</f>
        <v>0</v>
      </c>
      <c r="E108">
        <f>'Jira BUGS'!J108</f>
        <v>0</v>
      </c>
      <c r="F108">
        <f>'Jira BUGS'!C108</f>
        <v>0</v>
      </c>
      <c r="G108">
        <f>'Jira BUGS'!G108</f>
        <v>0</v>
      </c>
    </row>
    <row r="109" spans="1:7" x14ac:dyDescent="0.25">
      <c r="A109">
        <f>'Jira BUGS'!A109</f>
        <v>0</v>
      </c>
      <c r="B109">
        <f>IFERROR(NETWORKDAYS('Jira BUGS'!D109,'Jira BUGS'!E109),0)</f>
        <v>0</v>
      </c>
      <c r="C109">
        <f>'Jira BUGS'!O109</f>
        <v>0</v>
      </c>
      <c r="D109">
        <f>'Jira BUGS'!S109</f>
        <v>0</v>
      </c>
      <c r="E109">
        <f>'Jira BUGS'!J109</f>
        <v>0</v>
      </c>
      <c r="F109">
        <f>'Jira BUGS'!C109</f>
        <v>0</v>
      </c>
      <c r="G109">
        <f>'Jira BUGS'!G109</f>
        <v>0</v>
      </c>
    </row>
    <row r="110" spans="1:7" x14ac:dyDescent="0.25">
      <c r="A110">
        <f>'Jira BUGS'!A110</f>
        <v>0</v>
      </c>
      <c r="B110">
        <f>IFERROR(NETWORKDAYS('Jira BUGS'!D110,'Jira BUGS'!E110),0)</f>
        <v>0</v>
      </c>
      <c r="C110">
        <f>'Jira BUGS'!O110</f>
        <v>0</v>
      </c>
      <c r="D110">
        <f>'Jira BUGS'!S110</f>
        <v>0</v>
      </c>
      <c r="E110">
        <f>'Jira BUGS'!J110</f>
        <v>0</v>
      </c>
      <c r="F110">
        <f>'Jira BUGS'!C110</f>
        <v>0</v>
      </c>
      <c r="G110">
        <f>'Jira BUGS'!G110</f>
        <v>0</v>
      </c>
    </row>
    <row r="111" spans="1:7" x14ac:dyDescent="0.25">
      <c r="A111">
        <f>'Jira BUGS'!A111</f>
        <v>0</v>
      </c>
      <c r="B111">
        <f>IFERROR(NETWORKDAYS('Jira BUGS'!D111,'Jira BUGS'!E111),0)</f>
        <v>0</v>
      </c>
      <c r="C111">
        <f>'Jira BUGS'!O111</f>
        <v>0</v>
      </c>
      <c r="D111">
        <f>'Jira BUGS'!S111</f>
        <v>0</v>
      </c>
      <c r="E111">
        <f>'Jira BUGS'!J111</f>
        <v>0</v>
      </c>
      <c r="F111">
        <f>'Jira BUGS'!C111</f>
        <v>0</v>
      </c>
      <c r="G111">
        <f>'Jira BUGS'!G111</f>
        <v>0</v>
      </c>
    </row>
    <row r="112" spans="1:7" x14ac:dyDescent="0.25">
      <c r="A112">
        <f>'Jira BUGS'!A112</f>
        <v>0</v>
      </c>
      <c r="B112">
        <f>IFERROR(NETWORKDAYS('Jira BUGS'!D112,'Jira BUGS'!E112),0)</f>
        <v>0</v>
      </c>
      <c r="C112">
        <f>'Jira BUGS'!O112</f>
        <v>0</v>
      </c>
      <c r="D112">
        <f>'Jira BUGS'!S112</f>
        <v>0</v>
      </c>
      <c r="E112">
        <f>'Jira BUGS'!J112</f>
        <v>0</v>
      </c>
      <c r="F112">
        <f>'Jira BUGS'!C112</f>
        <v>0</v>
      </c>
      <c r="G112">
        <f>'Jira BUGS'!G112</f>
        <v>0</v>
      </c>
    </row>
    <row r="113" spans="1:7" x14ac:dyDescent="0.25">
      <c r="A113">
        <f>'Jira BUGS'!A113</f>
        <v>0</v>
      </c>
      <c r="B113">
        <f>IFERROR(NETWORKDAYS('Jira BUGS'!D113,'Jira BUGS'!E113),0)</f>
        <v>0</v>
      </c>
      <c r="C113">
        <f>'Jira BUGS'!O113</f>
        <v>0</v>
      </c>
      <c r="D113">
        <f>'Jira BUGS'!S113</f>
        <v>0</v>
      </c>
      <c r="E113">
        <f>'Jira BUGS'!J113</f>
        <v>0</v>
      </c>
      <c r="F113">
        <f>'Jira BUGS'!C113</f>
        <v>0</v>
      </c>
      <c r="G113">
        <f>'Jira BUGS'!G113</f>
        <v>0</v>
      </c>
    </row>
    <row r="114" spans="1:7" x14ac:dyDescent="0.25">
      <c r="A114">
        <f>'Jira BUGS'!A114</f>
        <v>0</v>
      </c>
      <c r="B114">
        <f>IFERROR(NETWORKDAYS('Jira BUGS'!D114,'Jira BUGS'!E114),0)</f>
        <v>0</v>
      </c>
      <c r="C114">
        <f>'Jira BUGS'!O114</f>
        <v>0</v>
      </c>
      <c r="D114">
        <f>'Jira BUGS'!S114</f>
        <v>0</v>
      </c>
      <c r="E114">
        <f>'Jira BUGS'!J114</f>
        <v>0</v>
      </c>
      <c r="F114">
        <f>'Jira BUGS'!C114</f>
        <v>0</v>
      </c>
      <c r="G114">
        <f>'Jira BUGS'!G114</f>
        <v>0</v>
      </c>
    </row>
    <row r="115" spans="1:7" x14ac:dyDescent="0.25">
      <c r="A115">
        <f>'Jira BUGS'!A115</f>
        <v>0</v>
      </c>
      <c r="B115">
        <f>IFERROR(NETWORKDAYS('Jira BUGS'!D115,'Jira BUGS'!E115),0)</f>
        <v>0</v>
      </c>
      <c r="C115">
        <f>'Jira BUGS'!O115</f>
        <v>0</v>
      </c>
      <c r="D115">
        <f>'Jira BUGS'!S115</f>
        <v>0</v>
      </c>
      <c r="E115">
        <f>'Jira BUGS'!J115</f>
        <v>0</v>
      </c>
      <c r="F115">
        <f>'Jira BUGS'!C115</f>
        <v>0</v>
      </c>
      <c r="G115">
        <f>'Jira BUGS'!G115</f>
        <v>0</v>
      </c>
    </row>
    <row r="116" spans="1:7" x14ac:dyDescent="0.25">
      <c r="A116">
        <f>'Jira BUGS'!A116</f>
        <v>0</v>
      </c>
      <c r="B116">
        <f>IFERROR(NETWORKDAYS('Jira BUGS'!D116,'Jira BUGS'!E116),0)</f>
        <v>0</v>
      </c>
      <c r="C116">
        <f>'Jira BUGS'!O116</f>
        <v>0</v>
      </c>
      <c r="D116">
        <f>'Jira BUGS'!S116</f>
        <v>0</v>
      </c>
      <c r="E116">
        <f>'Jira BUGS'!J116</f>
        <v>0</v>
      </c>
      <c r="F116">
        <f>'Jira BUGS'!C116</f>
        <v>0</v>
      </c>
      <c r="G116">
        <f>'Jira BUGS'!G116</f>
        <v>0</v>
      </c>
    </row>
    <row r="117" spans="1:7" x14ac:dyDescent="0.25">
      <c r="A117">
        <f>'Jira BUGS'!A117</f>
        <v>0</v>
      </c>
      <c r="B117">
        <f>IFERROR(NETWORKDAYS('Jira BUGS'!D117,'Jira BUGS'!E117),0)</f>
        <v>0</v>
      </c>
      <c r="C117">
        <f>'Jira BUGS'!O117</f>
        <v>0</v>
      </c>
      <c r="D117">
        <f>'Jira BUGS'!S117</f>
        <v>0</v>
      </c>
      <c r="E117">
        <f>'Jira BUGS'!J117</f>
        <v>0</v>
      </c>
      <c r="F117">
        <f>'Jira BUGS'!C117</f>
        <v>0</v>
      </c>
      <c r="G117">
        <f>'Jira BUGS'!G117</f>
        <v>0</v>
      </c>
    </row>
    <row r="118" spans="1:7" x14ac:dyDescent="0.25">
      <c r="A118">
        <f>'Jira BUGS'!A118</f>
        <v>0</v>
      </c>
      <c r="B118">
        <f>IFERROR(NETWORKDAYS('Jira BUGS'!D118,'Jira BUGS'!E118),0)</f>
        <v>0</v>
      </c>
      <c r="C118">
        <f>'Jira BUGS'!O118</f>
        <v>0</v>
      </c>
      <c r="D118">
        <f>'Jira BUGS'!S118</f>
        <v>0</v>
      </c>
      <c r="E118">
        <f>'Jira BUGS'!J118</f>
        <v>0</v>
      </c>
      <c r="F118">
        <f>'Jira BUGS'!C118</f>
        <v>0</v>
      </c>
      <c r="G118">
        <f>'Jira BUGS'!G118</f>
        <v>0</v>
      </c>
    </row>
    <row r="119" spans="1:7" x14ac:dyDescent="0.25">
      <c r="A119">
        <f>'Jira BUGS'!A119</f>
        <v>0</v>
      </c>
      <c r="B119">
        <f>IFERROR(NETWORKDAYS('Jira BUGS'!D119,'Jira BUGS'!E119),0)</f>
        <v>0</v>
      </c>
      <c r="C119">
        <f>'Jira BUGS'!O119</f>
        <v>0</v>
      </c>
      <c r="D119">
        <f>'Jira BUGS'!S119</f>
        <v>0</v>
      </c>
      <c r="E119">
        <f>'Jira BUGS'!J119</f>
        <v>0</v>
      </c>
      <c r="F119">
        <f>'Jira BUGS'!C119</f>
        <v>0</v>
      </c>
      <c r="G119">
        <f>'Jira BUGS'!G119</f>
        <v>0</v>
      </c>
    </row>
    <row r="120" spans="1:7" x14ac:dyDescent="0.25">
      <c r="A120">
        <f>'Jira BUGS'!A120</f>
        <v>0</v>
      </c>
      <c r="B120">
        <f>IFERROR(NETWORKDAYS('Jira BUGS'!D120,'Jira BUGS'!E120),0)</f>
        <v>0</v>
      </c>
      <c r="C120">
        <f>'Jira BUGS'!O120</f>
        <v>0</v>
      </c>
      <c r="D120">
        <f>'Jira BUGS'!S120</f>
        <v>0</v>
      </c>
      <c r="E120">
        <f>'Jira BUGS'!J120</f>
        <v>0</v>
      </c>
      <c r="F120">
        <f>'Jira BUGS'!C120</f>
        <v>0</v>
      </c>
      <c r="G120">
        <f>'Jira BUGS'!G120</f>
        <v>0</v>
      </c>
    </row>
    <row r="121" spans="1:7" x14ac:dyDescent="0.25">
      <c r="A121">
        <f>'Jira BUGS'!A121</f>
        <v>0</v>
      </c>
      <c r="B121">
        <f>IFERROR(NETWORKDAYS('Jira BUGS'!D121,'Jira BUGS'!E121),0)</f>
        <v>0</v>
      </c>
      <c r="C121">
        <f>'Jira BUGS'!O121</f>
        <v>0</v>
      </c>
      <c r="D121">
        <f>'Jira BUGS'!S121</f>
        <v>0</v>
      </c>
      <c r="E121">
        <f>'Jira BUGS'!J121</f>
        <v>0</v>
      </c>
      <c r="F121">
        <f>'Jira BUGS'!C121</f>
        <v>0</v>
      </c>
      <c r="G121">
        <f>'Jira BUGS'!G121</f>
        <v>0</v>
      </c>
    </row>
    <row r="122" spans="1:7" x14ac:dyDescent="0.25">
      <c r="A122">
        <f>'Jira BUGS'!A122</f>
        <v>0</v>
      </c>
      <c r="B122">
        <f>IFERROR(NETWORKDAYS('Jira BUGS'!D122,'Jira BUGS'!E122),0)</f>
        <v>0</v>
      </c>
      <c r="C122">
        <f>'Jira BUGS'!O122</f>
        <v>0</v>
      </c>
      <c r="D122">
        <f>'Jira BUGS'!S122</f>
        <v>0</v>
      </c>
      <c r="E122">
        <f>'Jira BUGS'!J122</f>
        <v>0</v>
      </c>
      <c r="F122">
        <f>'Jira BUGS'!C122</f>
        <v>0</v>
      </c>
      <c r="G122">
        <f>'Jira BUGS'!G122</f>
        <v>0</v>
      </c>
    </row>
  </sheetData>
  <dataConsolidate/>
  <phoneticPr fontId="1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B431-7C48-4EAD-A5F9-5DF0FE353D0C}">
  <dimension ref="A1:AB171"/>
  <sheetViews>
    <sheetView workbookViewId="0">
      <selection sqref="A1:XFD1"/>
    </sheetView>
  </sheetViews>
  <sheetFormatPr baseColWidth="10" defaultColWidth="11.42578125" defaultRowHeight="15" x14ac:dyDescent="0.25"/>
  <cols>
    <col min="1" max="1" width="13.5703125" bestFit="1" customWidth="1"/>
    <col min="2" max="8" width="27" bestFit="1" customWidth="1"/>
    <col min="9" max="9" width="27" customWidth="1"/>
    <col min="10" max="12" width="27" bestFit="1" customWidth="1"/>
    <col min="13" max="15" width="27" customWidth="1"/>
    <col min="16" max="28" width="27" bestFit="1" customWidth="1"/>
  </cols>
  <sheetData>
    <row r="1" spans="1:28" x14ac:dyDescent="0.25">
      <c r="A1" s="13" t="s">
        <v>109</v>
      </c>
      <c r="B1" s="13" t="s">
        <v>110</v>
      </c>
      <c r="C1" s="13" t="s">
        <v>17</v>
      </c>
      <c r="D1" s="13" t="s">
        <v>111</v>
      </c>
      <c r="E1" s="13" t="s">
        <v>112</v>
      </c>
      <c r="F1" s="13" t="s">
        <v>113</v>
      </c>
      <c r="G1" s="13" t="s">
        <v>114</v>
      </c>
      <c r="H1" s="13" t="s">
        <v>115</v>
      </c>
      <c r="I1" s="13" t="s">
        <v>116</v>
      </c>
      <c r="J1" s="13" t="s">
        <v>117</v>
      </c>
      <c r="K1" s="13" t="s">
        <v>20</v>
      </c>
      <c r="L1" s="13" t="s">
        <v>23</v>
      </c>
      <c r="M1" s="13" t="s">
        <v>118</v>
      </c>
      <c r="N1" s="13" t="s">
        <v>119</v>
      </c>
      <c r="O1" s="13" t="s">
        <v>120</v>
      </c>
      <c r="P1" s="13" t="s">
        <v>22</v>
      </c>
      <c r="Q1" s="13" t="s">
        <v>18</v>
      </c>
      <c r="R1" s="13" t="s">
        <v>21</v>
      </c>
      <c r="S1" s="13" t="s">
        <v>121</v>
      </c>
      <c r="T1" s="13" t="s">
        <v>122</v>
      </c>
      <c r="U1" s="13" t="s">
        <v>123</v>
      </c>
      <c r="V1" s="13" t="s">
        <v>124</v>
      </c>
      <c r="W1" s="13" t="s">
        <v>125</v>
      </c>
      <c r="X1" s="13" t="s">
        <v>126</v>
      </c>
      <c r="Y1" s="13" t="s">
        <v>127</v>
      </c>
      <c r="Z1" s="13" t="s">
        <v>128</v>
      </c>
      <c r="AA1" s="13" t="s">
        <v>24</v>
      </c>
      <c r="AB1" s="13" t="s">
        <v>129</v>
      </c>
    </row>
    <row r="2" spans="1:28" x14ac:dyDescent="0.25">
      <c r="A2" s="13" t="s">
        <v>130</v>
      </c>
      <c r="B2" t="s">
        <v>131</v>
      </c>
      <c r="C2" t="s">
        <v>132</v>
      </c>
      <c r="E2" t="s">
        <v>133</v>
      </c>
      <c r="F2" t="s">
        <v>134</v>
      </c>
      <c r="Y2" t="s">
        <v>135</v>
      </c>
      <c r="Z2" t="s">
        <v>136</v>
      </c>
    </row>
    <row r="3" spans="1:28" x14ac:dyDescent="0.25">
      <c r="A3" s="13" t="s">
        <v>137</v>
      </c>
      <c r="B3" t="s">
        <v>138</v>
      </c>
      <c r="D3" t="s">
        <v>139</v>
      </c>
      <c r="F3" t="s">
        <v>140</v>
      </c>
      <c r="Y3" t="s">
        <v>141</v>
      </c>
      <c r="Z3" t="s">
        <v>142</v>
      </c>
      <c r="AA3" t="s">
        <v>143</v>
      </c>
      <c r="AB3" t="s">
        <v>144</v>
      </c>
    </row>
    <row r="4" spans="1:28" x14ac:dyDescent="0.25">
      <c r="A4" s="13" t="s">
        <v>145</v>
      </c>
      <c r="B4" t="s">
        <v>146</v>
      </c>
      <c r="C4" t="s">
        <v>147</v>
      </c>
      <c r="E4" t="s">
        <v>148</v>
      </c>
      <c r="F4" t="s">
        <v>149</v>
      </c>
      <c r="Y4" t="s">
        <v>150</v>
      </c>
      <c r="Z4" t="s">
        <v>151</v>
      </c>
    </row>
    <row r="5" spans="1:28" x14ac:dyDescent="0.25">
      <c r="A5" s="13" t="s">
        <v>152</v>
      </c>
      <c r="B5" t="s">
        <v>153</v>
      </c>
      <c r="E5" t="s">
        <v>154</v>
      </c>
      <c r="F5" t="s">
        <v>155</v>
      </c>
      <c r="G5" t="s">
        <v>156</v>
      </c>
      <c r="H5" t="s">
        <v>157</v>
      </c>
      <c r="J5" t="s">
        <v>158</v>
      </c>
      <c r="L5" t="s">
        <v>159</v>
      </c>
      <c r="P5" t="s">
        <v>160</v>
      </c>
      <c r="Q5" t="s">
        <v>161</v>
      </c>
      <c r="Y5" t="s">
        <v>162</v>
      </c>
      <c r="Z5" t="s">
        <v>163</v>
      </c>
      <c r="AA5" t="s">
        <v>164</v>
      </c>
      <c r="AB5" t="s">
        <v>165</v>
      </c>
    </row>
    <row r="6" spans="1:28" x14ac:dyDescent="0.25">
      <c r="A6" s="13" t="s">
        <v>166</v>
      </c>
      <c r="B6" t="s">
        <v>167</v>
      </c>
      <c r="D6" t="s">
        <v>168</v>
      </c>
      <c r="F6" t="s">
        <v>169</v>
      </c>
      <c r="Y6" t="s">
        <v>170</v>
      </c>
      <c r="Z6" t="s">
        <v>171</v>
      </c>
      <c r="AA6" t="s">
        <v>172</v>
      </c>
      <c r="AB6" t="s">
        <v>173</v>
      </c>
    </row>
    <row r="7" spans="1:28" x14ac:dyDescent="0.25">
      <c r="A7" s="13" t="s">
        <v>174</v>
      </c>
      <c r="B7" t="s">
        <v>175</v>
      </c>
      <c r="D7" t="s">
        <v>176</v>
      </c>
      <c r="F7" t="s">
        <v>177</v>
      </c>
      <c r="Y7" t="s">
        <v>178</v>
      </c>
      <c r="Z7" t="s">
        <v>179</v>
      </c>
      <c r="AA7" t="s">
        <v>180</v>
      </c>
      <c r="AB7" t="s">
        <v>181</v>
      </c>
    </row>
    <row r="8" spans="1:28" x14ac:dyDescent="0.25">
      <c r="A8" s="13" t="s">
        <v>182</v>
      </c>
      <c r="B8" t="s">
        <v>183</v>
      </c>
      <c r="E8" t="s">
        <v>184</v>
      </c>
      <c r="F8" t="s">
        <v>185</v>
      </c>
      <c r="Y8" t="s">
        <v>186</v>
      </c>
      <c r="Z8" t="s">
        <v>187</v>
      </c>
      <c r="AA8" t="s">
        <v>188</v>
      </c>
      <c r="AB8" t="s">
        <v>189</v>
      </c>
    </row>
    <row r="9" spans="1:28" x14ac:dyDescent="0.25">
      <c r="A9" s="13" t="s">
        <v>190</v>
      </c>
      <c r="B9" t="s">
        <v>191</v>
      </c>
      <c r="D9" t="s">
        <v>192</v>
      </c>
      <c r="E9" t="s">
        <v>193</v>
      </c>
      <c r="F9" t="s">
        <v>194</v>
      </c>
      <c r="G9" t="s">
        <v>195</v>
      </c>
      <c r="H9" t="s">
        <v>196</v>
      </c>
      <c r="J9" t="s">
        <v>197</v>
      </c>
      <c r="L9" t="s">
        <v>198</v>
      </c>
      <c r="P9" t="s">
        <v>199</v>
      </c>
      <c r="R9" t="s">
        <v>200</v>
      </c>
      <c r="Y9" t="s">
        <v>201</v>
      </c>
      <c r="Z9" t="s">
        <v>202</v>
      </c>
      <c r="AA9" t="s">
        <v>203</v>
      </c>
      <c r="AB9" t="s">
        <v>204</v>
      </c>
    </row>
    <row r="10" spans="1:28" x14ac:dyDescent="0.25">
      <c r="A10" s="13" t="s">
        <v>205</v>
      </c>
      <c r="B10" t="s">
        <v>206</v>
      </c>
      <c r="D10" t="s">
        <v>207</v>
      </c>
      <c r="F10" t="s">
        <v>208</v>
      </c>
      <c r="Y10" t="s">
        <v>209</v>
      </c>
      <c r="Z10" t="s">
        <v>210</v>
      </c>
      <c r="AA10" t="s">
        <v>211</v>
      </c>
      <c r="AB10" t="s">
        <v>212</v>
      </c>
    </row>
    <row r="11" spans="1:28" x14ac:dyDescent="0.25">
      <c r="A11" s="13" t="s">
        <v>213</v>
      </c>
      <c r="B11" t="s">
        <v>214</v>
      </c>
      <c r="D11" t="s">
        <v>215</v>
      </c>
      <c r="F11" t="s">
        <v>216</v>
      </c>
      <c r="Y11" t="s">
        <v>217</v>
      </c>
      <c r="Z11" t="s">
        <v>218</v>
      </c>
      <c r="AA11" t="s">
        <v>219</v>
      </c>
      <c r="AB11" t="s">
        <v>220</v>
      </c>
    </row>
    <row r="12" spans="1:28" x14ac:dyDescent="0.25">
      <c r="A12" s="13" t="s">
        <v>221</v>
      </c>
      <c r="B12" t="s">
        <v>222</v>
      </c>
      <c r="E12" t="s">
        <v>223</v>
      </c>
      <c r="F12" t="s">
        <v>224</v>
      </c>
      <c r="Y12" t="s">
        <v>225</v>
      </c>
      <c r="Z12" t="s">
        <v>226</v>
      </c>
      <c r="AA12" t="s">
        <v>227</v>
      </c>
      <c r="AB12" t="s">
        <v>228</v>
      </c>
    </row>
    <row r="13" spans="1:28" x14ac:dyDescent="0.25">
      <c r="A13" s="13" t="s">
        <v>229</v>
      </c>
      <c r="B13" t="s">
        <v>230</v>
      </c>
      <c r="D13" t="s">
        <v>231</v>
      </c>
      <c r="F13" t="s">
        <v>232</v>
      </c>
      <c r="Y13" t="s">
        <v>233</v>
      </c>
      <c r="Z13" t="s">
        <v>234</v>
      </c>
      <c r="AA13" t="s">
        <v>235</v>
      </c>
      <c r="AB13" t="s">
        <v>236</v>
      </c>
    </row>
    <row r="14" spans="1:28" x14ac:dyDescent="0.25">
      <c r="A14" s="13" t="s">
        <v>237</v>
      </c>
      <c r="B14" t="s">
        <v>238</v>
      </c>
      <c r="D14" t="s">
        <v>239</v>
      </c>
      <c r="F14" t="s">
        <v>240</v>
      </c>
      <c r="Y14" t="s">
        <v>241</v>
      </c>
      <c r="Z14" t="s">
        <v>242</v>
      </c>
      <c r="AA14" t="s">
        <v>243</v>
      </c>
      <c r="AB14" t="s">
        <v>244</v>
      </c>
    </row>
    <row r="15" spans="1:28" x14ac:dyDescent="0.25">
      <c r="A15" s="13" t="s">
        <v>245</v>
      </c>
      <c r="B15" t="s">
        <v>246</v>
      </c>
      <c r="E15" t="s">
        <v>247</v>
      </c>
      <c r="F15" t="s">
        <v>248</v>
      </c>
      <c r="G15" t="s">
        <v>249</v>
      </c>
      <c r="H15" t="s">
        <v>250</v>
      </c>
      <c r="J15" t="s">
        <v>251</v>
      </c>
      <c r="P15" t="s">
        <v>252</v>
      </c>
      <c r="Q15" t="s">
        <v>253</v>
      </c>
      <c r="S15" t="s">
        <v>254</v>
      </c>
      <c r="Y15" t="s">
        <v>255</v>
      </c>
      <c r="Z15" t="s">
        <v>256</v>
      </c>
      <c r="AA15" t="s">
        <v>257</v>
      </c>
      <c r="AB15" t="s">
        <v>258</v>
      </c>
    </row>
    <row r="16" spans="1:28" x14ac:dyDescent="0.25">
      <c r="A16" s="13" t="s">
        <v>259</v>
      </c>
      <c r="B16" t="s">
        <v>260</v>
      </c>
      <c r="E16" t="s">
        <v>261</v>
      </c>
      <c r="F16" t="s">
        <v>262</v>
      </c>
      <c r="G16" t="s">
        <v>263</v>
      </c>
      <c r="H16" t="s">
        <v>264</v>
      </c>
      <c r="J16" t="s">
        <v>265</v>
      </c>
      <c r="P16" t="s">
        <v>266</v>
      </c>
      <c r="Q16" t="s">
        <v>267</v>
      </c>
      <c r="Y16" t="s">
        <v>268</v>
      </c>
      <c r="Z16" t="s">
        <v>269</v>
      </c>
      <c r="AA16" t="s">
        <v>270</v>
      </c>
    </row>
    <row r="17" spans="1:28" x14ac:dyDescent="0.25">
      <c r="A17" s="13" t="s">
        <v>271</v>
      </c>
      <c r="B17" t="s">
        <v>272</v>
      </c>
      <c r="C17" t="s">
        <v>273</v>
      </c>
      <c r="E17" t="s">
        <v>274</v>
      </c>
      <c r="F17" t="s">
        <v>275</v>
      </c>
      <c r="G17" t="s">
        <v>276</v>
      </c>
      <c r="H17" t="s">
        <v>277</v>
      </c>
      <c r="J17" t="s">
        <v>278</v>
      </c>
      <c r="L17" t="s">
        <v>279</v>
      </c>
      <c r="P17" t="s">
        <v>280</v>
      </c>
      <c r="Q17" t="s">
        <v>281</v>
      </c>
      <c r="Y17" t="s">
        <v>282</v>
      </c>
      <c r="Z17" t="s">
        <v>283</v>
      </c>
      <c r="AA17" t="s">
        <v>284</v>
      </c>
    </row>
    <row r="18" spans="1:28" x14ac:dyDescent="0.25">
      <c r="A18" s="13" t="s">
        <v>285</v>
      </c>
      <c r="B18" t="s">
        <v>286</v>
      </c>
      <c r="E18" t="s">
        <v>287</v>
      </c>
      <c r="F18" t="s">
        <v>288</v>
      </c>
      <c r="G18" t="s">
        <v>289</v>
      </c>
      <c r="H18" t="s">
        <v>290</v>
      </c>
      <c r="J18" t="s">
        <v>291</v>
      </c>
      <c r="K18" t="s">
        <v>292</v>
      </c>
      <c r="P18" t="s">
        <v>293</v>
      </c>
      <c r="Q18" t="s">
        <v>294</v>
      </c>
      <c r="R18" t="s">
        <v>295</v>
      </c>
      <c r="Y18" t="s">
        <v>296</v>
      </c>
      <c r="Z18" t="s">
        <v>297</v>
      </c>
      <c r="AA18" t="s">
        <v>298</v>
      </c>
    </row>
    <row r="19" spans="1:28" x14ac:dyDescent="0.25">
      <c r="A19" s="13" t="s">
        <v>299</v>
      </c>
      <c r="B19" t="s">
        <v>300</v>
      </c>
      <c r="E19" t="s">
        <v>301</v>
      </c>
      <c r="F19" t="s">
        <v>302</v>
      </c>
      <c r="G19" t="s">
        <v>303</v>
      </c>
      <c r="H19" t="s">
        <v>304</v>
      </c>
      <c r="J19" t="s">
        <v>305</v>
      </c>
      <c r="L19" t="s">
        <v>306</v>
      </c>
      <c r="P19" t="s">
        <v>307</v>
      </c>
      <c r="Q19" t="s">
        <v>308</v>
      </c>
      <c r="T19" t="s">
        <v>309</v>
      </c>
      <c r="V19" t="s">
        <v>310</v>
      </c>
      <c r="W19" t="s">
        <v>311</v>
      </c>
      <c r="X19" t="s">
        <v>312</v>
      </c>
      <c r="Y19" t="s">
        <v>313</v>
      </c>
      <c r="Z19" t="s">
        <v>314</v>
      </c>
      <c r="AA19" t="s">
        <v>315</v>
      </c>
    </row>
    <row r="20" spans="1:28" x14ac:dyDescent="0.25">
      <c r="A20" s="13" t="s">
        <v>316</v>
      </c>
      <c r="B20" t="s">
        <v>317</v>
      </c>
      <c r="E20" t="s">
        <v>318</v>
      </c>
      <c r="F20" t="s">
        <v>319</v>
      </c>
      <c r="L20" t="s">
        <v>320</v>
      </c>
      <c r="P20" t="s">
        <v>321</v>
      </c>
      <c r="Q20" t="s">
        <v>322</v>
      </c>
      <c r="Y20" t="s">
        <v>323</v>
      </c>
      <c r="Z20" t="s">
        <v>324</v>
      </c>
    </row>
    <row r="21" spans="1:28" x14ac:dyDescent="0.25">
      <c r="A21" s="13" t="s">
        <v>325</v>
      </c>
      <c r="B21" t="s">
        <v>326</v>
      </c>
      <c r="E21" t="s">
        <v>327</v>
      </c>
      <c r="F21" t="s">
        <v>328</v>
      </c>
      <c r="G21" t="s">
        <v>329</v>
      </c>
      <c r="H21" t="s">
        <v>330</v>
      </c>
      <c r="J21" t="s">
        <v>331</v>
      </c>
      <c r="P21" t="s">
        <v>332</v>
      </c>
      <c r="Q21" t="s">
        <v>333</v>
      </c>
      <c r="Y21" t="s">
        <v>334</v>
      </c>
      <c r="Z21" t="s">
        <v>335</v>
      </c>
      <c r="AA21" t="s">
        <v>336</v>
      </c>
    </row>
    <row r="22" spans="1:28" x14ac:dyDescent="0.25">
      <c r="A22" s="13" t="s">
        <v>337</v>
      </c>
      <c r="B22" t="s">
        <v>338</v>
      </c>
      <c r="D22" t="s">
        <v>339</v>
      </c>
      <c r="F22" t="s">
        <v>340</v>
      </c>
      <c r="Y22" t="s">
        <v>341</v>
      </c>
      <c r="Z22" t="s">
        <v>342</v>
      </c>
    </row>
    <row r="23" spans="1:28" x14ac:dyDescent="0.25">
      <c r="A23" s="13" t="s">
        <v>343</v>
      </c>
      <c r="B23" t="s">
        <v>344</v>
      </c>
      <c r="D23" t="s">
        <v>345</v>
      </c>
      <c r="F23" t="s">
        <v>346</v>
      </c>
      <c r="P23" t="s">
        <v>347</v>
      </c>
      <c r="S23" t="s">
        <v>348</v>
      </c>
      <c r="X23" t="s">
        <v>349</v>
      </c>
      <c r="Y23" t="s">
        <v>350</v>
      </c>
      <c r="Z23" t="s">
        <v>351</v>
      </c>
    </row>
    <row r="24" spans="1:28" x14ac:dyDescent="0.25">
      <c r="A24" s="13" t="s">
        <v>352</v>
      </c>
      <c r="B24" t="s">
        <v>353</v>
      </c>
      <c r="D24" t="s">
        <v>354</v>
      </c>
      <c r="F24" t="s">
        <v>355</v>
      </c>
      <c r="S24" t="s">
        <v>356</v>
      </c>
      <c r="T24" t="s">
        <v>357</v>
      </c>
      <c r="U24" t="s">
        <v>358</v>
      </c>
      <c r="V24" t="s">
        <v>359</v>
      </c>
      <c r="W24" t="s">
        <v>360</v>
      </c>
      <c r="X24" t="s">
        <v>361</v>
      </c>
      <c r="Y24" t="s">
        <v>362</v>
      </c>
      <c r="Z24" t="s">
        <v>363</v>
      </c>
    </row>
    <row r="25" spans="1:28" x14ac:dyDescent="0.25">
      <c r="A25" s="13" t="s">
        <v>364</v>
      </c>
      <c r="B25" t="s">
        <v>365</v>
      </c>
      <c r="C25" t="s">
        <v>366</v>
      </c>
      <c r="E25" t="s">
        <v>367</v>
      </c>
      <c r="F25" t="s">
        <v>368</v>
      </c>
      <c r="J25" t="s">
        <v>369</v>
      </c>
      <c r="Q25" t="s">
        <v>370</v>
      </c>
      <c r="Y25" t="s">
        <v>371</v>
      </c>
    </row>
    <row r="26" spans="1:28" x14ac:dyDescent="0.25">
      <c r="A26" s="13" t="s">
        <v>372</v>
      </c>
      <c r="B26" t="s">
        <v>373</v>
      </c>
      <c r="E26" t="s">
        <v>374</v>
      </c>
      <c r="F26" t="s">
        <v>375</v>
      </c>
      <c r="G26" t="s">
        <v>376</v>
      </c>
      <c r="H26" t="s">
        <v>377</v>
      </c>
      <c r="J26" t="s">
        <v>378</v>
      </c>
      <c r="P26" t="s">
        <v>379</v>
      </c>
      <c r="Q26" t="s">
        <v>380</v>
      </c>
      <c r="Y26" t="s">
        <v>381</v>
      </c>
      <c r="Z26" t="s">
        <v>382</v>
      </c>
    </row>
    <row r="27" spans="1:28" x14ac:dyDescent="0.25">
      <c r="A27" s="13" t="s">
        <v>383</v>
      </c>
      <c r="B27" t="s">
        <v>384</v>
      </c>
      <c r="E27" t="s">
        <v>385</v>
      </c>
      <c r="G27" t="s">
        <v>386</v>
      </c>
      <c r="H27" t="s">
        <v>387</v>
      </c>
      <c r="J27" t="s">
        <v>388</v>
      </c>
      <c r="L27" t="s">
        <v>389</v>
      </c>
      <c r="P27" t="s">
        <v>390</v>
      </c>
      <c r="Q27" t="s">
        <v>391</v>
      </c>
      <c r="Y27" t="s">
        <v>392</v>
      </c>
      <c r="Z27" t="s">
        <v>393</v>
      </c>
      <c r="AA27" t="s">
        <v>394</v>
      </c>
      <c r="AB27" t="s">
        <v>395</v>
      </c>
    </row>
    <row r="28" spans="1:28" x14ac:dyDescent="0.25">
      <c r="A28" s="13" t="s">
        <v>396</v>
      </c>
      <c r="B28" t="s">
        <v>397</v>
      </c>
      <c r="D28" t="s">
        <v>398</v>
      </c>
      <c r="F28" t="s">
        <v>399</v>
      </c>
      <c r="Y28" t="s">
        <v>400</v>
      </c>
    </row>
    <row r="29" spans="1:28" x14ac:dyDescent="0.25">
      <c r="A29" s="13" t="s">
        <v>401</v>
      </c>
      <c r="B29" t="s">
        <v>402</v>
      </c>
      <c r="D29" t="s">
        <v>403</v>
      </c>
      <c r="F29" t="s">
        <v>404</v>
      </c>
      <c r="Y29" t="s">
        <v>405</v>
      </c>
      <c r="Z29" t="s">
        <v>406</v>
      </c>
      <c r="AA29" t="s">
        <v>407</v>
      </c>
    </row>
    <row r="30" spans="1:28" x14ac:dyDescent="0.25">
      <c r="A30" s="13" t="s">
        <v>408</v>
      </c>
      <c r="B30" t="s">
        <v>409</v>
      </c>
      <c r="C30" t="s">
        <v>410</v>
      </c>
      <c r="E30" t="s">
        <v>411</v>
      </c>
      <c r="F30" t="s">
        <v>412</v>
      </c>
      <c r="G30" t="s">
        <v>413</v>
      </c>
      <c r="H30" t="s">
        <v>414</v>
      </c>
      <c r="J30" t="s">
        <v>415</v>
      </c>
      <c r="L30" t="s">
        <v>416</v>
      </c>
      <c r="P30" t="s">
        <v>417</v>
      </c>
      <c r="Q30" t="s">
        <v>418</v>
      </c>
      <c r="S30" t="s">
        <v>419</v>
      </c>
      <c r="W30" t="s">
        <v>420</v>
      </c>
      <c r="X30" t="s">
        <v>421</v>
      </c>
      <c r="Y30" t="s">
        <v>422</v>
      </c>
      <c r="Z30" t="s">
        <v>423</v>
      </c>
      <c r="AA30" t="s">
        <v>424</v>
      </c>
    </row>
    <row r="31" spans="1:28" x14ac:dyDescent="0.25">
      <c r="A31" s="13" t="s">
        <v>425</v>
      </c>
      <c r="B31" t="s">
        <v>426</v>
      </c>
      <c r="E31" t="s">
        <v>427</v>
      </c>
      <c r="F31" t="s">
        <v>428</v>
      </c>
      <c r="G31" t="s">
        <v>429</v>
      </c>
      <c r="H31" t="s">
        <v>430</v>
      </c>
      <c r="J31" t="s">
        <v>431</v>
      </c>
      <c r="P31" t="s">
        <v>432</v>
      </c>
      <c r="Q31" t="s">
        <v>433</v>
      </c>
      <c r="Y31" t="s">
        <v>434</v>
      </c>
      <c r="Z31" t="s">
        <v>435</v>
      </c>
      <c r="AA31" t="s">
        <v>436</v>
      </c>
    </row>
    <row r="32" spans="1:28" x14ac:dyDescent="0.25">
      <c r="A32" s="13" t="s">
        <v>437</v>
      </c>
      <c r="B32" t="s">
        <v>438</v>
      </c>
      <c r="E32" t="s">
        <v>439</v>
      </c>
      <c r="F32" t="s">
        <v>440</v>
      </c>
      <c r="L32" t="s">
        <v>441</v>
      </c>
      <c r="P32" t="s">
        <v>442</v>
      </c>
      <c r="Q32" t="s">
        <v>443</v>
      </c>
      <c r="Y32" t="s">
        <v>444</v>
      </c>
    </row>
    <row r="33" spans="1:28" x14ac:dyDescent="0.25">
      <c r="A33" s="13" t="s">
        <v>445</v>
      </c>
      <c r="B33" t="s">
        <v>446</v>
      </c>
      <c r="E33" t="s">
        <v>447</v>
      </c>
      <c r="F33" t="s">
        <v>448</v>
      </c>
      <c r="G33" t="s">
        <v>449</v>
      </c>
      <c r="H33" t="s">
        <v>450</v>
      </c>
      <c r="J33" t="s">
        <v>451</v>
      </c>
      <c r="P33" t="s">
        <v>452</v>
      </c>
      <c r="Q33" t="s">
        <v>453</v>
      </c>
      <c r="Y33" t="s">
        <v>454</v>
      </c>
      <c r="Z33" t="s">
        <v>455</v>
      </c>
      <c r="AA33" t="s">
        <v>456</v>
      </c>
      <c r="AB33" t="s">
        <v>457</v>
      </c>
    </row>
    <row r="34" spans="1:28" x14ac:dyDescent="0.25">
      <c r="A34" s="13" t="s">
        <v>458</v>
      </c>
      <c r="B34" t="s">
        <v>459</v>
      </c>
      <c r="E34" t="s">
        <v>460</v>
      </c>
      <c r="F34" t="s">
        <v>461</v>
      </c>
      <c r="G34" t="s">
        <v>462</v>
      </c>
      <c r="H34" t="s">
        <v>463</v>
      </c>
      <c r="J34" t="s">
        <v>464</v>
      </c>
      <c r="P34" t="s">
        <v>465</v>
      </c>
      <c r="Q34" t="s">
        <v>466</v>
      </c>
      <c r="Y34" t="s">
        <v>467</v>
      </c>
      <c r="Z34" t="s">
        <v>468</v>
      </c>
      <c r="AA34" t="s">
        <v>469</v>
      </c>
    </row>
    <row r="35" spans="1:28" x14ac:dyDescent="0.25">
      <c r="A35" s="13" t="s">
        <v>470</v>
      </c>
      <c r="B35" t="s">
        <v>471</v>
      </c>
      <c r="E35" t="s">
        <v>472</v>
      </c>
      <c r="F35" t="s">
        <v>473</v>
      </c>
      <c r="G35" t="s">
        <v>474</v>
      </c>
      <c r="H35" t="s">
        <v>475</v>
      </c>
      <c r="J35" t="s">
        <v>476</v>
      </c>
      <c r="P35" t="s">
        <v>477</v>
      </c>
      <c r="Q35" t="s">
        <v>478</v>
      </c>
      <c r="Y35" t="s">
        <v>479</v>
      </c>
      <c r="Z35" t="s">
        <v>480</v>
      </c>
      <c r="AA35" t="s">
        <v>481</v>
      </c>
    </row>
    <row r="36" spans="1:28" x14ac:dyDescent="0.25">
      <c r="A36" s="13" t="s">
        <v>482</v>
      </c>
      <c r="B36" t="s">
        <v>483</v>
      </c>
      <c r="E36" t="s">
        <v>484</v>
      </c>
      <c r="F36" t="s">
        <v>485</v>
      </c>
      <c r="G36" t="s">
        <v>486</v>
      </c>
      <c r="H36" t="s">
        <v>487</v>
      </c>
      <c r="J36" t="s">
        <v>488</v>
      </c>
      <c r="P36" t="s">
        <v>489</v>
      </c>
      <c r="Q36" t="s">
        <v>490</v>
      </c>
      <c r="Y36" t="s">
        <v>491</v>
      </c>
      <c r="Z36" t="s">
        <v>492</v>
      </c>
      <c r="AA36" t="s">
        <v>493</v>
      </c>
    </row>
    <row r="37" spans="1:28" x14ac:dyDescent="0.25">
      <c r="A37" s="13" t="s">
        <v>494</v>
      </c>
      <c r="B37" t="s">
        <v>495</v>
      </c>
      <c r="E37" t="s">
        <v>496</v>
      </c>
      <c r="G37" t="s">
        <v>497</v>
      </c>
      <c r="H37" t="s">
        <v>498</v>
      </c>
      <c r="J37" t="s">
        <v>499</v>
      </c>
      <c r="P37" t="s">
        <v>500</v>
      </c>
      <c r="Q37" t="s">
        <v>501</v>
      </c>
      <c r="S37" t="s">
        <v>502</v>
      </c>
      <c r="T37" t="s">
        <v>503</v>
      </c>
      <c r="U37" t="s">
        <v>504</v>
      </c>
      <c r="V37" t="s">
        <v>505</v>
      </c>
      <c r="W37" t="s">
        <v>506</v>
      </c>
      <c r="X37" t="s">
        <v>507</v>
      </c>
      <c r="Y37" t="s">
        <v>508</v>
      </c>
      <c r="Z37" t="s">
        <v>509</v>
      </c>
      <c r="AA37" t="s">
        <v>510</v>
      </c>
    </row>
    <row r="38" spans="1:28" x14ac:dyDescent="0.25">
      <c r="A38" s="13" t="s">
        <v>511</v>
      </c>
      <c r="B38" t="s">
        <v>512</v>
      </c>
      <c r="C38" t="s">
        <v>513</v>
      </c>
      <c r="E38" t="s">
        <v>514</v>
      </c>
      <c r="G38" t="s">
        <v>515</v>
      </c>
      <c r="H38" t="s">
        <v>516</v>
      </c>
      <c r="J38" t="s">
        <v>517</v>
      </c>
      <c r="L38" t="s">
        <v>518</v>
      </c>
      <c r="P38" t="s">
        <v>519</v>
      </c>
      <c r="Q38" t="s">
        <v>520</v>
      </c>
      <c r="S38" t="s">
        <v>521</v>
      </c>
      <c r="T38" t="s">
        <v>522</v>
      </c>
      <c r="U38" t="s">
        <v>523</v>
      </c>
      <c r="V38" t="s">
        <v>524</v>
      </c>
      <c r="W38" t="s">
        <v>525</v>
      </c>
      <c r="X38" t="s">
        <v>526</v>
      </c>
      <c r="Y38" t="s">
        <v>527</v>
      </c>
      <c r="Z38" t="s">
        <v>528</v>
      </c>
      <c r="AA38" t="s">
        <v>529</v>
      </c>
    </row>
    <row r="39" spans="1:28" x14ac:dyDescent="0.25">
      <c r="A39" s="13" t="s">
        <v>530</v>
      </c>
      <c r="B39" t="s">
        <v>531</v>
      </c>
      <c r="D39" t="s">
        <v>532</v>
      </c>
      <c r="S39" t="s">
        <v>533</v>
      </c>
      <c r="T39" t="s">
        <v>534</v>
      </c>
      <c r="U39" t="s">
        <v>535</v>
      </c>
      <c r="V39" t="s">
        <v>536</v>
      </c>
      <c r="W39" t="s">
        <v>537</v>
      </c>
      <c r="X39" t="s">
        <v>538</v>
      </c>
      <c r="Y39" t="s">
        <v>539</v>
      </c>
      <c r="Z39" t="s">
        <v>540</v>
      </c>
    </row>
    <row r="40" spans="1:28" x14ac:dyDescent="0.25">
      <c r="A40" s="13" t="s">
        <v>541</v>
      </c>
      <c r="B40" t="s">
        <v>542</v>
      </c>
      <c r="E40" t="s">
        <v>543</v>
      </c>
      <c r="F40" t="s">
        <v>544</v>
      </c>
      <c r="S40" t="s">
        <v>545</v>
      </c>
      <c r="T40" t="s">
        <v>546</v>
      </c>
      <c r="U40" t="s">
        <v>547</v>
      </c>
      <c r="X40" t="s">
        <v>548</v>
      </c>
      <c r="Y40" t="s">
        <v>549</v>
      </c>
    </row>
    <row r="41" spans="1:28" x14ac:dyDescent="0.25">
      <c r="A41" s="13" t="s">
        <v>550</v>
      </c>
      <c r="B41" t="s">
        <v>551</v>
      </c>
      <c r="E41" t="s">
        <v>552</v>
      </c>
      <c r="F41" t="s">
        <v>553</v>
      </c>
      <c r="G41" t="s">
        <v>554</v>
      </c>
      <c r="H41" t="s">
        <v>555</v>
      </c>
      <c r="J41" t="s">
        <v>556</v>
      </c>
      <c r="P41" t="s">
        <v>557</v>
      </c>
      <c r="Q41" t="s">
        <v>558</v>
      </c>
      <c r="Y41" t="s">
        <v>559</v>
      </c>
    </row>
    <row r="42" spans="1:28" x14ac:dyDescent="0.25">
      <c r="A42" s="13" t="s">
        <v>560</v>
      </c>
      <c r="B42" t="s">
        <v>561</v>
      </c>
      <c r="C42" t="s">
        <v>562</v>
      </c>
      <c r="E42" t="s">
        <v>563</v>
      </c>
      <c r="F42" t="s">
        <v>564</v>
      </c>
      <c r="G42" t="s">
        <v>565</v>
      </c>
      <c r="H42" t="s">
        <v>566</v>
      </c>
      <c r="J42" t="s">
        <v>567</v>
      </c>
      <c r="L42" t="s">
        <v>568</v>
      </c>
      <c r="P42" t="s">
        <v>569</v>
      </c>
      <c r="Q42" t="s">
        <v>570</v>
      </c>
      <c r="Y42" t="s">
        <v>571</v>
      </c>
      <c r="Z42" t="s">
        <v>572</v>
      </c>
      <c r="AA42" t="s">
        <v>573</v>
      </c>
    </row>
    <row r="43" spans="1:28" x14ac:dyDescent="0.25">
      <c r="A43" s="13" t="s">
        <v>574</v>
      </c>
      <c r="B43" t="s">
        <v>575</v>
      </c>
      <c r="D43" t="s">
        <v>576</v>
      </c>
      <c r="F43" t="s">
        <v>577</v>
      </c>
      <c r="P43" t="s">
        <v>578</v>
      </c>
      <c r="Y43" t="s">
        <v>579</v>
      </c>
      <c r="Z43" t="s">
        <v>580</v>
      </c>
      <c r="AA43" t="s">
        <v>581</v>
      </c>
      <c r="AB43" t="s">
        <v>582</v>
      </c>
    </row>
    <row r="44" spans="1:28" x14ac:dyDescent="0.25">
      <c r="A44" s="13" t="s">
        <v>583</v>
      </c>
      <c r="B44" t="s">
        <v>584</v>
      </c>
      <c r="C44" t="s">
        <v>585</v>
      </c>
      <c r="D44" t="s">
        <v>586</v>
      </c>
      <c r="H44" t="s">
        <v>587</v>
      </c>
      <c r="S44" t="s">
        <v>588</v>
      </c>
    </row>
    <row r="45" spans="1:28" x14ac:dyDescent="0.25">
      <c r="A45" s="13" t="s">
        <v>589</v>
      </c>
      <c r="B45" t="s">
        <v>590</v>
      </c>
      <c r="D45" t="s">
        <v>591</v>
      </c>
      <c r="F45" t="s">
        <v>592</v>
      </c>
      <c r="Y45" t="s">
        <v>593</v>
      </c>
      <c r="Z45" t="s">
        <v>594</v>
      </c>
    </row>
    <row r="46" spans="1:28" x14ac:dyDescent="0.25">
      <c r="A46" s="13" t="s">
        <v>595</v>
      </c>
      <c r="B46" t="s">
        <v>596</v>
      </c>
      <c r="D46" t="s">
        <v>597</v>
      </c>
      <c r="F46" t="s">
        <v>598</v>
      </c>
      <c r="Y46" t="s">
        <v>599</v>
      </c>
    </row>
    <row r="47" spans="1:28" x14ac:dyDescent="0.25">
      <c r="A47" s="13" t="s">
        <v>600</v>
      </c>
      <c r="B47" t="s">
        <v>601</v>
      </c>
      <c r="E47" t="s">
        <v>602</v>
      </c>
      <c r="F47" t="s">
        <v>603</v>
      </c>
      <c r="G47" t="s">
        <v>604</v>
      </c>
      <c r="H47" t="s">
        <v>605</v>
      </c>
      <c r="J47" t="s">
        <v>606</v>
      </c>
      <c r="P47" t="s">
        <v>607</v>
      </c>
      <c r="Q47" t="s">
        <v>608</v>
      </c>
      <c r="Y47" t="s">
        <v>609</v>
      </c>
      <c r="Z47" t="s">
        <v>610</v>
      </c>
      <c r="AA47" t="s">
        <v>611</v>
      </c>
    </row>
    <row r="48" spans="1:28" x14ac:dyDescent="0.25">
      <c r="A48" s="13" t="s">
        <v>612</v>
      </c>
      <c r="B48" t="s">
        <v>613</v>
      </c>
      <c r="E48" t="s">
        <v>614</v>
      </c>
      <c r="F48" t="s">
        <v>615</v>
      </c>
      <c r="G48" t="s">
        <v>616</v>
      </c>
      <c r="H48" t="s">
        <v>617</v>
      </c>
      <c r="J48" t="s">
        <v>618</v>
      </c>
      <c r="P48" t="s">
        <v>619</v>
      </c>
      <c r="Q48" t="s">
        <v>620</v>
      </c>
      <c r="Y48" t="s">
        <v>621</v>
      </c>
      <c r="Z48" t="s">
        <v>622</v>
      </c>
      <c r="AA48" t="s">
        <v>623</v>
      </c>
    </row>
    <row r="49" spans="1:28" x14ac:dyDescent="0.25">
      <c r="A49" s="13" t="s">
        <v>624</v>
      </c>
      <c r="B49" t="s">
        <v>625</v>
      </c>
      <c r="E49" t="s">
        <v>626</v>
      </c>
      <c r="F49" t="s">
        <v>627</v>
      </c>
      <c r="G49" t="s">
        <v>628</v>
      </c>
      <c r="H49" t="s">
        <v>629</v>
      </c>
      <c r="J49" t="s">
        <v>630</v>
      </c>
      <c r="P49" t="s">
        <v>631</v>
      </c>
      <c r="Q49" t="s">
        <v>632</v>
      </c>
      <c r="Y49" t="s">
        <v>633</v>
      </c>
      <c r="Z49" t="s">
        <v>634</v>
      </c>
      <c r="AA49" t="s">
        <v>635</v>
      </c>
    </row>
    <row r="50" spans="1:28" x14ac:dyDescent="0.25">
      <c r="A50" s="13" t="s">
        <v>636</v>
      </c>
      <c r="B50" t="s">
        <v>637</v>
      </c>
      <c r="E50" t="s">
        <v>638</v>
      </c>
      <c r="F50" t="s">
        <v>639</v>
      </c>
      <c r="Y50" t="s">
        <v>640</v>
      </c>
      <c r="Z50" t="s">
        <v>641</v>
      </c>
    </row>
    <row r="51" spans="1:28" x14ac:dyDescent="0.25">
      <c r="A51" s="13" t="s">
        <v>642</v>
      </c>
      <c r="B51" t="s">
        <v>643</v>
      </c>
      <c r="E51" t="s">
        <v>644</v>
      </c>
      <c r="F51" t="s">
        <v>645</v>
      </c>
      <c r="G51" t="s">
        <v>646</v>
      </c>
      <c r="H51" t="s">
        <v>647</v>
      </c>
      <c r="J51" t="s">
        <v>648</v>
      </c>
      <c r="P51" t="s">
        <v>649</v>
      </c>
      <c r="Q51" t="s">
        <v>650</v>
      </c>
      <c r="Y51" t="s">
        <v>651</v>
      </c>
      <c r="Z51" t="s">
        <v>652</v>
      </c>
      <c r="AA51" t="s">
        <v>653</v>
      </c>
    </row>
    <row r="52" spans="1:28" x14ac:dyDescent="0.25">
      <c r="A52" s="13" t="s">
        <v>654</v>
      </c>
      <c r="B52" t="s">
        <v>655</v>
      </c>
      <c r="C52" t="s">
        <v>656</v>
      </c>
      <c r="F52" t="s">
        <v>657</v>
      </c>
      <c r="J52" t="s">
        <v>658</v>
      </c>
      <c r="L52" t="s">
        <v>659</v>
      </c>
      <c r="Q52" t="s">
        <v>660</v>
      </c>
      <c r="Y52" t="s">
        <v>661</v>
      </c>
      <c r="Z52" t="s">
        <v>662</v>
      </c>
      <c r="AA52" t="s">
        <v>663</v>
      </c>
      <c r="AB52" t="s">
        <v>664</v>
      </c>
    </row>
    <row r="53" spans="1:28" x14ac:dyDescent="0.25">
      <c r="A53" s="13" t="s">
        <v>665</v>
      </c>
      <c r="B53" t="s">
        <v>666</v>
      </c>
      <c r="E53" t="s">
        <v>667</v>
      </c>
      <c r="F53" t="s">
        <v>668</v>
      </c>
      <c r="G53" t="s">
        <v>669</v>
      </c>
      <c r="H53" t="s">
        <v>670</v>
      </c>
      <c r="J53" t="s">
        <v>671</v>
      </c>
      <c r="P53" t="s">
        <v>672</v>
      </c>
      <c r="Q53" t="s">
        <v>673</v>
      </c>
      <c r="Y53" t="s">
        <v>674</v>
      </c>
      <c r="Z53" t="s">
        <v>675</v>
      </c>
      <c r="AA53" t="s">
        <v>676</v>
      </c>
    </row>
    <row r="54" spans="1:28" x14ac:dyDescent="0.25">
      <c r="A54" s="13" t="s">
        <v>677</v>
      </c>
      <c r="B54" t="s">
        <v>678</v>
      </c>
      <c r="E54" t="s">
        <v>679</v>
      </c>
      <c r="F54" t="s">
        <v>680</v>
      </c>
      <c r="Y54" t="s">
        <v>681</v>
      </c>
      <c r="Z54" t="s">
        <v>682</v>
      </c>
    </row>
    <row r="55" spans="1:28" x14ac:dyDescent="0.25">
      <c r="A55" s="13" t="s">
        <v>683</v>
      </c>
      <c r="B55" t="s">
        <v>684</v>
      </c>
      <c r="E55" t="s">
        <v>685</v>
      </c>
      <c r="F55" t="s">
        <v>686</v>
      </c>
      <c r="G55" t="s">
        <v>687</v>
      </c>
      <c r="H55" t="s">
        <v>688</v>
      </c>
      <c r="J55" t="s">
        <v>689</v>
      </c>
      <c r="P55" t="s">
        <v>690</v>
      </c>
      <c r="Q55" t="s">
        <v>691</v>
      </c>
      <c r="Y55" t="s">
        <v>692</v>
      </c>
      <c r="Z55" t="s">
        <v>693</v>
      </c>
      <c r="AA55" t="s">
        <v>694</v>
      </c>
    </row>
    <row r="56" spans="1:28" x14ac:dyDescent="0.25">
      <c r="A56" s="13" t="s">
        <v>695</v>
      </c>
      <c r="B56" t="s">
        <v>696</v>
      </c>
      <c r="E56" t="s">
        <v>697</v>
      </c>
      <c r="F56" t="s">
        <v>698</v>
      </c>
      <c r="G56" t="s">
        <v>699</v>
      </c>
      <c r="H56" t="s">
        <v>700</v>
      </c>
      <c r="J56" t="s">
        <v>701</v>
      </c>
      <c r="P56" t="s">
        <v>702</v>
      </c>
      <c r="Q56" t="s">
        <v>703</v>
      </c>
      <c r="Y56" t="s">
        <v>704</v>
      </c>
      <c r="Z56" t="s">
        <v>705</v>
      </c>
      <c r="AA56" t="s">
        <v>706</v>
      </c>
      <c r="AB56" t="s">
        <v>707</v>
      </c>
    </row>
    <row r="57" spans="1:28" x14ac:dyDescent="0.25">
      <c r="A57" s="13" t="s">
        <v>708</v>
      </c>
      <c r="B57" t="s">
        <v>709</v>
      </c>
      <c r="E57" t="s">
        <v>710</v>
      </c>
      <c r="F57" t="s">
        <v>711</v>
      </c>
      <c r="G57" t="s">
        <v>712</v>
      </c>
      <c r="H57" t="s">
        <v>713</v>
      </c>
      <c r="J57" t="s">
        <v>714</v>
      </c>
      <c r="P57" t="s">
        <v>715</v>
      </c>
      <c r="Q57" t="s">
        <v>716</v>
      </c>
      <c r="Y57" t="s">
        <v>717</v>
      </c>
      <c r="Z57" t="s">
        <v>718</v>
      </c>
      <c r="AA57" t="s">
        <v>719</v>
      </c>
    </row>
    <row r="58" spans="1:28" x14ac:dyDescent="0.25">
      <c r="A58" s="13" t="s">
        <v>720</v>
      </c>
      <c r="B58" t="s">
        <v>721</v>
      </c>
      <c r="E58" t="s">
        <v>722</v>
      </c>
      <c r="F58" t="s">
        <v>723</v>
      </c>
      <c r="G58" t="s">
        <v>724</v>
      </c>
      <c r="H58" t="s">
        <v>725</v>
      </c>
      <c r="J58" t="s">
        <v>726</v>
      </c>
      <c r="P58" t="s">
        <v>727</v>
      </c>
      <c r="Q58" t="s">
        <v>728</v>
      </c>
      <c r="Y58" t="s">
        <v>729</v>
      </c>
      <c r="Z58" t="s">
        <v>730</v>
      </c>
      <c r="AA58" t="s">
        <v>731</v>
      </c>
      <c r="AB58" t="s">
        <v>732</v>
      </c>
    </row>
    <row r="59" spans="1:28" x14ac:dyDescent="0.25">
      <c r="A59" s="13" t="s">
        <v>733</v>
      </c>
      <c r="B59" t="s">
        <v>734</v>
      </c>
      <c r="E59" t="s">
        <v>735</v>
      </c>
      <c r="F59" t="s">
        <v>736</v>
      </c>
      <c r="G59" t="s">
        <v>737</v>
      </c>
      <c r="H59" t="s">
        <v>738</v>
      </c>
      <c r="J59" t="s">
        <v>739</v>
      </c>
      <c r="P59" t="s">
        <v>740</v>
      </c>
      <c r="Q59" t="s">
        <v>741</v>
      </c>
      <c r="Y59" t="s">
        <v>742</v>
      </c>
      <c r="Z59" t="s">
        <v>743</v>
      </c>
      <c r="AA59" t="s">
        <v>744</v>
      </c>
      <c r="AB59" t="s">
        <v>745</v>
      </c>
    </row>
    <row r="60" spans="1:28" x14ac:dyDescent="0.25">
      <c r="A60" s="13" t="s">
        <v>746</v>
      </c>
      <c r="B60" t="s">
        <v>747</v>
      </c>
      <c r="E60" t="s">
        <v>748</v>
      </c>
      <c r="F60" t="s">
        <v>749</v>
      </c>
      <c r="G60" t="s">
        <v>750</v>
      </c>
      <c r="H60" t="s">
        <v>751</v>
      </c>
      <c r="J60" t="s">
        <v>752</v>
      </c>
      <c r="P60" t="s">
        <v>753</v>
      </c>
      <c r="Q60" t="s">
        <v>754</v>
      </c>
      <c r="Y60" t="s">
        <v>755</v>
      </c>
    </row>
    <row r="61" spans="1:28" x14ac:dyDescent="0.25">
      <c r="A61" s="13" t="s">
        <v>756</v>
      </c>
      <c r="B61" t="s">
        <v>757</v>
      </c>
      <c r="E61" t="s">
        <v>758</v>
      </c>
      <c r="S61" t="s">
        <v>759</v>
      </c>
      <c r="T61" t="s">
        <v>760</v>
      </c>
      <c r="U61" t="s">
        <v>761</v>
      </c>
      <c r="V61" t="s">
        <v>762</v>
      </c>
      <c r="W61" t="s">
        <v>763</v>
      </c>
    </row>
    <row r="62" spans="1:28" x14ac:dyDescent="0.25">
      <c r="A62" s="13" t="s">
        <v>764</v>
      </c>
      <c r="B62" t="s">
        <v>765</v>
      </c>
      <c r="D62" t="s">
        <v>766</v>
      </c>
      <c r="F62" t="s">
        <v>767</v>
      </c>
      <c r="Y62" t="s">
        <v>768</v>
      </c>
    </row>
    <row r="63" spans="1:28" x14ac:dyDescent="0.25">
      <c r="A63" s="13" t="s">
        <v>769</v>
      </c>
      <c r="B63" t="s">
        <v>770</v>
      </c>
      <c r="D63" t="s">
        <v>771</v>
      </c>
      <c r="F63" t="s">
        <v>772</v>
      </c>
      <c r="Y63" t="s">
        <v>773</v>
      </c>
      <c r="Z63" t="s">
        <v>774</v>
      </c>
    </row>
    <row r="64" spans="1:28" x14ac:dyDescent="0.25">
      <c r="A64" s="13" t="s">
        <v>775</v>
      </c>
      <c r="B64" t="s">
        <v>776</v>
      </c>
      <c r="F64" t="s">
        <v>777</v>
      </c>
      <c r="G64" t="s">
        <v>778</v>
      </c>
      <c r="H64" t="s">
        <v>779</v>
      </c>
      <c r="P64" t="s">
        <v>780</v>
      </c>
      <c r="S64" t="s">
        <v>781</v>
      </c>
      <c r="Y64" t="s">
        <v>782</v>
      </c>
      <c r="Z64" t="s">
        <v>783</v>
      </c>
      <c r="AA64" t="s">
        <v>784</v>
      </c>
    </row>
    <row r="65" spans="1:28" x14ac:dyDescent="0.25">
      <c r="A65" s="13" t="s">
        <v>785</v>
      </c>
      <c r="B65" t="s">
        <v>786</v>
      </c>
      <c r="E65" t="s">
        <v>787</v>
      </c>
      <c r="F65" t="s">
        <v>788</v>
      </c>
      <c r="Y65" t="s">
        <v>789</v>
      </c>
      <c r="Z65" t="s">
        <v>790</v>
      </c>
      <c r="AA65" t="s">
        <v>791</v>
      </c>
    </row>
    <row r="66" spans="1:28" x14ac:dyDescent="0.25">
      <c r="A66" s="13" t="s">
        <v>792</v>
      </c>
      <c r="B66" t="s">
        <v>793</v>
      </c>
      <c r="E66" t="s">
        <v>794</v>
      </c>
      <c r="F66" t="s">
        <v>795</v>
      </c>
      <c r="H66" t="s">
        <v>796</v>
      </c>
      <c r="P66" t="s">
        <v>797</v>
      </c>
      <c r="Y66" t="s">
        <v>798</v>
      </c>
      <c r="Z66" t="s">
        <v>799</v>
      </c>
      <c r="AA66" t="s">
        <v>800</v>
      </c>
    </row>
    <row r="67" spans="1:28" x14ac:dyDescent="0.25">
      <c r="A67" s="13" t="s">
        <v>801</v>
      </c>
      <c r="B67" t="s">
        <v>802</v>
      </c>
      <c r="E67" t="s">
        <v>803</v>
      </c>
      <c r="F67" t="s">
        <v>804</v>
      </c>
      <c r="Y67" t="s">
        <v>805</v>
      </c>
      <c r="Z67" t="s">
        <v>806</v>
      </c>
      <c r="AA67" t="s">
        <v>807</v>
      </c>
      <c r="AB67" t="s">
        <v>808</v>
      </c>
    </row>
    <row r="68" spans="1:28" x14ac:dyDescent="0.25">
      <c r="A68" s="13" t="s">
        <v>809</v>
      </c>
      <c r="B68" t="s">
        <v>810</v>
      </c>
      <c r="C68" t="s">
        <v>811</v>
      </c>
      <c r="D68" t="s">
        <v>812</v>
      </c>
      <c r="F68" t="s">
        <v>813</v>
      </c>
      <c r="Y68" t="s">
        <v>814</v>
      </c>
      <c r="Z68" t="s">
        <v>815</v>
      </c>
    </row>
    <row r="69" spans="1:28" x14ac:dyDescent="0.25">
      <c r="A69" s="13" t="s">
        <v>816</v>
      </c>
      <c r="B69" t="s">
        <v>817</v>
      </c>
      <c r="C69" t="s">
        <v>818</v>
      </c>
      <c r="F69" t="s">
        <v>819</v>
      </c>
      <c r="L69" t="s">
        <v>820</v>
      </c>
      <c r="W69" t="s">
        <v>821</v>
      </c>
      <c r="X69" t="s">
        <v>822</v>
      </c>
      <c r="Y69" t="s">
        <v>823</v>
      </c>
      <c r="Z69" t="s">
        <v>824</v>
      </c>
      <c r="AA69" t="s">
        <v>825</v>
      </c>
    </row>
    <row r="70" spans="1:28" x14ac:dyDescent="0.25">
      <c r="A70" s="13" t="s">
        <v>826</v>
      </c>
      <c r="B70" t="s">
        <v>827</v>
      </c>
      <c r="F70" t="s">
        <v>828</v>
      </c>
      <c r="L70" t="s">
        <v>829</v>
      </c>
      <c r="Y70" t="s">
        <v>830</v>
      </c>
      <c r="Z70" t="s">
        <v>831</v>
      </c>
      <c r="AA70" t="s">
        <v>832</v>
      </c>
    </row>
    <row r="71" spans="1:28" x14ac:dyDescent="0.25">
      <c r="A71" s="13" t="s">
        <v>833</v>
      </c>
      <c r="B71" t="s">
        <v>834</v>
      </c>
      <c r="C71" t="s">
        <v>835</v>
      </c>
      <c r="E71" t="s">
        <v>836</v>
      </c>
      <c r="F71" t="s">
        <v>837</v>
      </c>
      <c r="L71" t="s">
        <v>838</v>
      </c>
      <c r="S71" t="s">
        <v>839</v>
      </c>
      <c r="T71" t="s">
        <v>840</v>
      </c>
      <c r="U71" t="s">
        <v>841</v>
      </c>
      <c r="V71" t="s">
        <v>842</v>
      </c>
      <c r="W71" t="s">
        <v>843</v>
      </c>
      <c r="X71" t="s">
        <v>844</v>
      </c>
      <c r="Y71" t="s">
        <v>845</v>
      </c>
      <c r="Z71" t="s">
        <v>846</v>
      </c>
      <c r="AA71" t="s">
        <v>847</v>
      </c>
      <c r="AB71" t="s">
        <v>848</v>
      </c>
    </row>
    <row r="72" spans="1:28" x14ac:dyDescent="0.25">
      <c r="A72" s="13" t="s">
        <v>849</v>
      </c>
      <c r="B72" t="s">
        <v>850</v>
      </c>
      <c r="F72" t="s">
        <v>851</v>
      </c>
      <c r="S72" t="s">
        <v>852</v>
      </c>
      <c r="T72" t="s">
        <v>853</v>
      </c>
      <c r="U72" t="s">
        <v>854</v>
      </c>
      <c r="V72" t="s">
        <v>855</v>
      </c>
      <c r="W72" t="s">
        <v>856</v>
      </c>
      <c r="X72" t="s">
        <v>857</v>
      </c>
      <c r="Y72" t="s">
        <v>858</v>
      </c>
      <c r="Z72" t="s">
        <v>859</v>
      </c>
      <c r="AA72" t="s">
        <v>860</v>
      </c>
      <c r="AB72" t="s">
        <v>861</v>
      </c>
    </row>
    <row r="73" spans="1:28" x14ac:dyDescent="0.25">
      <c r="A73" s="13" t="s">
        <v>862</v>
      </c>
      <c r="B73" t="s">
        <v>863</v>
      </c>
      <c r="C73" t="s">
        <v>864</v>
      </c>
      <c r="E73" t="s">
        <v>865</v>
      </c>
      <c r="F73" t="s">
        <v>866</v>
      </c>
      <c r="H73" t="s">
        <v>867</v>
      </c>
      <c r="L73" t="s">
        <v>868</v>
      </c>
      <c r="S73" t="s">
        <v>869</v>
      </c>
      <c r="T73" t="s">
        <v>870</v>
      </c>
      <c r="U73" t="s">
        <v>871</v>
      </c>
      <c r="V73" t="s">
        <v>872</v>
      </c>
      <c r="W73" t="s">
        <v>873</v>
      </c>
      <c r="X73" t="s">
        <v>874</v>
      </c>
      <c r="Y73" t="s">
        <v>875</v>
      </c>
      <c r="AB73" t="s">
        <v>876</v>
      </c>
    </row>
    <row r="74" spans="1:28" x14ac:dyDescent="0.25">
      <c r="A74" s="13" t="s">
        <v>877</v>
      </c>
      <c r="B74" t="s">
        <v>878</v>
      </c>
      <c r="F74" t="s">
        <v>879</v>
      </c>
      <c r="L74" t="s">
        <v>880</v>
      </c>
      <c r="Q74" t="s">
        <v>881</v>
      </c>
      <c r="S74" t="s">
        <v>882</v>
      </c>
      <c r="T74" t="s">
        <v>883</v>
      </c>
      <c r="U74" t="s">
        <v>884</v>
      </c>
      <c r="V74" t="s">
        <v>885</v>
      </c>
      <c r="W74" t="s">
        <v>886</v>
      </c>
      <c r="X74" t="s">
        <v>887</v>
      </c>
      <c r="Y74" t="s">
        <v>888</v>
      </c>
      <c r="Z74" t="s">
        <v>889</v>
      </c>
      <c r="AA74" t="s">
        <v>890</v>
      </c>
      <c r="AB74" t="s">
        <v>891</v>
      </c>
    </row>
    <row r="75" spans="1:28" x14ac:dyDescent="0.25">
      <c r="A75" s="13" t="s">
        <v>892</v>
      </c>
      <c r="B75" t="s">
        <v>893</v>
      </c>
      <c r="E75" t="s">
        <v>894</v>
      </c>
      <c r="F75" t="s">
        <v>895</v>
      </c>
      <c r="H75" t="s">
        <v>896</v>
      </c>
      <c r="P75" t="s">
        <v>897</v>
      </c>
      <c r="Y75" t="s">
        <v>898</v>
      </c>
      <c r="Z75" t="s">
        <v>899</v>
      </c>
      <c r="AA75" t="s">
        <v>900</v>
      </c>
    </row>
    <row r="76" spans="1:28" x14ac:dyDescent="0.25">
      <c r="A76" s="13" t="s">
        <v>901</v>
      </c>
      <c r="B76" t="s">
        <v>902</v>
      </c>
      <c r="E76" t="s">
        <v>903</v>
      </c>
      <c r="F76" t="s">
        <v>904</v>
      </c>
      <c r="Y76" t="s">
        <v>905</v>
      </c>
      <c r="Z76" t="s">
        <v>906</v>
      </c>
      <c r="AA76" t="s">
        <v>907</v>
      </c>
      <c r="AB76" t="s">
        <v>908</v>
      </c>
    </row>
    <row r="77" spans="1:28" x14ac:dyDescent="0.25">
      <c r="A77" s="13" t="s">
        <v>909</v>
      </c>
      <c r="B77" t="s">
        <v>910</v>
      </c>
      <c r="F77" t="s">
        <v>911</v>
      </c>
      <c r="P77" t="s">
        <v>912</v>
      </c>
      <c r="Y77" t="s">
        <v>913</v>
      </c>
      <c r="Z77" t="s">
        <v>914</v>
      </c>
      <c r="AA77" t="s">
        <v>915</v>
      </c>
    </row>
    <row r="78" spans="1:28" x14ac:dyDescent="0.25">
      <c r="A78" s="13" t="s">
        <v>916</v>
      </c>
      <c r="B78" t="s">
        <v>917</v>
      </c>
      <c r="E78" t="s">
        <v>918</v>
      </c>
      <c r="F78" t="s">
        <v>919</v>
      </c>
      <c r="Y78" t="s">
        <v>920</v>
      </c>
      <c r="Z78" t="s">
        <v>921</v>
      </c>
      <c r="AA78" t="s">
        <v>922</v>
      </c>
      <c r="AB78" t="s">
        <v>923</v>
      </c>
    </row>
    <row r="79" spans="1:28" x14ac:dyDescent="0.25">
      <c r="A79" s="13" t="s">
        <v>924</v>
      </c>
      <c r="B79" t="s">
        <v>925</v>
      </c>
      <c r="E79" t="s">
        <v>926</v>
      </c>
      <c r="F79" t="s">
        <v>927</v>
      </c>
      <c r="L79" t="s">
        <v>928</v>
      </c>
      <c r="Q79" t="s">
        <v>929</v>
      </c>
      <c r="Y79" t="s">
        <v>930</v>
      </c>
      <c r="Z79" t="s">
        <v>931</v>
      </c>
      <c r="AA79" t="s">
        <v>932</v>
      </c>
      <c r="AB79" t="s">
        <v>933</v>
      </c>
    </row>
    <row r="80" spans="1:28" x14ac:dyDescent="0.25">
      <c r="A80" s="13" t="s">
        <v>934</v>
      </c>
      <c r="B80" t="s">
        <v>935</v>
      </c>
      <c r="F80" t="s">
        <v>936</v>
      </c>
      <c r="Y80" t="s">
        <v>937</v>
      </c>
      <c r="Z80" t="s">
        <v>938</v>
      </c>
      <c r="AA80" t="s">
        <v>939</v>
      </c>
      <c r="AB80" t="s">
        <v>940</v>
      </c>
    </row>
    <row r="81" spans="1:28" x14ac:dyDescent="0.25">
      <c r="A81" s="13" t="s">
        <v>941</v>
      </c>
      <c r="B81" t="s">
        <v>942</v>
      </c>
      <c r="F81" t="s">
        <v>943</v>
      </c>
      <c r="Y81" t="s">
        <v>944</v>
      </c>
      <c r="Z81" t="s">
        <v>945</v>
      </c>
      <c r="AA81" t="s">
        <v>946</v>
      </c>
      <c r="AB81" t="s">
        <v>947</v>
      </c>
    </row>
    <row r="82" spans="1:28" x14ac:dyDescent="0.25">
      <c r="A82" s="13" t="s">
        <v>948</v>
      </c>
      <c r="B82" t="s">
        <v>949</v>
      </c>
      <c r="F82" t="s">
        <v>950</v>
      </c>
      <c r="P82" t="s">
        <v>951</v>
      </c>
      <c r="Y82" t="s">
        <v>952</v>
      </c>
      <c r="Z82" t="s">
        <v>953</v>
      </c>
      <c r="AA82" t="s">
        <v>954</v>
      </c>
    </row>
    <row r="83" spans="1:28" x14ac:dyDescent="0.25">
      <c r="A83" s="13" t="s">
        <v>955</v>
      </c>
      <c r="B83" t="s">
        <v>956</v>
      </c>
      <c r="F83" t="s">
        <v>957</v>
      </c>
      <c r="Y83" t="s">
        <v>958</v>
      </c>
      <c r="Z83" t="s">
        <v>959</v>
      </c>
      <c r="AA83" t="s">
        <v>960</v>
      </c>
    </row>
    <row r="84" spans="1:28" x14ac:dyDescent="0.25">
      <c r="A84" s="13" t="s">
        <v>961</v>
      </c>
      <c r="B84" t="s">
        <v>962</v>
      </c>
      <c r="F84" t="s">
        <v>963</v>
      </c>
      <c r="Y84" t="s">
        <v>964</v>
      </c>
    </row>
    <row r="85" spans="1:28" x14ac:dyDescent="0.25">
      <c r="A85" s="13" t="s">
        <v>965</v>
      </c>
      <c r="B85" t="s">
        <v>966</v>
      </c>
      <c r="F85" t="s">
        <v>967</v>
      </c>
      <c r="Y85" t="s">
        <v>968</v>
      </c>
    </row>
    <row r="86" spans="1:28" x14ac:dyDescent="0.25">
      <c r="A86" s="13" t="s">
        <v>969</v>
      </c>
      <c r="B86" t="s">
        <v>970</v>
      </c>
      <c r="F86" t="s">
        <v>971</v>
      </c>
      <c r="Y86" t="s">
        <v>972</v>
      </c>
    </row>
    <row r="87" spans="1:28" x14ac:dyDescent="0.25">
      <c r="A87" s="13" t="s">
        <v>973</v>
      </c>
      <c r="B87" t="s">
        <v>974</v>
      </c>
      <c r="C87" t="s">
        <v>975</v>
      </c>
      <c r="F87" t="s">
        <v>976</v>
      </c>
      <c r="L87" t="s">
        <v>977</v>
      </c>
      <c r="Y87" t="s">
        <v>978</v>
      </c>
    </row>
    <row r="88" spans="1:28" x14ac:dyDescent="0.25">
      <c r="A88" s="13" t="s">
        <v>979</v>
      </c>
      <c r="B88" t="s">
        <v>980</v>
      </c>
      <c r="F88" t="s">
        <v>981</v>
      </c>
      <c r="Y88" t="s">
        <v>982</v>
      </c>
      <c r="Z88" t="s">
        <v>983</v>
      </c>
      <c r="AA88" t="s">
        <v>984</v>
      </c>
    </row>
    <row r="89" spans="1:28" x14ac:dyDescent="0.25">
      <c r="A89" s="13" t="s">
        <v>985</v>
      </c>
      <c r="B89" t="s">
        <v>986</v>
      </c>
      <c r="F89" t="s">
        <v>987</v>
      </c>
      <c r="Y89" t="s">
        <v>988</v>
      </c>
      <c r="Z89" t="s">
        <v>989</v>
      </c>
      <c r="AA89" t="s">
        <v>990</v>
      </c>
      <c r="AB89" t="s">
        <v>991</v>
      </c>
    </row>
    <row r="90" spans="1:28" x14ac:dyDescent="0.25">
      <c r="A90" s="13" t="s">
        <v>992</v>
      </c>
      <c r="B90" t="s">
        <v>993</v>
      </c>
      <c r="D90" t="s">
        <v>994</v>
      </c>
      <c r="F90" t="s">
        <v>995</v>
      </c>
      <c r="Y90" t="s">
        <v>996</v>
      </c>
      <c r="Z90" t="s">
        <v>997</v>
      </c>
      <c r="AA90" t="s">
        <v>998</v>
      </c>
      <c r="AB90" t="s">
        <v>999</v>
      </c>
    </row>
    <row r="91" spans="1:28" x14ac:dyDescent="0.25">
      <c r="A91" s="13" t="s">
        <v>1000</v>
      </c>
      <c r="B91" t="s">
        <v>1001</v>
      </c>
      <c r="F91" t="s">
        <v>1002</v>
      </c>
      <c r="Y91" t="s">
        <v>1003</v>
      </c>
      <c r="Z91" t="s">
        <v>1004</v>
      </c>
    </row>
    <row r="92" spans="1:28" x14ac:dyDescent="0.25">
      <c r="A92" s="13" t="s">
        <v>1005</v>
      </c>
      <c r="B92" t="s">
        <v>1006</v>
      </c>
      <c r="H92" t="s">
        <v>1007</v>
      </c>
      <c r="L92" t="s">
        <v>1008</v>
      </c>
      <c r="P92" t="s">
        <v>1009</v>
      </c>
      <c r="Y92" t="s">
        <v>1010</v>
      </c>
    </row>
    <row r="93" spans="1:28" x14ac:dyDescent="0.25">
      <c r="A93" s="13" t="s">
        <v>1011</v>
      </c>
      <c r="B93" t="s">
        <v>1012</v>
      </c>
    </row>
    <row r="94" spans="1:28" x14ac:dyDescent="0.25">
      <c r="A94" s="13" t="s">
        <v>1013</v>
      </c>
      <c r="B94" t="s">
        <v>1014</v>
      </c>
      <c r="E94" t="s">
        <v>1015</v>
      </c>
      <c r="F94" t="s">
        <v>1016</v>
      </c>
      <c r="G94" t="s">
        <v>1017</v>
      </c>
      <c r="H94" t="s">
        <v>1018</v>
      </c>
      <c r="J94" t="s">
        <v>1019</v>
      </c>
      <c r="K94" t="s">
        <v>1020</v>
      </c>
      <c r="L94" t="s">
        <v>1021</v>
      </c>
      <c r="Q94" t="s">
        <v>1022</v>
      </c>
      <c r="R94" t="s">
        <v>1023</v>
      </c>
      <c r="X94" t="s">
        <v>1024</v>
      </c>
      <c r="Y94" t="s">
        <v>1025</v>
      </c>
    </row>
    <row r="95" spans="1:28" x14ac:dyDescent="0.25">
      <c r="A95" s="13" t="s">
        <v>1026</v>
      </c>
      <c r="B95" t="s">
        <v>1027</v>
      </c>
      <c r="E95" t="s">
        <v>1028</v>
      </c>
      <c r="F95" t="s">
        <v>1029</v>
      </c>
      <c r="Y95" t="s">
        <v>1030</v>
      </c>
      <c r="Z95" t="s">
        <v>1031</v>
      </c>
    </row>
    <row r="96" spans="1:28" x14ac:dyDescent="0.25">
      <c r="A96" s="13" t="s">
        <v>1032</v>
      </c>
      <c r="B96" t="s">
        <v>1033</v>
      </c>
      <c r="E96" t="s">
        <v>1034</v>
      </c>
      <c r="F96" t="s">
        <v>1035</v>
      </c>
      <c r="G96" t="s">
        <v>1036</v>
      </c>
      <c r="H96" t="s">
        <v>1037</v>
      </c>
      <c r="J96" t="s">
        <v>1038</v>
      </c>
      <c r="P96" t="s">
        <v>1039</v>
      </c>
      <c r="Q96" t="s">
        <v>1040</v>
      </c>
      <c r="Y96" t="s">
        <v>1041</v>
      </c>
      <c r="Z96" t="s">
        <v>1042</v>
      </c>
      <c r="AA96" t="s">
        <v>1043</v>
      </c>
    </row>
    <row r="97" spans="1:27" x14ac:dyDescent="0.25">
      <c r="A97" s="13" t="s">
        <v>1044</v>
      </c>
      <c r="B97" t="s">
        <v>1045</v>
      </c>
      <c r="E97" t="s">
        <v>1046</v>
      </c>
      <c r="F97" t="s">
        <v>1047</v>
      </c>
      <c r="G97" t="s">
        <v>1048</v>
      </c>
      <c r="H97" t="s">
        <v>1049</v>
      </c>
      <c r="J97" t="s">
        <v>1050</v>
      </c>
      <c r="P97" t="s">
        <v>1051</v>
      </c>
      <c r="Q97" t="s">
        <v>1052</v>
      </c>
      <c r="S97" t="s">
        <v>1053</v>
      </c>
      <c r="T97" t="s">
        <v>1054</v>
      </c>
      <c r="Y97" t="s">
        <v>1055</v>
      </c>
      <c r="Z97" t="s">
        <v>1056</v>
      </c>
      <c r="AA97" t="s">
        <v>1057</v>
      </c>
    </row>
    <row r="98" spans="1:27" x14ac:dyDescent="0.25">
      <c r="A98" s="13" t="s">
        <v>1058</v>
      </c>
      <c r="B98" t="s">
        <v>1059</v>
      </c>
      <c r="E98" t="s">
        <v>1060</v>
      </c>
      <c r="G98" t="s">
        <v>1061</v>
      </c>
      <c r="H98" t="s">
        <v>1062</v>
      </c>
      <c r="J98" t="s">
        <v>1063</v>
      </c>
      <c r="P98" t="s">
        <v>1064</v>
      </c>
      <c r="Q98" t="s">
        <v>1065</v>
      </c>
      <c r="S98" t="s">
        <v>1066</v>
      </c>
      <c r="T98" t="s">
        <v>1067</v>
      </c>
      <c r="U98" t="s">
        <v>1068</v>
      </c>
      <c r="V98" t="s">
        <v>1069</v>
      </c>
      <c r="W98" t="s">
        <v>1070</v>
      </c>
      <c r="X98" t="s">
        <v>1071</v>
      </c>
      <c r="Y98" t="s">
        <v>1072</v>
      </c>
      <c r="Z98" t="s">
        <v>1073</v>
      </c>
    </row>
    <row r="99" spans="1:27" x14ac:dyDescent="0.25">
      <c r="A99" s="13" t="s">
        <v>1074</v>
      </c>
      <c r="B99" t="s">
        <v>1075</v>
      </c>
      <c r="C99" t="s">
        <v>1076</v>
      </c>
      <c r="E99" t="s">
        <v>1077</v>
      </c>
      <c r="F99" t="s">
        <v>1078</v>
      </c>
      <c r="L99" t="s">
        <v>1079</v>
      </c>
      <c r="X99" t="s">
        <v>1080</v>
      </c>
      <c r="Y99" t="s">
        <v>1081</v>
      </c>
      <c r="Z99" t="s">
        <v>1082</v>
      </c>
    </row>
    <row r="100" spans="1:27" x14ac:dyDescent="0.25">
      <c r="A100" s="13" t="s">
        <v>1083</v>
      </c>
      <c r="B100" t="s">
        <v>1084</v>
      </c>
      <c r="E100" t="s">
        <v>1085</v>
      </c>
      <c r="F100" t="s">
        <v>1086</v>
      </c>
      <c r="Y100" t="s">
        <v>1087</v>
      </c>
      <c r="Z100" t="s">
        <v>1088</v>
      </c>
    </row>
    <row r="101" spans="1:27" x14ac:dyDescent="0.25">
      <c r="A101" s="13" t="s">
        <v>1089</v>
      </c>
      <c r="B101" t="s">
        <v>1090</v>
      </c>
      <c r="E101" t="s">
        <v>1091</v>
      </c>
      <c r="F101" t="s">
        <v>1092</v>
      </c>
      <c r="L101" t="s">
        <v>1093</v>
      </c>
      <c r="Q101" t="s">
        <v>1094</v>
      </c>
      <c r="Y101" t="s">
        <v>1095</v>
      </c>
    </row>
    <row r="102" spans="1:27" x14ac:dyDescent="0.25">
      <c r="A102" s="13" t="s">
        <v>1096</v>
      </c>
      <c r="B102" t="s">
        <v>1097</v>
      </c>
      <c r="E102" t="s">
        <v>1098</v>
      </c>
      <c r="S102" t="s">
        <v>1099</v>
      </c>
      <c r="T102" t="s">
        <v>1100</v>
      </c>
      <c r="U102" t="s">
        <v>1101</v>
      </c>
      <c r="V102" t="s">
        <v>1102</v>
      </c>
      <c r="W102" t="s">
        <v>1103</v>
      </c>
      <c r="X102" t="s">
        <v>1104</v>
      </c>
    </row>
    <row r="103" spans="1:27" x14ac:dyDescent="0.25">
      <c r="A103" s="13" t="s">
        <v>1105</v>
      </c>
      <c r="B103" t="s">
        <v>1106</v>
      </c>
      <c r="E103" t="s">
        <v>1107</v>
      </c>
      <c r="F103" t="s">
        <v>1108</v>
      </c>
      <c r="S103" t="s">
        <v>1109</v>
      </c>
      <c r="Y103" t="s">
        <v>1110</v>
      </c>
    </row>
    <row r="104" spans="1:27" x14ac:dyDescent="0.25">
      <c r="A104" s="13" t="s">
        <v>1111</v>
      </c>
      <c r="B104" t="s">
        <v>1112</v>
      </c>
      <c r="E104" t="s">
        <v>1113</v>
      </c>
      <c r="F104" t="s">
        <v>1114</v>
      </c>
      <c r="Y104" t="s">
        <v>1115</v>
      </c>
      <c r="Z104" t="s">
        <v>1116</v>
      </c>
    </row>
    <row r="105" spans="1:27" x14ac:dyDescent="0.25">
      <c r="A105" s="13" t="s">
        <v>1117</v>
      </c>
      <c r="B105" t="s">
        <v>1118</v>
      </c>
      <c r="E105" t="s">
        <v>1119</v>
      </c>
      <c r="F105" t="s">
        <v>1120</v>
      </c>
      <c r="H105" t="s">
        <v>1121</v>
      </c>
      <c r="P105" t="s">
        <v>1122</v>
      </c>
      <c r="Y105" t="s">
        <v>1123</v>
      </c>
      <c r="Z105" t="s">
        <v>1124</v>
      </c>
    </row>
    <row r="106" spans="1:27" x14ac:dyDescent="0.25">
      <c r="A106" s="13" t="s">
        <v>1125</v>
      </c>
      <c r="B106" t="s">
        <v>1126</v>
      </c>
      <c r="E106" t="s">
        <v>1127</v>
      </c>
      <c r="G106" t="s">
        <v>1128</v>
      </c>
      <c r="H106" t="s">
        <v>1129</v>
      </c>
      <c r="J106" t="s">
        <v>1130</v>
      </c>
      <c r="P106" t="s">
        <v>1131</v>
      </c>
      <c r="Q106" t="s">
        <v>1132</v>
      </c>
      <c r="S106" t="s">
        <v>1133</v>
      </c>
      <c r="T106" t="s">
        <v>1134</v>
      </c>
      <c r="U106" t="s">
        <v>1135</v>
      </c>
      <c r="V106" t="s">
        <v>1136</v>
      </c>
      <c r="W106" t="s">
        <v>1137</v>
      </c>
      <c r="X106" t="s">
        <v>1138</v>
      </c>
      <c r="Y106" t="s">
        <v>1139</v>
      </c>
      <c r="Z106" t="s">
        <v>1140</v>
      </c>
      <c r="AA106" t="s">
        <v>1141</v>
      </c>
    </row>
    <row r="107" spans="1:27" x14ac:dyDescent="0.25">
      <c r="A107" s="13" t="s">
        <v>1142</v>
      </c>
      <c r="B107" t="s">
        <v>1143</v>
      </c>
      <c r="E107" t="s">
        <v>1144</v>
      </c>
      <c r="F107" t="s">
        <v>1145</v>
      </c>
      <c r="G107" t="s">
        <v>1146</v>
      </c>
      <c r="H107" t="s">
        <v>1147</v>
      </c>
      <c r="J107" t="s">
        <v>1148</v>
      </c>
      <c r="P107" t="s">
        <v>1149</v>
      </c>
      <c r="Q107" t="s">
        <v>1150</v>
      </c>
      <c r="Y107" t="s">
        <v>1151</v>
      </c>
      <c r="Z107" t="s">
        <v>1152</v>
      </c>
      <c r="AA107" t="s">
        <v>1153</v>
      </c>
    </row>
    <row r="108" spans="1:27" x14ac:dyDescent="0.25">
      <c r="A108" s="13" t="s">
        <v>1154</v>
      </c>
      <c r="B108" t="s">
        <v>1155</v>
      </c>
      <c r="E108" t="s">
        <v>1156</v>
      </c>
      <c r="F108" t="s">
        <v>1157</v>
      </c>
      <c r="P108" t="s">
        <v>1158</v>
      </c>
      <c r="Y108" t="s">
        <v>1159</v>
      </c>
      <c r="Z108" t="s">
        <v>1160</v>
      </c>
    </row>
    <row r="109" spans="1:27" x14ac:dyDescent="0.25">
      <c r="A109" s="13" t="s">
        <v>1161</v>
      </c>
      <c r="B109" t="s">
        <v>1162</v>
      </c>
      <c r="E109" t="s">
        <v>1163</v>
      </c>
      <c r="S109" t="s">
        <v>1164</v>
      </c>
      <c r="T109" t="s">
        <v>1165</v>
      </c>
      <c r="U109" t="s">
        <v>1166</v>
      </c>
      <c r="V109" t="s">
        <v>1167</v>
      </c>
      <c r="W109" t="s">
        <v>1168</v>
      </c>
      <c r="X109" t="s">
        <v>1169</v>
      </c>
      <c r="Y109" t="s">
        <v>1170</v>
      </c>
      <c r="Z109" t="s">
        <v>1171</v>
      </c>
    </row>
    <row r="110" spans="1:27" x14ac:dyDescent="0.25">
      <c r="A110" s="13" t="s">
        <v>1172</v>
      </c>
      <c r="B110" t="s">
        <v>1173</v>
      </c>
      <c r="E110" t="s">
        <v>1174</v>
      </c>
      <c r="F110" t="s">
        <v>1175</v>
      </c>
      <c r="H110" t="s">
        <v>1176</v>
      </c>
      <c r="P110" t="s">
        <v>1177</v>
      </c>
      <c r="Y110" t="s">
        <v>1178</v>
      </c>
    </row>
    <row r="111" spans="1:27" x14ac:dyDescent="0.25">
      <c r="A111" s="13" t="s">
        <v>1179</v>
      </c>
      <c r="B111" t="s">
        <v>1180</v>
      </c>
      <c r="E111" t="s">
        <v>1181</v>
      </c>
      <c r="F111" t="s">
        <v>1182</v>
      </c>
      <c r="G111" t="s">
        <v>1183</v>
      </c>
      <c r="H111" t="s">
        <v>1184</v>
      </c>
      <c r="J111" t="s">
        <v>1185</v>
      </c>
      <c r="P111" t="s">
        <v>1186</v>
      </c>
      <c r="Q111" t="s">
        <v>1187</v>
      </c>
      <c r="Y111" t="s">
        <v>1188</v>
      </c>
      <c r="Z111" t="s">
        <v>1189</v>
      </c>
      <c r="AA111" t="s">
        <v>1190</v>
      </c>
    </row>
    <row r="112" spans="1:27" x14ac:dyDescent="0.25">
      <c r="A112" s="13" t="s">
        <v>1191</v>
      </c>
      <c r="B112" t="s">
        <v>1192</v>
      </c>
      <c r="E112" t="s">
        <v>1193</v>
      </c>
      <c r="F112" t="s">
        <v>1194</v>
      </c>
      <c r="H112" t="s">
        <v>1195</v>
      </c>
      <c r="P112" t="s">
        <v>1196</v>
      </c>
      <c r="Y112" t="s">
        <v>1197</v>
      </c>
      <c r="Z112" t="s">
        <v>1198</v>
      </c>
    </row>
    <row r="113" spans="1:27" x14ac:dyDescent="0.25">
      <c r="A113" s="13" t="s">
        <v>1199</v>
      </c>
      <c r="B113" t="s">
        <v>1200</v>
      </c>
      <c r="E113" t="s">
        <v>1201</v>
      </c>
      <c r="F113" t="s">
        <v>1202</v>
      </c>
      <c r="G113" t="s">
        <v>1203</v>
      </c>
      <c r="H113" t="s">
        <v>1204</v>
      </c>
      <c r="J113" t="s">
        <v>1205</v>
      </c>
      <c r="P113" t="s">
        <v>1206</v>
      </c>
      <c r="Q113" t="s">
        <v>1207</v>
      </c>
      <c r="V113" t="s">
        <v>1208</v>
      </c>
      <c r="W113" t="s">
        <v>1209</v>
      </c>
      <c r="X113" t="s">
        <v>1210</v>
      </c>
      <c r="Y113" t="s">
        <v>1211</v>
      </c>
      <c r="Z113" t="s">
        <v>1212</v>
      </c>
      <c r="AA113" t="s">
        <v>1213</v>
      </c>
    </row>
    <row r="114" spans="1:27" x14ac:dyDescent="0.25">
      <c r="A114" s="13" t="s">
        <v>1214</v>
      </c>
      <c r="B114" t="s">
        <v>1215</v>
      </c>
      <c r="E114" t="s">
        <v>1216</v>
      </c>
      <c r="G114" t="s">
        <v>1217</v>
      </c>
      <c r="H114" t="s">
        <v>1218</v>
      </c>
      <c r="J114" t="s">
        <v>1219</v>
      </c>
      <c r="P114" t="s">
        <v>1220</v>
      </c>
      <c r="Q114" t="s">
        <v>1221</v>
      </c>
      <c r="S114" t="s">
        <v>1222</v>
      </c>
      <c r="T114" t="s">
        <v>1223</v>
      </c>
      <c r="U114" t="s">
        <v>1224</v>
      </c>
      <c r="V114" t="s">
        <v>1225</v>
      </c>
      <c r="W114" t="s">
        <v>1226</v>
      </c>
      <c r="X114" t="s">
        <v>1227</v>
      </c>
      <c r="Y114" t="s">
        <v>1228</v>
      </c>
      <c r="Z114" t="s">
        <v>1229</v>
      </c>
      <c r="AA114" t="s">
        <v>1230</v>
      </c>
    </row>
    <row r="115" spans="1:27" x14ac:dyDescent="0.25">
      <c r="A115" s="13" t="s">
        <v>1231</v>
      </c>
      <c r="B115" t="s">
        <v>1232</v>
      </c>
      <c r="E115" t="s">
        <v>1233</v>
      </c>
      <c r="F115" t="s">
        <v>1234</v>
      </c>
      <c r="H115" t="s">
        <v>1235</v>
      </c>
      <c r="P115" t="s">
        <v>1236</v>
      </c>
      <c r="Y115" t="s">
        <v>1237</v>
      </c>
      <c r="Z115" t="s">
        <v>1238</v>
      </c>
      <c r="AA115" t="s">
        <v>1239</v>
      </c>
    </row>
    <row r="116" spans="1:27" x14ac:dyDescent="0.25">
      <c r="A116" s="13" t="s">
        <v>1240</v>
      </c>
      <c r="B116" t="s">
        <v>1241</v>
      </c>
      <c r="D116" t="s">
        <v>1242</v>
      </c>
      <c r="F116" t="s">
        <v>1243</v>
      </c>
      <c r="H116" t="s">
        <v>1244</v>
      </c>
      <c r="P116" t="s">
        <v>1245</v>
      </c>
      <c r="Y116" t="s">
        <v>1246</v>
      </c>
      <c r="Z116" t="s">
        <v>1247</v>
      </c>
    </row>
    <row r="117" spans="1:27" x14ac:dyDescent="0.25">
      <c r="A117" s="13" t="s">
        <v>1248</v>
      </c>
      <c r="B117" t="s">
        <v>1249</v>
      </c>
      <c r="E117" t="s">
        <v>1250</v>
      </c>
      <c r="F117" t="s">
        <v>1251</v>
      </c>
      <c r="Y117" t="s">
        <v>1252</v>
      </c>
    </row>
    <row r="118" spans="1:27" x14ac:dyDescent="0.25">
      <c r="A118" s="13" t="s">
        <v>1253</v>
      </c>
      <c r="B118" t="s">
        <v>1254</v>
      </c>
      <c r="E118" t="s">
        <v>1255</v>
      </c>
      <c r="F118" t="s">
        <v>1256</v>
      </c>
      <c r="G118" t="s">
        <v>1257</v>
      </c>
      <c r="H118" t="s">
        <v>1258</v>
      </c>
      <c r="J118" t="s">
        <v>1259</v>
      </c>
      <c r="P118" t="s">
        <v>1260</v>
      </c>
      <c r="Y118" t="s">
        <v>1261</v>
      </c>
    </row>
    <row r="119" spans="1:27" x14ac:dyDescent="0.25">
      <c r="A119" s="13" t="s">
        <v>1262</v>
      </c>
      <c r="B119" t="s">
        <v>1263</v>
      </c>
      <c r="E119" t="s">
        <v>1264</v>
      </c>
      <c r="F119" t="s">
        <v>1265</v>
      </c>
      <c r="H119" t="s">
        <v>1266</v>
      </c>
      <c r="P119" t="s">
        <v>1267</v>
      </c>
      <c r="Y119" t="s">
        <v>1268</v>
      </c>
      <c r="Z119" t="s">
        <v>1269</v>
      </c>
    </row>
    <row r="120" spans="1:27" x14ac:dyDescent="0.25">
      <c r="A120" s="13" t="s">
        <v>1270</v>
      </c>
      <c r="B120" t="s">
        <v>1271</v>
      </c>
      <c r="E120" t="s">
        <v>1272</v>
      </c>
      <c r="F120" t="s">
        <v>1273</v>
      </c>
      <c r="G120" t="s">
        <v>1274</v>
      </c>
      <c r="H120" t="s">
        <v>1275</v>
      </c>
      <c r="J120" t="s">
        <v>1276</v>
      </c>
      <c r="P120" t="s">
        <v>1277</v>
      </c>
      <c r="Y120" t="s">
        <v>1278</v>
      </c>
      <c r="Z120" t="s">
        <v>1279</v>
      </c>
    </row>
    <row r="121" spans="1:27" x14ac:dyDescent="0.25">
      <c r="A121" s="13" t="s">
        <v>1280</v>
      </c>
      <c r="B121" t="s">
        <v>1281</v>
      </c>
      <c r="E121" t="s">
        <v>1282</v>
      </c>
      <c r="F121" t="s">
        <v>1283</v>
      </c>
      <c r="P121" t="s">
        <v>1284</v>
      </c>
      <c r="Y121" t="s">
        <v>1285</v>
      </c>
    </row>
    <row r="122" spans="1:27" x14ac:dyDescent="0.25">
      <c r="A122" s="13" t="s">
        <v>1286</v>
      </c>
      <c r="B122" t="s">
        <v>1287</v>
      </c>
      <c r="E122" t="s">
        <v>1288</v>
      </c>
      <c r="F122" t="s">
        <v>1289</v>
      </c>
      <c r="G122" t="s">
        <v>1290</v>
      </c>
      <c r="H122" t="s">
        <v>1291</v>
      </c>
      <c r="J122" t="s">
        <v>1292</v>
      </c>
      <c r="P122" t="s">
        <v>1293</v>
      </c>
      <c r="Q122" t="s">
        <v>1294</v>
      </c>
      <c r="Y122" t="s">
        <v>1295</v>
      </c>
      <c r="Z122" t="s">
        <v>1296</v>
      </c>
    </row>
    <row r="123" spans="1:27" x14ac:dyDescent="0.25">
      <c r="A123" s="13" t="s">
        <v>1297</v>
      </c>
      <c r="B123" t="s">
        <v>1298</v>
      </c>
      <c r="E123" t="s">
        <v>1299</v>
      </c>
      <c r="H123" t="s">
        <v>1300</v>
      </c>
      <c r="P123" t="s">
        <v>1301</v>
      </c>
    </row>
    <row r="124" spans="1:27" x14ac:dyDescent="0.25">
      <c r="A124" s="13" t="s">
        <v>1302</v>
      </c>
      <c r="B124" t="s">
        <v>1303</v>
      </c>
      <c r="E124" t="s">
        <v>1304</v>
      </c>
      <c r="F124" t="s">
        <v>1305</v>
      </c>
      <c r="Y124" t="s">
        <v>1306</v>
      </c>
    </row>
    <row r="125" spans="1:27" x14ac:dyDescent="0.25">
      <c r="A125" s="13" t="s">
        <v>1307</v>
      </c>
      <c r="B125" t="s">
        <v>1308</v>
      </c>
      <c r="E125" t="s">
        <v>1309</v>
      </c>
      <c r="F125" t="s">
        <v>1310</v>
      </c>
      <c r="G125" t="s">
        <v>1311</v>
      </c>
      <c r="H125" t="s">
        <v>1312</v>
      </c>
      <c r="J125" t="s">
        <v>1313</v>
      </c>
      <c r="L125" t="s">
        <v>1314</v>
      </c>
      <c r="P125" t="s">
        <v>1315</v>
      </c>
      <c r="Q125" t="s">
        <v>1316</v>
      </c>
      <c r="S125" t="s">
        <v>1317</v>
      </c>
      <c r="Y125" t="s">
        <v>1318</v>
      </c>
      <c r="Z125" t="s">
        <v>1319</v>
      </c>
    </row>
    <row r="126" spans="1:27" x14ac:dyDescent="0.25">
      <c r="A126" s="13" t="s">
        <v>1320</v>
      </c>
      <c r="B126" t="s">
        <v>1321</v>
      </c>
      <c r="E126" t="s">
        <v>1322</v>
      </c>
      <c r="F126" t="s">
        <v>1323</v>
      </c>
      <c r="G126" t="s">
        <v>1324</v>
      </c>
      <c r="H126" t="s">
        <v>1325</v>
      </c>
      <c r="P126" t="s">
        <v>1326</v>
      </c>
      <c r="S126" t="s">
        <v>1327</v>
      </c>
      <c r="T126" t="s">
        <v>1328</v>
      </c>
      <c r="U126" t="s">
        <v>1329</v>
      </c>
      <c r="X126" t="s">
        <v>1330</v>
      </c>
      <c r="Y126" t="s">
        <v>1331</v>
      </c>
      <c r="Z126" t="s">
        <v>1332</v>
      </c>
      <c r="AA126" t="s">
        <v>1333</v>
      </c>
    </row>
    <row r="127" spans="1:27" x14ac:dyDescent="0.25">
      <c r="A127" s="13" t="s">
        <v>1334</v>
      </c>
      <c r="B127" t="s">
        <v>1335</v>
      </c>
      <c r="E127" t="s">
        <v>1336</v>
      </c>
      <c r="F127" t="s">
        <v>1337</v>
      </c>
      <c r="Y127" t="s">
        <v>1338</v>
      </c>
      <c r="Z127" t="s">
        <v>1339</v>
      </c>
    </row>
    <row r="128" spans="1:27" x14ac:dyDescent="0.25">
      <c r="A128" s="13" t="s">
        <v>1340</v>
      </c>
      <c r="B128" t="s">
        <v>1341</v>
      </c>
      <c r="D128" t="s">
        <v>1342</v>
      </c>
      <c r="F128" t="s">
        <v>1343</v>
      </c>
      <c r="S128" t="s">
        <v>1344</v>
      </c>
      <c r="T128" t="s">
        <v>1345</v>
      </c>
      <c r="Y128" t="s">
        <v>1346</v>
      </c>
    </row>
    <row r="129" spans="1:27" x14ac:dyDescent="0.25">
      <c r="A129" s="13" t="s">
        <v>1347</v>
      </c>
      <c r="B129" t="s">
        <v>1348</v>
      </c>
      <c r="D129" t="s">
        <v>1349</v>
      </c>
      <c r="F129" t="s">
        <v>1350</v>
      </c>
      <c r="S129" t="s">
        <v>1351</v>
      </c>
      <c r="T129" t="s">
        <v>1352</v>
      </c>
      <c r="Y129" t="s">
        <v>1353</v>
      </c>
    </row>
    <row r="130" spans="1:27" x14ac:dyDescent="0.25">
      <c r="A130" s="13" t="s">
        <v>1354</v>
      </c>
      <c r="B130" t="s">
        <v>1355</v>
      </c>
      <c r="E130" t="s">
        <v>1356</v>
      </c>
      <c r="F130" t="s">
        <v>1357</v>
      </c>
      <c r="Y130" t="s">
        <v>1358</v>
      </c>
      <c r="Z130" t="s">
        <v>1359</v>
      </c>
    </row>
    <row r="131" spans="1:27" x14ac:dyDescent="0.25">
      <c r="A131" s="13" t="s">
        <v>1360</v>
      </c>
      <c r="B131" t="s">
        <v>1361</v>
      </c>
      <c r="E131" t="s">
        <v>1362</v>
      </c>
      <c r="F131" t="s">
        <v>1363</v>
      </c>
      <c r="G131" t="s">
        <v>1364</v>
      </c>
      <c r="H131" t="s">
        <v>1365</v>
      </c>
      <c r="P131" t="s">
        <v>1366</v>
      </c>
      <c r="S131" t="s">
        <v>1367</v>
      </c>
      <c r="T131" t="s">
        <v>1368</v>
      </c>
      <c r="Y131" t="s">
        <v>1369</v>
      </c>
      <c r="Z131" t="s">
        <v>1370</v>
      </c>
      <c r="AA131" t="s">
        <v>1371</v>
      </c>
    </row>
    <row r="132" spans="1:27" x14ac:dyDescent="0.25">
      <c r="A132" s="13" t="s">
        <v>1372</v>
      </c>
      <c r="B132" t="s">
        <v>1373</v>
      </c>
      <c r="E132" t="s">
        <v>1374</v>
      </c>
      <c r="G132" t="s">
        <v>1375</v>
      </c>
      <c r="H132" t="s">
        <v>1376</v>
      </c>
      <c r="J132" t="s">
        <v>1377</v>
      </c>
      <c r="P132" t="s">
        <v>1378</v>
      </c>
      <c r="Q132" t="s">
        <v>1379</v>
      </c>
      <c r="S132" t="s">
        <v>1380</v>
      </c>
      <c r="T132" t="s">
        <v>1381</v>
      </c>
      <c r="U132" t="s">
        <v>1382</v>
      </c>
      <c r="V132" t="s">
        <v>1383</v>
      </c>
      <c r="W132" t="s">
        <v>1384</v>
      </c>
      <c r="X132" t="s">
        <v>1385</v>
      </c>
      <c r="Y132" t="s">
        <v>1386</v>
      </c>
      <c r="Z132" t="s">
        <v>1387</v>
      </c>
    </row>
    <row r="133" spans="1:27" x14ac:dyDescent="0.25">
      <c r="A133" s="13" t="s">
        <v>1388</v>
      </c>
      <c r="B133" t="s">
        <v>1389</v>
      </c>
      <c r="E133" t="s">
        <v>1390</v>
      </c>
      <c r="F133" t="s">
        <v>1391</v>
      </c>
      <c r="G133" t="s">
        <v>1392</v>
      </c>
      <c r="H133" t="s">
        <v>1393</v>
      </c>
      <c r="J133" t="s">
        <v>1394</v>
      </c>
      <c r="P133" t="s">
        <v>1395</v>
      </c>
      <c r="Q133" t="s">
        <v>1396</v>
      </c>
      <c r="S133" t="s">
        <v>1397</v>
      </c>
      <c r="T133" t="s">
        <v>1398</v>
      </c>
      <c r="Y133" t="s">
        <v>1399</v>
      </c>
      <c r="Z133" t="s">
        <v>1400</v>
      </c>
      <c r="AA133" t="s">
        <v>1401</v>
      </c>
    </row>
    <row r="134" spans="1:27" x14ac:dyDescent="0.25">
      <c r="A134" s="13" t="s">
        <v>1402</v>
      </c>
      <c r="B134" t="s">
        <v>1403</v>
      </c>
      <c r="E134" t="s">
        <v>1404</v>
      </c>
      <c r="F134" t="s">
        <v>1405</v>
      </c>
      <c r="S134" t="s">
        <v>1406</v>
      </c>
      <c r="Y134" t="s">
        <v>1407</v>
      </c>
      <c r="Z134" t="s">
        <v>1408</v>
      </c>
      <c r="AA134" t="s">
        <v>1409</v>
      </c>
    </row>
    <row r="135" spans="1:27" x14ac:dyDescent="0.25">
      <c r="A135" s="13" t="s">
        <v>1410</v>
      </c>
      <c r="B135" t="s">
        <v>1411</v>
      </c>
      <c r="E135" t="s">
        <v>1412</v>
      </c>
      <c r="F135" t="s">
        <v>1413</v>
      </c>
      <c r="P135" t="s">
        <v>1414</v>
      </c>
      <c r="Y135" t="s">
        <v>1415</v>
      </c>
    </row>
    <row r="136" spans="1:27" x14ac:dyDescent="0.25">
      <c r="A136" s="13" t="s">
        <v>1416</v>
      </c>
      <c r="B136" t="s">
        <v>1417</v>
      </c>
      <c r="E136" t="s">
        <v>1418</v>
      </c>
      <c r="F136" t="s">
        <v>1419</v>
      </c>
      <c r="Y136" t="s">
        <v>1420</v>
      </c>
      <c r="Z136" t="s">
        <v>1421</v>
      </c>
    </row>
    <row r="137" spans="1:27" x14ac:dyDescent="0.25">
      <c r="A137" s="13" t="s">
        <v>1422</v>
      </c>
      <c r="B137" t="s">
        <v>1423</v>
      </c>
      <c r="C137" t="s">
        <v>1424</v>
      </c>
      <c r="D137" t="s">
        <v>1425</v>
      </c>
      <c r="E137" t="s">
        <v>1426</v>
      </c>
      <c r="F137" t="s">
        <v>1427</v>
      </c>
      <c r="Y137" t="s">
        <v>1428</v>
      </c>
      <c r="Z137" t="s">
        <v>1429</v>
      </c>
    </row>
    <row r="138" spans="1:27" x14ac:dyDescent="0.25">
      <c r="A138" s="13" t="s">
        <v>1430</v>
      </c>
      <c r="B138" t="s">
        <v>1431</v>
      </c>
      <c r="E138" t="s">
        <v>1432</v>
      </c>
      <c r="F138" t="s">
        <v>1433</v>
      </c>
      <c r="G138" t="s">
        <v>1434</v>
      </c>
      <c r="H138" t="s">
        <v>1435</v>
      </c>
      <c r="J138" t="s">
        <v>1436</v>
      </c>
      <c r="P138" t="s">
        <v>1437</v>
      </c>
      <c r="Q138" t="s">
        <v>1438</v>
      </c>
      <c r="X138" t="s">
        <v>1439</v>
      </c>
      <c r="Y138" t="s">
        <v>1440</v>
      </c>
      <c r="Z138" t="s">
        <v>1441</v>
      </c>
      <c r="AA138" t="s">
        <v>1442</v>
      </c>
    </row>
    <row r="139" spans="1:27" x14ac:dyDescent="0.25">
      <c r="A139" s="13" t="s">
        <v>1443</v>
      </c>
      <c r="B139" t="s">
        <v>1444</v>
      </c>
      <c r="E139" t="s">
        <v>1445</v>
      </c>
      <c r="F139" t="s">
        <v>1446</v>
      </c>
      <c r="H139" t="s">
        <v>1447</v>
      </c>
      <c r="P139" t="s">
        <v>1448</v>
      </c>
      <c r="Y139" t="s">
        <v>1449</v>
      </c>
      <c r="Z139" t="s">
        <v>1450</v>
      </c>
      <c r="AA139" t="s">
        <v>1451</v>
      </c>
    </row>
    <row r="140" spans="1:27" x14ac:dyDescent="0.25">
      <c r="A140" s="13" t="s">
        <v>1452</v>
      </c>
      <c r="B140" t="s">
        <v>1453</v>
      </c>
      <c r="E140" t="s">
        <v>1454</v>
      </c>
      <c r="F140" t="s">
        <v>1455</v>
      </c>
      <c r="G140" t="s">
        <v>1456</v>
      </c>
      <c r="H140" t="s">
        <v>1457</v>
      </c>
      <c r="J140" t="s">
        <v>1458</v>
      </c>
      <c r="P140" t="s">
        <v>1459</v>
      </c>
      <c r="Q140" t="s">
        <v>1460</v>
      </c>
      <c r="S140" t="s">
        <v>1461</v>
      </c>
      <c r="V140" t="s">
        <v>1462</v>
      </c>
      <c r="W140" t="s">
        <v>1463</v>
      </c>
      <c r="X140" t="s">
        <v>1464</v>
      </c>
      <c r="Y140" t="s">
        <v>1465</v>
      </c>
      <c r="Z140" t="s">
        <v>1466</v>
      </c>
      <c r="AA140" t="s">
        <v>1467</v>
      </c>
    </row>
    <row r="141" spans="1:27" x14ac:dyDescent="0.25">
      <c r="A141" s="13" t="s">
        <v>1468</v>
      </c>
      <c r="B141" t="s">
        <v>1469</v>
      </c>
      <c r="E141" t="s">
        <v>1470</v>
      </c>
      <c r="F141" t="s">
        <v>1471</v>
      </c>
      <c r="S141" t="s">
        <v>1472</v>
      </c>
      <c r="Y141" t="s">
        <v>1473</v>
      </c>
      <c r="Z141" t="s">
        <v>1474</v>
      </c>
    </row>
    <row r="142" spans="1:27" x14ac:dyDescent="0.25">
      <c r="A142" s="13" t="s">
        <v>1475</v>
      </c>
      <c r="B142" t="s">
        <v>1476</v>
      </c>
      <c r="E142" t="s">
        <v>1477</v>
      </c>
      <c r="F142" t="s">
        <v>1478</v>
      </c>
      <c r="G142" t="s">
        <v>1479</v>
      </c>
      <c r="H142" t="s">
        <v>1480</v>
      </c>
      <c r="J142" t="s">
        <v>1481</v>
      </c>
      <c r="P142" t="s">
        <v>1482</v>
      </c>
      <c r="Q142" t="s">
        <v>1483</v>
      </c>
      <c r="S142" t="s">
        <v>1484</v>
      </c>
      <c r="T142" t="s">
        <v>1485</v>
      </c>
      <c r="Y142" t="s">
        <v>1486</v>
      </c>
      <c r="Z142" t="s">
        <v>1487</v>
      </c>
      <c r="AA142" t="s">
        <v>1488</v>
      </c>
    </row>
    <row r="143" spans="1:27" x14ac:dyDescent="0.25">
      <c r="A143" s="13" t="s">
        <v>1489</v>
      </c>
      <c r="B143" t="s">
        <v>1490</v>
      </c>
      <c r="E143" t="s">
        <v>1491</v>
      </c>
      <c r="F143" t="s">
        <v>1492</v>
      </c>
      <c r="G143" t="s">
        <v>1493</v>
      </c>
      <c r="H143" t="s">
        <v>1494</v>
      </c>
      <c r="J143" t="s">
        <v>1495</v>
      </c>
      <c r="P143" t="s">
        <v>1496</v>
      </c>
      <c r="Q143" t="s">
        <v>1497</v>
      </c>
      <c r="Y143" t="s">
        <v>1498</v>
      </c>
      <c r="Z143" t="s">
        <v>1499</v>
      </c>
      <c r="AA143" t="s">
        <v>1500</v>
      </c>
    </row>
    <row r="144" spans="1:27" x14ac:dyDescent="0.25">
      <c r="A144" s="13" t="s">
        <v>1501</v>
      </c>
      <c r="B144" t="s">
        <v>1502</v>
      </c>
      <c r="D144" t="s">
        <v>1503</v>
      </c>
      <c r="F144" t="s">
        <v>1504</v>
      </c>
      <c r="Y144" t="s">
        <v>1505</v>
      </c>
      <c r="Z144" t="s">
        <v>1506</v>
      </c>
      <c r="AA144" t="s">
        <v>1507</v>
      </c>
    </row>
    <row r="145" spans="1:27" x14ac:dyDescent="0.25">
      <c r="A145" s="13" t="s">
        <v>1508</v>
      </c>
      <c r="B145" t="s">
        <v>1509</v>
      </c>
      <c r="E145" t="s">
        <v>1510</v>
      </c>
      <c r="F145" t="s">
        <v>1511</v>
      </c>
      <c r="G145" t="s">
        <v>1512</v>
      </c>
      <c r="H145" t="s">
        <v>1513</v>
      </c>
      <c r="J145" t="s">
        <v>1514</v>
      </c>
      <c r="K145" t="s">
        <v>1515</v>
      </c>
      <c r="P145" t="s">
        <v>1516</v>
      </c>
      <c r="R145" t="s">
        <v>1517</v>
      </c>
      <c r="Y145" t="s">
        <v>1518</v>
      </c>
      <c r="Z145" t="s">
        <v>1519</v>
      </c>
    </row>
    <row r="146" spans="1:27" x14ac:dyDescent="0.25">
      <c r="A146" s="13" t="s">
        <v>1520</v>
      </c>
      <c r="B146" t="s">
        <v>1521</v>
      </c>
      <c r="E146" t="s">
        <v>1522</v>
      </c>
      <c r="F146" t="s">
        <v>1523</v>
      </c>
      <c r="X146" t="s">
        <v>1524</v>
      </c>
      <c r="Y146" t="s">
        <v>1525</v>
      </c>
      <c r="Z146" t="s">
        <v>1526</v>
      </c>
    </row>
    <row r="147" spans="1:27" x14ac:dyDescent="0.25">
      <c r="A147" s="13" t="s">
        <v>1527</v>
      </c>
      <c r="B147" t="s">
        <v>1528</v>
      </c>
      <c r="E147" t="s">
        <v>1529</v>
      </c>
      <c r="H147" t="s">
        <v>1530</v>
      </c>
      <c r="P147" t="s">
        <v>1531</v>
      </c>
      <c r="Y147" t="s">
        <v>1532</v>
      </c>
      <c r="Z147" t="s">
        <v>1533</v>
      </c>
    </row>
    <row r="148" spans="1:27" x14ac:dyDescent="0.25">
      <c r="A148" s="13" t="s">
        <v>1534</v>
      </c>
      <c r="B148" t="s">
        <v>1535</v>
      </c>
      <c r="E148" t="s">
        <v>1536</v>
      </c>
      <c r="L148" t="s">
        <v>1537</v>
      </c>
      <c r="S148" t="s">
        <v>1538</v>
      </c>
      <c r="T148" t="s">
        <v>1539</v>
      </c>
      <c r="Y148" t="s">
        <v>1540</v>
      </c>
      <c r="Z148" t="s">
        <v>1541</v>
      </c>
    </row>
    <row r="149" spans="1:27" x14ac:dyDescent="0.25">
      <c r="A149" s="13" t="s">
        <v>1542</v>
      </c>
      <c r="B149" t="s">
        <v>1543</v>
      </c>
      <c r="C149" t="s">
        <v>1544</v>
      </c>
      <c r="E149" t="s">
        <v>1545</v>
      </c>
      <c r="F149" t="s">
        <v>1546</v>
      </c>
      <c r="S149" t="s">
        <v>1547</v>
      </c>
      <c r="T149" t="s">
        <v>1548</v>
      </c>
      <c r="Y149" t="s">
        <v>1549</v>
      </c>
      <c r="Z149" t="s">
        <v>1550</v>
      </c>
    </row>
    <row r="150" spans="1:27" x14ac:dyDescent="0.25">
      <c r="A150" s="13" t="s">
        <v>1551</v>
      </c>
      <c r="B150" t="s">
        <v>1552</v>
      </c>
      <c r="E150" t="s">
        <v>1553</v>
      </c>
      <c r="F150" t="s">
        <v>1554</v>
      </c>
      <c r="G150" t="s">
        <v>1555</v>
      </c>
      <c r="H150" t="s">
        <v>1556</v>
      </c>
      <c r="P150" t="s">
        <v>1557</v>
      </c>
      <c r="Y150" t="s">
        <v>1558</v>
      </c>
    </row>
    <row r="151" spans="1:27" x14ac:dyDescent="0.25">
      <c r="A151" s="13" t="s">
        <v>1559</v>
      </c>
      <c r="B151" t="s">
        <v>1560</v>
      </c>
      <c r="E151" t="s">
        <v>1561</v>
      </c>
      <c r="F151" t="s">
        <v>1562</v>
      </c>
      <c r="G151" t="s">
        <v>1563</v>
      </c>
      <c r="H151" t="s">
        <v>1564</v>
      </c>
      <c r="J151" t="s">
        <v>1565</v>
      </c>
      <c r="P151" t="s">
        <v>1566</v>
      </c>
      <c r="Q151" t="s">
        <v>1567</v>
      </c>
      <c r="S151" t="s">
        <v>1568</v>
      </c>
      <c r="Y151" t="s">
        <v>1569</v>
      </c>
      <c r="Z151" t="s">
        <v>1570</v>
      </c>
      <c r="AA151" t="s">
        <v>1571</v>
      </c>
    </row>
    <row r="152" spans="1:27" x14ac:dyDescent="0.25">
      <c r="A152" s="13" t="s">
        <v>1572</v>
      </c>
      <c r="B152" t="s">
        <v>1573</v>
      </c>
      <c r="E152" t="s">
        <v>1574</v>
      </c>
      <c r="F152" t="s">
        <v>1575</v>
      </c>
      <c r="G152" t="s">
        <v>1576</v>
      </c>
      <c r="H152" t="s">
        <v>1577</v>
      </c>
      <c r="J152" t="s">
        <v>1578</v>
      </c>
      <c r="P152" t="s">
        <v>1579</v>
      </c>
      <c r="Q152" t="s">
        <v>1580</v>
      </c>
      <c r="S152" t="s">
        <v>1581</v>
      </c>
      <c r="T152" t="s">
        <v>1582</v>
      </c>
      <c r="U152" t="s">
        <v>1583</v>
      </c>
      <c r="V152" t="s">
        <v>1584</v>
      </c>
      <c r="W152" t="s">
        <v>1585</v>
      </c>
      <c r="X152" t="s">
        <v>1586</v>
      </c>
      <c r="Y152" t="s">
        <v>1587</v>
      </c>
      <c r="Z152" t="s">
        <v>1588</v>
      </c>
      <c r="AA152" t="s">
        <v>1589</v>
      </c>
    </row>
    <row r="153" spans="1:27" x14ac:dyDescent="0.25">
      <c r="A153" s="13" t="s">
        <v>1590</v>
      </c>
      <c r="B153" t="s">
        <v>1591</v>
      </c>
      <c r="E153" t="s">
        <v>1592</v>
      </c>
      <c r="F153" t="s">
        <v>1593</v>
      </c>
      <c r="G153" t="s">
        <v>1594</v>
      </c>
      <c r="H153" t="s">
        <v>1595</v>
      </c>
      <c r="J153" t="s">
        <v>1596</v>
      </c>
      <c r="P153" t="s">
        <v>1597</v>
      </c>
      <c r="Q153" t="s">
        <v>1598</v>
      </c>
      <c r="S153" t="s">
        <v>1599</v>
      </c>
      <c r="Y153" t="s">
        <v>1600</v>
      </c>
      <c r="Z153" t="s">
        <v>1601</v>
      </c>
      <c r="AA153" t="s">
        <v>1602</v>
      </c>
    </row>
    <row r="154" spans="1:27" x14ac:dyDescent="0.25">
      <c r="A154" s="13" t="s">
        <v>1603</v>
      </c>
      <c r="B154" t="s">
        <v>1604</v>
      </c>
      <c r="E154" t="s">
        <v>1605</v>
      </c>
      <c r="F154" t="s">
        <v>1606</v>
      </c>
      <c r="G154" t="s">
        <v>1607</v>
      </c>
      <c r="H154" t="s">
        <v>1608</v>
      </c>
      <c r="J154" t="s">
        <v>1609</v>
      </c>
      <c r="P154" t="s">
        <v>1610</v>
      </c>
      <c r="Q154" t="s">
        <v>1611</v>
      </c>
      <c r="S154" t="s">
        <v>1612</v>
      </c>
      <c r="X154" t="s">
        <v>1613</v>
      </c>
      <c r="Y154" t="s">
        <v>1614</v>
      </c>
      <c r="Z154" t="s">
        <v>1615</v>
      </c>
      <c r="AA154" t="s">
        <v>1616</v>
      </c>
    </row>
    <row r="155" spans="1:27" x14ac:dyDescent="0.25">
      <c r="A155" s="13" t="s">
        <v>1617</v>
      </c>
      <c r="B155" t="s">
        <v>1618</v>
      </c>
      <c r="D155" t="s">
        <v>1619</v>
      </c>
      <c r="E155" t="s">
        <v>1620</v>
      </c>
      <c r="S155" t="s">
        <v>1621</v>
      </c>
    </row>
    <row r="156" spans="1:27" x14ac:dyDescent="0.25">
      <c r="A156" s="13" t="s">
        <v>1622</v>
      </c>
      <c r="B156" t="s">
        <v>1623</v>
      </c>
      <c r="E156" t="s">
        <v>1624</v>
      </c>
      <c r="F156" t="s">
        <v>1625</v>
      </c>
      <c r="G156" t="s">
        <v>1626</v>
      </c>
      <c r="H156" t="s">
        <v>1627</v>
      </c>
      <c r="P156" t="s">
        <v>1628</v>
      </c>
      <c r="Y156" t="s">
        <v>1629</v>
      </c>
      <c r="Z156" t="s">
        <v>1630</v>
      </c>
      <c r="AA156" t="s">
        <v>1631</v>
      </c>
    </row>
    <row r="157" spans="1:27" x14ac:dyDescent="0.25">
      <c r="A157" s="13" t="s">
        <v>1632</v>
      </c>
      <c r="B157" t="s">
        <v>1633</v>
      </c>
      <c r="E157" t="s">
        <v>1634</v>
      </c>
      <c r="F157" t="s">
        <v>1635</v>
      </c>
      <c r="G157" t="s">
        <v>1636</v>
      </c>
      <c r="H157" t="s">
        <v>1637</v>
      </c>
      <c r="J157" t="s">
        <v>1638</v>
      </c>
      <c r="P157" t="s">
        <v>1639</v>
      </c>
      <c r="Q157" t="s">
        <v>1640</v>
      </c>
      <c r="Y157" t="s">
        <v>1641</v>
      </c>
      <c r="Z157" t="s">
        <v>1642</v>
      </c>
      <c r="AA157" t="s">
        <v>1643</v>
      </c>
    </row>
    <row r="158" spans="1:27" x14ac:dyDescent="0.25">
      <c r="A158" s="13" t="s">
        <v>1644</v>
      </c>
      <c r="B158" t="s">
        <v>1645</v>
      </c>
      <c r="E158" t="s">
        <v>1646</v>
      </c>
      <c r="F158" t="s">
        <v>1647</v>
      </c>
      <c r="G158" t="s">
        <v>1648</v>
      </c>
      <c r="H158" t="s">
        <v>1649</v>
      </c>
      <c r="J158" t="s">
        <v>1650</v>
      </c>
      <c r="P158" t="s">
        <v>1651</v>
      </c>
      <c r="Q158" t="s">
        <v>1652</v>
      </c>
      <c r="Y158" t="s">
        <v>1653</v>
      </c>
      <c r="Z158" t="s">
        <v>1654</v>
      </c>
      <c r="AA158" t="s">
        <v>1655</v>
      </c>
    </row>
    <row r="159" spans="1:27" x14ac:dyDescent="0.25">
      <c r="A159" s="13" t="s">
        <v>1656</v>
      </c>
      <c r="B159" t="s">
        <v>1657</v>
      </c>
      <c r="D159" t="s">
        <v>1658</v>
      </c>
      <c r="F159" t="s">
        <v>1659</v>
      </c>
      <c r="L159" t="s">
        <v>1660</v>
      </c>
      <c r="Q159" t="s">
        <v>1661</v>
      </c>
      <c r="Y159" t="s">
        <v>1662</v>
      </c>
      <c r="Z159" t="s">
        <v>1663</v>
      </c>
    </row>
    <row r="160" spans="1:27" x14ac:dyDescent="0.25">
      <c r="A160" s="13" t="s">
        <v>1664</v>
      </c>
      <c r="B160" t="s">
        <v>1665</v>
      </c>
      <c r="E160" t="s">
        <v>1666</v>
      </c>
      <c r="F160" t="s">
        <v>1667</v>
      </c>
      <c r="G160" t="s">
        <v>1668</v>
      </c>
      <c r="H160" t="s">
        <v>1669</v>
      </c>
      <c r="P160" t="s">
        <v>1670</v>
      </c>
      <c r="S160" t="s">
        <v>1671</v>
      </c>
      <c r="Y160" t="s">
        <v>1672</v>
      </c>
      <c r="Z160" t="s">
        <v>1673</v>
      </c>
      <c r="AA160" t="s">
        <v>1674</v>
      </c>
    </row>
    <row r="161" spans="1:27" x14ac:dyDescent="0.25">
      <c r="A161" s="13" t="s">
        <v>1675</v>
      </c>
      <c r="B161" t="s">
        <v>1676</v>
      </c>
      <c r="C161" t="s">
        <v>1677</v>
      </c>
      <c r="E161" t="s">
        <v>1678</v>
      </c>
      <c r="F161" t="s">
        <v>1679</v>
      </c>
      <c r="J161" t="s">
        <v>1680</v>
      </c>
      <c r="Q161" t="s">
        <v>1681</v>
      </c>
      <c r="S161" t="s">
        <v>1682</v>
      </c>
      <c r="Y161" t="s">
        <v>1683</v>
      </c>
      <c r="Z161" t="s">
        <v>1684</v>
      </c>
      <c r="AA161" t="s">
        <v>1685</v>
      </c>
    </row>
    <row r="162" spans="1:27" x14ac:dyDescent="0.25">
      <c r="A162" s="13" t="s">
        <v>1686</v>
      </c>
      <c r="B162" t="s">
        <v>1687</v>
      </c>
      <c r="D162" t="s">
        <v>1688</v>
      </c>
      <c r="E162" t="s">
        <v>1689</v>
      </c>
      <c r="L162" t="s">
        <v>1690</v>
      </c>
      <c r="Q162" t="s">
        <v>1691</v>
      </c>
      <c r="S162" t="s">
        <v>1692</v>
      </c>
      <c r="T162" t="s">
        <v>1693</v>
      </c>
      <c r="U162" t="s">
        <v>1694</v>
      </c>
      <c r="V162" t="s">
        <v>1695</v>
      </c>
      <c r="W162" t="s">
        <v>1696</v>
      </c>
      <c r="X162" t="s">
        <v>1697</v>
      </c>
      <c r="Y162" t="s">
        <v>1698</v>
      </c>
      <c r="Z162" t="s">
        <v>1699</v>
      </c>
    </row>
    <row r="163" spans="1:27" x14ac:dyDescent="0.25">
      <c r="A163" s="13" t="s">
        <v>1700</v>
      </c>
      <c r="B163" t="s">
        <v>1701</v>
      </c>
      <c r="E163" t="s">
        <v>1702</v>
      </c>
      <c r="F163" t="s">
        <v>1703</v>
      </c>
      <c r="G163" t="s">
        <v>1704</v>
      </c>
      <c r="H163" t="s">
        <v>1705</v>
      </c>
      <c r="J163" t="s">
        <v>1706</v>
      </c>
      <c r="P163" t="s">
        <v>1707</v>
      </c>
      <c r="Q163" t="s">
        <v>1708</v>
      </c>
      <c r="S163" t="s">
        <v>1709</v>
      </c>
      <c r="Y163" t="s">
        <v>1710</v>
      </c>
      <c r="Z163" t="s">
        <v>1711</v>
      </c>
      <c r="AA163" t="s">
        <v>1712</v>
      </c>
    </row>
    <row r="164" spans="1:27" x14ac:dyDescent="0.25">
      <c r="A164" s="13" t="s">
        <v>1713</v>
      </c>
      <c r="B164" t="s">
        <v>1714</v>
      </c>
      <c r="D164" t="s">
        <v>1715</v>
      </c>
      <c r="S164" t="s">
        <v>1716</v>
      </c>
      <c r="T164" t="s">
        <v>1717</v>
      </c>
      <c r="U164" t="s">
        <v>1718</v>
      </c>
      <c r="V164" t="s">
        <v>1719</v>
      </c>
      <c r="W164" t="s">
        <v>1720</v>
      </c>
      <c r="X164" t="s">
        <v>1721</v>
      </c>
      <c r="Y164" t="s">
        <v>1722</v>
      </c>
      <c r="Z164" t="s">
        <v>1723</v>
      </c>
    </row>
    <row r="165" spans="1:27" x14ac:dyDescent="0.25">
      <c r="A165" s="13" t="s">
        <v>1724</v>
      </c>
      <c r="B165" t="s">
        <v>1725</v>
      </c>
      <c r="E165" t="s">
        <v>1726</v>
      </c>
      <c r="F165" t="s">
        <v>1727</v>
      </c>
      <c r="G165" t="s">
        <v>1728</v>
      </c>
      <c r="H165" t="s">
        <v>1729</v>
      </c>
      <c r="J165" t="s">
        <v>1730</v>
      </c>
      <c r="P165" t="s">
        <v>1731</v>
      </c>
      <c r="Q165" t="s">
        <v>1732</v>
      </c>
      <c r="S165" t="s">
        <v>1733</v>
      </c>
      <c r="Y165" t="s">
        <v>1734</v>
      </c>
      <c r="Z165" t="s">
        <v>1735</v>
      </c>
      <c r="AA165" t="s">
        <v>1736</v>
      </c>
    </row>
    <row r="166" spans="1:27" x14ac:dyDescent="0.25">
      <c r="A166" s="13" t="s">
        <v>1737</v>
      </c>
      <c r="B166" t="s">
        <v>1738</v>
      </c>
      <c r="E166" t="s">
        <v>1739</v>
      </c>
      <c r="F166" t="s">
        <v>1740</v>
      </c>
      <c r="G166" t="s">
        <v>1741</v>
      </c>
      <c r="H166" t="s">
        <v>1742</v>
      </c>
      <c r="J166" t="s">
        <v>1743</v>
      </c>
      <c r="P166" t="s">
        <v>1744</v>
      </c>
      <c r="Q166" t="s">
        <v>1745</v>
      </c>
      <c r="Y166" t="s">
        <v>1746</v>
      </c>
      <c r="Z166" t="s">
        <v>1747</v>
      </c>
    </row>
    <row r="167" spans="1:27" x14ac:dyDescent="0.25">
      <c r="A167" s="13" t="s">
        <v>1748</v>
      </c>
      <c r="B167" t="s">
        <v>1749</v>
      </c>
      <c r="D167" t="s">
        <v>1750</v>
      </c>
      <c r="F167" t="s">
        <v>1751</v>
      </c>
      <c r="L167" t="s">
        <v>1752</v>
      </c>
      <c r="S167" t="s">
        <v>1753</v>
      </c>
      <c r="Y167" t="s">
        <v>1754</v>
      </c>
      <c r="Z167" t="s">
        <v>1755</v>
      </c>
      <c r="AA167" t="s">
        <v>1756</v>
      </c>
    </row>
    <row r="168" spans="1:27" x14ac:dyDescent="0.25">
      <c r="A168" s="13" t="s">
        <v>1757</v>
      </c>
      <c r="B168" t="s">
        <v>1758</v>
      </c>
      <c r="E168" t="s">
        <v>1759</v>
      </c>
      <c r="F168" t="s">
        <v>1760</v>
      </c>
      <c r="G168" t="s">
        <v>1761</v>
      </c>
      <c r="H168" t="s">
        <v>1762</v>
      </c>
      <c r="J168" t="s">
        <v>1763</v>
      </c>
      <c r="L168" t="s">
        <v>1764</v>
      </c>
      <c r="P168" t="s">
        <v>1765</v>
      </c>
      <c r="Q168" t="s">
        <v>1766</v>
      </c>
      <c r="Y168" t="s">
        <v>1767</v>
      </c>
      <c r="Z168" t="s">
        <v>1768</v>
      </c>
      <c r="AA168" t="s">
        <v>1769</v>
      </c>
    </row>
    <row r="169" spans="1:27" x14ac:dyDescent="0.25">
      <c r="A169" s="13" t="s">
        <v>1770</v>
      </c>
      <c r="B169" t="s">
        <v>1771</v>
      </c>
      <c r="E169" t="s">
        <v>1772</v>
      </c>
      <c r="F169" t="s">
        <v>1773</v>
      </c>
      <c r="Y169" t="s">
        <v>1774</v>
      </c>
      <c r="Z169" t="s">
        <v>1775</v>
      </c>
    </row>
    <row r="170" spans="1:27" x14ac:dyDescent="0.25">
      <c r="A170" s="13" t="s">
        <v>1776</v>
      </c>
      <c r="B170" t="s">
        <v>1777</v>
      </c>
      <c r="C170" t="s">
        <v>1778</v>
      </c>
      <c r="E170" t="s">
        <v>1779</v>
      </c>
      <c r="F170" t="s">
        <v>1780</v>
      </c>
      <c r="S170" t="s">
        <v>1781</v>
      </c>
      <c r="Y170" t="s">
        <v>1782</v>
      </c>
      <c r="Z170" t="s">
        <v>1783</v>
      </c>
    </row>
    <row r="171" spans="1:27" x14ac:dyDescent="0.25">
      <c r="A171" s="13" t="s">
        <v>1784</v>
      </c>
      <c r="B171" t="s">
        <v>1785</v>
      </c>
      <c r="E171" t="s">
        <v>1786</v>
      </c>
      <c r="F171" t="s">
        <v>1787</v>
      </c>
      <c r="G171" t="s">
        <v>1788</v>
      </c>
      <c r="H171" t="s">
        <v>1789</v>
      </c>
      <c r="J171" t="s">
        <v>1790</v>
      </c>
      <c r="P171" t="s">
        <v>1791</v>
      </c>
      <c r="Q171" t="s">
        <v>1792</v>
      </c>
      <c r="S171" t="s">
        <v>1793</v>
      </c>
      <c r="Y171" t="s">
        <v>1794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8380-1B30-4BBF-95C8-E28502E1D628}">
  <dimension ref="A1:BC172"/>
  <sheetViews>
    <sheetView workbookViewId="0">
      <selection activeCell="AL3" sqref="AL3"/>
    </sheetView>
  </sheetViews>
  <sheetFormatPr baseColWidth="10" defaultColWidth="11.42578125" defaultRowHeight="15" x14ac:dyDescent="0.25"/>
  <cols>
    <col min="1" max="1" width="17.28515625" customWidth="1"/>
    <col min="55" max="55" width="10.85546875" customWidth="1"/>
  </cols>
  <sheetData>
    <row r="1" spans="1:55" x14ac:dyDescent="0.25">
      <c r="B1" s="54" t="s">
        <v>110</v>
      </c>
      <c r="C1" s="55"/>
      <c r="D1" s="56"/>
      <c r="E1" s="54" t="s">
        <v>121</v>
      </c>
      <c r="F1" s="55"/>
      <c r="G1" s="56"/>
      <c r="H1" s="54" t="s">
        <v>122</v>
      </c>
      <c r="I1" s="55"/>
      <c r="J1" s="56"/>
      <c r="K1" s="54" t="s">
        <v>123</v>
      </c>
      <c r="L1" s="55"/>
      <c r="M1" s="56"/>
      <c r="N1" s="54" t="s">
        <v>124</v>
      </c>
      <c r="O1" s="55"/>
      <c r="P1" s="56"/>
      <c r="Q1" s="54" t="s">
        <v>125</v>
      </c>
      <c r="R1" s="55"/>
      <c r="S1" s="56"/>
      <c r="T1" s="54" t="s">
        <v>126</v>
      </c>
      <c r="U1" s="55"/>
      <c r="V1" s="56"/>
      <c r="W1" s="54" t="s">
        <v>127</v>
      </c>
      <c r="X1" s="55"/>
      <c r="Y1" s="56"/>
      <c r="Z1" s="54" t="s">
        <v>128</v>
      </c>
      <c r="AA1" s="55"/>
      <c r="AB1" s="56"/>
      <c r="AC1" s="54" t="s">
        <v>24</v>
      </c>
      <c r="AD1" s="55"/>
      <c r="AE1" s="56"/>
      <c r="AF1" s="54" t="s">
        <v>129</v>
      </c>
      <c r="AG1" s="55"/>
      <c r="AH1" s="56"/>
      <c r="AI1" s="54" t="s">
        <v>22</v>
      </c>
      <c r="AJ1" s="55"/>
      <c r="AK1" s="56"/>
      <c r="AL1" s="14" t="s">
        <v>1795</v>
      </c>
      <c r="AM1" s="57" t="s">
        <v>115</v>
      </c>
      <c r="AN1" s="58"/>
      <c r="AO1" s="59"/>
      <c r="AP1" s="57" t="s">
        <v>114</v>
      </c>
      <c r="AQ1" s="58"/>
      <c r="AR1" s="59"/>
      <c r="AS1" s="57" t="s">
        <v>117</v>
      </c>
      <c r="AT1" s="58"/>
      <c r="AU1" s="59"/>
      <c r="AV1" s="57" t="s">
        <v>18</v>
      </c>
      <c r="AW1" s="58"/>
      <c r="AX1" s="59"/>
      <c r="AY1" s="15" t="s">
        <v>1796</v>
      </c>
      <c r="AZ1" s="60" t="s">
        <v>112</v>
      </c>
      <c r="BA1" s="61"/>
      <c r="BB1" s="62"/>
      <c r="BC1" s="16" t="s">
        <v>1797</v>
      </c>
    </row>
    <row r="2" spans="1:55" x14ac:dyDescent="0.25">
      <c r="A2" s="2" t="s">
        <v>1798</v>
      </c>
      <c r="B2" s="17" t="s">
        <v>1799</v>
      </c>
      <c r="C2" s="17" t="s">
        <v>1800</v>
      </c>
      <c r="D2" s="17" t="s">
        <v>1801</v>
      </c>
      <c r="E2" s="17" t="s">
        <v>1799</v>
      </c>
      <c r="F2" s="17" t="s">
        <v>1800</v>
      </c>
      <c r="G2" s="17" t="s">
        <v>1801</v>
      </c>
      <c r="H2" s="17" t="s">
        <v>1799</v>
      </c>
      <c r="I2" s="17" t="s">
        <v>1800</v>
      </c>
      <c r="J2" s="17" t="s">
        <v>1801</v>
      </c>
      <c r="K2" s="17" t="s">
        <v>1799</v>
      </c>
      <c r="L2" s="17" t="s">
        <v>1800</v>
      </c>
      <c r="M2" s="17" t="s">
        <v>1801</v>
      </c>
      <c r="N2" s="17" t="s">
        <v>1799</v>
      </c>
      <c r="O2" s="17" t="s">
        <v>1800</v>
      </c>
      <c r="P2" s="17" t="s">
        <v>1801</v>
      </c>
      <c r="Q2" s="17" t="s">
        <v>1799</v>
      </c>
      <c r="R2" s="17" t="s">
        <v>1800</v>
      </c>
      <c r="S2" s="17" t="s">
        <v>1801</v>
      </c>
      <c r="T2" s="17" t="s">
        <v>1799</v>
      </c>
      <c r="U2" s="17" t="s">
        <v>1800</v>
      </c>
      <c r="V2" s="17" t="s">
        <v>1801</v>
      </c>
      <c r="W2" s="17" t="s">
        <v>1799</v>
      </c>
      <c r="X2" s="17" t="s">
        <v>1800</v>
      </c>
      <c r="Y2" s="17" t="s">
        <v>1801</v>
      </c>
      <c r="Z2" s="17" t="s">
        <v>1799</v>
      </c>
      <c r="AA2" s="17" t="s">
        <v>1800</v>
      </c>
      <c r="AB2" s="17" t="s">
        <v>1801</v>
      </c>
      <c r="AC2" s="17" t="s">
        <v>1799</v>
      </c>
      <c r="AD2" s="17" t="s">
        <v>1800</v>
      </c>
      <c r="AE2" s="17" t="s">
        <v>1801</v>
      </c>
      <c r="AF2" s="17" t="s">
        <v>1799</v>
      </c>
      <c r="AG2" s="17" t="s">
        <v>1800</v>
      </c>
      <c r="AH2" s="17" t="s">
        <v>1801</v>
      </c>
      <c r="AI2" s="17" t="s">
        <v>1799</v>
      </c>
      <c r="AJ2" s="17" t="s">
        <v>1800</v>
      </c>
      <c r="AK2" s="17" t="s">
        <v>1801</v>
      </c>
      <c r="AL2" s="18" t="s">
        <v>1802</v>
      </c>
      <c r="AM2" s="19" t="s">
        <v>1799</v>
      </c>
      <c r="AN2" s="19" t="s">
        <v>1800</v>
      </c>
      <c r="AO2" s="19" t="s">
        <v>1801</v>
      </c>
      <c r="AP2" s="19" t="s">
        <v>1799</v>
      </c>
      <c r="AQ2" s="19" t="s">
        <v>1800</v>
      </c>
      <c r="AR2" s="19" t="s">
        <v>1801</v>
      </c>
      <c r="AS2" s="19" t="s">
        <v>1799</v>
      </c>
      <c r="AT2" s="19" t="s">
        <v>1800</v>
      </c>
      <c r="AU2" s="19" t="s">
        <v>1801</v>
      </c>
      <c r="AV2" s="19" t="s">
        <v>1799</v>
      </c>
      <c r="AW2" s="19" t="s">
        <v>1800</v>
      </c>
      <c r="AX2" s="19" t="s">
        <v>1801</v>
      </c>
      <c r="AY2" s="20" t="s">
        <v>1802</v>
      </c>
      <c r="AZ2" s="21" t="s">
        <v>1799</v>
      </c>
      <c r="BA2" s="21" t="s">
        <v>1800</v>
      </c>
      <c r="BB2" s="21" t="s">
        <v>1801</v>
      </c>
      <c r="BC2" s="22" t="s">
        <v>1802</v>
      </c>
    </row>
    <row r="3" spans="1:55" x14ac:dyDescent="0.25">
      <c r="A3" t="str">
        <f>Fechas_Estado!A2</f>
        <v>ESPC360-10202</v>
      </c>
      <c r="B3" t="str">
        <f>LEFT(VLOOKUP(A3,Fechas_Estado!A:AE,2,0),10)</f>
        <v>2024-07-22</v>
      </c>
      <c r="C3" t="str">
        <f>MID(VLOOKUP(A3,Fechas_Estado!A:AE,2,0),12,8)</f>
        <v>13:37:14</v>
      </c>
      <c r="D3" t="str">
        <f>_xlfn.CONCAT(B3," ",C3)</f>
        <v>2024-07-22 13:37:14</v>
      </c>
      <c r="E3" t="str">
        <f>LEFT(VLOOKUP(A3,Fechas_Estado!A:AE,19,0),10)</f>
        <v/>
      </c>
      <c r="F3" t="str">
        <f>MID(VLOOKUP(A3,Fechas_Estado!A:AE,19,0),12,8)</f>
        <v/>
      </c>
      <c r="G3" t="str">
        <f>_xlfn.CONCAT(E3," ",F3)</f>
        <v xml:space="preserve"> </v>
      </c>
      <c r="H3" t="str">
        <f>LEFT(VLOOKUP(A3,Fechas_Estado!A:AE,20,0),10)</f>
        <v/>
      </c>
      <c r="I3" t="str">
        <f>MID(VLOOKUP(A3,Fechas_Estado!A:AE,20,0),12,8)</f>
        <v/>
      </c>
      <c r="J3" t="str">
        <f>_xlfn.CONCAT(H3," ",I3)</f>
        <v xml:space="preserve"> </v>
      </c>
      <c r="K3" t="str">
        <f>LEFT(VLOOKUP(A3,Fechas_Estado!A:AE,21,0),10)</f>
        <v/>
      </c>
      <c r="L3" t="str">
        <f>MID(VLOOKUP(A3,Fechas_Estado!A:AE,21,0),12,8)</f>
        <v/>
      </c>
      <c r="M3" t="str">
        <f>_xlfn.CONCAT(K3," ",L3)</f>
        <v xml:space="preserve"> </v>
      </c>
      <c r="N3" t="str">
        <f>LEFT(VLOOKUP(A3,Fechas_Estado!A:AE,22,0),10)</f>
        <v/>
      </c>
      <c r="O3" t="str">
        <f>MID(VLOOKUP(A3,Fechas_Estado!A:AE,22,0),12,8)</f>
        <v/>
      </c>
      <c r="P3" t="str">
        <f>_xlfn.CONCAT(N3," ",O3)</f>
        <v xml:space="preserve"> </v>
      </c>
      <c r="Q3" t="str">
        <f>LEFT(VLOOKUP(A3,Fechas_Estado!A:AE,23,0),10)</f>
        <v/>
      </c>
      <c r="R3" t="str">
        <f>MID(VLOOKUP(A3,Fechas_Estado!A:AE,23,0),12,8)</f>
        <v/>
      </c>
      <c r="S3" t="str">
        <f>_xlfn.CONCAT(Q3," ",R3)</f>
        <v xml:space="preserve"> </v>
      </c>
      <c r="T3" t="str">
        <f>LEFT(VLOOKUP(A3,Fechas_Estado!A:AE,24,0),10)</f>
        <v/>
      </c>
      <c r="U3" t="str">
        <f>MID(VLOOKUP(A3,Fechas_Estado!A:AE,24,0),12,8)</f>
        <v/>
      </c>
      <c r="V3" t="str">
        <f>_xlfn.CONCAT(T3," ",U3)</f>
        <v xml:space="preserve"> </v>
      </c>
      <c r="W3" t="str">
        <f>LEFT(VLOOKUP(A3,Fechas_Estado!A:AE,25,0),10)</f>
        <v>2024-07-22</v>
      </c>
      <c r="X3" t="str">
        <f>MID(VLOOKUP(A3,Fechas_Estado!A:AE,25,0),12,8)</f>
        <v>13:37:29</v>
      </c>
      <c r="Y3" t="str">
        <f>_xlfn.CONCAT(W3," ",X3)</f>
        <v>2024-07-22 13:37:29</v>
      </c>
      <c r="Z3" t="str">
        <f>LEFT(VLOOKUP(A3,Fechas_Estado!A:AE,26,0),10)</f>
        <v>2024-08-20</v>
      </c>
      <c r="AA3" t="str">
        <f>MID(VLOOKUP(A3,Fechas_Estado!A:AE,26,0),12,8)</f>
        <v>16:05:21</v>
      </c>
      <c r="AB3" t="str">
        <f>_xlfn.CONCAT(Z3," ",AA3)</f>
        <v>2024-08-20 16:05:21</v>
      </c>
      <c r="AC3" t="str">
        <f>LEFT(VLOOKUP(A3,Fechas_Estado!A:AE,27,0),10)</f>
        <v/>
      </c>
      <c r="AD3" t="str">
        <f>MID(VLOOKUP(A3,Fechas_Estado!A:AE,27,0),12,8)</f>
        <v/>
      </c>
      <c r="AE3" t="str">
        <f>_xlfn.CONCAT(AC3," ",AD3)</f>
        <v xml:space="preserve"> </v>
      </c>
      <c r="AF3" t="str">
        <f>LEFT(VLOOKUP(A3,Fechas_Estado!A:AF,28,0),10)</f>
        <v/>
      </c>
      <c r="AG3" t="str">
        <f>MID(VLOOKUP(A3,Fechas_Estado!A:AF,28,0),12,8)</f>
        <v/>
      </c>
      <c r="AH3" t="str">
        <f>_xlfn.CONCAT(AF3," ",AG3)</f>
        <v xml:space="preserve"> </v>
      </c>
      <c r="AI3" t="str">
        <f>LEFT(VLOOKUP(A3,Fechas_Estado!A:AF,16,0),10)</f>
        <v/>
      </c>
      <c r="AJ3" t="str">
        <f>MID(VLOOKUP(A3,Fechas_Estado!A:AF,16,0),12,8)</f>
        <v/>
      </c>
      <c r="AK3" t="str">
        <f>_xlfn.CONCAT(AI3," ",AJ3)</f>
        <v xml:space="preserve"> </v>
      </c>
      <c r="AL3" t="e">
        <f>AK3-D3</f>
        <v>#VALUE!</v>
      </c>
      <c r="AM3" t="str">
        <f>LEFT(VLOOKUP(A3,Fechas_Estado!A:AE,8,0),10)</f>
        <v/>
      </c>
      <c r="AN3" t="str">
        <f>MID(VLOOKUP(A3,Fechas_Estado!A:AE,8,0),12,8)</f>
        <v/>
      </c>
      <c r="AO3" t="str">
        <f>_xlfn.CONCAT(AM3," ",AN3)</f>
        <v xml:space="preserve"> </v>
      </c>
      <c r="AP3" t="str">
        <f>LEFT(VLOOKUP(A3,Fechas_Estado!A:AE,7,0),10)</f>
        <v/>
      </c>
      <c r="AQ3" t="str">
        <f>MID(VLOOKUP(A3,Fechas_Estado!A:AE,7,0),12,8)</f>
        <v/>
      </c>
      <c r="AR3" t="str">
        <f>_xlfn.CONCAT(AP3," ",AQ3)</f>
        <v xml:space="preserve"> </v>
      </c>
      <c r="AS3" t="str">
        <f>LEFT(VLOOKUP(A3, Fechas_Estado!A:AE,10,0),10)</f>
        <v/>
      </c>
      <c r="AT3" t="str">
        <f>MID(VLOOKUP(A3, Fechas_Estado!A:AE,10,0),12,8)</f>
        <v/>
      </c>
      <c r="AU3" t="str">
        <f>_xlfn.CONCAT(AS3," ",AT3)</f>
        <v xml:space="preserve"> </v>
      </c>
      <c r="AV3" t="str">
        <f>LEFT(VLOOKUP(A3, Fechas_Estado!A:AE,17,0),10)</f>
        <v/>
      </c>
      <c r="AW3" t="str">
        <f>MID(VLOOKUP(A3, Fechas_Estado!A:AE,17,0),12,8)</f>
        <v/>
      </c>
      <c r="AX3" t="str">
        <f>_xlfn.CONCAT(AV3," ",AW3)</f>
        <v xml:space="preserve"> </v>
      </c>
      <c r="AY3" t="e">
        <f>AX3-AO3</f>
        <v>#VALUE!</v>
      </c>
      <c r="AZ3" t="s">
        <v>1803</v>
      </c>
      <c r="BA3" t="str">
        <f>MID(VLOOKUP(A3, Fechas_Estado!A:AE,5,0),12,8)</f>
        <v>13:46:39</v>
      </c>
      <c r="BB3" t="str">
        <f>_xlfn.CONCAT(AZ3," ",BA3)</f>
        <v>º 13:46:39</v>
      </c>
      <c r="BC3" t="e">
        <f>BB3-AX3</f>
        <v>#VALUE!</v>
      </c>
    </row>
    <row r="4" spans="1:55" x14ac:dyDescent="0.25">
      <c r="A4" t="str">
        <f>Fechas_Estado!A3</f>
        <v>ESPC360-10203</v>
      </c>
      <c r="B4" t="str">
        <f>LEFT(VLOOKUP(A4,Fechas_Estado!A:AE,2,0),10)</f>
        <v>2024-07-22</v>
      </c>
      <c r="C4" t="str">
        <f>MID(VLOOKUP(A4, Fechas_Estado!A:AE,2,0),12,8)</f>
        <v>15:53:14</v>
      </c>
      <c r="D4" t="str">
        <f t="shared" ref="D4:D67" si="0">_xlfn.CONCAT(B4," ",C4)</f>
        <v>2024-07-22 15:53:14</v>
      </c>
      <c r="E4" t="str">
        <f>LEFT(VLOOKUP(A4, Fechas_Estado!A:AE,19,0),10)</f>
        <v/>
      </c>
      <c r="F4" t="str">
        <f>MID(VLOOKUP(A4, Fechas_Estado!A:AE,19,0),12,8)</f>
        <v/>
      </c>
      <c r="G4" t="str">
        <f t="shared" ref="G4:G67" si="1">_xlfn.CONCAT(E4," ",F4)</f>
        <v xml:space="preserve"> </v>
      </c>
      <c r="H4" t="str">
        <f>LEFT(VLOOKUP(A4, Fechas_Estado!A:AE,20,0),10)</f>
        <v/>
      </c>
      <c r="I4" t="str">
        <f>MID(VLOOKUP(A4, Fechas_Estado!A:AE,20,0),12,8)</f>
        <v/>
      </c>
      <c r="J4" t="str">
        <f t="shared" ref="J4:J67" si="2">_xlfn.CONCAT(H4," ",I4)</f>
        <v xml:space="preserve"> </v>
      </c>
      <c r="K4" t="str">
        <f>LEFT(VLOOKUP(A4, Fechas_Estado!A:AE,21,0),10)</f>
        <v/>
      </c>
      <c r="L4" t="str">
        <f>MID(VLOOKUP(A4, Fechas_Estado!A:AE,21,0),12,8)</f>
        <v/>
      </c>
      <c r="M4" t="str">
        <f t="shared" ref="M4:M67" si="3">_xlfn.CONCAT(K4," ",L4)</f>
        <v xml:space="preserve"> </v>
      </c>
      <c r="N4" t="str">
        <f>LEFT(VLOOKUP(A4, Fechas_Estado!A:AE,22,0),10)</f>
        <v/>
      </c>
      <c r="O4" t="str">
        <f>MID(VLOOKUP(A4, Fechas_Estado!A:AE,22,0),12,8)</f>
        <v/>
      </c>
      <c r="P4" t="str">
        <f t="shared" ref="P4:P67" si="4">_xlfn.CONCAT(N4," ",O4)</f>
        <v xml:space="preserve"> </v>
      </c>
      <c r="Q4" t="str">
        <f>LEFT(VLOOKUP(A4, Fechas_Estado!A:AE,23,0),10)</f>
        <v/>
      </c>
      <c r="R4" t="str">
        <f>MID(VLOOKUP(A4, Fechas_Estado!A:AE,23,0),12,8)</f>
        <v/>
      </c>
      <c r="S4" t="str">
        <f t="shared" ref="S4:S67" si="5">_xlfn.CONCAT(Q4," ",R4)</f>
        <v xml:space="preserve"> </v>
      </c>
      <c r="T4" t="str">
        <f>LEFT(VLOOKUP(A4, Fechas_Estado!A:AE,24,0),10)</f>
        <v/>
      </c>
      <c r="U4" t="str">
        <f>MID(VLOOKUP(A4, Fechas_Estado!A:AE,24,0),12,8)</f>
        <v/>
      </c>
      <c r="V4" t="str">
        <f t="shared" ref="V4:V67" si="6">_xlfn.CONCAT(T4," ",U4)</f>
        <v xml:space="preserve"> </v>
      </c>
      <c r="W4" t="str">
        <f>LEFT(VLOOKUP(A4, Fechas_Estado!A:AE,25,0),10)</f>
        <v>2024-07-24</v>
      </c>
      <c r="X4" t="str">
        <f>MID(VLOOKUP(A4, Fechas_Estado!A:AE,25,0),12,8)</f>
        <v>08:58:21</v>
      </c>
      <c r="Y4" t="str">
        <f t="shared" ref="Y4:Y67" si="7">_xlfn.CONCAT(W4," ",X4)</f>
        <v>2024-07-24 08:58:21</v>
      </c>
      <c r="Z4" t="str">
        <f>LEFT(VLOOKUP(A4, Fechas_Estado!A:AE,26,0),10)</f>
        <v>2024-07-24</v>
      </c>
      <c r="AA4" t="str">
        <f>MID(VLOOKUP(A4, Fechas_Estado!A:AE,26,0),12,8)</f>
        <v>11:46:40</v>
      </c>
      <c r="AB4" t="str">
        <f t="shared" ref="AB4:AB67" si="8">_xlfn.CONCAT(Z4," ",AA4)</f>
        <v>2024-07-24 11:46:40</v>
      </c>
      <c r="AC4" t="str">
        <f>LEFT(VLOOKUP(A4, Fechas_Estado!A:AE,27,0),10)</f>
        <v>2024-07-24</v>
      </c>
      <c r="AD4" t="str">
        <f>MID(VLOOKUP(A4, Fechas_Estado!A:AE,27,0),12,8)</f>
        <v>12:20:06</v>
      </c>
      <c r="AE4" t="str">
        <f t="shared" ref="AE4:AE67" si="9">_xlfn.CONCAT(AC4," ",AD4)</f>
        <v>2024-07-24 12:20:06</v>
      </c>
      <c r="AF4" t="str">
        <f>LEFT(VLOOKUP(A4,Fechas_Estado!A:AF,28,0),10)</f>
        <v>2024-07-24</v>
      </c>
      <c r="AG4" t="str">
        <f>MID(VLOOKUP(A4, Fechas_Estado!A:AF,28,0),12,8)</f>
        <v>12:20:17</v>
      </c>
      <c r="AH4" t="str">
        <f t="shared" ref="AH4:AH67" si="10">_xlfn.CONCAT(AF4," ",AG4)</f>
        <v>2024-07-24 12:20:17</v>
      </c>
      <c r="AI4" t="str">
        <f>LEFT(VLOOKUP(A4, Fechas_Estado!A:AF,16,0),10)</f>
        <v/>
      </c>
      <c r="AJ4" t="str">
        <f>MID(VLOOKUP(A4, Fechas_Estado!A:AF,16,0),12,8)</f>
        <v/>
      </c>
      <c r="AK4" t="str">
        <f t="shared" ref="AK4:AK67" si="11">_xlfn.CONCAT(AI4," ",AJ4)</f>
        <v xml:space="preserve"> </v>
      </c>
      <c r="AL4" t="e">
        <f>AK4-D4</f>
        <v>#VALUE!</v>
      </c>
      <c r="AM4" t="str">
        <f>LEFT(VLOOKUP(A4, Fechas_Estado!A:AE,8,0),10)</f>
        <v/>
      </c>
      <c r="AN4" t="str">
        <f>MID(VLOOKUP(A4, Fechas_Estado!A:AE,8,0),12,8)</f>
        <v/>
      </c>
      <c r="AO4" t="str">
        <f t="shared" ref="AO4:AO67" si="12">_xlfn.CONCAT(AM4," ",AN4)</f>
        <v xml:space="preserve"> </v>
      </c>
      <c r="AP4" t="str">
        <f>LEFT(VLOOKUP(A4, Fechas_Estado!A:AE,7,0),10)</f>
        <v/>
      </c>
      <c r="AQ4" t="str">
        <f>MID(VLOOKUP(A4, Fechas_Estado!A:AE,7,0),12,8)</f>
        <v/>
      </c>
      <c r="AR4" t="str">
        <f t="shared" ref="AR4:AR67" si="13">_xlfn.CONCAT(AP4," ",AQ4)</f>
        <v xml:space="preserve"> </v>
      </c>
      <c r="AS4" t="str">
        <f>LEFT(VLOOKUP(A4, Fechas_Estado!A:AE,10,0),10)</f>
        <v/>
      </c>
      <c r="AT4" t="str">
        <f>MID(VLOOKUP(A4, Fechas_Estado!A:AE,10,0),12,8)</f>
        <v/>
      </c>
      <c r="AU4" t="str">
        <f t="shared" ref="AU4:AU67" si="14">_xlfn.CONCAT(AS4," ",AT4)</f>
        <v xml:space="preserve"> </v>
      </c>
      <c r="AV4" t="str">
        <f>LEFT(VLOOKUP(A4, Fechas_Estado!A:AE,17,0),10)</f>
        <v/>
      </c>
      <c r="AW4" t="str">
        <f>MID(VLOOKUP(A4, Fechas_Estado!A:AE,17,0),12,8)</f>
        <v/>
      </c>
      <c r="AX4" t="str">
        <f t="shared" ref="AX4:AX67" si="15">_xlfn.CONCAT(AV4," ",AW4)</f>
        <v xml:space="preserve"> </v>
      </c>
      <c r="AY4" t="e">
        <f>AX4-AO4</f>
        <v>#VALUE!</v>
      </c>
      <c r="AZ4" t="str">
        <f>LEFT(VLOOKUP(A4, Fechas_Estado!A:AE,5,0),10)</f>
        <v/>
      </c>
      <c r="BA4" t="str">
        <f>MID(VLOOKUP(A4, Fechas_Estado!A:AE,5,0),12,8)</f>
        <v/>
      </c>
      <c r="BB4" t="str">
        <f t="shared" ref="BB4:BB67" si="16">_xlfn.CONCAT(AZ4," ",BA4)</f>
        <v xml:space="preserve"> </v>
      </c>
      <c r="BC4" t="e">
        <f t="shared" ref="BC4:BC67" si="17">BB4-AX4</f>
        <v>#VALUE!</v>
      </c>
    </row>
    <row r="5" spans="1:55" x14ac:dyDescent="0.25">
      <c r="A5" t="str">
        <f>Fechas_Estado!A4</f>
        <v>ESPC360-10218</v>
      </c>
      <c r="B5" t="str">
        <f>LEFT(VLOOKUP(A5,Fechas_Estado!A:AE,2,0),10)</f>
        <v>2024-07-23</v>
      </c>
      <c r="C5" t="str">
        <f>MID(VLOOKUP(A5, Fechas_Estado!A:AE,2,0),12,8)</f>
        <v>11:01:18</v>
      </c>
      <c r="D5" t="str">
        <f t="shared" si="0"/>
        <v>2024-07-23 11:01:18</v>
      </c>
      <c r="E5" t="str">
        <f>LEFT(VLOOKUP(A5, Fechas_Estado!A:AE,19,0),10)</f>
        <v/>
      </c>
      <c r="F5" t="str">
        <f>MID(VLOOKUP(A5, Fechas_Estado!A:AE,19,0),12,8)</f>
        <v/>
      </c>
      <c r="G5" t="str">
        <f t="shared" si="1"/>
        <v xml:space="preserve"> </v>
      </c>
      <c r="H5" t="str">
        <f>LEFT(VLOOKUP(A5, Fechas_Estado!A:AE,20,0),10)</f>
        <v/>
      </c>
      <c r="I5" t="str">
        <f>MID(VLOOKUP(A5, Fechas_Estado!A:AE,20,0),12,8)</f>
        <v/>
      </c>
      <c r="J5" t="str">
        <f t="shared" si="2"/>
        <v xml:space="preserve"> </v>
      </c>
      <c r="K5" t="str">
        <f>LEFT(VLOOKUP(A5, Fechas_Estado!A:AE,21,0),10)</f>
        <v/>
      </c>
      <c r="L5" t="str">
        <f>MID(VLOOKUP(A5, Fechas_Estado!A:AE,21,0),12,8)</f>
        <v/>
      </c>
      <c r="M5" t="str">
        <f t="shared" si="3"/>
        <v xml:space="preserve"> </v>
      </c>
      <c r="N5" t="str">
        <f>LEFT(VLOOKUP(A5, Fechas_Estado!A:AE,22,0),10)</f>
        <v/>
      </c>
      <c r="O5" t="str">
        <f>MID(VLOOKUP(A5, Fechas_Estado!A:AE,22,0),12,8)</f>
        <v/>
      </c>
      <c r="P5" t="str">
        <f t="shared" si="4"/>
        <v xml:space="preserve"> </v>
      </c>
      <c r="Q5" t="str">
        <f>LEFT(VLOOKUP(A5, Fechas_Estado!A:AE,23,0),10)</f>
        <v/>
      </c>
      <c r="R5" t="str">
        <f>MID(VLOOKUP(A5, Fechas_Estado!A:AE,23,0),12,8)</f>
        <v/>
      </c>
      <c r="S5" t="str">
        <f t="shared" si="5"/>
        <v xml:space="preserve"> </v>
      </c>
      <c r="T5" t="str">
        <f>LEFT(VLOOKUP(A5, Fechas_Estado!A:AE,24,0),10)</f>
        <v/>
      </c>
      <c r="U5" t="str">
        <f>MID(VLOOKUP(A5, Fechas_Estado!A:AE,24,0),12,8)</f>
        <v/>
      </c>
      <c r="V5" t="str">
        <f t="shared" si="6"/>
        <v xml:space="preserve"> </v>
      </c>
      <c r="W5" t="str">
        <f>LEFT(VLOOKUP(A5, Fechas_Estado!A:AE,25,0),10)</f>
        <v>2024-07-23</v>
      </c>
      <c r="X5" t="str">
        <f>MID(VLOOKUP(A5, Fechas_Estado!A:AE,25,0),12,8)</f>
        <v>11:01:31</v>
      </c>
      <c r="Y5" t="str">
        <f t="shared" si="7"/>
        <v>2024-07-23 11:01:31</v>
      </c>
      <c r="Z5" t="str">
        <f>LEFT(VLOOKUP(A5, Fechas_Estado!A:AE,26,0),10)</f>
        <v>2024-08-20</v>
      </c>
      <c r="AA5" t="str">
        <f>MID(VLOOKUP(A5, Fechas_Estado!A:AE,26,0),12,8)</f>
        <v>16:11:26</v>
      </c>
      <c r="AB5" t="str">
        <f t="shared" si="8"/>
        <v>2024-08-20 16:11:26</v>
      </c>
      <c r="AC5" t="str">
        <f>LEFT(VLOOKUP(A5, Fechas_Estado!A:AE,27,0),10)</f>
        <v/>
      </c>
      <c r="AD5" t="str">
        <f>MID(VLOOKUP(A5, Fechas_Estado!A:AE,27,0),12,8)</f>
        <v/>
      </c>
      <c r="AE5" t="str">
        <f t="shared" si="9"/>
        <v xml:space="preserve"> </v>
      </c>
      <c r="AF5" t="str">
        <f>LEFT(VLOOKUP(A5, Fechas_Estado!A:AF,28,0),10)</f>
        <v/>
      </c>
      <c r="AG5" t="str">
        <f>MID(VLOOKUP(A5, Fechas_Estado!A:AF,28,0),12,8)</f>
        <v/>
      </c>
      <c r="AH5" t="str">
        <f t="shared" si="10"/>
        <v xml:space="preserve"> </v>
      </c>
      <c r="AI5" t="str">
        <f>LEFT(VLOOKUP(A5, Fechas_Estado!A:AF,16,0),10)</f>
        <v/>
      </c>
      <c r="AJ5" t="str">
        <f>MID(VLOOKUP(A5, Fechas_Estado!A:AF,16,0),12,8)</f>
        <v/>
      </c>
      <c r="AK5" t="str">
        <f t="shared" si="11"/>
        <v xml:space="preserve"> </v>
      </c>
      <c r="AL5" t="e">
        <f t="shared" ref="AL5:AL67" si="18">AK5-D5</f>
        <v>#VALUE!</v>
      </c>
      <c r="AM5" t="str">
        <f>LEFT(VLOOKUP(A5, Fechas_Estado!A:AE,8,0),10)</f>
        <v/>
      </c>
      <c r="AN5" t="str">
        <f>MID(VLOOKUP(A5, Fechas_Estado!A:AE,8,0),12,8)</f>
        <v/>
      </c>
      <c r="AO5" t="str">
        <f t="shared" si="12"/>
        <v xml:space="preserve"> </v>
      </c>
      <c r="AP5" t="str">
        <f>LEFT(VLOOKUP(A5, Fechas_Estado!A:AE,7,0),10)</f>
        <v/>
      </c>
      <c r="AQ5" t="str">
        <f>MID(VLOOKUP(A5, Fechas_Estado!A:AE,7,0),12,8)</f>
        <v/>
      </c>
      <c r="AR5" t="str">
        <f t="shared" si="13"/>
        <v xml:space="preserve"> </v>
      </c>
      <c r="AS5" t="str">
        <f>LEFT(VLOOKUP(A5, Fechas_Estado!A:AE,10,0),10)</f>
        <v/>
      </c>
      <c r="AT5" t="str">
        <f>MID(VLOOKUP(A5, Fechas_Estado!A:AE,10,0),12,8)</f>
        <v/>
      </c>
      <c r="AU5" t="str">
        <f t="shared" si="14"/>
        <v xml:space="preserve"> </v>
      </c>
      <c r="AV5" t="str">
        <f>LEFT(VLOOKUP(A5, Fechas_Estado!A:AE,17,0),10)</f>
        <v/>
      </c>
      <c r="AW5" t="str">
        <f>MID(VLOOKUP(A5, Fechas_Estado!A:AE,17,0),12,8)</f>
        <v/>
      </c>
      <c r="AX5" t="str">
        <f t="shared" si="15"/>
        <v xml:space="preserve"> </v>
      </c>
      <c r="AY5" t="e">
        <f t="shared" ref="AY5:AY67" si="19">AX5-AO5</f>
        <v>#VALUE!</v>
      </c>
      <c r="AZ5" t="str">
        <f>LEFT(VLOOKUP(A5, Fechas_Estado!A:AE,5,0),10)</f>
        <v>2024-09-06</v>
      </c>
      <c r="BA5" t="str">
        <f>MID(VLOOKUP(A5, Fechas_Estado!A:AE,5,0),12,8)</f>
        <v>13:46:55</v>
      </c>
      <c r="BB5" t="str">
        <f t="shared" si="16"/>
        <v>2024-09-06 13:46:55</v>
      </c>
      <c r="BC5" t="e">
        <f t="shared" si="17"/>
        <v>#VALUE!</v>
      </c>
    </row>
    <row r="6" spans="1:55" x14ac:dyDescent="0.25">
      <c r="A6" t="str">
        <f>Fechas_Estado!A5</f>
        <v>ESPC360-10231</v>
      </c>
      <c r="B6" t="str">
        <f>LEFT(VLOOKUP(A6,Fechas_Estado!A:AE,2,0),10)</f>
        <v>2024-07-23</v>
      </c>
      <c r="C6" t="str">
        <f>MID(VLOOKUP(A6, Fechas_Estado!A:AE,2,0),12,8)</f>
        <v>12:29:10</v>
      </c>
      <c r="D6" t="str">
        <f t="shared" si="0"/>
        <v>2024-07-23 12:29:10</v>
      </c>
      <c r="E6" t="str">
        <f>LEFT(VLOOKUP(A6, Fechas_Estado!A:AE,19,0),10)</f>
        <v/>
      </c>
      <c r="F6" t="str">
        <f>MID(VLOOKUP(A6, Fechas_Estado!A:AE,19,0),12,8)</f>
        <v/>
      </c>
      <c r="G6" t="str">
        <f t="shared" si="1"/>
        <v xml:space="preserve"> </v>
      </c>
      <c r="H6" t="str">
        <f>LEFT(VLOOKUP(A6, Fechas_Estado!A:AE,20,0),10)</f>
        <v/>
      </c>
      <c r="I6" t="str">
        <f>MID(VLOOKUP(A6, Fechas_Estado!A:AE,20,0),12,8)</f>
        <v/>
      </c>
      <c r="J6" t="str">
        <f t="shared" si="2"/>
        <v xml:space="preserve"> </v>
      </c>
      <c r="K6" t="str">
        <f>LEFT(VLOOKUP(A6, Fechas_Estado!A:AE,21,0),10)</f>
        <v/>
      </c>
      <c r="L6" t="str">
        <f>MID(VLOOKUP(A6, Fechas_Estado!A:AE,21,0),12,8)</f>
        <v/>
      </c>
      <c r="M6" t="str">
        <f t="shared" si="3"/>
        <v xml:space="preserve"> </v>
      </c>
      <c r="N6" t="str">
        <f>LEFT(VLOOKUP(A6, Fechas_Estado!A:AE,22,0),10)</f>
        <v/>
      </c>
      <c r="O6" t="str">
        <f>MID(VLOOKUP(A6, Fechas_Estado!A:AE,22,0),12,8)</f>
        <v/>
      </c>
      <c r="P6" t="str">
        <f t="shared" si="4"/>
        <v xml:space="preserve"> </v>
      </c>
      <c r="Q6" t="str">
        <f>LEFT(VLOOKUP(A6, Fechas_Estado!A:AE,23,0),10)</f>
        <v/>
      </c>
      <c r="R6" t="str">
        <f>MID(VLOOKUP(A6, Fechas_Estado!A:AE,23,0),12,8)</f>
        <v/>
      </c>
      <c r="S6" t="str">
        <f t="shared" si="5"/>
        <v xml:space="preserve"> </v>
      </c>
      <c r="T6" t="str">
        <f>LEFT(VLOOKUP(A6, Fechas_Estado!A:AE,24,0),10)</f>
        <v/>
      </c>
      <c r="U6" t="str">
        <f>MID(VLOOKUP(A6, Fechas_Estado!A:AE,24,0),12,8)</f>
        <v/>
      </c>
      <c r="V6" t="str">
        <f t="shared" si="6"/>
        <v xml:space="preserve"> </v>
      </c>
      <c r="W6" t="str">
        <f>LEFT(VLOOKUP(A6, Fechas_Estado!A:AE,25,0),10)</f>
        <v>2024-08-13</v>
      </c>
      <c r="X6" t="str">
        <f>MID(VLOOKUP(A6, Fechas_Estado!A:AE,25,0),12,8)</f>
        <v>12:54:16</v>
      </c>
      <c r="Y6" t="str">
        <f t="shared" si="7"/>
        <v>2024-08-13 12:54:16</v>
      </c>
      <c r="Z6" t="str">
        <f>LEFT(VLOOKUP(A6, Fechas_Estado!A:AE,26,0),10)</f>
        <v>2024-08-13</v>
      </c>
      <c r="AA6" t="str">
        <f>MID(VLOOKUP(A6, Fechas_Estado!A:AE,26,0),12,8)</f>
        <v>12:50:54</v>
      </c>
      <c r="AB6" t="str">
        <f t="shared" si="8"/>
        <v>2024-08-13 12:50:54</v>
      </c>
      <c r="AC6" t="str">
        <f>LEFT(VLOOKUP(A6, Fechas_Estado!A:AE,27,0),10)</f>
        <v>2024-08-06</v>
      </c>
      <c r="AD6" t="str">
        <f>MID(VLOOKUP(A6, Fechas_Estado!A:AE,27,0),12,8)</f>
        <v>09:36:12</v>
      </c>
      <c r="AE6" t="str">
        <f t="shared" si="9"/>
        <v>2024-08-06 09:36:12</v>
      </c>
      <c r="AF6" t="str">
        <f>LEFT(VLOOKUP(A6, Fechas_Estado!A:AF,28,0),10)</f>
        <v>2024-07-24</v>
      </c>
      <c r="AG6" t="str">
        <f>MID(VLOOKUP(A6, Fechas_Estado!A:AF,28,0),12,8)</f>
        <v>12:20:17</v>
      </c>
      <c r="AH6" t="str">
        <f t="shared" si="10"/>
        <v>2024-07-24 12:20:17</v>
      </c>
      <c r="AI6" t="str">
        <f>LEFT(VLOOKUP(A6, Fechas_Estado!A:AF,16,0),10)</f>
        <v>2024-08-20</v>
      </c>
      <c r="AJ6" t="str">
        <f>MID(VLOOKUP(A6, Fechas_Estado!A:AF,16,0),12,8)</f>
        <v>11:09:55</v>
      </c>
      <c r="AK6" t="str">
        <f t="shared" si="11"/>
        <v>2024-08-20 11:09:55</v>
      </c>
      <c r="AL6">
        <f>AK6-D6</f>
        <v>27.944965277776646</v>
      </c>
      <c r="AM6" t="str">
        <f>LEFT(VLOOKUP(A6, Fechas_Estado!A:AE,8,0),10)</f>
        <v>2024-08-20</v>
      </c>
      <c r="AN6" t="str">
        <f>MID(VLOOKUP(A6, Fechas_Estado!A:AE,8,0),12,8)</f>
        <v>11:20:23</v>
      </c>
      <c r="AO6" t="str">
        <f t="shared" si="12"/>
        <v>2024-08-20 11:20:23</v>
      </c>
      <c r="AP6" t="str">
        <f>LEFT(VLOOKUP(A6, Fechas_Estado!A:AE,7,0),10)</f>
        <v>2024-08-20</v>
      </c>
      <c r="AQ6" t="str">
        <f>MID(VLOOKUP(A6, Fechas_Estado!A:AE,7,0),12,8)</f>
        <v>11:20:26</v>
      </c>
      <c r="AR6" t="str">
        <f t="shared" si="13"/>
        <v>2024-08-20 11:20:26</v>
      </c>
      <c r="AS6" t="str">
        <f>LEFT(VLOOKUP(A6, Fechas_Estado!A:AE,10,0),10)</f>
        <v>2024-08-20</v>
      </c>
      <c r="AT6" t="str">
        <f>MID(VLOOKUP(A6, Fechas_Estado!A:AE,10,0),12,8)</f>
        <v>11:20:28</v>
      </c>
      <c r="AU6" t="str">
        <f t="shared" si="14"/>
        <v>2024-08-20 11:20:28</v>
      </c>
      <c r="AV6" t="str">
        <f>LEFT(VLOOKUP(A6, Fechas_Estado!A:AE,17,0),10)</f>
        <v>2024-08-20</v>
      </c>
      <c r="AW6" t="str">
        <f>MID(VLOOKUP(A6, Fechas_Estado!A:AE,17,0),12,8)</f>
        <v>17:45:23</v>
      </c>
      <c r="AX6" t="str">
        <f t="shared" si="15"/>
        <v>2024-08-20 17:45:23</v>
      </c>
      <c r="AY6">
        <f>AX6-AO6</f>
        <v>0.26736111110949423</v>
      </c>
      <c r="AZ6" t="str">
        <f>LEFT(VLOOKUP(A6, Fechas_Estado!A:AE,5,0),10)</f>
        <v>2024-08-26</v>
      </c>
      <c r="BA6" t="str">
        <f>MID(VLOOKUP(A6, Fechas_Estado!A:AE,5,0),12,8)</f>
        <v>08:14:17</v>
      </c>
      <c r="BB6" t="str">
        <f t="shared" si="16"/>
        <v>2024-08-26 08:14:17</v>
      </c>
      <c r="BC6">
        <f>BB6-AX6</f>
        <v>5.6034027777786832</v>
      </c>
    </row>
    <row r="7" spans="1:55" x14ac:dyDescent="0.25">
      <c r="A7" t="str">
        <f>Fechas_Estado!A6</f>
        <v>ESPC360-10232</v>
      </c>
      <c r="B7" t="str">
        <f>LEFT(VLOOKUP(A7,Fechas_Estado!A:AE,2,0),10)</f>
        <v>2024-07-23</v>
      </c>
      <c r="C7" t="str">
        <f>MID(VLOOKUP(A7, Fechas_Estado!A:AE,2,0),12,8)</f>
        <v>12:39:44</v>
      </c>
      <c r="D7" t="str">
        <f t="shared" si="0"/>
        <v>2024-07-23 12:39:44</v>
      </c>
      <c r="E7" t="str">
        <f>LEFT(VLOOKUP(A7, Fechas_Estado!A:AE,19,0),10)</f>
        <v/>
      </c>
      <c r="F7" t="str">
        <f>MID(VLOOKUP(A7, Fechas_Estado!A:AE,19,0),12,8)</f>
        <v/>
      </c>
      <c r="G7" t="str">
        <f t="shared" si="1"/>
        <v xml:space="preserve"> </v>
      </c>
      <c r="H7" t="str">
        <f>LEFT(VLOOKUP(A7, Fechas_Estado!A:AE,20,0),10)</f>
        <v/>
      </c>
      <c r="I7" t="str">
        <f>MID(VLOOKUP(A7, Fechas_Estado!A:AE,20,0),12,8)</f>
        <v/>
      </c>
      <c r="J7" t="str">
        <f t="shared" si="2"/>
        <v xml:space="preserve"> </v>
      </c>
      <c r="K7" t="str">
        <f>LEFT(VLOOKUP(A7, Fechas_Estado!A:AE,21,0),10)</f>
        <v/>
      </c>
      <c r="L7" t="str">
        <f>MID(VLOOKUP(A7, Fechas_Estado!A:AE,21,0),12,8)</f>
        <v/>
      </c>
      <c r="M7" t="str">
        <f t="shared" si="3"/>
        <v xml:space="preserve"> </v>
      </c>
      <c r="N7" t="str">
        <f>LEFT(VLOOKUP(A7, Fechas_Estado!A:AE,22,0),10)</f>
        <v/>
      </c>
      <c r="O7" t="str">
        <f>MID(VLOOKUP(A7, Fechas_Estado!A:AE,22,0),12,8)</f>
        <v/>
      </c>
      <c r="P7" t="str">
        <f t="shared" si="4"/>
        <v xml:space="preserve"> </v>
      </c>
      <c r="Q7" t="str">
        <f>LEFT(VLOOKUP(A7, Fechas_Estado!A:AE,23,0),10)</f>
        <v/>
      </c>
      <c r="R7" t="str">
        <f>MID(VLOOKUP(A7, Fechas_Estado!A:AE,23,0),12,8)</f>
        <v/>
      </c>
      <c r="S7" t="str">
        <f t="shared" si="5"/>
        <v xml:space="preserve"> </v>
      </c>
      <c r="T7" t="str">
        <f>LEFT(VLOOKUP(A7, Fechas_Estado!A:AE,24,0),10)</f>
        <v/>
      </c>
      <c r="U7" t="str">
        <f>MID(VLOOKUP(A7, Fechas_Estado!A:AE,24,0),12,8)</f>
        <v/>
      </c>
      <c r="V7" t="str">
        <f t="shared" si="6"/>
        <v xml:space="preserve"> </v>
      </c>
      <c r="W7" t="str">
        <f>LEFT(VLOOKUP(A7, Fechas_Estado!A:AE,25,0),10)</f>
        <v>2024-07-24</v>
      </c>
      <c r="X7" t="str">
        <f>MID(VLOOKUP(A7, Fechas_Estado!A:AE,25,0),12,8)</f>
        <v>08:57:58</v>
      </c>
      <c r="Y7" t="str">
        <f t="shared" si="7"/>
        <v>2024-07-24 08:57:58</v>
      </c>
      <c r="Z7" t="str">
        <f>LEFT(VLOOKUP(A7, Fechas_Estado!A:AE,26,0),10)</f>
        <v>2024-07-24</v>
      </c>
      <c r="AA7" t="str">
        <f>MID(VLOOKUP(A7, Fechas_Estado!A:AE,26,0),12,8)</f>
        <v>12:04:06</v>
      </c>
      <c r="AB7" t="str">
        <f t="shared" si="8"/>
        <v>2024-07-24 12:04:06</v>
      </c>
      <c r="AC7" t="str">
        <f>LEFT(VLOOKUP(A7, Fechas_Estado!A:AE,27,0),10)</f>
        <v>2024-07-24</v>
      </c>
      <c r="AD7" t="str">
        <f>MID(VLOOKUP(A7, Fechas_Estado!A:AE,27,0),12,8)</f>
        <v>12:20:07</v>
      </c>
      <c r="AE7" t="str">
        <f t="shared" si="9"/>
        <v>2024-07-24 12:20:07</v>
      </c>
      <c r="AF7" t="str">
        <f>LEFT(VLOOKUP(A7, Fechas_Estado!A:AF,28,0),10)</f>
        <v>2024-07-24</v>
      </c>
      <c r="AG7" t="str">
        <f>MID(VLOOKUP(A7, Fechas_Estado!A:AF,28,0),12,8)</f>
        <v>12:20:18</v>
      </c>
      <c r="AH7" t="str">
        <f t="shared" si="10"/>
        <v>2024-07-24 12:20:18</v>
      </c>
      <c r="AI7" t="str">
        <f>LEFT(VLOOKUP(A7, Fechas_Estado!A:AF,16,0),10)</f>
        <v/>
      </c>
      <c r="AJ7" t="str">
        <f>MID(VLOOKUP(A7, Fechas_Estado!A:AF,16,0),12,8)</f>
        <v/>
      </c>
      <c r="AK7" t="str">
        <f t="shared" si="11"/>
        <v xml:space="preserve"> </v>
      </c>
      <c r="AL7" t="e">
        <f t="shared" si="18"/>
        <v>#VALUE!</v>
      </c>
      <c r="AM7" t="str">
        <f>LEFT(VLOOKUP(A7, Fechas_Estado!A:AE,8,0),10)</f>
        <v/>
      </c>
      <c r="AN7" t="str">
        <f>MID(VLOOKUP(A7, Fechas_Estado!A:AE,8,0),12,8)</f>
        <v/>
      </c>
      <c r="AO7" t="str">
        <f t="shared" si="12"/>
        <v xml:space="preserve"> </v>
      </c>
      <c r="AP7" t="str">
        <f>LEFT(VLOOKUP(A7, Fechas_Estado!A:AE,7,0),10)</f>
        <v/>
      </c>
      <c r="AQ7" t="str">
        <f>MID(VLOOKUP(A7, Fechas_Estado!A:AE,7,0),12,8)</f>
        <v/>
      </c>
      <c r="AR7" t="str">
        <f t="shared" si="13"/>
        <v xml:space="preserve"> </v>
      </c>
      <c r="AS7" t="str">
        <f>LEFT(VLOOKUP(A7, Fechas_Estado!A:AE,10,0),10)</f>
        <v/>
      </c>
      <c r="AT7" t="str">
        <f>MID(VLOOKUP(A7, Fechas_Estado!A:AE,10,0),12,8)</f>
        <v/>
      </c>
      <c r="AU7" t="str">
        <f t="shared" si="14"/>
        <v xml:space="preserve"> </v>
      </c>
      <c r="AV7" t="str">
        <f>LEFT(VLOOKUP(A7, Fechas_Estado!A:AE,17,0),10)</f>
        <v/>
      </c>
      <c r="AW7" t="str">
        <f>MID(VLOOKUP(A7, Fechas_Estado!A:AE,17,0),12,8)</f>
        <v/>
      </c>
      <c r="AX7" t="str">
        <f t="shared" si="15"/>
        <v xml:space="preserve"> </v>
      </c>
      <c r="AY7" t="e">
        <f t="shared" si="19"/>
        <v>#VALUE!</v>
      </c>
      <c r="AZ7" t="str">
        <f>LEFT(VLOOKUP(A7, Fechas_Estado!A:AE,5,0),10)</f>
        <v/>
      </c>
      <c r="BA7" t="str">
        <f>MID(VLOOKUP(A7, Fechas_Estado!A:AE,5,0),12,8)</f>
        <v/>
      </c>
      <c r="BB7" t="str">
        <f t="shared" si="16"/>
        <v xml:space="preserve"> </v>
      </c>
      <c r="BC7" t="e">
        <f t="shared" si="17"/>
        <v>#VALUE!</v>
      </c>
    </row>
    <row r="8" spans="1:55" x14ac:dyDescent="0.25">
      <c r="A8" t="str">
        <f>Fechas_Estado!A7</f>
        <v>ESPC360-10233</v>
      </c>
      <c r="B8" t="str">
        <f>LEFT(VLOOKUP(A8,Fechas_Estado!A:AE,2,0),10)</f>
        <v>2024-07-23</v>
      </c>
      <c r="C8" t="str">
        <f>MID(VLOOKUP(A8, Fechas_Estado!A:AE,2,0),12,8)</f>
        <v>12:49:36</v>
      </c>
      <c r="D8" t="str">
        <f t="shared" si="0"/>
        <v>2024-07-23 12:49:36</v>
      </c>
      <c r="E8" t="str">
        <f>LEFT(VLOOKUP(A8, Fechas_Estado!A:AE,19,0),10)</f>
        <v/>
      </c>
      <c r="F8" t="str">
        <f>MID(VLOOKUP(A8, Fechas_Estado!A:AE,19,0),12,8)</f>
        <v/>
      </c>
      <c r="G8" t="str">
        <f t="shared" si="1"/>
        <v xml:space="preserve"> </v>
      </c>
      <c r="H8" t="str">
        <f>LEFT(VLOOKUP(A8, Fechas_Estado!A:AE,20,0),10)</f>
        <v/>
      </c>
      <c r="I8" t="str">
        <f>MID(VLOOKUP(A8, Fechas_Estado!A:AE,20,0),12,8)</f>
        <v/>
      </c>
      <c r="J8" t="str">
        <f t="shared" si="2"/>
        <v xml:space="preserve"> </v>
      </c>
      <c r="K8" t="str">
        <f>LEFT(VLOOKUP(A8, Fechas_Estado!A:AE,21,0),10)</f>
        <v/>
      </c>
      <c r="L8" t="str">
        <f>MID(VLOOKUP(A8, Fechas_Estado!A:AE,21,0),12,8)</f>
        <v/>
      </c>
      <c r="M8" t="str">
        <f t="shared" si="3"/>
        <v xml:space="preserve"> </v>
      </c>
      <c r="N8" t="str">
        <f>LEFT(VLOOKUP(A8, Fechas_Estado!A:AE,22,0),10)</f>
        <v/>
      </c>
      <c r="O8" t="str">
        <f>MID(VLOOKUP(A8, Fechas_Estado!A:AE,22,0),12,8)</f>
        <v/>
      </c>
      <c r="P8" t="str">
        <f t="shared" si="4"/>
        <v xml:space="preserve"> </v>
      </c>
      <c r="Q8" t="str">
        <f>LEFT(VLOOKUP(A8, Fechas_Estado!A:AE,23,0),10)</f>
        <v/>
      </c>
      <c r="R8" t="str">
        <f>MID(VLOOKUP(A8, Fechas_Estado!A:AE,23,0),12,8)</f>
        <v/>
      </c>
      <c r="S8" t="str">
        <f t="shared" si="5"/>
        <v xml:space="preserve"> </v>
      </c>
      <c r="T8" t="str">
        <f>LEFT(VLOOKUP(A8, Fechas_Estado!A:AE,24,0),10)</f>
        <v/>
      </c>
      <c r="U8" t="str">
        <f>MID(VLOOKUP(A8, Fechas_Estado!A:AE,24,0),12,8)</f>
        <v/>
      </c>
      <c r="V8" t="str">
        <f t="shared" si="6"/>
        <v xml:space="preserve"> </v>
      </c>
      <c r="W8" t="str">
        <f>LEFT(VLOOKUP(A8, Fechas_Estado!A:AE,25,0),10)</f>
        <v>2024-07-24</v>
      </c>
      <c r="X8" t="str">
        <f>MID(VLOOKUP(A8, Fechas_Estado!A:AE,25,0),12,8)</f>
        <v>08:57:42</v>
      </c>
      <c r="Y8" t="str">
        <f t="shared" si="7"/>
        <v>2024-07-24 08:57:42</v>
      </c>
      <c r="Z8" t="str">
        <f>LEFT(VLOOKUP(A8, Fechas_Estado!A:AE,26,0),10)</f>
        <v>2024-07-24</v>
      </c>
      <c r="AA8" t="str">
        <f>MID(VLOOKUP(A8, Fechas_Estado!A:AE,26,0),12,8)</f>
        <v>12:03:57</v>
      </c>
      <c r="AB8" t="str">
        <f t="shared" si="8"/>
        <v>2024-07-24 12:03:57</v>
      </c>
      <c r="AC8" t="str">
        <f>LEFT(VLOOKUP(A8, Fechas_Estado!A:AE,27,0),10)</f>
        <v>2024-07-24</v>
      </c>
      <c r="AD8" t="str">
        <f>MID(VLOOKUP(A8, Fechas_Estado!A:AE,27,0),12,8)</f>
        <v>12:20:07</v>
      </c>
      <c r="AE8" t="str">
        <f t="shared" si="9"/>
        <v>2024-07-24 12:20:07</v>
      </c>
      <c r="AF8" t="str">
        <f>LEFT(VLOOKUP(A8, Fechas_Estado!A:AF,28,0),10)</f>
        <v>2024-07-24</v>
      </c>
      <c r="AG8" t="str">
        <f>MID(VLOOKUP(A8, Fechas_Estado!A:AF,28,0),12,8)</f>
        <v>12:20:18</v>
      </c>
      <c r="AH8" t="str">
        <f t="shared" si="10"/>
        <v>2024-07-24 12:20:18</v>
      </c>
      <c r="AI8" t="str">
        <f>LEFT(VLOOKUP(A8, Fechas_Estado!A:AF,16,0),10)</f>
        <v/>
      </c>
      <c r="AJ8" t="str">
        <f>MID(VLOOKUP(A8, Fechas_Estado!A:AF,16,0),12,8)</f>
        <v/>
      </c>
      <c r="AK8" t="str">
        <f t="shared" si="11"/>
        <v xml:space="preserve"> </v>
      </c>
      <c r="AL8" t="e">
        <f t="shared" si="18"/>
        <v>#VALUE!</v>
      </c>
      <c r="AM8" t="str">
        <f>LEFT(VLOOKUP(A8, Fechas_Estado!A:AE,8,0),10)</f>
        <v/>
      </c>
      <c r="AN8" t="str">
        <f>MID(VLOOKUP(A8, Fechas_Estado!A:AE,8,0),12,8)</f>
        <v/>
      </c>
      <c r="AO8" t="str">
        <f t="shared" si="12"/>
        <v xml:space="preserve"> </v>
      </c>
      <c r="AP8" t="str">
        <f>LEFT(VLOOKUP(A8, Fechas_Estado!A:AE,7,0),10)</f>
        <v/>
      </c>
      <c r="AQ8" t="str">
        <f>MID(VLOOKUP(A8, Fechas_Estado!A:AE,7,0),12,8)</f>
        <v/>
      </c>
      <c r="AR8" t="str">
        <f t="shared" si="13"/>
        <v xml:space="preserve"> </v>
      </c>
      <c r="AS8" t="str">
        <f>LEFT(VLOOKUP(A8, Fechas_Estado!A:AE,10,0),10)</f>
        <v/>
      </c>
      <c r="AT8" t="str">
        <f>MID(VLOOKUP(A8, Fechas_Estado!A:AE,10,0),12,8)</f>
        <v/>
      </c>
      <c r="AU8" t="str">
        <f t="shared" si="14"/>
        <v xml:space="preserve"> </v>
      </c>
      <c r="AV8" t="str">
        <f>LEFT(VLOOKUP(A8, Fechas_Estado!A:AE,17,0),10)</f>
        <v/>
      </c>
      <c r="AW8" t="str">
        <f>MID(VLOOKUP(A8, Fechas_Estado!A:AE,17,0),12,8)</f>
        <v/>
      </c>
      <c r="AX8" t="str">
        <f t="shared" si="15"/>
        <v xml:space="preserve"> </v>
      </c>
      <c r="AY8" t="e">
        <f t="shared" si="19"/>
        <v>#VALUE!</v>
      </c>
      <c r="AZ8" t="str">
        <f>LEFT(VLOOKUP(A8, Fechas_Estado!A:AE,5,0),10)</f>
        <v/>
      </c>
      <c r="BA8" t="str">
        <f>MID(VLOOKUP(A8, Fechas_Estado!A:AE,5,0),12,8)</f>
        <v/>
      </c>
      <c r="BB8" t="str">
        <f t="shared" si="16"/>
        <v xml:space="preserve"> </v>
      </c>
      <c r="BC8" t="e">
        <f t="shared" si="17"/>
        <v>#VALUE!</v>
      </c>
    </row>
    <row r="9" spans="1:55" x14ac:dyDescent="0.25">
      <c r="A9" t="str">
        <f>Fechas_Estado!A8</f>
        <v>ESPC360-10234</v>
      </c>
      <c r="B9" t="str">
        <f>LEFT(VLOOKUP(A9,Fechas_Estado!A:AE,2,0),10)</f>
        <v>2024-07-23</v>
      </c>
      <c r="C9" t="str">
        <f>MID(VLOOKUP(A9, Fechas_Estado!A:AE,2,0),12,8)</f>
        <v>12:57:34</v>
      </c>
      <c r="D9" t="str">
        <f t="shared" si="0"/>
        <v>2024-07-23 12:57:34</v>
      </c>
      <c r="E9" t="str">
        <f>LEFT(VLOOKUP(A9, Fechas_Estado!A:AE,19,0),10)</f>
        <v/>
      </c>
      <c r="F9" t="str">
        <f>MID(VLOOKUP(A9, Fechas_Estado!A:AE,19,0),12,8)</f>
        <v/>
      </c>
      <c r="G9" t="str">
        <f t="shared" si="1"/>
        <v xml:space="preserve"> </v>
      </c>
      <c r="H9" t="str">
        <f>LEFT(VLOOKUP(A9, Fechas_Estado!A:AE,20,0),10)</f>
        <v/>
      </c>
      <c r="I9" t="str">
        <f>MID(VLOOKUP(A9, Fechas_Estado!A:AE,20,0),12,8)</f>
        <v/>
      </c>
      <c r="J9" t="str">
        <f t="shared" si="2"/>
        <v xml:space="preserve"> </v>
      </c>
      <c r="K9" t="str">
        <f>LEFT(VLOOKUP(A9, Fechas_Estado!A:AE,21,0),10)</f>
        <v/>
      </c>
      <c r="L9" t="str">
        <f>MID(VLOOKUP(A9, Fechas_Estado!A:AE,21,0),12,8)</f>
        <v/>
      </c>
      <c r="M9" t="str">
        <f t="shared" si="3"/>
        <v xml:space="preserve"> </v>
      </c>
      <c r="N9" t="str">
        <f>LEFT(VLOOKUP(A9, Fechas_Estado!A:AE,22,0),10)</f>
        <v/>
      </c>
      <c r="O9" t="str">
        <f>MID(VLOOKUP(A9, Fechas_Estado!A:AE,22,0),12,8)</f>
        <v/>
      </c>
      <c r="P9" t="str">
        <f t="shared" si="4"/>
        <v xml:space="preserve"> </v>
      </c>
      <c r="Q9" t="str">
        <f>LEFT(VLOOKUP(A9, Fechas_Estado!A:AE,23,0),10)</f>
        <v/>
      </c>
      <c r="R9" t="str">
        <f>MID(VLOOKUP(A9, Fechas_Estado!A:AE,23,0),12,8)</f>
        <v/>
      </c>
      <c r="S9" t="str">
        <f t="shared" si="5"/>
        <v xml:space="preserve"> </v>
      </c>
      <c r="T9" t="str">
        <f>LEFT(VLOOKUP(A9, Fechas_Estado!A:AE,24,0),10)</f>
        <v/>
      </c>
      <c r="U9" t="str">
        <f>MID(VLOOKUP(A9, Fechas_Estado!A:AE,24,0),12,8)</f>
        <v/>
      </c>
      <c r="V9" t="str">
        <f t="shared" si="6"/>
        <v xml:space="preserve"> </v>
      </c>
      <c r="W9" t="str">
        <f>LEFT(VLOOKUP(A9, Fechas_Estado!A:AE,25,0),10)</f>
        <v>2024-08-06</v>
      </c>
      <c r="X9" t="str">
        <f>MID(VLOOKUP(A9, Fechas_Estado!A:AE,25,0),12,8)</f>
        <v>09:36:22</v>
      </c>
      <c r="Y9" t="str">
        <f t="shared" si="7"/>
        <v>2024-08-06 09:36:22</v>
      </c>
      <c r="Z9" t="str">
        <f>LEFT(VLOOKUP(A9, Fechas_Estado!A:AE,26,0),10)</f>
        <v>2024-08-06</v>
      </c>
      <c r="AA9" t="str">
        <f>MID(VLOOKUP(A9, Fechas_Estado!A:AE,26,0),12,8)</f>
        <v>09:36:17</v>
      </c>
      <c r="AB9" t="str">
        <f t="shared" si="8"/>
        <v>2024-08-06 09:36:17</v>
      </c>
      <c r="AC9" t="str">
        <f>LEFT(VLOOKUP(A9, Fechas_Estado!A:AE,27,0),10)</f>
        <v>2024-08-06</v>
      </c>
      <c r="AD9" t="str">
        <f>MID(VLOOKUP(A9, Fechas_Estado!A:AE,27,0),12,8)</f>
        <v>09:36:13</v>
      </c>
      <c r="AE9" t="str">
        <f t="shared" si="9"/>
        <v>2024-08-06 09:36:13</v>
      </c>
      <c r="AF9" t="str">
        <f>LEFT(VLOOKUP(A9, Fechas_Estado!A:AF,28,0),10)</f>
        <v>2024-07-24</v>
      </c>
      <c r="AG9" t="str">
        <f>MID(VLOOKUP(A9, Fechas_Estado!A:AF,28,0),12,8)</f>
        <v>12:20:18</v>
      </c>
      <c r="AH9" t="str">
        <f t="shared" si="10"/>
        <v>2024-07-24 12:20:18</v>
      </c>
      <c r="AI9" t="str">
        <f>LEFT(VLOOKUP(A9, Fechas_Estado!A:AF,16,0),10)</f>
        <v/>
      </c>
      <c r="AJ9" t="str">
        <f>MID(VLOOKUP(A9, Fechas_Estado!A:AF,16,0),12,8)</f>
        <v/>
      </c>
      <c r="AK9" t="str">
        <f t="shared" si="11"/>
        <v xml:space="preserve"> </v>
      </c>
      <c r="AL9" t="e">
        <f t="shared" si="18"/>
        <v>#VALUE!</v>
      </c>
      <c r="AM9" t="str">
        <f>LEFT(VLOOKUP(A9, Fechas_Estado!A:AE,8,0),10)</f>
        <v/>
      </c>
      <c r="AN9" t="str">
        <f>MID(VLOOKUP(A9, Fechas_Estado!A:AE,8,0),12,8)</f>
        <v/>
      </c>
      <c r="AO9" t="str">
        <f t="shared" si="12"/>
        <v xml:space="preserve"> </v>
      </c>
      <c r="AP9" t="str">
        <f>LEFT(VLOOKUP(A9, Fechas_Estado!A:AE,7,0),10)</f>
        <v/>
      </c>
      <c r="AQ9" t="str">
        <f>MID(VLOOKUP(A9, Fechas_Estado!A:AE,7,0),12,8)</f>
        <v/>
      </c>
      <c r="AR9" t="str">
        <f t="shared" si="13"/>
        <v xml:space="preserve"> </v>
      </c>
      <c r="AS9" t="str">
        <f>LEFT(VLOOKUP(A9, Fechas_Estado!A:AE,10,0),10)</f>
        <v/>
      </c>
      <c r="AT9" t="str">
        <f>MID(VLOOKUP(A9, Fechas_Estado!A:AE,10,0),12,8)</f>
        <v/>
      </c>
      <c r="AU9" t="str">
        <f t="shared" si="14"/>
        <v xml:space="preserve"> </v>
      </c>
      <c r="AV9" t="str">
        <f>LEFT(VLOOKUP(A9, Fechas_Estado!A:AE,17,0),10)</f>
        <v/>
      </c>
      <c r="AW9" t="str">
        <f>MID(VLOOKUP(A9, Fechas_Estado!A:AE,17,0),12,8)</f>
        <v/>
      </c>
      <c r="AX9" t="str">
        <f t="shared" si="15"/>
        <v xml:space="preserve"> </v>
      </c>
      <c r="AY9" t="e">
        <f t="shared" si="19"/>
        <v>#VALUE!</v>
      </c>
      <c r="AZ9" t="str">
        <f>LEFT(VLOOKUP(A9, Fechas_Estado!A:AE,5,0),10)</f>
        <v>2024-08-12</v>
      </c>
      <c r="BA9" t="str">
        <f>MID(VLOOKUP(A9, Fechas_Estado!A:AE,5,0),12,8)</f>
        <v>14:13:53</v>
      </c>
      <c r="BB9" t="str">
        <f t="shared" si="16"/>
        <v>2024-08-12 14:13:53</v>
      </c>
      <c r="BC9" t="e">
        <f t="shared" si="17"/>
        <v>#VALUE!</v>
      </c>
    </row>
    <row r="10" spans="1:55" x14ac:dyDescent="0.25">
      <c r="A10" t="str">
        <f>Fechas_Estado!A9</f>
        <v>ESPC360-10238</v>
      </c>
      <c r="B10" t="str">
        <f>LEFT(VLOOKUP(A10,Fechas_Estado!A:AE,2,0),10)</f>
        <v>2024-07-23</v>
      </c>
      <c r="C10" t="str">
        <f>MID(VLOOKUP(A10, Fechas_Estado!A:AE,2,0),12,8)</f>
        <v>15:24:08</v>
      </c>
      <c r="D10" t="str">
        <f t="shared" si="0"/>
        <v>2024-07-23 15:24:08</v>
      </c>
      <c r="E10" t="str">
        <f>LEFT(VLOOKUP(A10, Fechas_Estado!A:AE,19,0),10)</f>
        <v/>
      </c>
      <c r="F10" t="str">
        <f>MID(VLOOKUP(A10, Fechas_Estado!A:AE,19,0),12,8)</f>
        <v/>
      </c>
      <c r="G10" t="str">
        <f t="shared" si="1"/>
        <v xml:space="preserve"> </v>
      </c>
      <c r="H10" t="str">
        <f>LEFT(VLOOKUP(A10, Fechas_Estado!A:AE,20,0),10)</f>
        <v/>
      </c>
      <c r="I10" t="str">
        <f>MID(VLOOKUP(A10, Fechas_Estado!A:AE,20,0),12,8)</f>
        <v/>
      </c>
      <c r="J10" t="str">
        <f t="shared" si="2"/>
        <v xml:space="preserve"> </v>
      </c>
      <c r="K10" t="str">
        <f>LEFT(VLOOKUP(A10, Fechas_Estado!A:AE,21,0),10)</f>
        <v/>
      </c>
      <c r="L10" t="str">
        <f>MID(VLOOKUP(A10, Fechas_Estado!A:AE,21,0),12,8)</f>
        <v/>
      </c>
      <c r="M10" t="str">
        <f t="shared" si="3"/>
        <v xml:space="preserve"> </v>
      </c>
      <c r="N10" t="str">
        <f>LEFT(VLOOKUP(A10, Fechas_Estado!A:AE,22,0),10)</f>
        <v/>
      </c>
      <c r="O10" t="str">
        <f>MID(VLOOKUP(A10, Fechas_Estado!A:AE,22,0),12,8)</f>
        <v/>
      </c>
      <c r="P10" t="str">
        <f t="shared" si="4"/>
        <v xml:space="preserve"> </v>
      </c>
      <c r="Q10" t="str">
        <f>LEFT(VLOOKUP(A10, Fechas_Estado!A:AE,23,0),10)</f>
        <v/>
      </c>
      <c r="R10" t="str">
        <f>MID(VLOOKUP(A10, Fechas_Estado!A:AE,23,0),12,8)</f>
        <v/>
      </c>
      <c r="S10" t="str">
        <f t="shared" si="5"/>
        <v xml:space="preserve"> </v>
      </c>
      <c r="T10" t="str">
        <f>LEFT(VLOOKUP(A10, Fechas_Estado!A:AE,24,0),10)</f>
        <v/>
      </c>
      <c r="U10" t="str">
        <f>MID(VLOOKUP(A10, Fechas_Estado!A:AE,24,0),12,8)</f>
        <v/>
      </c>
      <c r="V10" t="str">
        <f t="shared" si="6"/>
        <v xml:space="preserve"> </v>
      </c>
      <c r="W10" t="str">
        <f>LEFT(VLOOKUP(A10, Fechas_Estado!A:AE,25,0),10)</f>
        <v>2024-08-13</v>
      </c>
      <c r="X10" t="str">
        <f>MID(VLOOKUP(A10, Fechas_Estado!A:AE,25,0),12,8)</f>
        <v>12:54:25</v>
      </c>
      <c r="Y10" t="str">
        <f t="shared" si="7"/>
        <v>2024-08-13 12:54:25</v>
      </c>
      <c r="Z10" t="str">
        <f>LEFT(VLOOKUP(A10, Fechas_Estado!A:AE,26,0),10)</f>
        <v>2024-08-13</v>
      </c>
      <c r="AA10" t="str">
        <f>MID(VLOOKUP(A10, Fechas_Estado!A:AE,26,0),12,8)</f>
        <v>12:50:47</v>
      </c>
      <c r="AB10" t="str">
        <f t="shared" si="8"/>
        <v>2024-08-13 12:50:47</v>
      </c>
      <c r="AC10" t="str">
        <f>LEFT(VLOOKUP(A10, Fechas_Estado!A:AE,27,0),10)</f>
        <v>2024-08-06</v>
      </c>
      <c r="AD10" t="str">
        <f>MID(VLOOKUP(A10, Fechas_Estado!A:AE,27,0),12,8)</f>
        <v>09:36:13</v>
      </c>
      <c r="AE10" t="str">
        <f t="shared" si="9"/>
        <v>2024-08-06 09:36:13</v>
      </c>
      <c r="AF10" t="str">
        <f>LEFT(VLOOKUP(A10, Fechas_Estado!A:AF,28,0),10)</f>
        <v>2024-08-20</v>
      </c>
      <c r="AG10" t="str">
        <f>MID(VLOOKUP(A10, Fechas_Estado!A:AF,28,0),12,8)</f>
        <v>13:00:46</v>
      </c>
      <c r="AH10" t="str">
        <f t="shared" si="10"/>
        <v>2024-08-20 13:00:46</v>
      </c>
      <c r="AI10" t="str">
        <f>LEFT(VLOOKUP(A10, Fechas_Estado!A:AF,16,0),10)</f>
        <v>2024-08-20</v>
      </c>
      <c r="AJ10" t="str">
        <f>MID(VLOOKUP(A10, Fechas_Estado!A:AF,16,0),12,8)</f>
        <v>11:10:13</v>
      </c>
      <c r="AK10" t="str">
        <f t="shared" si="11"/>
        <v>2024-08-20 11:10:13</v>
      </c>
      <c r="AL10">
        <f t="shared" si="18"/>
        <v>27.823668981480296</v>
      </c>
      <c r="AM10" t="str">
        <f>LEFT(VLOOKUP(A10, Fechas_Estado!A:AE,8,0),10)</f>
        <v>2024-08-20</v>
      </c>
      <c r="AN10" t="str">
        <f>MID(VLOOKUP(A10, Fechas_Estado!A:AE,8,0),12,8)</f>
        <v>11:20:31</v>
      </c>
      <c r="AO10" t="str">
        <f t="shared" si="12"/>
        <v>2024-08-20 11:20:31</v>
      </c>
      <c r="AP10" t="str">
        <f>LEFT(VLOOKUP(A10, Fechas_Estado!A:AE,7,0),10)</f>
        <v>2024-08-20</v>
      </c>
      <c r="AQ10" t="str">
        <f>MID(VLOOKUP(A10, Fechas_Estado!A:AE,7,0),12,8)</f>
        <v>11:20:34</v>
      </c>
      <c r="AR10" t="str">
        <f t="shared" si="13"/>
        <v>2024-08-20 11:20:34</v>
      </c>
      <c r="AS10" t="str">
        <f>LEFT(VLOOKUP(A10, Fechas_Estado!A:AE,10,0),10)</f>
        <v>2024-08-20</v>
      </c>
      <c r="AT10" t="str">
        <f>MID(VLOOKUP(A10, Fechas_Estado!A:AE,10,0),12,8)</f>
        <v>11:20:37</v>
      </c>
      <c r="AU10" t="str">
        <f t="shared" si="14"/>
        <v>2024-08-20 11:20:37</v>
      </c>
      <c r="AV10" t="str">
        <f>LEFT(VLOOKUP(A10, Fechas_Estado!A:AE,17,0),10)</f>
        <v/>
      </c>
      <c r="AW10" t="str">
        <f>MID(VLOOKUP(A10, Fechas_Estado!A:AE,17,0),12,8)</f>
        <v/>
      </c>
      <c r="AX10" t="str">
        <f t="shared" si="15"/>
        <v xml:space="preserve"> </v>
      </c>
      <c r="AY10" t="e">
        <f t="shared" si="19"/>
        <v>#VALUE!</v>
      </c>
      <c r="AZ10" t="str">
        <f>LEFT(VLOOKUP(A10, Fechas_Estado!A:AE,5,0),10)</f>
        <v>2024-08-26</v>
      </c>
      <c r="BA10" t="str">
        <f>MID(VLOOKUP(A10, Fechas_Estado!A:AE,5,0),12,8)</f>
        <v>14:11:23</v>
      </c>
      <c r="BB10" t="str">
        <f t="shared" si="16"/>
        <v>2024-08-26 14:11:23</v>
      </c>
      <c r="BC10" t="e">
        <f t="shared" si="17"/>
        <v>#VALUE!</v>
      </c>
    </row>
    <row r="11" spans="1:55" x14ac:dyDescent="0.25">
      <c r="A11" t="str">
        <f>Fechas_Estado!A10</f>
        <v>ESPC360-10239</v>
      </c>
      <c r="B11" t="str">
        <f>LEFT(VLOOKUP(A11,Fechas_Estado!A:AE,2,0),10)</f>
        <v>2024-07-23</v>
      </c>
      <c r="C11" t="str">
        <f>MID(VLOOKUP(A11, Fechas_Estado!A:AE,2,0),12,8)</f>
        <v>15:24:47</v>
      </c>
      <c r="D11" t="str">
        <f t="shared" si="0"/>
        <v>2024-07-23 15:24:47</v>
      </c>
      <c r="E11" t="str">
        <f>LEFT(VLOOKUP(A11, Fechas_Estado!A:AE,19,0),10)</f>
        <v/>
      </c>
      <c r="F11" t="str">
        <f>MID(VLOOKUP(A11, Fechas_Estado!A:AE,19,0),12,8)</f>
        <v/>
      </c>
      <c r="G11" t="str">
        <f t="shared" si="1"/>
        <v xml:space="preserve"> </v>
      </c>
      <c r="H11" t="str">
        <f>LEFT(VLOOKUP(A11, Fechas_Estado!A:AE,20,0),10)</f>
        <v/>
      </c>
      <c r="I11" t="str">
        <f>MID(VLOOKUP(A11, Fechas_Estado!A:AE,20,0),12,8)</f>
        <v/>
      </c>
      <c r="J11" t="str">
        <f t="shared" si="2"/>
        <v xml:space="preserve"> </v>
      </c>
      <c r="K11" t="str">
        <f>LEFT(VLOOKUP(A11, Fechas_Estado!A:AE,21,0),10)</f>
        <v/>
      </c>
      <c r="L11" t="str">
        <f>MID(VLOOKUP(A11, Fechas_Estado!A:AE,21,0),12,8)</f>
        <v/>
      </c>
      <c r="M11" t="str">
        <f t="shared" si="3"/>
        <v xml:space="preserve"> </v>
      </c>
      <c r="N11" t="str">
        <f>LEFT(VLOOKUP(A11, Fechas_Estado!A:AE,22,0),10)</f>
        <v/>
      </c>
      <c r="O11" t="str">
        <f>MID(VLOOKUP(A11, Fechas_Estado!A:AE,22,0),12,8)</f>
        <v/>
      </c>
      <c r="P11" t="str">
        <f t="shared" si="4"/>
        <v xml:space="preserve"> </v>
      </c>
      <c r="Q11" t="str">
        <f>LEFT(VLOOKUP(A11, Fechas_Estado!A:AE,23,0),10)</f>
        <v/>
      </c>
      <c r="R11" t="str">
        <f>MID(VLOOKUP(A11, Fechas_Estado!A:AE,23,0),12,8)</f>
        <v/>
      </c>
      <c r="S11" t="str">
        <f t="shared" si="5"/>
        <v xml:space="preserve"> </v>
      </c>
      <c r="T11" t="str">
        <f>LEFT(VLOOKUP(A11, Fechas_Estado!A:AE,24,0),10)</f>
        <v/>
      </c>
      <c r="U11" t="str">
        <f>MID(VLOOKUP(A11, Fechas_Estado!A:AE,24,0),12,8)</f>
        <v/>
      </c>
      <c r="V11" t="str">
        <f t="shared" si="6"/>
        <v xml:space="preserve"> </v>
      </c>
      <c r="W11" t="str">
        <f>LEFT(VLOOKUP(A11, Fechas_Estado!A:AE,25,0),10)</f>
        <v>2024-07-24</v>
      </c>
      <c r="X11" t="str">
        <f>MID(VLOOKUP(A11, Fechas_Estado!A:AE,25,0),12,8)</f>
        <v>08:57:12</v>
      </c>
      <c r="Y11" t="str">
        <f t="shared" si="7"/>
        <v>2024-07-24 08:57:12</v>
      </c>
      <c r="Z11" t="str">
        <f>LEFT(VLOOKUP(A11, Fechas_Estado!A:AE,26,0),10)</f>
        <v>2024-07-24</v>
      </c>
      <c r="AA11" t="str">
        <f>MID(VLOOKUP(A11, Fechas_Estado!A:AE,26,0),12,8)</f>
        <v>12:03:34</v>
      </c>
      <c r="AB11" t="str">
        <f t="shared" si="8"/>
        <v>2024-07-24 12:03:34</v>
      </c>
      <c r="AC11" t="str">
        <f>LEFT(VLOOKUP(A11, Fechas_Estado!A:AE,27,0),10)</f>
        <v>2024-07-24</v>
      </c>
      <c r="AD11" t="str">
        <f>MID(VLOOKUP(A11, Fechas_Estado!A:AE,27,0),12,8)</f>
        <v>12:20:07</v>
      </c>
      <c r="AE11" t="str">
        <f t="shared" si="9"/>
        <v>2024-07-24 12:20:07</v>
      </c>
      <c r="AF11" t="str">
        <f>LEFT(VLOOKUP(A11, Fechas_Estado!A:AF,28,0),10)</f>
        <v>2024-07-24</v>
      </c>
      <c r="AG11" t="str">
        <f>MID(VLOOKUP(A11, Fechas_Estado!A:AF,28,0),12,8)</f>
        <v>12:20:18</v>
      </c>
      <c r="AH11" t="str">
        <f t="shared" si="10"/>
        <v>2024-07-24 12:20:18</v>
      </c>
      <c r="AI11" t="str">
        <f>LEFT(VLOOKUP(A11, Fechas_Estado!A:AF,16,0),10)</f>
        <v/>
      </c>
      <c r="AJ11" t="str">
        <f>MID(VLOOKUP(A11, Fechas_Estado!A:AF,16,0),12,8)</f>
        <v/>
      </c>
      <c r="AK11" t="str">
        <f t="shared" si="11"/>
        <v xml:space="preserve"> </v>
      </c>
      <c r="AL11" t="e">
        <f t="shared" si="18"/>
        <v>#VALUE!</v>
      </c>
      <c r="AM11" t="str">
        <f>LEFT(VLOOKUP(A11, Fechas_Estado!A:AE,8,0),10)</f>
        <v/>
      </c>
      <c r="AN11" t="str">
        <f>MID(VLOOKUP(A11, Fechas_Estado!A:AE,8,0),12,8)</f>
        <v/>
      </c>
      <c r="AO11" t="str">
        <f t="shared" si="12"/>
        <v xml:space="preserve"> </v>
      </c>
      <c r="AP11" t="str">
        <f>LEFT(VLOOKUP(A11, Fechas_Estado!A:AE,7,0),10)</f>
        <v/>
      </c>
      <c r="AQ11" t="str">
        <f>MID(VLOOKUP(A11, Fechas_Estado!A:AE,7,0),12,8)</f>
        <v/>
      </c>
      <c r="AR11" t="str">
        <f t="shared" si="13"/>
        <v xml:space="preserve"> </v>
      </c>
      <c r="AS11" t="str">
        <f>LEFT(VLOOKUP(A11, Fechas_Estado!A:AE,10,0),10)</f>
        <v/>
      </c>
      <c r="AT11" t="str">
        <f>MID(VLOOKUP(A11, Fechas_Estado!A:AE,10,0),12,8)</f>
        <v/>
      </c>
      <c r="AU11" t="str">
        <f t="shared" si="14"/>
        <v xml:space="preserve"> </v>
      </c>
      <c r="AV11" t="str">
        <f>LEFT(VLOOKUP(A11, Fechas_Estado!A:AE,17,0),10)</f>
        <v/>
      </c>
      <c r="AW11" t="str">
        <f>MID(VLOOKUP(A11, Fechas_Estado!A:AE,17,0),12,8)</f>
        <v/>
      </c>
      <c r="AX11" t="str">
        <f t="shared" si="15"/>
        <v xml:space="preserve"> </v>
      </c>
      <c r="AY11" t="e">
        <f t="shared" si="19"/>
        <v>#VALUE!</v>
      </c>
      <c r="AZ11" t="str">
        <f>LEFT(VLOOKUP(A11, Fechas_Estado!A:AE,5,0),10)</f>
        <v/>
      </c>
      <c r="BA11" t="str">
        <f>MID(VLOOKUP(A11, Fechas_Estado!A:AE,5,0),12,8)</f>
        <v/>
      </c>
      <c r="BB11" t="str">
        <f t="shared" si="16"/>
        <v xml:space="preserve"> </v>
      </c>
      <c r="BC11" t="e">
        <f t="shared" si="17"/>
        <v>#VALUE!</v>
      </c>
    </row>
    <row r="12" spans="1:55" x14ac:dyDescent="0.25">
      <c r="A12" t="str">
        <f>Fechas_Estado!A11</f>
        <v>ESPC360-10240</v>
      </c>
      <c r="B12" t="str">
        <f>LEFT(VLOOKUP(A12,Fechas_Estado!A:AE,2,0),10)</f>
        <v>2024-07-23</v>
      </c>
      <c r="C12" t="str">
        <f>MID(VLOOKUP(A12, Fechas_Estado!A:AE,2,0),12,8)</f>
        <v>15:25:08</v>
      </c>
      <c r="D12" t="str">
        <f t="shared" si="0"/>
        <v>2024-07-23 15:25:08</v>
      </c>
      <c r="E12" t="str">
        <f>LEFT(VLOOKUP(A12, Fechas_Estado!A:AE,19,0),10)</f>
        <v/>
      </c>
      <c r="F12" t="str">
        <f>MID(VLOOKUP(A12, Fechas_Estado!A:AE,19,0),12,8)</f>
        <v/>
      </c>
      <c r="G12" t="str">
        <f t="shared" si="1"/>
        <v xml:space="preserve"> </v>
      </c>
      <c r="H12" t="str">
        <f>LEFT(VLOOKUP(A12, Fechas_Estado!A:AE,20,0),10)</f>
        <v/>
      </c>
      <c r="I12" t="str">
        <f>MID(VLOOKUP(A12, Fechas_Estado!A:AE,20,0),12,8)</f>
        <v/>
      </c>
      <c r="J12" t="str">
        <f t="shared" si="2"/>
        <v xml:space="preserve"> </v>
      </c>
      <c r="K12" t="str">
        <f>LEFT(VLOOKUP(A12, Fechas_Estado!A:AE,21,0),10)</f>
        <v/>
      </c>
      <c r="L12" t="str">
        <f>MID(VLOOKUP(A12, Fechas_Estado!A:AE,21,0),12,8)</f>
        <v/>
      </c>
      <c r="M12" t="str">
        <f t="shared" si="3"/>
        <v xml:space="preserve"> </v>
      </c>
      <c r="N12" t="str">
        <f>LEFT(VLOOKUP(A12, Fechas_Estado!A:AE,22,0),10)</f>
        <v/>
      </c>
      <c r="O12" t="str">
        <f>MID(VLOOKUP(A12, Fechas_Estado!A:AE,22,0),12,8)</f>
        <v/>
      </c>
      <c r="P12" t="str">
        <f t="shared" si="4"/>
        <v xml:space="preserve"> </v>
      </c>
      <c r="Q12" t="str">
        <f>LEFT(VLOOKUP(A12, Fechas_Estado!A:AE,23,0),10)</f>
        <v/>
      </c>
      <c r="R12" t="str">
        <f>MID(VLOOKUP(A12, Fechas_Estado!A:AE,23,0),12,8)</f>
        <v/>
      </c>
      <c r="S12" t="str">
        <f t="shared" si="5"/>
        <v xml:space="preserve"> </v>
      </c>
      <c r="T12" t="str">
        <f>LEFT(VLOOKUP(A12, Fechas_Estado!A:AE,24,0),10)</f>
        <v/>
      </c>
      <c r="U12" t="str">
        <f>MID(VLOOKUP(A12, Fechas_Estado!A:AE,24,0),12,8)</f>
        <v/>
      </c>
      <c r="V12" t="str">
        <f t="shared" si="6"/>
        <v xml:space="preserve"> </v>
      </c>
      <c r="W12" t="str">
        <f>LEFT(VLOOKUP(A12, Fechas_Estado!A:AE,25,0),10)</f>
        <v>2024-07-24</v>
      </c>
      <c r="X12" t="str">
        <f>MID(VLOOKUP(A12, Fechas_Estado!A:AE,25,0),12,8)</f>
        <v>08:57:05</v>
      </c>
      <c r="Y12" t="str">
        <f t="shared" si="7"/>
        <v>2024-07-24 08:57:05</v>
      </c>
      <c r="Z12" t="str">
        <f>LEFT(VLOOKUP(A12, Fechas_Estado!A:AE,26,0),10)</f>
        <v>2024-07-24</v>
      </c>
      <c r="AA12" t="str">
        <f>MID(VLOOKUP(A12, Fechas_Estado!A:AE,26,0),12,8)</f>
        <v>12:03:22</v>
      </c>
      <c r="AB12" t="str">
        <f t="shared" si="8"/>
        <v>2024-07-24 12:03:22</v>
      </c>
      <c r="AC12" t="str">
        <f>LEFT(VLOOKUP(A12, Fechas_Estado!A:AE,27,0),10)</f>
        <v>2024-07-24</v>
      </c>
      <c r="AD12" t="str">
        <f>MID(VLOOKUP(A12, Fechas_Estado!A:AE,27,0),12,8)</f>
        <v>12:20:08</v>
      </c>
      <c r="AE12" t="str">
        <f t="shared" si="9"/>
        <v>2024-07-24 12:20:08</v>
      </c>
      <c r="AF12" t="str">
        <f>LEFT(VLOOKUP(A12, Fechas_Estado!A:AF,28,0),10)</f>
        <v>2024-07-24</v>
      </c>
      <c r="AG12" t="str">
        <f>MID(VLOOKUP(A12, Fechas_Estado!A:AF,28,0),12,8)</f>
        <v>12:20:19</v>
      </c>
      <c r="AH12" t="str">
        <f t="shared" si="10"/>
        <v>2024-07-24 12:20:19</v>
      </c>
      <c r="AI12" t="str">
        <f>LEFT(VLOOKUP(A12, Fechas_Estado!A:AF,16,0),10)</f>
        <v/>
      </c>
      <c r="AJ12" t="str">
        <f>MID(VLOOKUP(A12, Fechas_Estado!A:AF,16,0),12,8)</f>
        <v/>
      </c>
      <c r="AK12" t="str">
        <f t="shared" si="11"/>
        <v xml:space="preserve"> </v>
      </c>
      <c r="AL12" t="e">
        <f t="shared" si="18"/>
        <v>#VALUE!</v>
      </c>
      <c r="AM12" t="str">
        <f>LEFT(VLOOKUP(A12, Fechas_Estado!A:AE,8,0),10)</f>
        <v/>
      </c>
      <c r="AN12" t="str">
        <f>MID(VLOOKUP(A12, Fechas_Estado!A:AE,8,0),12,8)</f>
        <v/>
      </c>
      <c r="AO12" t="str">
        <f t="shared" si="12"/>
        <v xml:space="preserve"> </v>
      </c>
      <c r="AP12" t="str">
        <f>LEFT(VLOOKUP(A12, Fechas_Estado!A:AE,7,0),10)</f>
        <v/>
      </c>
      <c r="AQ12" t="str">
        <f>MID(VLOOKUP(A12, Fechas_Estado!A:AE,7,0),12,8)</f>
        <v/>
      </c>
      <c r="AR12" t="str">
        <f t="shared" si="13"/>
        <v xml:space="preserve"> </v>
      </c>
      <c r="AS12" t="str">
        <f>LEFT(VLOOKUP(A12, Fechas_Estado!A:AE,10,0),10)</f>
        <v/>
      </c>
      <c r="AT12" t="str">
        <f>MID(VLOOKUP(A12, Fechas_Estado!A:AE,10,0),12,8)</f>
        <v/>
      </c>
      <c r="AU12" t="str">
        <f t="shared" si="14"/>
        <v xml:space="preserve"> </v>
      </c>
      <c r="AV12" t="str">
        <f>LEFT(VLOOKUP(A12, Fechas_Estado!A:AE,17,0),10)</f>
        <v/>
      </c>
      <c r="AW12" t="str">
        <f>MID(VLOOKUP(A12, Fechas_Estado!A:AE,17,0),12,8)</f>
        <v/>
      </c>
      <c r="AX12" t="str">
        <f t="shared" si="15"/>
        <v xml:space="preserve"> </v>
      </c>
      <c r="AY12" t="e">
        <f t="shared" si="19"/>
        <v>#VALUE!</v>
      </c>
      <c r="AZ12" t="str">
        <f>LEFT(VLOOKUP(A12, Fechas_Estado!A:AE,5,0),10)</f>
        <v/>
      </c>
      <c r="BA12" t="str">
        <f>MID(VLOOKUP(A12, Fechas_Estado!A:AE,5,0),12,8)</f>
        <v/>
      </c>
      <c r="BB12" t="str">
        <f t="shared" si="16"/>
        <v xml:space="preserve"> </v>
      </c>
      <c r="BC12" t="e">
        <f t="shared" si="17"/>
        <v>#VALUE!</v>
      </c>
    </row>
    <row r="13" spans="1:55" x14ac:dyDescent="0.25">
      <c r="A13" t="str">
        <f>Fechas_Estado!A12</f>
        <v>ESPC360-10241</v>
      </c>
      <c r="B13" t="str">
        <f>LEFT(VLOOKUP(A13,Fechas_Estado!A:AE,2,0),10)</f>
        <v>2024-07-23</v>
      </c>
      <c r="C13" t="str">
        <f>MID(VLOOKUP(A13, Fechas_Estado!A:AE,2,0),12,8)</f>
        <v>15:26:37</v>
      </c>
      <c r="D13" t="str">
        <f t="shared" si="0"/>
        <v>2024-07-23 15:26:37</v>
      </c>
      <c r="E13" t="str">
        <f>LEFT(VLOOKUP(A13, Fechas_Estado!A:AE,19,0),10)</f>
        <v/>
      </c>
      <c r="F13" t="str">
        <f>MID(VLOOKUP(A13, Fechas_Estado!A:AE,19,0),12,8)</f>
        <v/>
      </c>
      <c r="G13" t="str">
        <f t="shared" si="1"/>
        <v xml:space="preserve"> </v>
      </c>
      <c r="H13" t="str">
        <f>LEFT(VLOOKUP(A13, Fechas_Estado!A:AE,20,0),10)</f>
        <v/>
      </c>
      <c r="I13" t="str">
        <f>MID(VLOOKUP(A13, Fechas_Estado!A:AE,20,0),12,8)</f>
        <v/>
      </c>
      <c r="J13" t="str">
        <f t="shared" si="2"/>
        <v xml:space="preserve"> </v>
      </c>
      <c r="K13" t="str">
        <f>LEFT(VLOOKUP(A13, Fechas_Estado!A:AE,21,0),10)</f>
        <v/>
      </c>
      <c r="L13" t="str">
        <f>MID(VLOOKUP(A13, Fechas_Estado!A:AE,21,0),12,8)</f>
        <v/>
      </c>
      <c r="M13" t="str">
        <f t="shared" si="3"/>
        <v xml:space="preserve"> </v>
      </c>
      <c r="N13" t="str">
        <f>LEFT(VLOOKUP(A13, Fechas_Estado!A:AE,22,0),10)</f>
        <v/>
      </c>
      <c r="O13" t="str">
        <f>MID(VLOOKUP(A13, Fechas_Estado!A:AE,22,0),12,8)</f>
        <v/>
      </c>
      <c r="P13" t="str">
        <f t="shared" si="4"/>
        <v xml:space="preserve"> </v>
      </c>
      <c r="Q13" t="str">
        <f>LEFT(VLOOKUP(A13, Fechas_Estado!A:AE,23,0),10)</f>
        <v/>
      </c>
      <c r="R13" t="str">
        <f>MID(VLOOKUP(A13, Fechas_Estado!A:AE,23,0),12,8)</f>
        <v/>
      </c>
      <c r="S13" t="str">
        <f t="shared" si="5"/>
        <v xml:space="preserve"> </v>
      </c>
      <c r="T13" t="str">
        <f>LEFT(VLOOKUP(A13, Fechas_Estado!A:AE,24,0),10)</f>
        <v/>
      </c>
      <c r="U13" t="str">
        <f>MID(VLOOKUP(A13, Fechas_Estado!A:AE,24,0),12,8)</f>
        <v/>
      </c>
      <c r="V13" t="str">
        <f t="shared" si="6"/>
        <v xml:space="preserve"> </v>
      </c>
      <c r="W13" t="str">
        <f>LEFT(VLOOKUP(A13, Fechas_Estado!A:AE,25,0),10)</f>
        <v>2024-08-06</v>
      </c>
      <c r="X13" t="str">
        <f>MID(VLOOKUP(A13, Fechas_Estado!A:AE,25,0),12,8)</f>
        <v>09:36:22</v>
      </c>
      <c r="Y13" t="str">
        <f t="shared" si="7"/>
        <v>2024-08-06 09:36:22</v>
      </c>
      <c r="Z13" t="str">
        <f>LEFT(VLOOKUP(A13, Fechas_Estado!A:AE,26,0),10)</f>
        <v>2024-08-06</v>
      </c>
      <c r="AA13" t="str">
        <f>MID(VLOOKUP(A13, Fechas_Estado!A:AE,26,0),12,8)</f>
        <v>09:36:19</v>
      </c>
      <c r="AB13" t="str">
        <f t="shared" si="8"/>
        <v>2024-08-06 09:36:19</v>
      </c>
      <c r="AC13" t="str">
        <f>LEFT(VLOOKUP(A13, Fechas_Estado!A:AE,27,0),10)</f>
        <v>2024-08-06</v>
      </c>
      <c r="AD13" t="str">
        <f>MID(VLOOKUP(A13, Fechas_Estado!A:AE,27,0),12,8)</f>
        <v>09:36:13</v>
      </c>
      <c r="AE13" t="str">
        <f t="shared" si="9"/>
        <v>2024-08-06 09:36:13</v>
      </c>
      <c r="AF13" t="str">
        <f>LEFT(VLOOKUP(A13, Fechas_Estado!A:AF,28,0),10)</f>
        <v>2024-07-24</v>
      </c>
      <c r="AG13" t="str">
        <f>MID(VLOOKUP(A13, Fechas_Estado!A:AF,28,0),12,8)</f>
        <v>12:20:19</v>
      </c>
      <c r="AH13" t="str">
        <f t="shared" si="10"/>
        <v>2024-07-24 12:20:19</v>
      </c>
      <c r="AI13" t="str">
        <f>LEFT(VLOOKUP(A13, Fechas_Estado!A:AF,16,0),10)</f>
        <v/>
      </c>
      <c r="AJ13" t="str">
        <f>MID(VLOOKUP(A13, Fechas_Estado!A:AF,16,0),12,8)</f>
        <v/>
      </c>
      <c r="AK13" t="str">
        <f t="shared" si="11"/>
        <v xml:space="preserve"> </v>
      </c>
      <c r="AL13" t="e">
        <f t="shared" si="18"/>
        <v>#VALUE!</v>
      </c>
      <c r="AM13" t="str">
        <f>LEFT(VLOOKUP(A13, Fechas_Estado!A:AE,8,0),10)</f>
        <v/>
      </c>
      <c r="AN13" t="str">
        <f>MID(VLOOKUP(A13, Fechas_Estado!A:AE,8,0),12,8)</f>
        <v/>
      </c>
      <c r="AO13" t="str">
        <f t="shared" si="12"/>
        <v xml:space="preserve"> </v>
      </c>
      <c r="AP13" t="str">
        <f>LEFT(VLOOKUP(A13, Fechas_Estado!A:AE,7,0),10)</f>
        <v/>
      </c>
      <c r="AQ13" t="str">
        <f>MID(VLOOKUP(A13, Fechas_Estado!A:AE,7,0),12,8)</f>
        <v/>
      </c>
      <c r="AR13" t="str">
        <f t="shared" si="13"/>
        <v xml:space="preserve"> </v>
      </c>
      <c r="AS13" t="str">
        <f>LEFT(VLOOKUP(A13, Fechas_Estado!A:AE,10,0),10)</f>
        <v/>
      </c>
      <c r="AT13" t="str">
        <f>MID(VLOOKUP(A13, Fechas_Estado!A:AE,10,0),12,8)</f>
        <v/>
      </c>
      <c r="AU13" t="str">
        <f t="shared" si="14"/>
        <v xml:space="preserve"> </v>
      </c>
      <c r="AV13" t="str">
        <f>LEFT(VLOOKUP(A13, Fechas_Estado!A:AE,17,0),10)</f>
        <v/>
      </c>
      <c r="AW13" t="str">
        <f>MID(VLOOKUP(A13, Fechas_Estado!A:AE,17,0),12,8)</f>
        <v/>
      </c>
      <c r="AX13" t="str">
        <f t="shared" si="15"/>
        <v xml:space="preserve"> </v>
      </c>
      <c r="AY13" t="e">
        <f t="shared" si="19"/>
        <v>#VALUE!</v>
      </c>
      <c r="AZ13" t="str">
        <f>LEFT(VLOOKUP(A13, Fechas_Estado!A:AE,5,0),10)</f>
        <v>2024-08-12</v>
      </c>
      <c r="BA13" t="str">
        <f>MID(VLOOKUP(A13, Fechas_Estado!A:AE,5,0),12,8)</f>
        <v>14:14:01</v>
      </c>
      <c r="BB13" t="str">
        <f t="shared" si="16"/>
        <v>2024-08-12 14:14:01</v>
      </c>
      <c r="BC13" t="e">
        <f t="shared" si="17"/>
        <v>#VALUE!</v>
      </c>
    </row>
    <row r="14" spans="1:55" x14ac:dyDescent="0.25">
      <c r="A14" t="str">
        <f>Fechas_Estado!A13</f>
        <v>ESPC360-10242</v>
      </c>
      <c r="B14" t="str">
        <f>LEFT(VLOOKUP(A14,Fechas_Estado!A:AE,2,0),10)</f>
        <v>2024-07-23</v>
      </c>
      <c r="C14" t="str">
        <f>MID(VLOOKUP(A14, Fechas_Estado!A:AE,2,0),12,8)</f>
        <v>15:27:28</v>
      </c>
      <c r="D14" t="str">
        <f t="shared" si="0"/>
        <v>2024-07-23 15:27:28</v>
      </c>
      <c r="E14" t="str">
        <f>LEFT(VLOOKUP(A14, Fechas_Estado!A:AE,19,0),10)</f>
        <v/>
      </c>
      <c r="F14" t="str">
        <f>MID(VLOOKUP(A14, Fechas_Estado!A:AE,19,0),12,8)</f>
        <v/>
      </c>
      <c r="G14" t="str">
        <f t="shared" si="1"/>
        <v xml:space="preserve"> </v>
      </c>
      <c r="H14" t="str">
        <f>LEFT(VLOOKUP(A14, Fechas_Estado!A:AE,20,0),10)</f>
        <v/>
      </c>
      <c r="I14" t="str">
        <f>MID(VLOOKUP(A14, Fechas_Estado!A:AE,20,0),12,8)</f>
        <v/>
      </c>
      <c r="J14" t="str">
        <f t="shared" si="2"/>
        <v xml:space="preserve"> </v>
      </c>
      <c r="K14" t="str">
        <f>LEFT(VLOOKUP(A14, Fechas_Estado!A:AE,21,0),10)</f>
        <v/>
      </c>
      <c r="L14" t="str">
        <f>MID(VLOOKUP(A14, Fechas_Estado!A:AE,21,0),12,8)</f>
        <v/>
      </c>
      <c r="M14" t="str">
        <f t="shared" si="3"/>
        <v xml:space="preserve"> </v>
      </c>
      <c r="N14" t="str">
        <f>LEFT(VLOOKUP(A14, Fechas_Estado!A:AE,22,0),10)</f>
        <v/>
      </c>
      <c r="O14" t="str">
        <f>MID(VLOOKUP(A14, Fechas_Estado!A:AE,22,0),12,8)</f>
        <v/>
      </c>
      <c r="P14" t="str">
        <f t="shared" si="4"/>
        <v xml:space="preserve"> </v>
      </c>
      <c r="Q14" t="str">
        <f>LEFT(VLOOKUP(A14, Fechas_Estado!A:AE,23,0),10)</f>
        <v/>
      </c>
      <c r="R14" t="str">
        <f>MID(VLOOKUP(A14, Fechas_Estado!A:AE,23,0),12,8)</f>
        <v/>
      </c>
      <c r="S14" t="str">
        <f t="shared" si="5"/>
        <v xml:space="preserve"> </v>
      </c>
      <c r="T14" t="str">
        <f>LEFT(VLOOKUP(A14, Fechas_Estado!A:AE,24,0),10)</f>
        <v/>
      </c>
      <c r="U14" t="str">
        <f>MID(VLOOKUP(A14, Fechas_Estado!A:AE,24,0),12,8)</f>
        <v/>
      </c>
      <c r="V14" t="str">
        <f t="shared" si="6"/>
        <v xml:space="preserve"> </v>
      </c>
      <c r="W14" t="str">
        <f>LEFT(VLOOKUP(A14, Fechas_Estado!A:AE,25,0),10)</f>
        <v>2024-07-24</v>
      </c>
      <c r="X14" t="str">
        <f>MID(VLOOKUP(A14, Fechas_Estado!A:AE,25,0),12,8)</f>
        <v>08:56:42</v>
      </c>
      <c r="Y14" t="str">
        <f t="shared" si="7"/>
        <v>2024-07-24 08:56:42</v>
      </c>
      <c r="Z14" t="str">
        <f>LEFT(VLOOKUP(A14, Fechas_Estado!A:AE,26,0),10)</f>
        <v>2024-07-24</v>
      </c>
      <c r="AA14" t="str">
        <f>MID(VLOOKUP(A14, Fechas_Estado!A:AE,26,0),12,8)</f>
        <v>12:02:06</v>
      </c>
      <c r="AB14" t="str">
        <f t="shared" si="8"/>
        <v>2024-07-24 12:02:06</v>
      </c>
      <c r="AC14" t="str">
        <f>LEFT(VLOOKUP(A14, Fechas_Estado!A:AE,27,0),10)</f>
        <v>2024-07-24</v>
      </c>
      <c r="AD14" t="str">
        <f>MID(VLOOKUP(A14, Fechas_Estado!A:AE,27,0),12,8)</f>
        <v>12:20:08</v>
      </c>
      <c r="AE14" t="str">
        <f t="shared" si="9"/>
        <v>2024-07-24 12:20:08</v>
      </c>
      <c r="AF14" t="str">
        <f>LEFT(VLOOKUP(A14, Fechas_Estado!A:AF,28,0),10)</f>
        <v>2024-07-24</v>
      </c>
      <c r="AG14" t="str">
        <f>MID(VLOOKUP(A14, Fechas_Estado!A:AF,28,0),12,8)</f>
        <v>12:20:19</v>
      </c>
      <c r="AH14" t="str">
        <f t="shared" si="10"/>
        <v>2024-07-24 12:20:19</v>
      </c>
      <c r="AI14" t="str">
        <f>LEFT(VLOOKUP(A14, Fechas_Estado!A:AF,16,0),10)</f>
        <v/>
      </c>
      <c r="AJ14" t="str">
        <f>MID(VLOOKUP(A14, Fechas_Estado!A:AF,16,0),12,8)</f>
        <v/>
      </c>
      <c r="AK14" t="str">
        <f t="shared" si="11"/>
        <v xml:space="preserve"> </v>
      </c>
      <c r="AL14" t="e">
        <f>AK14-D14</f>
        <v>#VALUE!</v>
      </c>
      <c r="AM14" t="str">
        <f>LEFT(VLOOKUP(A14, Fechas_Estado!A:AE,8,0),10)</f>
        <v/>
      </c>
      <c r="AN14" t="str">
        <f>MID(VLOOKUP(A14, Fechas_Estado!A:AE,8,0),12,8)</f>
        <v/>
      </c>
      <c r="AO14" t="str">
        <f t="shared" si="12"/>
        <v xml:space="preserve"> </v>
      </c>
      <c r="AP14" t="str">
        <f>LEFT(VLOOKUP(A14, Fechas_Estado!A:AE,7,0),10)</f>
        <v/>
      </c>
      <c r="AQ14" t="str">
        <f>MID(VLOOKUP(A14, Fechas_Estado!A:AE,7,0),12,8)</f>
        <v/>
      </c>
      <c r="AR14" t="str">
        <f t="shared" si="13"/>
        <v xml:space="preserve"> </v>
      </c>
      <c r="AS14" t="str">
        <f>LEFT(VLOOKUP(A14, Fechas_Estado!A:AE,10,0),10)</f>
        <v/>
      </c>
      <c r="AT14" t="str">
        <f>MID(VLOOKUP(A14, Fechas_Estado!A:AE,10,0),12,8)</f>
        <v/>
      </c>
      <c r="AU14" t="str">
        <f t="shared" si="14"/>
        <v xml:space="preserve"> </v>
      </c>
      <c r="AV14" t="str">
        <f>LEFT(VLOOKUP(A14, Fechas_Estado!A:AE,17,0),10)</f>
        <v/>
      </c>
      <c r="AW14" t="str">
        <f>MID(VLOOKUP(A14, Fechas_Estado!A:AE,17,0),12,8)</f>
        <v/>
      </c>
      <c r="AX14" t="str">
        <f t="shared" si="15"/>
        <v xml:space="preserve"> </v>
      </c>
      <c r="AY14" t="e">
        <f t="shared" si="19"/>
        <v>#VALUE!</v>
      </c>
      <c r="AZ14" t="str">
        <f>LEFT(VLOOKUP(A14, Fechas_Estado!A:AE,5,0),10)</f>
        <v/>
      </c>
      <c r="BA14" t="str">
        <f>MID(VLOOKUP(A14, Fechas_Estado!A:AE,5,0),12,8)</f>
        <v/>
      </c>
      <c r="BB14" t="str">
        <f t="shared" si="16"/>
        <v xml:space="preserve"> </v>
      </c>
      <c r="BC14" t="e">
        <f t="shared" si="17"/>
        <v>#VALUE!</v>
      </c>
    </row>
    <row r="15" spans="1:55" x14ac:dyDescent="0.25">
      <c r="A15" t="str">
        <f>Fechas_Estado!A14</f>
        <v>ESPC360-10243</v>
      </c>
      <c r="B15" t="str">
        <f>LEFT(VLOOKUP(A15,Fechas_Estado!A:AE,2,0),10)</f>
        <v>2024-07-23</v>
      </c>
      <c r="C15" t="str">
        <f>MID(VLOOKUP(A15, Fechas_Estado!A:AE,2,0),12,8)</f>
        <v>15:29:02</v>
      </c>
      <c r="D15" t="str">
        <f t="shared" si="0"/>
        <v>2024-07-23 15:29:02</v>
      </c>
      <c r="E15" t="str">
        <f>LEFT(VLOOKUP(A15, Fechas_Estado!A:AE,19,0),10)</f>
        <v/>
      </c>
      <c r="F15" t="str">
        <f>MID(VLOOKUP(A15, Fechas_Estado!A:AE,19,0),12,8)</f>
        <v/>
      </c>
      <c r="G15" t="str">
        <f t="shared" si="1"/>
        <v xml:space="preserve"> </v>
      </c>
      <c r="H15" t="str">
        <f>LEFT(VLOOKUP(A15, Fechas_Estado!A:AE,20,0),10)</f>
        <v/>
      </c>
      <c r="I15" t="str">
        <f>MID(VLOOKUP(A15, Fechas_Estado!A:AE,20,0),12,8)</f>
        <v/>
      </c>
      <c r="J15" t="str">
        <f t="shared" si="2"/>
        <v xml:space="preserve"> </v>
      </c>
      <c r="K15" t="str">
        <f>LEFT(VLOOKUP(A15, Fechas_Estado!A:AE,21,0),10)</f>
        <v/>
      </c>
      <c r="L15" t="str">
        <f>MID(VLOOKUP(A15, Fechas_Estado!A:AE,21,0),12,8)</f>
        <v/>
      </c>
      <c r="M15" t="str">
        <f t="shared" si="3"/>
        <v xml:space="preserve"> </v>
      </c>
      <c r="N15" t="str">
        <f>LEFT(VLOOKUP(A15, Fechas_Estado!A:AE,22,0),10)</f>
        <v/>
      </c>
      <c r="O15" t="str">
        <f>MID(VLOOKUP(A15, Fechas_Estado!A:AE,22,0),12,8)</f>
        <v/>
      </c>
      <c r="P15" t="str">
        <f t="shared" si="4"/>
        <v xml:space="preserve"> </v>
      </c>
      <c r="Q15" t="str">
        <f>LEFT(VLOOKUP(A15, Fechas_Estado!A:AE,23,0),10)</f>
        <v/>
      </c>
      <c r="R15" t="str">
        <f>MID(VLOOKUP(A15, Fechas_Estado!A:AE,23,0),12,8)</f>
        <v/>
      </c>
      <c r="S15" t="str">
        <f t="shared" si="5"/>
        <v xml:space="preserve"> </v>
      </c>
      <c r="T15" t="str">
        <f>LEFT(VLOOKUP(A15, Fechas_Estado!A:AE,24,0),10)</f>
        <v/>
      </c>
      <c r="U15" t="str">
        <f>MID(VLOOKUP(A15, Fechas_Estado!A:AE,24,0),12,8)</f>
        <v/>
      </c>
      <c r="V15" t="str">
        <f t="shared" si="6"/>
        <v xml:space="preserve"> </v>
      </c>
      <c r="W15" t="str">
        <f>LEFT(VLOOKUP(A15, Fechas_Estado!A:AE,25,0),10)</f>
        <v>2024-07-24</v>
      </c>
      <c r="X15" t="str">
        <f>MID(VLOOKUP(A15, Fechas_Estado!A:AE,25,0),12,8)</f>
        <v>08:56:35</v>
      </c>
      <c r="Y15" t="str">
        <f t="shared" si="7"/>
        <v>2024-07-24 08:56:35</v>
      </c>
      <c r="Z15" t="str">
        <f>LEFT(VLOOKUP(A15, Fechas_Estado!A:AE,26,0),10)</f>
        <v>2024-07-24</v>
      </c>
      <c r="AA15" t="str">
        <f>MID(VLOOKUP(A15, Fechas_Estado!A:AE,26,0),12,8)</f>
        <v>12:01:56</v>
      </c>
      <c r="AB15" t="str">
        <f t="shared" si="8"/>
        <v>2024-07-24 12:01:56</v>
      </c>
      <c r="AC15" t="str">
        <f>LEFT(VLOOKUP(A15, Fechas_Estado!A:AE,27,0),10)</f>
        <v>2024-07-24</v>
      </c>
      <c r="AD15" t="str">
        <f>MID(VLOOKUP(A15, Fechas_Estado!A:AE,27,0),12,8)</f>
        <v>12:20:08</v>
      </c>
      <c r="AE15" t="str">
        <f t="shared" si="9"/>
        <v>2024-07-24 12:20:08</v>
      </c>
      <c r="AF15" t="str">
        <f>LEFT(VLOOKUP(A15, Fechas_Estado!A:AF,28,0),10)</f>
        <v>2024-07-24</v>
      </c>
      <c r="AG15" t="str">
        <f>MID(VLOOKUP(A15, Fechas_Estado!A:AF,28,0),12,8)</f>
        <v>12:20:19</v>
      </c>
      <c r="AH15" t="str">
        <f t="shared" si="10"/>
        <v>2024-07-24 12:20:19</v>
      </c>
      <c r="AI15" t="str">
        <f>LEFT(VLOOKUP(A15, Fechas_Estado!A:AF,16,0),10)</f>
        <v/>
      </c>
      <c r="AJ15" t="str">
        <f>MID(VLOOKUP(A15, Fechas_Estado!A:AF,16,0),12,8)</f>
        <v/>
      </c>
      <c r="AK15" t="str">
        <f t="shared" si="11"/>
        <v xml:space="preserve"> </v>
      </c>
      <c r="AL15" t="e">
        <f t="shared" si="18"/>
        <v>#VALUE!</v>
      </c>
      <c r="AM15" t="str">
        <f>LEFT(VLOOKUP(A15, Fechas_Estado!A:AE,8,0),10)</f>
        <v/>
      </c>
      <c r="AN15" t="str">
        <f>MID(VLOOKUP(A15, Fechas_Estado!A:AE,8,0),12,8)</f>
        <v/>
      </c>
      <c r="AO15" t="str">
        <f t="shared" si="12"/>
        <v xml:space="preserve"> </v>
      </c>
      <c r="AP15" t="str">
        <f>LEFT(VLOOKUP(A15, Fechas_Estado!A:AE,7,0),10)</f>
        <v/>
      </c>
      <c r="AQ15" t="str">
        <f>MID(VLOOKUP(A15, Fechas_Estado!A:AE,7,0),12,8)</f>
        <v/>
      </c>
      <c r="AR15" t="str">
        <f t="shared" si="13"/>
        <v xml:space="preserve"> </v>
      </c>
      <c r="AS15" t="str">
        <f>LEFT(VLOOKUP(A15, Fechas_Estado!A:AE,10,0),10)</f>
        <v/>
      </c>
      <c r="AT15" t="str">
        <f>MID(VLOOKUP(A15, Fechas_Estado!A:AE,10,0),12,8)</f>
        <v/>
      </c>
      <c r="AU15" t="str">
        <f t="shared" si="14"/>
        <v xml:space="preserve"> </v>
      </c>
      <c r="AV15" t="str">
        <f>LEFT(VLOOKUP(A15, Fechas_Estado!A:AE,17,0),10)</f>
        <v/>
      </c>
      <c r="AW15" t="str">
        <f>MID(VLOOKUP(A15, Fechas_Estado!A:AE,17,0),12,8)</f>
        <v/>
      </c>
      <c r="AX15" t="str">
        <f t="shared" si="15"/>
        <v xml:space="preserve"> </v>
      </c>
      <c r="AY15" t="e">
        <f>AX15-AO15</f>
        <v>#VALUE!</v>
      </c>
      <c r="AZ15" t="str">
        <f>LEFT(VLOOKUP(A15, Fechas_Estado!A:AE,5,0),10)</f>
        <v/>
      </c>
      <c r="BA15" t="str">
        <f>MID(VLOOKUP(A15, Fechas_Estado!A:AE,5,0),12,8)</f>
        <v/>
      </c>
      <c r="BB15" t="str">
        <f t="shared" si="16"/>
        <v xml:space="preserve"> </v>
      </c>
      <c r="BC15" t="e">
        <f t="shared" si="17"/>
        <v>#VALUE!</v>
      </c>
    </row>
    <row r="16" spans="1:55" x14ac:dyDescent="0.25">
      <c r="A16" t="str">
        <f>Fechas_Estado!A15</f>
        <v>ESPC360-10404</v>
      </c>
      <c r="B16" t="str">
        <f>LEFT(VLOOKUP(A16,Fechas_Estado!A:AE,2,0),10)</f>
        <v>2024-07-29</v>
      </c>
      <c r="C16" t="str">
        <f>MID(VLOOKUP(A16, Fechas_Estado!A:AE,2,0),12,8)</f>
        <v>11:11:43</v>
      </c>
      <c r="D16" t="str">
        <f t="shared" si="0"/>
        <v>2024-07-29 11:11:43</v>
      </c>
      <c r="E16" t="str">
        <f>LEFT(VLOOKUP(A16, Fechas_Estado!A:AE,19,0),10)</f>
        <v>2024-07-29</v>
      </c>
      <c r="F16" t="str">
        <f>MID(VLOOKUP(A16, Fechas_Estado!A:AE,19,0),12,8)</f>
        <v>11:13:55</v>
      </c>
      <c r="G16" t="str">
        <f t="shared" si="1"/>
        <v>2024-07-29 11:13:55</v>
      </c>
      <c r="H16" t="str">
        <f>LEFT(VLOOKUP(A16, Fechas_Estado!A:AE,20,0),10)</f>
        <v/>
      </c>
      <c r="I16" t="str">
        <f>MID(VLOOKUP(A16, Fechas_Estado!A:AE,20,0),12,8)</f>
        <v/>
      </c>
      <c r="J16" t="str">
        <f t="shared" si="2"/>
        <v xml:space="preserve"> </v>
      </c>
      <c r="K16" t="str">
        <f>LEFT(VLOOKUP(A16, Fechas_Estado!A:AE,21,0),10)</f>
        <v/>
      </c>
      <c r="L16" t="str">
        <f>MID(VLOOKUP(A16, Fechas_Estado!A:AE,21,0),12,8)</f>
        <v/>
      </c>
      <c r="M16" t="str">
        <f t="shared" si="3"/>
        <v xml:space="preserve"> </v>
      </c>
      <c r="N16" t="str">
        <f>LEFT(VLOOKUP(A16, Fechas_Estado!A:AE,22,0),10)</f>
        <v/>
      </c>
      <c r="O16" t="str">
        <f>MID(VLOOKUP(A16, Fechas_Estado!A:AE,22,0),12,8)</f>
        <v/>
      </c>
      <c r="P16" t="str">
        <f t="shared" si="4"/>
        <v xml:space="preserve"> </v>
      </c>
      <c r="Q16" t="str">
        <f>LEFT(VLOOKUP(A16, Fechas_Estado!A:AE,23,0),10)</f>
        <v/>
      </c>
      <c r="R16" t="str">
        <f>MID(VLOOKUP(A16, Fechas_Estado!A:AE,23,0),12,8)</f>
        <v/>
      </c>
      <c r="S16" t="str">
        <f t="shared" si="5"/>
        <v xml:space="preserve"> </v>
      </c>
      <c r="T16" t="str">
        <f>LEFT(VLOOKUP(A16, Fechas_Estado!A:AE,24,0),10)</f>
        <v/>
      </c>
      <c r="U16" t="str">
        <f>MID(VLOOKUP(A16, Fechas_Estado!A:AE,24,0),12,8)</f>
        <v/>
      </c>
      <c r="V16" t="str">
        <f t="shared" si="6"/>
        <v xml:space="preserve"> </v>
      </c>
      <c r="W16" t="str">
        <f>LEFT(VLOOKUP(A16, Fechas_Estado!A:AE,25,0),10)</f>
        <v>2024-07-31</v>
      </c>
      <c r="X16" t="str">
        <f>MID(VLOOKUP(A16, Fechas_Estado!A:AE,25,0),12,8)</f>
        <v>09:39:51</v>
      </c>
      <c r="Y16" t="str">
        <f t="shared" si="7"/>
        <v>2024-07-31 09:39:51</v>
      </c>
      <c r="Z16" t="str">
        <f>LEFT(VLOOKUP(A16, Fechas_Estado!A:AE,26,0),10)</f>
        <v>2024-08-20</v>
      </c>
      <c r="AA16" t="str">
        <f>MID(VLOOKUP(A16, Fechas_Estado!A:AE,26,0),12,8)</f>
        <v>11:45:45</v>
      </c>
      <c r="AB16" t="str">
        <f t="shared" si="8"/>
        <v>2024-08-20 11:45:45</v>
      </c>
      <c r="AC16" t="str">
        <f>LEFT(VLOOKUP(A16, Fechas_Estado!A:AE,27,0),10)</f>
        <v>2024-08-20</v>
      </c>
      <c r="AD16" t="str">
        <f>MID(VLOOKUP(A16, Fechas_Estado!A:AE,27,0),12,8)</f>
        <v>16:10:21</v>
      </c>
      <c r="AE16" t="str">
        <f t="shared" si="9"/>
        <v>2024-08-20 16:10:21</v>
      </c>
      <c r="AF16" t="str">
        <f>LEFT(VLOOKUP(A16, Fechas_Estado!A:AF,28,0),10)</f>
        <v>2024-08-20</v>
      </c>
      <c r="AG16" t="str">
        <f>MID(VLOOKUP(A16, Fechas_Estado!A:AF,28,0),12,8)</f>
        <v>16:10:26</v>
      </c>
      <c r="AH16" t="str">
        <f t="shared" si="10"/>
        <v>2024-08-20 16:10:26</v>
      </c>
      <c r="AI16" t="str">
        <f>LEFT(VLOOKUP(A16, Fechas_Estado!A:AF,16,0),10)</f>
        <v>2024-08-21</v>
      </c>
      <c r="AJ16" t="str">
        <f>MID(VLOOKUP(A16, Fechas_Estado!A:AF,16,0),12,8)</f>
        <v>09:22:01</v>
      </c>
      <c r="AK16" t="str">
        <f t="shared" si="11"/>
        <v>2024-08-21 09:22:01</v>
      </c>
      <c r="AL16">
        <f t="shared" si="18"/>
        <v>22.923819444447872</v>
      </c>
      <c r="AM16" t="str">
        <f>LEFT(VLOOKUP(A16, Fechas_Estado!A:AE,8,0),10)</f>
        <v>2024-09-18</v>
      </c>
      <c r="AN16" t="str">
        <f>MID(VLOOKUP(A16, Fechas_Estado!A:AE,8,0),12,8)</f>
        <v>15:45:06</v>
      </c>
      <c r="AO16" t="str">
        <f t="shared" si="12"/>
        <v>2024-09-18 15:45:06</v>
      </c>
      <c r="AP16" t="str">
        <f>LEFT(VLOOKUP(A16, Fechas_Estado!A:AE,7,0),10)</f>
        <v>2024-09-18</v>
      </c>
      <c r="AQ16" t="str">
        <f>MID(VLOOKUP(A16, Fechas_Estado!A:AE,7,0),12,8)</f>
        <v>15:46:46</v>
      </c>
      <c r="AR16" t="str">
        <f t="shared" si="13"/>
        <v>2024-09-18 15:46:46</v>
      </c>
      <c r="AS16" t="str">
        <f>LEFT(VLOOKUP(A16, Fechas_Estado!A:AE,10,0),10)</f>
        <v>2024-10-17</v>
      </c>
      <c r="AT16" t="str">
        <f>MID(VLOOKUP(A16, Fechas_Estado!A:AE,10,0),12,8)</f>
        <v>15:34:06</v>
      </c>
      <c r="AU16" t="str">
        <f t="shared" si="14"/>
        <v>2024-10-17 15:34:06</v>
      </c>
      <c r="AV16" t="str">
        <f>LEFT(VLOOKUP(A16, Fechas_Estado!A:AE,17,0),10)</f>
        <v>2024-10-17</v>
      </c>
      <c r="AW16" t="str">
        <f>MID(VLOOKUP(A16, Fechas_Estado!A:AE,17,0),12,8)</f>
        <v>15:34:10</v>
      </c>
      <c r="AX16" t="str">
        <f t="shared" si="15"/>
        <v>2024-10-17 15:34:10</v>
      </c>
      <c r="AY16">
        <f t="shared" si="19"/>
        <v>28.992407407407882</v>
      </c>
      <c r="AZ16" t="str">
        <f>LEFT(VLOOKUP(A16, Fechas_Estado!A:AE,5,0),10)</f>
        <v>2024-10-17</v>
      </c>
      <c r="BA16" t="str">
        <f>MID(VLOOKUP(A16, Fechas_Estado!A:AE,5,0),12,8)</f>
        <v>15:35:10</v>
      </c>
      <c r="BB16" t="str">
        <f t="shared" si="16"/>
        <v>2024-10-17 15:35:10</v>
      </c>
      <c r="BC16">
        <f t="shared" si="17"/>
        <v>6.9444443943211809E-4</v>
      </c>
    </row>
    <row r="17" spans="1:55" x14ac:dyDescent="0.25">
      <c r="A17" t="str">
        <f>Fechas_Estado!A16</f>
        <v>ESPC360-10471</v>
      </c>
      <c r="B17" t="str">
        <f>LEFT(VLOOKUP(A17,Fechas_Estado!A:AE,2,0),10)</f>
        <v>2024-07-31</v>
      </c>
      <c r="C17" t="str">
        <f>MID(VLOOKUP(A17, Fechas_Estado!A:AE,2,0),12,8)</f>
        <v>13:15:47</v>
      </c>
      <c r="D17" t="str">
        <f t="shared" si="0"/>
        <v>2024-07-31 13:15:47</v>
      </c>
      <c r="E17" t="str">
        <f>LEFT(VLOOKUP(A17, Fechas_Estado!A:AE,19,0),10)</f>
        <v/>
      </c>
      <c r="F17" t="str">
        <f>MID(VLOOKUP(A17, Fechas_Estado!A:AE,19,0),12,8)</f>
        <v/>
      </c>
      <c r="G17" t="str">
        <f t="shared" si="1"/>
        <v xml:space="preserve"> </v>
      </c>
      <c r="H17" t="str">
        <f>LEFT(VLOOKUP(A17, Fechas_Estado!A:AE,20,0),10)</f>
        <v/>
      </c>
      <c r="I17" t="str">
        <f>MID(VLOOKUP(A17, Fechas_Estado!A:AE,20,0),12,8)</f>
        <v/>
      </c>
      <c r="J17" t="str">
        <f t="shared" si="2"/>
        <v xml:space="preserve"> </v>
      </c>
      <c r="K17" t="str">
        <f>LEFT(VLOOKUP(A17, Fechas_Estado!A:AE,21,0),10)</f>
        <v/>
      </c>
      <c r="L17" t="str">
        <f>MID(VLOOKUP(A17, Fechas_Estado!A:AE,21,0),12,8)</f>
        <v/>
      </c>
      <c r="M17" t="str">
        <f t="shared" si="3"/>
        <v xml:space="preserve"> </v>
      </c>
      <c r="N17" t="str">
        <f>LEFT(VLOOKUP(A17, Fechas_Estado!A:AE,22,0),10)</f>
        <v/>
      </c>
      <c r="O17" t="str">
        <f>MID(VLOOKUP(A17, Fechas_Estado!A:AE,22,0),12,8)</f>
        <v/>
      </c>
      <c r="P17" t="str">
        <f t="shared" si="4"/>
        <v xml:space="preserve"> </v>
      </c>
      <c r="Q17" t="str">
        <f>LEFT(VLOOKUP(A17, Fechas_Estado!A:AE,23,0),10)</f>
        <v/>
      </c>
      <c r="R17" t="str">
        <f>MID(VLOOKUP(A17, Fechas_Estado!A:AE,23,0),12,8)</f>
        <v/>
      </c>
      <c r="S17" t="str">
        <f t="shared" si="5"/>
        <v xml:space="preserve"> </v>
      </c>
      <c r="T17" t="str">
        <f>LEFT(VLOOKUP(A17, Fechas_Estado!A:AE,24,0),10)</f>
        <v/>
      </c>
      <c r="U17" t="str">
        <f>MID(VLOOKUP(A17, Fechas_Estado!A:AE,24,0),12,8)</f>
        <v/>
      </c>
      <c r="V17" t="str">
        <f t="shared" si="6"/>
        <v xml:space="preserve"> </v>
      </c>
      <c r="W17" t="str">
        <f>LEFT(VLOOKUP(A17, Fechas_Estado!A:AE,25,0),10)</f>
        <v>2024-07-31</v>
      </c>
      <c r="X17" t="str">
        <f>MID(VLOOKUP(A17, Fechas_Estado!A:AE,25,0),12,8)</f>
        <v>13:16:01</v>
      </c>
      <c r="Y17" t="str">
        <f t="shared" si="7"/>
        <v>2024-07-31 13:16:01</v>
      </c>
      <c r="Z17" t="str">
        <f>LEFT(VLOOKUP(A17, Fechas_Estado!A:AE,26,0),10)</f>
        <v>2024-08-06</v>
      </c>
      <c r="AA17" t="str">
        <f>MID(VLOOKUP(A17, Fechas_Estado!A:AE,26,0),12,8)</f>
        <v>14:15:00</v>
      </c>
      <c r="AB17" t="str">
        <f t="shared" si="8"/>
        <v>2024-08-06 14:15:00</v>
      </c>
      <c r="AC17" t="str">
        <f>LEFT(VLOOKUP(A17, Fechas_Estado!A:AE,27,0),10)</f>
        <v>2024-08-06</v>
      </c>
      <c r="AD17" t="str">
        <f>MID(VLOOKUP(A17, Fechas_Estado!A:AE,27,0),12,8)</f>
        <v>14:15:07</v>
      </c>
      <c r="AE17" t="str">
        <f t="shared" si="9"/>
        <v>2024-08-06 14:15:07</v>
      </c>
      <c r="AF17" t="str">
        <f>LEFT(VLOOKUP(A17, Fechas_Estado!A:AF,28,0),10)</f>
        <v/>
      </c>
      <c r="AG17" t="str">
        <f>MID(VLOOKUP(A17, Fechas_Estado!A:AF,28,0),12,8)</f>
        <v/>
      </c>
      <c r="AH17" t="str">
        <f t="shared" si="10"/>
        <v xml:space="preserve"> </v>
      </c>
      <c r="AI17" t="str">
        <f>LEFT(VLOOKUP(A17, Fechas_Estado!A:AF,16,0),10)</f>
        <v>2024-08-20</v>
      </c>
      <c r="AJ17" t="str">
        <f>MID(VLOOKUP(A17, Fechas_Estado!A:AF,16,0),12,8)</f>
        <v>13:56:28</v>
      </c>
      <c r="AK17" t="str">
        <f t="shared" si="11"/>
        <v>2024-08-20 13:56:28</v>
      </c>
      <c r="AL17">
        <f t="shared" si="18"/>
        <v>20.028252314812562</v>
      </c>
      <c r="AM17" t="str">
        <f>LEFT(VLOOKUP(A17, Fechas_Estado!A:AE,8,0),10)</f>
        <v>2024-10-04</v>
      </c>
      <c r="AN17" t="str">
        <f>MID(VLOOKUP(A17, Fechas_Estado!A:AE,8,0),12,8)</f>
        <v>11:02:53</v>
      </c>
      <c r="AO17" t="str">
        <f t="shared" si="12"/>
        <v>2024-10-04 11:02:53</v>
      </c>
      <c r="AP17" t="str">
        <f>LEFT(VLOOKUP(A17, Fechas_Estado!A:AE,7,0),10)</f>
        <v>2024-10-04</v>
      </c>
      <c r="AQ17" t="str">
        <f>MID(VLOOKUP(A17, Fechas_Estado!A:AE,7,0),12,8)</f>
        <v>11:02:57</v>
      </c>
      <c r="AR17" t="str">
        <f t="shared" si="13"/>
        <v>2024-10-04 11:02:57</v>
      </c>
      <c r="AS17" t="str">
        <f>LEFT(VLOOKUP(A17, Fechas_Estado!A:AE,10,0),10)</f>
        <v>2024-10-04</v>
      </c>
      <c r="AT17" t="str">
        <f>MID(VLOOKUP(A17, Fechas_Estado!A:AE,10,0),12,8)</f>
        <v>11:03:05</v>
      </c>
      <c r="AU17" t="str">
        <f t="shared" si="14"/>
        <v>2024-10-04 11:03:05</v>
      </c>
      <c r="AV17" t="str">
        <f>LEFT(VLOOKUP(A17, Fechas_Estado!A:AE,17,0),10)</f>
        <v>2024-10-04</v>
      </c>
      <c r="AW17" t="str">
        <f>MID(VLOOKUP(A17, Fechas_Estado!A:AE,17,0),12,8)</f>
        <v>11:03:10</v>
      </c>
      <c r="AX17" t="str">
        <f t="shared" si="15"/>
        <v>2024-10-04 11:03:10</v>
      </c>
      <c r="AY17">
        <f t="shared" si="19"/>
        <v>1.9675926159834489E-4</v>
      </c>
      <c r="AZ17" t="str">
        <f>LEFT(VLOOKUP(A17, Fechas_Estado!A:AE,5,0),10)</f>
        <v>2024-10-04</v>
      </c>
      <c r="BA17" t="str">
        <f>MID(VLOOKUP(A17, Fechas_Estado!A:AE,5,0),12,8)</f>
        <v>11:05:20</v>
      </c>
      <c r="BB17" t="str">
        <f t="shared" si="16"/>
        <v>2024-10-04 11:05:20</v>
      </c>
      <c r="BC17">
        <f t="shared" si="17"/>
        <v>1.5046296321088448E-3</v>
      </c>
    </row>
    <row r="18" spans="1:55" x14ac:dyDescent="0.25">
      <c r="A18" t="str">
        <f>Fechas_Estado!A17</f>
        <v>ESPC360-10750</v>
      </c>
      <c r="B18" t="str">
        <f>LEFT(VLOOKUP(A18,Fechas_Estado!A:AE,2,0),10)</f>
        <v>2024-08-12</v>
      </c>
      <c r="C18" t="str">
        <f>MID(VLOOKUP(A18, Fechas_Estado!A:AE,2,0),12,8)</f>
        <v>17:49:37</v>
      </c>
      <c r="D18" t="str">
        <f t="shared" si="0"/>
        <v>2024-08-12 17:49:37</v>
      </c>
      <c r="E18" t="str">
        <f>LEFT(VLOOKUP(A18, Fechas_Estado!A:AE,19,0),10)</f>
        <v/>
      </c>
      <c r="F18" t="str">
        <f>MID(VLOOKUP(A18, Fechas_Estado!A:AE,19,0),12,8)</f>
        <v/>
      </c>
      <c r="G18" t="str">
        <f t="shared" si="1"/>
        <v xml:space="preserve"> </v>
      </c>
      <c r="H18" t="str">
        <f>LEFT(VLOOKUP(A18, Fechas_Estado!A:AE,20,0),10)</f>
        <v/>
      </c>
      <c r="I18" t="str">
        <f>MID(VLOOKUP(A18, Fechas_Estado!A:AE,20,0),12,8)</f>
        <v/>
      </c>
      <c r="J18" t="str">
        <f t="shared" si="2"/>
        <v xml:space="preserve"> </v>
      </c>
      <c r="K18" t="str">
        <f>LEFT(VLOOKUP(A18, Fechas_Estado!A:AE,21,0),10)</f>
        <v/>
      </c>
      <c r="L18" t="str">
        <f>MID(VLOOKUP(A18, Fechas_Estado!A:AE,21,0),12,8)</f>
        <v/>
      </c>
      <c r="M18" t="str">
        <f t="shared" si="3"/>
        <v xml:space="preserve"> </v>
      </c>
      <c r="N18" t="str">
        <f>LEFT(VLOOKUP(A18, Fechas_Estado!A:AE,22,0),10)</f>
        <v/>
      </c>
      <c r="O18" t="str">
        <f>MID(VLOOKUP(A18, Fechas_Estado!A:AE,22,0),12,8)</f>
        <v/>
      </c>
      <c r="P18" t="str">
        <f t="shared" si="4"/>
        <v xml:space="preserve"> </v>
      </c>
      <c r="Q18" t="str">
        <f>LEFT(VLOOKUP(A18, Fechas_Estado!A:AE,23,0),10)</f>
        <v/>
      </c>
      <c r="R18" t="str">
        <f>MID(VLOOKUP(A18, Fechas_Estado!A:AE,23,0),12,8)</f>
        <v/>
      </c>
      <c r="S18" t="str">
        <f t="shared" si="5"/>
        <v xml:space="preserve"> </v>
      </c>
      <c r="T18" t="str">
        <f>LEFT(VLOOKUP(A18, Fechas_Estado!A:AE,24,0),10)</f>
        <v/>
      </c>
      <c r="U18" t="str">
        <f>MID(VLOOKUP(A18, Fechas_Estado!A:AE,24,0),12,8)</f>
        <v/>
      </c>
      <c r="V18" t="str">
        <f t="shared" si="6"/>
        <v xml:space="preserve"> </v>
      </c>
      <c r="W18" t="str">
        <f>LEFT(VLOOKUP(A18, Fechas_Estado!A:AE,25,0),10)</f>
        <v>2024-08-13</v>
      </c>
      <c r="X18" t="str">
        <f>MID(VLOOKUP(A18, Fechas_Estado!A:AE,25,0),12,8)</f>
        <v>09:31:42</v>
      </c>
      <c r="Y18" t="str">
        <f t="shared" si="7"/>
        <v>2024-08-13 09:31:42</v>
      </c>
      <c r="Z18" t="str">
        <f>LEFT(VLOOKUP(A18, Fechas_Estado!A:AE,26,0),10)</f>
        <v>2024-09-10</v>
      </c>
      <c r="AA18" t="str">
        <f>MID(VLOOKUP(A18, Fechas_Estado!A:AE,26,0),12,8)</f>
        <v>09:31:03</v>
      </c>
      <c r="AB18" t="str">
        <f t="shared" si="8"/>
        <v>2024-09-10 09:31:03</v>
      </c>
      <c r="AC18" t="str">
        <f>LEFT(VLOOKUP(A18, Fechas_Estado!A:AE,27,0),10)</f>
        <v>2024-09-10</v>
      </c>
      <c r="AD18" t="str">
        <f>MID(VLOOKUP(A18, Fechas_Estado!A:AE,27,0),12,8)</f>
        <v>09:31:17</v>
      </c>
      <c r="AE18" t="str">
        <f t="shared" si="9"/>
        <v>2024-09-10 09:31:17</v>
      </c>
      <c r="AF18" t="str">
        <f>LEFT(VLOOKUP(A18, Fechas_Estado!A:AF,28,0),10)</f>
        <v/>
      </c>
      <c r="AG18" t="str">
        <f>MID(VLOOKUP(A18, Fechas_Estado!A:AF,28,0),12,8)</f>
        <v/>
      </c>
      <c r="AH18" t="str">
        <f t="shared" si="10"/>
        <v xml:space="preserve"> </v>
      </c>
      <c r="AI18" t="str">
        <f>LEFT(VLOOKUP(A18, Fechas_Estado!A:AF,16,0),10)</f>
        <v>2024-09-10</v>
      </c>
      <c r="AJ18" t="str">
        <f>MID(VLOOKUP(A18, Fechas_Estado!A:AF,16,0),12,8)</f>
        <v>10:12:17</v>
      </c>
      <c r="AK18" t="str">
        <f t="shared" si="11"/>
        <v>2024-09-10 10:12:17</v>
      </c>
      <c r="AL18">
        <f t="shared" si="18"/>
        <v>28.682407407402934</v>
      </c>
      <c r="AM18" t="str">
        <f>LEFT(VLOOKUP(A18, Fechas_Estado!A:AE,8,0),10)</f>
        <v>2024-09-10</v>
      </c>
      <c r="AN18" t="str">
        <f>MID(VLOOKUP(A18, Fechas_Estado!A:AE,8,0),12,8)</f>
        <v>10:12:28</v>
      </c>
      <c r="AO18" t="str">
        <f t="shared" si="12"/>
        <v>2024-09-10 10:12:28</v>
      </c>
      <c r="AP18" t="str">
        <f>LEFT(VLOOKUP(A18, Fechas_Estado!A:AE,7,0),10)</f>
        <v>2024-09-10</v>
      </c>
      <c r="AQ18" t="str">
        <f>MID(VLOOKUP(A18, Fechas_Estado!A:AE,7,0),12,8)</f>
        <v>11:28:16</v>
      </c>
      <c r="AR18" t="str">
        <f t="shared" si="13"/>
        <v>2024-09-10 11:28:16</v>
      </c>
      <c r="AS18" t="str">
        <f>LEFT(VLOOKUP(A18, Fechas_Estado!A:AE,10,0),10)</f>
        <v>2024-09-10</v>
      </c>
      <c r="AT18" t="str">
        <f>MID(VLOOKUP(A18, Fechas_Estado!A:AE,10,0),12,8)</f>
        <v>11:28:26</v>
      </c>
      <c r="AU18" t="str">
        <f t="shared" si="14"/>
        <v>2024-09-10 11:28:26</v>
      </c>
      <c r="AV18" t="str">
        <f>LEFT(VLOOKUP(A18, Fechas_Estado!A:AE,17,0),10)</f>
        <v>2024-09-10</v>
      </c>
      <c r="AW18" t="str">
        <f>MID(VLOOKUP(A18, Fechas_Estado!A:AE,17,0),12,8)</f>
        <v>11:28:38</v>
      </c>
      <c r="AX18" t="str">
        <f t="shared" si="15"/>
        <v>2024-09-10 11:28:38</v>
      </c>
      <c r="AY18">
        <f t="shared" si="19"/>
        <v>5.2893518521159422E-2</v>
      </c>
      <c r="AZ18" t="str">
        <f>LEFT(VLOOKUP(A18, Fechas_Estado!A:AE,5,0),10)</f>
        <v>2024-09-17</v>
      </c>
      <c r="BA18" t="str">
        <f>MID(VLOOKUP(A18, Fechas_Estado!A:AE,5,0),12,8)</f>
        <v>09:16:22</v>
      </c>
      <c r="BB18" t="str">
        <f t="shared" si="16"/>
        <v>2024-09-17 09:16:22</v>
      </c>
      <c r="BC18">
        <f t="shared" si="17"/>
        <v>6.9081481481480296</v>
      </c>
    </row>
    <row r="19" spans="1:55" x14ac:dyDescent="0.25">
      <c r="A19" t="str">
        <f>Fechas_Estado!A18</f>
        <v>ESPC360-10759</v>
      </c>
      <c r="B19" t="str">
        <f>LEFT(VLOOKUP(A19,Fechas_Estado!A:AE,2,0),10)</f>
        <v>2024-08-13</v>
      </c>
      <c r="C19" t="str">
        <f>MID(VLOOKUP(A19, Fechas_Estado!A:AE,2,0),12,8)</f>
        <v>16:16:15</v>
      </c>
      <c r="D19" t="str">
        <f t="shared" si="0"/>
        <v>2024-08-13 16:16:15</v>
      </c>
      <c r="E19" t="str">
        <f>LEFT(VLOOKUP(A19, Fechas_Estado!A:AE,19,0),10)</f>
        <v/>
      </c>
      <c r="F19" t="str">
        <f>MID(VLOOKUP(A19, Fechas_Estado!A:AE,19,0),12,8)</f>
        <v/>
      </c>
      <c r="G19" t="str">
        <f t="shared" si="1"/>
        <v xml:space="preserve"> </v>
      </c>
      <c r="H19" t="str">
        <f>LEFT(VLOOKUP(A19, Fechas_Estado!A:AE,20,0),10)</f>
        <v/>
      </c>
      <c r="I19" t="str">
        <f>MID(VLOOKUP(A19, Fechas_Estado!A:AE,20,0),12,8)</f>
        <v/>
      </c>
      <c r="J19" t="str">
        <f t="shared" si="2"/>
        <v xml:space="preserve"> </v>
      </c>
      <c r="K19" t="str">
        <f>LEFT(VLOOKUP(A19, Fechas_Estado!A:AE,21,0),10)</f>
        <v/>
      </c>
      <c r="L19" t="str">
        <f>MID(VLOOKUP(A19, Fechas_Estado!A:AE,21,0),12,8)</f>
        <v/>
      </c>
      <c r="M19" t="str">
        <f t="shared" si="3"/>
        <v xml:space="preserve"> </v>
      </c>
      <c r="N19" t="str">
        <f>LEFT(VLOOKUP(A19, Fechas_Estado!A:AE,22,0),10)</f>
        <v/>
      </c>
      <c r="O19" t="str">
        <f>MID(VLOOKUP(A19, Fechas_Estado!A:AE,22,0),12,8)</f>
        <v/>
      </c>
      <c r="P19" t="str">
        <f t="shared" si="4"/>
        <v xml:space="preserve"> </v>
      </c>
      <c r="Q19" t="str">
        <f>LEFT(VLOOKUP(A19, Fechas_Estado!A:AE,23,0),10)</f>
        <v/>
      </c>
      <c r="R19" t="str">
        <f>MID(VLOOKUP(A19, Fechas_Estado!A:AE,23,0),12,8)</f>
        <v/>
      </c>
      <c r="S19" t="str">
        <f t="shared" si="5"/>
        <v xml:space="preserve"> </v>
      </c>
      <c r="T19" t="str">
        <f>LEFT(VLOOKUP(A19, Fechas_Estado!A:AE,24,0),10)</f>
        <v/>
      </c>
      <c r="U19" t="str">
        <f>MID(VLOOKUP(A19, Fechas_Estado!A:AE,24,0),12,8)</f>
        <v/>
      </c>
      <c r="V19" t="str">
        <f t="shared" si="6"/>
        <v xml:space="preserve"> </v>
      </c>
      <c r="W19" t="str">
        <f>LEFT(VLOOKUP(A19, Fechas_Estado!A:AE,25,0),10)</f>
        <v>2024-08-13</v>
      </c>
      <c r="X19" t="str">
        <f>MID(VLOOKUP(A19, Fechas_Estado!A:AE,25,0),12,8)</f>
        <v>16:16:28</v>
      </c>
      <c r="Y19" t="str">
        <f t="shared" si="7"/>
        <v>2024-08-13 16:16:28</v>
      </c>
      <c r="Z19" t="str">
        <f>LEFT(VLOOKUP(A19, Fechas_Estado!A:AE,26,0),10)</f>
        <v>2024-08-21</v>
      </c>
      <c r="AA19" t="str">
        <f>MID(VLOOKUP(A19, Fechas_Estado!A:AE,26,0),12,8)</f>
        <v>13:44:46</v>
      </c>
      <c r="AB19" t="str">
        <f t="shared" si="8"/>
        <v>2024-08-21 13:44:46</v>
      </c>
      <c r="AC19" t="str">
        <f>LEFT(VLOOKUP(A19, Fechas_Estado!A:AE,27,0),10)</f>
        <v>2024-08-28</v>
      </c>
      <c r="AD19" t="str">
        <f>MID(VLOOKUP(A19, Fechas_Estado!A:AE,27,0),12,8)</f>
        <v>12:03:44</v>
      </c>
      <c r="AE19" t="str">
        <f t="shared" si="9"/>
        <v>2024-08-28 12:03:44</v>
      </c>
      <c r="AF19" t="str">
        <f>LEFT(VLOOKUP(A19, Fechas_Estado!A:AF,28,0),10)</f>
        <v/>
      </c>
      <c r="AG19" t="str">
        <f>MID(VLOOKUP(A19, Fechas_Estado!A:AF,28,0),12,8)</f>
        <v/>
      </c>
      <c r="AH19" t="str">
        <f t="shared" si="10"/>
        <v xml:space="preserve"> </v>
      </c>
      <c r="AI19" t="str">
        <f>LEFT(VLOOKUP(A19, Fechas_Estado!A:AF,16,0),10)</f>
        <v>2024-09-16</v>
      </c>
      <c r="AJ19" t="str">
        <f>MID(VLOOKUP(A19, Fechas_Estado!A:AF,16,0),12,8)</f>
        <v>11:46:53</v>
      </c>
      <c r="AK19" t="str">
        <f t="shared" si="11"/>
        <v>2024-09-16 11:46:53</v>
      </c>
      <c r="AL19">
        <f t="shared" si="18"/>
        <v>33.812939814815763</v>
      </c>
      <c r="AM19" t="str">
        <f>LEFT(VLOOKUP(A19, Fechas_Estado!A:AE,8,0),10)</f>
        <v>2024-09-19</v>
      </c>
      <c r="AN19" t="str">
        <f>MID(VLOOKUP(A19, Fechas_Estado!A:AE,8,0),12,8)</f>
        <v>15:26:37</v>
      </c>
      <c r="AO19" t="str">
        <f t="shared" si="12"/>
        <v>2024-09-19 15:26:37</v>
      </c>
      <c r="AP19" t="str">
        <f>LEFT(VLOOKUP(A19, Fechas_Estado!A:AE,7,0),10)</f>
        <v>2024-09-25</v>
      </c>
      <c r="AQ19" t="str">
        <f>MID(VLOOKUP(A19, Fechas_Estado!A:AE,7,0),12,8)</f>
        <v>11:56:08</v>
      </c>
      <c r="AR19" t="str">
        <f t="shared" si="13"/>
        <v>2024-09-25 11:56:08</v>
      </c>
      <c r="AS19" t="str">
        <f>LEFT(VLOOKUP(A19, Fechas_Estado!A:AE,10,0),10)</f>
        <v>2024-09-25</v>
      </c>
      <c r="AT19" t="str">
        <f>MID(VLOOKUP(A19, Fechas_Estado!A:AE,10,0),12,8)</f>
        <v>11:56:14</v>
      </c>
      <c r="AU19" t="str">
        <f t="shared" si="14"/>
        <v>2024-09-25 11:56:14</v>
      </c>
      <c r="AV19" t="str">
        <f>LEFT(VLOOKUP(A19, Fechas_Estado!A:AE,17,0),10)</f>
        <v>2024-10-16</v>
      </c>
      <c r="AW19" t="str">
        <f>MID(VLOOKUP(A19, Fechas_Estado!A:AE,17,0),12,8)</f>
        <v>10:44:37</v>
      </c>
      <c r="AX19" t="str">
        <f t="shared" si="15"/>
        <v>2024-10-16 10:44:37</v>
      </c>
      <c r="AY19">
        <f t="shared" si="19"/>
        <v>26.804166666668607</v>
      </c>
      <c r="AZ19" t="str">
        <f>LEFT(VLOOKUP(A19, Fechas_Estado!A:AE,5,0),10)</f>
        <v>2024-10-31</v>
      </c>
      <c r="BA19" t="str">
        <f>MID(VLOOKUP(A19, Fechas_Estado!A:AE,5,0),12,8)</f>
        <v>09:15:06</v>
      </c>
      <c r="BB19" t="str">
        <f t="shared" si="16"/>
        <v>2024-10-31 09:15:06</v>
      </c>
      <c r="BC19">
        <f t="shared" si="17"/>
        <v>14.937835648146574</v>
      </c>
    </row>
    <row r="20" spans="1:55" x14ac:dyDescent="0.25">
      <c r="A20" t="str">
        <f>Fechas_Estado!A19</f>
        <v>ESPC360-11021</v>
      </c>
      <c r="B20" t="str">
        <f>LEFT(VLOOKUP(A20,Fechas_Estado!A:AE,2,0),10)</f>
        <v>2024-08-22</v>
      </c>
      <c r="C20" t="str">
        <f>MID(VLOOKUP(A20, Fechas_Estado!A:AE,2,0),12,8)</f>
        <v>14:13:13</v>
      </c>
      <c r="D20" t="str">
        <f t="shared" si="0"/>
        <v>2024-08-22 14:13:13</v>
      </c>
      <c r="E20" t="str">
        <f>LEFT(VLOOKUP(A20, Fechas_Estado!A:AE,19,0),10)</f>
        <v/>
      </c>
      <c r="F20" t="str">
        <f>MID(VLOOKUP(A20, Fechas_Estado!A:AE,19,0),12,8)</f>
        <v/>
      </c>
      <c r="G20" t="str">
        <f t="shared" si="1"/>
        <v xml:space="preserve"> </v>
      </c>
      <c r="H20" t="str">
        <f>LEFT(VLOOKUP(A20, Fechas_Estado!A:AE,20,0),10)</f>
        <v>2024-08-22</v>
      </c>
      <c r="I20" t="str">
        <f>MID(VLOOKUP(A20, Fechas_Estado!A:AE,20,0),12,8)</f>
        <v>15:26:41</v>
      </c>
      <c r="J20" t="str">
        <f t="shared" si="2"/>
        <v>2024-08-22 15:26:41</v>
      </c>
      <c r="K20" t="str">
        <f>LEFT(VLOOKUP(A20, Fechas_Estado!A:AE,21,0),10)</f>
        <v/>
      </c>
      <c r="L20" t="str">
        <f>MID(VLOOKUP(A20, Fechas_Estado!A:AE,21,0),12,8)</f>
        <v/>
      </c>
      <c r="M20" t="str">
        <f t="shared" si="3"/>
        <v xml:space="preserve"> </v>
      </c>
      <c r="N20" t="str">
        <f>LEFT(VLOOKUP(A20, Fechas_Estado!A:AE,22,0),10)</f>
        <v>2024-08-28</v>
      </c>
      <c r="O20" t="str">
        <f>MID(VLOOKUP(A20, Fechas_Estado!A:AE,22,0),12,8)</f>
        <v>09:42:46</v>
      </c>
      <c r="P20" t="str">
        <f t="shared" si="4"/>
        <v>2024-08-28 09:42:46</v>
      </c>
      <c r="Q20" t="str">
        <f>LEFT(VLOOKUP(A20, Fechas_Estado!A:AE,23,0),10)</f>
        <v>2024-09-02</v>
      </c>
      <c r="R20" t="str">
        <f>MID(VLOOKUP(A20, Fechas_Estado!A:AE,23,0),12,8)</f>
        <v>12:08:15</v>
      </c>
      <c r="S20" t="str">
        <f t="shared" si="5"/>
        <v>2024-09-02 12:08:15</v>
      </c>
      <c r="T20" t="str">
        <f>LEFT(VLOOKUP(A20, Fechas_Estado!A:AE,24,0),10)</f>
        <v>2024-09-02</v>
      </c>
      <c r="U20" t="str">
        <f>MID(VLOOKUP(A20,Fechas_Estado!A:AE,24,0),12,8)</f>
        <v>12:08:31</v>
      </c>
      <c r="V20" t="str">
        <f t="shared" si="6"/>
        <v>2024-09-02 12:08:31</v>
      </c>
      <c r="W20" t="str">
        <f>LEFT(VLOOKUP(A20, Fechas_Estado!A:AE,25,0),10)</f>
        <v>2024-09-02</v>
      </c>
      <c r="X20" t="str">
        <f>MID(VLOOKUP(A20, Fechas_Estado!A:AE,25,0),12,8)</f>
        <v>12:08:44</v>
      </c>
      <c r="Y20" t="str">
        <f t="shared" si="7"/>
        <v>2024-09-02 12:08:44</v>
      </c>
      <c r="Z20" t="str">
        <f>LEFT(VLOOKUP(A20, Fechas_Estado!A:AE,26,0),10)</f>
        <v>2024-09-03</v>
      </c>
      <c r="AA20" t="str">
        <f>MID(VLOOKUP(A20, Fechas_Estado!A:AE,26,0),12,8)</f>
        <v>09:32:36</v>
      </c>
      <c r="AB20" t="str">
        <f t="shared" si="8"/>
        <v>2024-09-03 09:32:36</v>
      </c>
      <c r="AC20" t="str">
        <f>LEFT(VLOOKUP(A20, Fechas_Estado!A:AE,27,0),10)</f>
        <v>2024-09-03</v>
      </c>
      <c r="AD20" t="str">
        <f>MID(VLOOKUP(A20, Fechas_Estado!A:AE,27,0),12,8)</f>
        <v>17:28:23</v>
      </c>
      <c r="AE20" t="str">
        <f t="shared" si="9"/>
        <v>2024-09-03 17:28:23</v>
      </c>
      <c r="AF20" t="str">
        <f>LEFT(VLOOKUP(A20, Fechas_Estado!A:AF,28,0),10)</f>
        <v/>
      </c>
      <c r="AG20" t="str">
        <f>MID(VLOOKUP(A20, Fechas_Estado!A:AF,28,0),12,8)</f>
        <v/>
      </c>
      <c r="AH20" t="str">
        <f t="shared" si="10"/>
        <v xml:space="preserve"> </v>
      </c>
      <c r="AI20" t="str">
        <f>LEFT(VLOOKUP(A20, Fechas_Estado!A:AF,16,0),10)</f>
        <v>2024-09-04</v>
      </c>
      <c r="AJ20" t="str">
        <f>MID(VLOOKUP(A20, Fechas_Estado!A:AF,16,0),12,8)</f>
        <v>13:35:16</v>
      </c>
      <c r="AK20" t="str">
        <f t="shared" si="11"/>
        <v>2024-09-04 13:35:16</v>
      </c>
      <c r="AL20">
        <f t="shared" si="18"/>
        <v>12.973645833328192</v>
      </c>
      <c r="AM20" t="str">
        <f>LEFT(VLOOKUP(A20, Fechas_Estado!A:AE,8,0),10)</f>
        <v>2024-09-04</v>
      </c>
      <c r="AN20" t="str">
        <f>MID(VLOOKUP(A20, Fechas_Estado!A:AE,8,0),12,8)</f>
        <v>13:35:22</v>
      </c>
      <c r="AO20" t="str">
        <f t="shared" si="12"/>
        <v>2024-09-04 13:35:22</v>
      </c>
      <c r="AP20" t="str">
        <f>LEFT(VLOOKUP(A20, Fechas_Estado!A:AE,7,0),10)</f>
        <v>2024-09-04</v>
      </c>
      <c r="AQ20" t="str">
        <f>MID(VLOOKUP(A20, Fechas_Estado!A:AE,7,0),12,8)</f>
        <v>13:35:29</v>
      </c>
      <c r="AR20" t="str">
        <f t="shared" si="13"/>
        <v>2024-09-04 13:35:29</v>
      </c>
      <c r="AS20" t="str">
        <f>LEFT(VLOOKUP(A20, Fechas_Estado!A:AE,10,0),10)</f>
        <v>2024-09-04</v>
      </c>
      <c r="AT20" t="str">
        <f>MID(VLOOKUP(A20, Fechas_Estado!A:AE,10,0),12,8)</f>
        <v>15:13:36</v>
      </c>
      <c r="AU20" t="str">
        <f t="shared" si="14"/>
        <v>2024-09-04 15:13:36</v>
      </c>
      <c r="AV20" t="str">
        <f>LEFT(VLOOKUP(A20, Fechas_Estado!A:AE,17,0),10)</f>
        <v>2024-09-04</v>
      </c>
      <c r="AW20" t="str">
        <f>MID(VLOOKUP(A20, Fechas_Estado!A:AE,17,0),12,8)</f>
        <v>15:13:40</v>
      </c>
      <c r="AX20" t="str">
        <f t="shared" si="15"/>
        <v>2024-09-04 15:13:40</v>
      </c>
      <c r="AY20">
        <f t="shared" si="19"/>
        <v>6.826388889021473E-2</v>
      </c>
      <c r="AZ20" t="str">
        <f>LEFT(VLOOKUP(A20, Fechas_Estado!A:AE,5,0),10)</f>
        <v>2024-09-05</v>
      </c>
      <c r="BA20" t="str">
        <f>MID(VLOOKUP(A20, Fechas_Estado!A:AE,5,0),12,8)</f>
        <v>16:31:51</v>
      </c>
      <c r="BB20" t="str">
        <f t="shared" si="16"/>
        <v>2024-09-05 16:31:51</v>
      </c>
      <c r="BC20">
        <f t="shared" si="17"/>
        <v>1.0542939814840793</v>
      </c>
    </row>
    <row r="21" spans="1:55" x14ac:dyDescent="0.25">
      <c r="A21" t="str">
        <f>Fechas_Estado!A20</f>
        <v>ESPC360-11034</v>
      </c>
      <c r="B21" t="str">
        <f>LEFT(VLOOKUP(A21,Fechas_Estado!A:AE,2,0),10)</f>
        <v>2024-08-23</v>
      </c>
      <c r="C21" t="str">
        <f>MID(VLOOKUP(A21, Fechas_Estado!A:AE,2,0),12,8)</f>
        <v>11:44:43</v>
      </c>
      <c r="D21" t="str">
        <f t="shared" si="0"/>
        <v>2024-08-23 11:44:43</v>
      </c>
      <c r="E21" t="str">
        <f>LEFT(VLOOKUP(A21, Fechas_Estado!A:AE,19,0),10)</f>
        <v/>
      </c>
      <c r="F21" t="str">
        <f>MID(VLOOKUP(A21, Fechas_Estado!A:AE,19,0),12,8)</f>
        <v/>
      </c>
      <c r="G21" t="str">
        <f t="shared" si="1"/>
        <v xml:space="preserve"> </v>
      </c>
      <c r="H21" t="str">
        <f>LEFT(VLOOKUP(A21, Fechas_Estado!A:AE,20,0),10)</f>
        <v/>
      </c>
      <c r="I21" t="str">
        <f>MID(VLOOKUP(A21, Fechas_Estado!A:AE,20,0),12,8)</f>
        <v/>
      </c>
      <c r="J21" t="str">
        <f t="shared" si="2"/>
        <v xml:space="preserve"> </v>
      </c>
      <c r="K21" t="str">
        <f>LEFT(VLOOKUP(A21, Fechas_Estado!A:AE,21,0),10)</f>
        <v/>
      </c>
      <c r="L21" t="str">
        <f>MID(VLOOKUP(A21, Fechas_Estado!A:AE,21,0),12,8)</f>
        <v/>
      </c>
      <c r="M21" t="str">
        <f t="shared" si="3"/>
        <v xml:space="preserve"> </v>
      </c>
      <c r="N21" t="str">
        <f>LEFT(VLOOKUP(A21, Fechas_Estado!A:AE,22,0),10)</f>
        <v/>
      </c>
      <c r="O21" t="str">
        <f>MID(VLOOKUP(A21, Fechas_Estado!A:AE,22,0),12,8)</f>
        <v/>
      </c>
      <c r="P21" t="str">
        <f t="shared" si="4"/>
        <v xml:space="preserve"> </v>
      </c>
      <c r="Q21" t="str">
        <f>LEFT(VLOOKUP(A21, Fechas_Estado!A:AE,23,0),10)</f>
        <v/>
      </c>
      <c r="R21" t="str">
        <f>MID(VLOOKUP(A21, Fechas_Estado!A:AE,23,0),12,8)</f>
        <v/>
      </c>
      <c r="S21" t="str">
        <f t="shared" si="5"/>
        <v xml:space="preserve"> </v>
      </c>
      <c r="T21" t="str">
        <f>LEFT(VLOOKUP(A21, Fechas_Estado!A:AE,24,0),10)</f>
        <v/>
      </c>
      <c r="U21" t="str">
        <f>MID(VLOOKUP(A21, Fechas_Estado!A:AE,24,0),12,8)</f>
        <v/>
      </c>
      <c r="V21" t="str">
        <f t="shared" si="6"/>
        <v xml:space="preserve"> </v>
      </c>
      <c r="W21" t="str">
        <f>LEFT(VLOOKUP(A21, Fechas_Estado!A:AE,25,0),10)</f>
        <v>2024-08-23</v>
      </c>
      <c r="X21" t="str">
        <f>MID(VLOOKUP(A21, Fechas_Estado!A:AE,25,0),12,8)</f>
        <v>11:44:57</v>
      </c>
      <c r="Y21" t="str">
        <f t="shared" si="7"/>
        <v>2024-08-23 11:44:57</v>
      </c>
      <c r="Z21" t="str">
        <f>LEFT(VLOOKUP(A21, Fechas_Estado!A:AE,26,0),10)</f>
        <v>2024-08-27</v>
      </c>
      <c r="AA21" t="str">
        <f>MID(VLOOKUP(A21, Fechas_Estado!A:AE,26,0),12,8)</f>
        <v>12:24:11</v>
      </c>
      <c r="AB21" t="str">
        <f t="shared" si="8"/>
        <v>2024-08-27 12:24:11</v>
      </c>
      <c r="AC21" t="str">
        <f>LEFT(VLOOKUP(A21, Fechas_Estado!A:AE,27,0),10)</f>
        <v/>
      </c>
      <c r="AD21" t="str">
        <f>MID(VLOOKUP(A21, Fechas_Estado!A:AE,27,0),12,8)</f>
        <v/>
      </c>
      <c r="AE21" t="str">
        <f t="shared" si="9"/>
        <v xml:space="preserve"> </v>
      </c>
      <c r="AF21" t="str">
        <f>LEFT(VLOOKUP(A21, Fechas_Estado!A:AF,28,0),10)</f>
        <v/>
      </c>
      <c r="AG21" t="str">
        <f>MID(VLOOKUP(A21, Fechas_Estado!A:AF,28,0),12,8)</f>
        <v/>
      </c>
      <c r="AH21" t="str">
        <f t="shared" si="10"/>
        <v xml:space="preserve"> </v>
      </c>
      <c r="AI21" t="str">
        <f>LEFT(VLOOKUP(A21, Fechas_Estado!A:AF,16,0),10)</f>
        <v>2024-08-30</v>
      </c>
      <c r="AJ21" t="str">
        <f>MID(VLOOKUP(A21, Fechas_Estado!A:AF,16,0),12,8)</f>
        <v>16:50:58</v>
      </c>
      <c r="AK21" t="str">
        <f t="shared" si="11"/>
        <v>2024-08-30 16:50:58</v>
      </c>
      <c r="AL21">
        <f t="shared" si="18"/>
        <v>7.2126736111094942</v>
      </c>
      <c r="AM21" t="str">
        <f>LEFT(VLOOKUP(A21, Fechas_Estado!A:AE,8,0),10)</f>
        <v/>
      </c>
      <c r="AN21" t="str">
        <f>MID(VLOOKUP(A21, Fechas_Estado!A:AE,8,0),12,8)</f>
        <v/>
      </c>
      <c r="AO21" t="str">
        <f t="shared" si="12"/>
        <v xml:space="preserve"> </v>
      </c>
      <c r="AP21" t="str">
        <f>LEFT(VLOOKUP(A21, Fechas_Estado!A:AE,7,0),10)</f>
        <v/>
      </c>
      <c r="AQ21" t="str">
        <f>MID(VLOOKUP(A21, Fechas_Estado!A:AE,7,0),12,8)</f>
        <v/>
      </c>
      <c r="AR21" t="str">
        <f t="shared" si="13"/>
        <v xml:space="preserve"> </v>
      </c>
      <c r="AS21" t="str">
        <f>LEFT(VLOOKUP(A21, Fechas_Estado!A:AE,10,0),10)</f>
        <v/>
      </c>
      <c r="AT21" t="str">
        <f>MID(VLOOKUP(A21, Fechas_Estado!A:AE,10,0),12,8)</f>
        <v/>
      </c>
      <c r="AU21" t="str">
        <f t="shared" si="14"/>
        <v xml:space="preserve"> </v>
      </c>
      <c r="AV21" t="str">
        <f>LEFT(VLOOKUP(A21, Fechas_Estado!A:AE,17,0),10)</f>
        <v>2024-09-02</v>
      </c>
      <c r="AW21" t="str">
        <f>MID(VLOOKUP(A21, Fechas_Estado!A:AE,17,0),12,8)</f>
        <v>10:58:39</v>
      </c>
      <c r="AX21" t="str">
        <f t="shared" si="15"/>
        <v>2024-09-02 10:58:39</v>
      </c>
      <c r="AY21" t="e">
        <f t="shared" si="19"/>
        <v>#VALUE!</v>
      </c>
      <c r="AZ21" t="str">
        <f>LEFT(VLOOKUP(A21, Fechas_Estado!A:AE,5,0),10)</f>
        <v>2024-09-03</v>
      </c>
      <c r="BA21" t="str">
        <f>MID(VLOOKUP(A21, Fechas_Estado!A:AE,5,0),12,8)</f>
        <v>17:21:23</v>
      </c>
      <c r="BB21" t="str">
        <f t="shared" si="16"/>
        <v>2024-09-03 17:21:23</v>
      </c>
      <c r="BC21">
        <f t="shared" si="17"/>
        <v>1.2657870370385353</v>
      </c>
    </row>
    <row r="22" spans="1:55" x14ac:dyDescent="0.25">
      <c r="A22" t="str">
        <f>Fechas_Estado!A21</f>
        <v>ESPC360-11060</v>
      </c>
      <c r="B22" t="str">
        <f>LEFT(VLOOKUP(A22,Fechas_Estado!A:AE,2,0),10)</f>
        <v>2024-08-27</v>
      </c>
      <c r="C22" t="str">
        <f>MID(VLOOKUP(A22, Fechas_Estado!A:AE,2,0),12,8)</f>
        <v>09:25:06</v>
      </c>
      <c r="D22" t="str">
        <f t="shared" si="0"/>
        <v>2024-08-27 09:25:06</v>
      </c>
      <c r="E22" t="str">
        <f>LEFT(VLOOKUP(A22, Fechas_Estado!A:AE,19,0),10)</f>
        <v/>
      </c>
      <c r="F22" t="str">
        <f>MID(VLOOKUP(A22, Fechas_Estado!A:AE,19,0),12,8)</f>
        <v/>
      </c>
      <c r="G22" t="str">
        <f t="shared" si="1"/>
        <v xml:space="preserve"> </v>
      </c>
      <c r="H22" t="str">
        <f>LEFT(VLOOKUP(A22, Fechas_Estado!A:AE,20,0),10)</f>
        <v/>
      </c>
      <c r="I22" t="str">
        <f>MID(VLOOKUP(A22, Fechas_Estado!A:AE,20,0),12,8)</f>
        <v/>
      </c>
      <c r="J22" t="str">
        <f t="shared" si="2"/>
        <v xml:space="preserve"> </v>
      </c>
      <c r="K22" t="str">
        <f>LEFT(VLOOKUP(A22, Fechas_Estado!A:AE,21,0),10)</f>
        <v/>
      </c>
      <c r="L22" t="str">
        <f>MID(VLOOKUP(A22, Fechas_Estado!A:AE,21,0),12,8)</f>
        <v/>
      </c>
      <c r="M22" t="str">
        <f t="shared" si="3"/>
        <v xml:space="preserve"> </v>
      </c>
      <c r="N22" t="str">
        <f>LEFT(VLOOKUP(A22, Fechas_Estado!A:AE,22,0),10)</f>
        <v/>
      </c>
      <c r="O22" t="str">
        <f>MID(VLOOKUP(A22, Fechas_Estado!A:AE,22,0),12,8)</f>
        <v/>
      </c>
      <c r="P22" t="str">
        <f t="shared" si="4"/>
        <v xml:space="preserve"> </v>
      </c>
      <c r="Q22" t="str">
        <f>LEFT(VLOOKUP(A22, Fechas_Estado!A:AE,23,0),10)</f>
        <v/>
      </c>
      <c r="R22" t="str">
        <f>MID(VLOOKUP(A22, Fechas_Estado!A:AE,23,0),12,8)</f>
        <v/>
      </c>
      <c r="S22" t="str">
        <f t="shared" si="5"/>
        <v xml:space="preserve"> </v>
      </c>
      <c r="T22" t="str">
        <f>LEFT(VLOOKUP(A22, Fechas_Estado!A:AE,24,0),10)</f>
        <v/>
      </c>
      <c r="U22" t="str">
        <f>MID(VLOOKUP(A22, Fechas_Estado!A:AE,24,0),12,8)</f>
        <v/>
      </c>
      <c r="V22" t="str">
        <f t="shared" si="6"/>
        <v xml:space="preserve"> </v>
      </c>
      <c r="W22" t="str">
        <f>LEFT(VLOOKUP(A22, Fechas_Estado!A:AE,25,0),10)</f>
        <v>2024-08-27</v>
      </c>
      <c r="X22" t="str">
        <f>MID(VLOOKUP(A22, Fechas_Estado!A:AE,25,0),12,8)</f>
        <v>09:25:20</v>
      </c>
      <c r="Y22" t="str">
        <f t="shared" si="7"/>
        <v>2024-08-27 09:25:20</v>
      </c>
      <c r="Z22" t="str">
        <f>LEFT(VLOOKUP(A22, Fechas_Estado!A:AE,26,0),10)</f>
        <v>2024-08-30</v>
      </c>
      <c r="AA22" t="str">
        <f>MID(VLOOKUP(A22, Fechas_Estado!A:AE,26,0),12,8)</f>
        <v>09:20:48</v>
      </c>
      <c r="AB22" t="str">
        <f t="shared" si="8"/>
        <v>2024-08-30 09:20:48</v>
      </c>
      <c r="AC22" t="str">
        <f>LEFT(VLOOKUP(A22, Fechas_Estado!A:AE,27,0),10)</f>
        <v>2024-09-02</v>
      </c>
      <c r="AD22" t="str">
        <f>MID(VLOOKUP(A22, Fechas_Estado!A:AE,27,0),12,8)</f>
        <v>09:46:36</v>
      </c>
      <c r="AE22" t="str">
        <f t="shared" si="9"/>
        <v>2024-09-02 09:46:36</v>
      </c>
      <c r="AF22" t="str">
        <f>LEFT(VLOOKUP(A22, Fechas_Estado!A:AF,28,0),10)</f>
        <v/>
      </c>
      <c r="AG22" t="str">
        <f>MID(VLOOKUP(A22, Fechas_Estado!A:AF,28,0),12,8)</f>
        <v/>
      </c>
      <c r="AH22" t="str">
        <f t="shared" si="10"/>
        <v xml:space="preserve"> </v>
      </c>
      <c r="AI22" t="str">
        <f>LEFT(VLOOKUP(A22, Fechas_Estado!A:AF,16,0),10)</f>
        <v>2024-09-05</v>
      </c>
      <c r="AJ22" t="str">
        <f>MID(VLOOKUP(A22, Fechas_Estado!A:AF,16,0),12,8)</f>
        <v>11:09:27</v>
      </c>
      <c r="AK22" t="str">
        <f t="shared" si="11"/>
        <v>2024-09-05 11:09:27</v>
      </c>
      <c r="AL22">
        <f t="shared" si="18"/>
        <v>9.0724652777789743</v>
      </c>
      <c r="AM22" t="str">
        <f>LEFT(VLOOKUP(A22, Fechas_Estado!A:AE,8,0),10)</f>
        <v>2024-09-06</v>
      </c>
      <c r="AN22" t="str">
        <f>MID(VLOOKUP(A22, Fechas_Estado!A:AE,8,0),12,8)</f>
        <v>14:00:00</v>
      </c>
      <c r="AO22" t="str">
        <f t="shared" si="12"/>
        <v>2024-09-06 14:00:00</v>
      </c>
      <c r="AP22" t="str">
        <f>LEFT(VLOOKUP(A22, Fechas_Estado!A:AE,7,0),10)</f>
        <v>2024-09-06</v>
      </c>
      <c r="AQ22" t="str">
        <f>MID(VLOOKUP(A22, Fechas_Estado!A:AE,7,0),12,8)</f>
        <v>14:00:03</v>
      </c>
      <c r="AR22" t="str">
        <f t="shared" si="13"/>
        <v>2024-09-06 14:00:03</v>
      </c>
      <c r="AS22" t="str">
        <f>LEFT(VLOOKUP(A22, Fechas_Estado!A:AE,10,0),10)</f>
        <v>2024-09-09</v>
      </c>
      <c r="AT22" t="str">
        <f>MID(VLOOKUP(A22, Fechas_Estado!A:AE,10,0),12,8)</f>
        <v>09:05:10</v>
      </c>
      <c r="AU22" t="str">
        <f t="shared" si="14"/>
        <v>2024-09-09 09:05:10</v>
      </c>
      <c r="AV22" t="str">
        <f>LEFT(VLOOKUP(A22, Fechas_Estado!A:AE,17,0),10)</f>
        <v>2024-09-13</v>
      </c>
      <c r="AW22" t="str">
        <f>MID(VLOOKUP(A22, Fechas_Estado!A:AE,17,0),12,8)</f>
        <v>09:14:31</v>
      </c>
      <c r="AX22" t="str">
        <f t="shared" si="15"/>
        <v>2024-09-13 09:14:31</v>
      </c>
      <c r="AY22">
        <f t="shared" si="19"/>
        <v>6.8017476851819083</v>
      </c>
      <c r="AZ22" t="str">
        <f>LEFT(VLOOKUP(A22, Fechas_Estado!A:AE,5,0),10)</f>
        <v>2024-10-10</v>
      </c>
      <c r="BA22" t="str">
        <f>MID(VLOOKUP(A22, Fechas_Estado!A:AE,5,0),12,8)</f>
        <v>17:41:36</v>
      </c>
      <c r="BB22" t="str">
        <f t="shared" si="16"/>
        <v>2024-10-10 17:41:36</v>
      </c>
      <c r="BC22">
        <f t="shared" si="17"/>
        <v>27.352141203708015</v>
      </c>
    </row>
    <row r="23" spans="1:55" x14ac:dyDescent="0.25">
      <c r="A23" t="str">
        <f>Fechas_Estado!A22</f>
        <v>ESPC360-11061</v>
      </c>
      <c r="B23" t="str">
        <f>LEFT(VLOOKUP(A23,Fechas_Estado!A:AE,2,0),10)</f>
        <v>2024-08-27</v>
      </c>
      <c r="C23" t="str">
        <f>MID(VLOOKUP(A23, Fechas_Estado!A:AE,2,0),12,8)</f>
        <v>09:27:10</v>
      </c>
      <c r="D23" t="str">
        <f t="shared" si="0"/>
        <v>2024-08-27 09:27:10</v>
      </c>
      <c r="E23" t="str">
        <f>LEFT(VLOOKUP(A23, Fechas_Estado!A:AE,19,0),10)</f>
        <v/>
      </c>
      <c r="F23" t="str">
        <f>MID(VLOOKUP(A23, Fechas_Estado!A:AE,19,0),12,8)</f>
        <v/>
      </c>
      <c r="G23" t="str">
        <f t="shared" si="1"/>
        <v xml:space="preserve"> </v>
      </c>
      <c r="H23" t="str">
        <f>LEFT(VLOOKUP(A23, Fechas_Estado!A:AE,20,0),10)</f>
        <v/>
      </c>
      <c r="I23" t="str">
        <f>MID(VLOOKUP(A23, Fechas_Estado!A:AE,20,0),12,8)</f>
        <v/>
      </c>
      <c r="J23" t="str">
        <f t="shared" si="2"/>
        <v xml:space="preserve"> </v>
      </c>
      <c r="K23" t="str">
        <f>LEFT(VLOOKUP(A23, Fechas_Estado!A:AE,21,0),10)</f>
        <v/>
      </c>
      <c r="L23" t="str">
        <f>MID(VLOOKUP(A23, Fechas_Estado!A:AE,21,0),12,8)</f>
        <v/>
      </c>
      <c r="M23" t="str">
        <f t="shared" si="3"/>
        <v xml:space="preserve"> </v>
      </c>
      <c r="N23" t="str">
        <f>LEFT(VLOOKUP(A23, Fechas_Estado!A:AE,22,0),10)</f>
        <v/>
      </c>
      <c r="O23" t="str">
        <f>MID(VLOOKUP(A23, Fechas_Estado!A:AE,22,0),12,8)</f>
        <v/>
      </c>
      <c r="P23" t="str">
        <f t="shared" si="4"/>
        <v xml:space="preserve"> </v>
      </c>
      <c r="Q23" t="str">
        <f>LEFT(VLOOKUP(A23, Fechas_Estado!A:AE,23,0),10)</f>
        <v/>
      </c>
      <c r="R23" t="str">
        <f>MID(VLOOKUP(A23, Fechas_Estado!A:AE,23,0),12,8)</f>
        <v/>
      </c>
      <c r="S23" t="str">
        <f t="shared" si="5"/>
        <v xml:space="preserve"> </v>
      </c>
      <c r="T23" t="str">
        <f>LEFT(VLOOKUP(A23, Fechas_Estado!A:AE,24,0),10)</f>
        <v/>
      </c>
      <c r="U23" t="str">
        <f>MID(VLOOKUP(A23, Fechas_Estado!A:AE,24,0),12,8)</f>
        <v/>
      </c>
      <c r="V23" t="str">
        <f t="shared" si="6"/>
        <v xml:space="preserve"> </v>
      </c>
      <c r="W23" t="str">
        <f>LEFT(VLOOKUP(A23, Fechas_Estado!A:AE,25,0),10)</f>
        <v>2024-08-27</v>
      </c>
      <c r="X23" t="str">
        <f>MID(VLOOKUP(A23, Fechas_Estado!A:AE,25,0),12,8)</f>
        <v>09:42:34</v>
      </c>
      <c r="Y23" t="str">
        <f t="shared" si="7"/>
        <v>2024-08-27 09:42:34</v>
      </c>
      <c r="Z23" t="str">
        <f>LEFT(VLOOKUP(A23, Fechas_Estado!A:AE,26,0),10)</f>
        <v>2024-09-02</v>
      </c>
      <c r="AA23" t="str">
        <f>MID(VLOOKUP(A23, Fechas_Estado!A:AE,26,0),12,8)</f>
        <v>11:56:59</v>
      </c>
      <c r="AB23" t="str">
        <f t="shared" si="8"/>
        <v>2024-09-02 11:56:59</v>
      </c>
      <c r="AC23" t="str">
        <f>LEFT(VLOOKUP(A23, Fechas_Estado!A:AE,27,0),10)</f>
        <v/>
      </c>
      <c r="AD23" t="str">
        <f>MID(VLOOKUP(A23, Fechas_Estado!A:AE,27,0),12,8)</f>
        <v/>
      </c>
      <c r="AE23" t="str">
        <f t="shared" si="9"/>
        <v xml:space="preserve"> </v>
      </c>
      <c r="AF23" t="str">
        <f>LEFT(VLOOKUP(A23, Fechas_Estado!A:AF,28,0),10)</f>
        <v/>
      </c>
      <c r="AG23" t="str">
        <f>MID(VLOOKUP(A23, Fechas_Estado!A:AF,28,0),12,8)</f>
        <v/>
      </c>
      <c r="AH23" t="str">
        <f t="shared" si="10"/>
        <v xml:space="preserve"> </v>
      </c>
      <c r="AI23" t="str">
        <f>LEFT(VLOOKUP(A23, Fechas_Estado!A:AF,16,0),10)</f>
        <v/>
      </c>
      <c r="AJ23" t="str">
        <f>MID(VLOOKUP(A23, Fechas_Estado!A:AF,16,0),12,8)</f>
        <v/>
      </c>
      <c r="AK23" t="str">
        <f t="shared" si="11"/>
        <v xml:space="preserve"> </v>
      </c>
      <c r="AL23" t="e">
        <f t="shared" si="18"/>
        <v>#VALUE!</v>
      </c>
      <c r="AM23" t="str">
        <f>LEFT(VLOOKUP(A23, Fechas_Estado!A:AE,8,0),10)</f>
        <v/>
      </c>
      <c r="AN23" t="str">
        <f>MID(VLOOKUP(A23, Fechas_Estado!A:AE,8,0),12,8)</f>
        <v/>
      </c>
      <c r="AO23" t="str">
        <f t="shared" si="12"/>
        <v xml:space="preserve"> </v>
      </c>
      <c r="AP23" t="str">
        <f>LEFT(VLOOKUP(A23, Fechas_Estado!A:AE,7,0),10)</f>
        <v/>
      </c>
      <c r="AQ23" t="str">
        <f>MID(VLOOKUP(A23, Fechas_Estado!A:AE,7,0),12,8)</f>
        <v/>
      </c>
      <c r="AR23" t="str">
        <f t="shared" si="13"/>
        <v xml:space="preserve"> </v>
      </c>
      <c r="AS23" t="str">
        <f>LEFT(VLOOKUP(A23, Fechas_Estado!A:AE,10,0),10)</f>
        <v/>
      </c>
      <c r="AT23" t="str">
        <f>MID(VLOOKUP(A23, Fechas_Estado!A:AE,10,0),12,8)</f>
        <v/>
      </c>
      <c r="AU23" t="str">
        <f t="shared" si="14"/>
        <v xml:space="preserve"> </v>
      </c>
      <c r="AV23" t="str">
        <f>LEFT(VLOOKUP(A23, Fechas_Estado!A:AE,17,0),10)</f>
        <v/>
      </c>
      <c r="AW23" t="str">
        <f>MID(VLOOKUP(A23, Fechas_Estado!A:AE,17,0),12,8)</f>
        <v/>
      </c>
      <c r="AX23" t="str">
        <f t="shared" si="15"/>
        <v xml:space="preserve"> </v>
      </c>
      <c r="AY23" t="e">
        <f t="shared" si="19"/>
        <v>#VALUE!</v>
      </c>
      <c r="AZ23" t="str">
        <f>LEFT(VLOOKUP(A23, Fechas_Estado!A:AE,5,0),10)</f>
        <v/>
      </c>
      <c r="BA23" t="str">
        <f>MID(VLOOKUP(A23, Fechas_Estado!A:AE,5,0),12,8)</f>
        <v/>
      </c>
      <c r="BB23" t="str">
        <f t="shared" si="16"/>
        <v xml:space="preserve"> </v>
      </c>
      <c r="BC23" t="e">
        <f t="shared" si="17"/>
        <v>#VALUE!</v>
      </c>
    </row>
    <row r="24" spans="1:55" x14ac:dyDescent="0.25">
      <c r="A24" t="str">
        <f>Fechas_Estado!A23</f>
        <v>ESPC360-11063</v>
      </c>
      <c r="B24" t="str">
        <f>LEFT(VLOOKUP(A24,Fechas_Estado!A:AE,2,0),10)</f>
        <v>2024-08-27</v>
      </c>
      <c r="C24" t="str">
        <f>MID(VLOOKUP(A24, Fechas_Estado!A:AE,2,0),12,8)</f>
        <v>09:41:55</v>
      </c>
      <c r="D24" t="str">
        <f t="shared" si="0"/>
        <v>2024-08-27 09:41:55</v>
      </c>
      <c r="E24" t="str">
        <f>LEFT(VLOOKUP(A24, Fechas_Estado!A:AE,19,0),10)</f>
        <v>2024-08-27</v>
      </c>
      <c r="F24" t="str">
        <f>MID(VLOOKUP(A24, Fechas_Estado!A:AE,19,0),12,8)</f>
        <v>09:43:15</v>
      </c>
      <c r="G24" t="str">
        <f t="shared" si="1"/>
        <v>2024-08-27 09:43:15</v>
      </c>
      <c r="H24" t="str">
        <f>LEFT(VLOOKUP(A24, Fechas_Estado!A:AE,20,0),10)</f>
        <v/>
      </c>
      <c r="I24" t="str">
        <f>MID(VLOOKUP(A24, Fechas_Estado!A:AE,20,0),12,8)</f>
        <v/>
      </c>
      <c r="J24" t="str">
        <f t="shared" si="2"/>
        <v xml:space="preserve"> </v>
      </c>
      <c r="K24" t="str">
        <f>LEFT(VLOOKUP(A24, Fechas_Estado!A:AE,21,0),10)</f>
        <v/>
      </c>
      <c r="L24" t="str">
        <f>MID(VLOOKUP(A24, Fechas_Estado!A:AE,21,0),12,8)</f>
        <v/>
      </c>
      <c r="M24" t="str">
        <f t="shared" si="3"/>
        <v xml:space="preserve"> </v>
      </c>
      <c r="N24" t="str">
        <f>LEFT(VLOOKUP(A24, Fechas_Estado!A:AE,22,0),10)</f>
        <v/>
      </c>
      <c r="O24" t="str">
        <f>MID(VLOOKUP(A24, Fechas_Estado!A:AE,22,0),12,8)</f>
        <v/>
      </c>
      <c r="P24" t="str">
        <f t="shared" si="4"/>
        <v xml:space="preserve"> </v>
      </c>
      <c r="Q24" t="str">
        <f>LEFT(VLOOKUP(A24, Fechas_Estado!A:AE,23,0),10)</f>
        <v/>
      </c>
      <c r="R24" t="str">
        <f>MID(VLOOKUP(A24, Fechas_Estado!A:AE,23,0),12,8)</f>
        <v/>
      </c>
      <c r="S24" t="str">
        <f t="shared" si="5"/>
        <v xml:space="preserve"> </v>
      </c>
      <c r="T24" t="str">
        <f>LEFT(VLOOKUP(A24, Fechas_Estado!A:AE,24,0),10)</f>
        <v>2024-08-27</v>
      </c>
      <c r="U24" t="str">
        <f>MID(VLOOKUP(A24, Fechas_Estado!A:AE,24,0),12,8)</f>
        <v>09:43:36</v>
      </c>
      <c r="V24" t="str">
        <f t="shared" si="6"/>
        <v>2024-08-27 09:43:36</v>
      </c>
      <c r="W24" t="str">
        <f>LEFT(VLOOKUP(A24, Fechas_Estado!A:AE,25,0),10)</f>
        <v>2024-08-27</v>
      </c>
      <c r="X24" t="str">
        <f>MID(VLOOKUP(A24, Fechas_Estado!A:AE,25,0),12,8)</f>
        <v>09:43:39</v>
      </c>
      <c r="Y24" t="str">
        <f t="shared" si="7"/>
        <v>2024-08-27 09:43:39</v>
      </c>
      <c r="Z24" t="str">
        <f>LEFT(VLOOKUP(A24, Fechas_Estado!A:AE,26,0),10)</f>
        <v>2024-09-06</v>
      </c>
      <c r="AA24" t="str">
        <f>MID(VLOOKUP(A24, Fechas_Estado!A:AE,26,0),12,8)</f>
        <v>11:25:27</v>
      </c>
      <c r="AB24" t="str">
        <f t="shared" si="8"/>
        <v>2024-09-06 11:25:27</v>
      </c>
      <c r="AC24" t="str">
        <f>LEFT(VLOOKUP(A24, Fechas_Estado!A:AE,27,0),10)</f>
        <v/>
      </c>
      <c r="AD24" t="str">
        <f>MID(VLOOKUP(A24, Fechas_Estado!A:AE,27,0),12,8)</f>
        <v/>
      </c>
      <c r="AE24" t="str">
        <f t="shared" si="9"/>
        <v xml:space="preserve"> </v>
      </c>
      <c r="AF24" t="str">
        <f>LEFT(VLOOKUP(A24, Fechas_Estado!A:AF,28,0),10)</f>
        <v/>
      </c>
      <c r="AG24" t="str">
        <f>MID(VLOOKUP(A24, Fechas_Estado!A:AF,28,0),12,8)</f>
        <v/>
      </c>
      <c r="AH24" t="str">
        <f t="shared" si="10"/>
        <v xml:space="preserve"> </v>
      </c>
      <c r="AI24" t="str">
        <f>LEFT(VLOOKUP(A24, Fechas_Estado!A:AF,16,0),10)</f>
        <v>2024-08-27</v>
      </c>
      <c r="AJ24" t="str">
        <f>MID(VLOOKUP(A24, Fechas_Estado!A:AF,16,0),12,8)</f>
        <v>09:43:16</v>
      </c>
      <c r="AK24" t="str">
        <f t="shared" si="11"/>
        <v>2024-08-27 09:43:16</v>
      </c>
      <c r="AL24">
        <f t="shared" si="18"/>
        <v>9.3750000087311491E-4</v>
      </c>
      <c r="AM24" t="str">
        <f>LEFT(VLOOKUP(A24, Fechas_Estado!A:AE,8,0),10)</f>
        <v/>
      </c>
      <c r="AN24" t="str">
        <f>MID(VLOOKUP(A24, Fechas_Estado!A:AE,8,0),12,8)</f>
        <v/>
      </c>
      <c r="AO24" t="str">
        <f t="shared" si="12"/>
        <v xml:space="preserve"> </v>
      </c>
      <c r="AP24" t="str">
        <f>LEFT(VLOOKUP(A24, Fechas_Estado!A:AE,7,0),10)</f>
        <v/>
      </c>
      <c r="AQ24" t="str">
        <f>MID(VLOOKUP(A24, Fechas_Estado!A:AE,7,0),12,8)</f>
        <v/>
      </c>
      <c r="AR24" t="str">
        <f t="shared" si="13"/>
        <v xml:space="preserve"> </v>
      </c>
      <c r="AS24" t="str">
        <f>LEFT(VLOOKUP(A24, Fechas_Estado!A:AE,10,0),10)</f>
        <v/>
      </c>
      <c r="AT24" t="str">
        <f>MID(VLOOKUP(A24, Fechas_Estado!A:AE,10,0),12,8)</f>
        <v/>
      </c>
      <c r="AU24" t="str">
        <f t="shared" si="14"/>
        <v xml:space="preserve"> </v>
      </c>
      <c r="AV24" t="str">
        <f>LEFT(VLOOKUP(A24, Fechas_Estado!A:AE,17,0),10)</f>
        <v/>
      </c>
      <c r="AW24" t="str">
        <f>MID(VLOOKUP(A24, Fechas_Estado!A:AE,17,0),12,8)</f>
        <v/>
      </c>
      <c r="AX24" t="str">
        <f t="shared" si="15"/>
        <v xml:space="preserve"> </v>
      </c>
      <c r="AY24" t="e">
        <f t="shared" si="19"/>
        <v>#VALUE!</v>
      </c>
      <c r="AZ24" t="str">
        <f>LEFT(VLOOKUP(A24, Fechas_Estado!A:AE,5,0),10)</f>
        <v/>
      </c>
      <c r="BA24" t="str">
        <f>MID(VLOOKUP(A24, Fechas_Estado!A:AE,5,0),12,8)</f>
        <v/>
      </c>
      <c r="BB24" t="str">
        <f t="shared" si="16"/>
        <v xml:space="preserve"> </v>
      </c>
      <c r="BC24" t="e">
        <f t="shared" si="17"/>
        <v>#VALUE!</v>
      </c>
    </row>
    <row r="25" spans="1:55" x14ac:dyDescent="0.25">
      <c r="A25" t="str">
        <f>Fechas_Estado!A24</f>
        <v>ESPC360-11066</v>
      </c>
      <c r="B25" t="str">
        <f>LEFT(VLOOKUP(A25,Fechas_Estado!A:AE,2,0),10)</f>
        <v>2024-08-27</v>
      </c>
      <c r="C25" t="str">
        <f>MID(VLOOKUP(A25, Fechas_Estado!A:AE,2,0),12,8)</f>
        <v>12:48:17</v>
      </c>
      <c r="D25" t="str">
        <f t="shared" si="0"/>
        <v>2024-08-27 12:48:17</v>
      </c>
      <c r="E25" t="str">
        <f>LEFT(VLOOKUP(A25, Fechas_Estado!A:AE,19,0),10)</f>
        <v>2024-08-27</v>
      </c>
      <c r="F25" t="str">
        <f>MID(VLOOKUP(A25, Fechas_Estado!A:AE,19,0),12,8)</f>
        <v>12:49:28</v>
      </c>
      <c r="G25" t="str">
        <f t="shared" si="1"/>
        <v>2024-08-27 12:49:28</v>
      </c>
      <c r="H25" t="str">
        <f>LEFT(VLOOKUP(A25, Fechas_Estado!A:AE,20,0),10)</f>
        <v>2024-08-27</v>
      </c>
      <c r="I25" t="str">
        <f>MID(VLOOKUP(A25, Fechas_Estado!A:AE,20,0),12,8)</f>
        <v>12:49:31</v>
      </c>
      <c r="J25" t="str">
        <f t="shared" si="2"/>
        <v>2024-08-27 12:49:31</v>
      </c>
      <c r="K25" t="str">
        <f>LEFT(VLOOKUP(A25, Fechas_Estado!A:AE,21,0),10)</f>
        <v>2024-08-27</v>
      </c>
      <c r="L25" t="str">
        <f>MID(VLOOKUP(A25, Fechas_Estado!A:AE,21,0),12,8)</f>
        <v>12:49:33</v>
      </c>
      <c r="M25" t="str">
        <f t="shared" si="3"/>
        <v>2024-08-27 12:49:33</v>
      </c>
      <c r="N25" t="str">
        <f>LEFT(VLOOKUP(A25, Fechas_Estado!A:AE,22,0),10)</f>
        <v>2024-08-27</v>
      </c>
      <c r="O25" t="str">
        <f>MID(VLOOKUP(A25, Fechas_Estado!A:AE,22,0),12,8)</f>
        <v>12:49:34</v>
      </c>
      <c r="P25" t="str">
        <f t="shared" si="4"/>
        <v>2024-08-27 12:49:34</v>
      </c>
      <c r="Q25" t="str">
        <f>LEFT(VLOOKUP(A25, Fechas_Estado!A:AE,23,0),10)</f>
        <v>2024-08-27</v>
      </c>
      <c r="R25" t="str">
        <f>MID(VLOOKUP(A25, Fechas_Estado!A:AE,23,0),12,8)</f>
        <v>12:49:36</v>
      </c>
      <c r="S25" t="str">
        <f t="shared" si="5"/>
        <v>2024-08-27 12:49:36</v>
      </c>
      <c r="T25" t="str">
        <f>LEFT(VLOOKUP(A25, Fechas_Estado!A:AE,24,0),10)</f>
        <v>2024-08-27</v>
      </c>
      <c r="U25" t="str">
        <f>MID(VLOOKUP(A25, Fechas_Estado!A:AE,24,0),12,8)</f>
        <v>12:49:38</v>
      </c>
      <c r="V25" t="str">
        <f t="shared" si="6"/>
        <v>2024-08-27 12:49:38</v>
      </c>
      <c r="W25" t="str">
        <f>LEFT(VLOOKUP(A25, Fechas_Estado!A:AE,25,0),10)</f>
        <v>2024-08-27</v>
      </c>
      <c r="X25" t="str">
        <f>MID(VLOOKUP(A25, Fechas_Estado!A:AE,25,0),12,8)</f>
        <v>12:49:41</v>
      </c>
      <c r="Y25" t="str">
        <f t="shared" si="7"/>
        <v>2024-08-27 12:49:41</v>
      </c>
      <c r="Z25" t="str">
        <f>LEFT(VLOOKUP(A25, Fechas_Estado!A:AE,26,0),10)</f>
        <v>2024-09-09</v>
      </c>
      <c r="AA25" t="str">
        <f>MID(VLOOKUP(A25, Fechas_Estado!A:AE,26,0),12,8)</f>
        <v>15:06:28</v>
      </c>
      <c r="AB25" t="str">
        <f t="shared" si="8"/>
        <v>2024-09-09 15:06:28</v>
      </c>
      <c r="AC25" t="str">
        <f>LEFT(VLOOKUP(A25, Fechas_Estado!A:AE,27,0),10)</f>
        <v/>
      </c>
      <c r="AD25" t="str">
        <f>MID(VLOOKUP(A25, Fechas_Estado!A:AE,27,0),12,8)</f>
        <v/>
      </c>
      <c r="AE25" t="str">
        <f t="shared" si="9"/>
        <v xml:space="preserve"> </v>
      </c>
      <c r="AF25" t="str">
        <f>LEFT(VLOOKUP(A25, Fechas_Estado!A:AF,28,0),10)</f>
        <v/>
      </c>
      <c r="AG25" t="str">
        <f>MID(VLOOKUP(A25, Fechas_Estado!A:AF,28,0),12,8)</f>
        <v/>
      </c>
      <c r="AH25" t="str">
        <f t="shared" si="10"/>
        <v xml:space="preserve"> </v>
      </c>
      <c r="AI25" t="str">
        <f>LEFT(VLOOKUP(A25, Fechas_Estado!A:AF,16,0),10)</f>
        <v/>
      </c>
      <c r="AJ25" t="str">
        <f>MID(VLOOKUP(A25, Fechas_Estado!A:AF,16,0),12,8)</f>
        <v/>
      </c>
      <c r="AK25" t="str">
        <f t="shared" si="11"/>
        <v xml:space="preserve"> </v>
      </c>
      <c r="AL25" t="e">
        <f t="shared" si="18"/>
        <v>#VALUE!</v>
      </c>
      <c r="AM25" t="str">
        <f>LEFT(VLOOKUP(A25, Fechas_Estado!A:AE,8,0),10)</f>
        <v/>
      </c>
      <c r="AN25" t="str">
        <f>MID(VLOOKUP(A25, Fechas_Estado!A:AE,8,0),12,8)</f>
        <v/>
      </c>
      <c r="AO25" t="str">
        <f t="shared" si="12"/>
        <v xml:space="preserve"> </v>
      </c>
      <c r="AP25" t="str">
        <f>LEFT(VLOOKUP(A25, Fechas_Estado!A:AE,7,0),10)</f>
        <v/>
      </c>
      <c r="AQ25" t="str">
        <f>MID(VLOOKUP(A25, Fechas_Estado!A:AE,7,0),12,8)</f>
        <v/>
      </c>
      <c r="AR25" t="str">
        <f t="shared" si="13"/>
        <v xml:space="preserve"> </v>
      </c>
      <c r="AS25" t="str">
        <f>LEFT(VLOOKUP(A25, Fechas_Estado!A:AE,10,0),10)</f>
        <v/>
      </c>
      <c r="AT25" t="str">
        <f>MID(VLOOKUP(A25, Fechas_Estado!A:AE,10,0),12,8)</f>
        <v/>
      </c>
      <c r="AU25" t="str">
        <f t="shared" si="14"/>
        <v xml:space="preserve"> </v>
      </c>
      <c r="AV25" t="str">
        <f>LEFT(VLOOKUP(A25, Fechas_Estado!A:AE,17,0),10)</f>
        <v/>
      </c>
      <c r="AW25" t="str">
        <f>MID(VLOOKUP(A25, Fechas_Estado!A:AE,17,0),12,8)</f>
        <v/>
      </c>
      <c r="AX25" t="str">
        <f t="shared" si="15"/>
        <v xml:space="preserve"> </v>
      </c>
      <c r="AY25" t="e">
        <f t="shared" si="19"/>
        <v>#VALUE!</v>
      </c>
      <c r="AZ25" t="str">
        <f>LEFT(VLOOKUP(A25, Fechas_Estado!A:AE,5,0),10)</f>
        <v/>
      </c>
      <c r="BA25" t="str">
        <f>MID(VLOOKUP(A25, Fechas_Estado!A:AE,5,0),12,8)</f>
        <v/>
      </c>
      <c r="BB25" t="str">
        <f t="shared" si="16"/>
        <v xml:space="preserve"> </v>
      </c>
      <c r="BC25" t="e">
        <f t="shared" si="17"/>
        <v>#VALUE!</v>
      </c>
    </row>
    <row r="26" spans="1:55" x14ac:dyDescent="0.25">
      <c r="A26" t="str">
        <f>Fechas_Estado!A25</f>
        <v>ESPC360-11074</v>
      </c>
      <c r="B26" t="str">
        <f>LEFT(VLOOKUP(A26,Fechas_Estado!A:AE,2,0),10)</f>
        <v>2024-08-27</v>
      </c>
      <c r="C26" t="str">
        <f>MID(VLOOKUP(A26, Fechas_Estado!A:AE,2,0),12,8)</f>
        <v>13:57:12</v>
      </c>
      <c r="D26" t="str">
        <f t="shared" si="0"/>
        <v>2024-08-27 13:57:12</v>
      </c>
      <c r="E26" t="str">
        <f>LEFT(VLOOKUP(A26, Fechas_Estado!A:AE,19,0),10)</f>
        <v/>
      </c>
      <c r="F26" t="str">
        <f>MID(VLOOKUP(A26, Fechas_Estado!A:AE,19,0),12,8)</f>
        <v/>
      </c>
      <c r="G26" t="str">
        <f t="shared" si="1"/>
        <v xml:space="preserve"> </v>
      </c>
      <c r="H26" t="str">
        <f>LEFT(VLOOKUP(A26, Fechas_Estado!A:AE,20,0),10)</f>
        <v/>
      </c>
      <c r="I26" t="str">
        <f>MID(VLOOKUP(A26, Fechas_Estado!A:AE,20,0),12,8)</f>
        <v/>
      </c>
      <c r="J26" t="str">
        <f t="shared" si="2"/>
        <v xml:space="preserve"> </v>
      </c>
      <c r="K26" t="str">
        <f>LEFT(VLOOKUP(A26, Fechas_Estado!A:AE,21,0),10)</f>
        <v/>
      </c>
      <c r="L26" t="str">
        <f>MID(VLOOKUP(A26, Fechas_Estado!A:AE,21,0),12,8)</f>
        <v/>
      </c>
      <c r="M26" t="str">
        <f t="shared" si="3"/>
        <v xml:space="preserve"> </v>
      </c>
      <c r="N26" t="str">
        <f>LEFT(VLOOKUP(A26, Fechas_Estado!A:AE,22,0),10)</f>
        <v/>
      </c>
      <c r="O26" t="str">
        <f>MID(VLOOKUP(A26, Fechas_Estado!A:AE,22,0),12,8)</f>
        <v/>
      </c>
      <c r="P26" t="str">
        <f t="shared" si="4"/>
        <v xml:space="preserve"> </v>
      </c>
      <c r="Q26" t="str">
        <f>LEFT(VLOOKUP(A26, Fechas_Estado!A:AE,23,0),10)</f>
        <v/>
      </c>
      <c r="R26" t="str">
        <f>MID(VLOOKUP(A26, Fechas_Estado!A:AE,23,0),12,8)</f>
        <v/>
      </c>
      <c r="S26" t="str">
        <f t="shared" si="5"/>
        <v xml:space="preserve"> </v>
      </c>
      <c r="T26" t="str">
        <f>LEFT(VLOOKUP(A26, Fechas_Estado!A:AE,24,0),10)</f>
        <v/>
      </c>
      <c r="U26" t="str">
        <f>MID(VLOOKUP(A26, Fechas_Estado!A:AE,24,0),12,8)</f>
        <v/>
      </c>
      <c r="V26" t="str">
        <f t="shared" si="6"/>
        <v xml:space="preserve"> </v>
      </c>
      <c r="W26" t="str">
        <f>LEFT(VLOOKUP(A26, Fechas_Estado!A:AE,25,0),10)</f>
        <v>2024-08-27</v>
      </c>
      <c r="X26" t="str">
        <f>MID(VLOOKUP(A26, Fechas_Estado!A:AE,25,0),12,8)</f>
        <v>13:57:26</v>
      </c>
      <c r="Y26" t="str">
        <f t="shared" si="7"/>
        <v>2024-08-27 13:57:26</v>
      </c>
      <c r="Z26" t="str">
        <f>LEFT(VLOOKUP(A26, Fechas_Estado!A:AE,26,0),10)</f>
        <v/>
      </c>
      <c r="AA26" t="str">
        <f>MID(VLOOKUP(A26, Fechas_Estado!A:AE,26,0),12,8)</f>
        <v/>
      </c>
      <c r="AB26" t="str">
        <f t="shared" si="8"/>
        <v xml:space="preserve"> </v>
      </c>
      <c r="AC26" t="str">
        <f>LEFT(VLOOKUP(A26, Fechas_Estado!A:AE,27,0),10)</f>
        <v/>
      </c>
      <c r="AD26" t="str">
        <f>MID(VLOOKUP(A26, Fechas_Estado!A:AE,27,0),12,8)</f>
        <v/>
      </c>
      <c r="AE26" t="str">
        <f t="shared" si="9"/>
        <v xml:space="preserve"> </v>
      </c>
      <c r="AF26" t="str">
        <f>LEFT(VLOOKUP(A26, Fechas_Estado!A:AF,28,0),10)</f>
        <v/>
      </c>
      <c r="AG26" t="str">
        <f>MID(VLOOKUP(A26, Fechas_Estado!A:AF,28,0),12,8)</f>
        <v/>
      </c>
      <c r="AH26" t="str">
        <f t="shared" si="10"/>
        <v xml:space="preserve"> </v>
      </c>
      <c r="AI26" t="str">
        <f>LEFT(VLOOKUP(A26, Fechas_Estado!A:AF,16,0),10)</f>
        <v/>
      </c>
      <c r="AJ26" t="str">
        <f>MID(VLOOKUP(A26, Fechas_Estado!A:AF,16,0),12,8)</f>
        <v/>
      </c>
      <c r="AK26" t="str">
        <f t="shared" si="11"/>
        <v xml:space="preserve"> </v>
      </c>
      <c r="AL26" t="e">
        <f t="shared" si="18"/>
        <v>#VALUE!</v>
      </c>
      <c r="AM26" t="str">
        <f>LEFT(VLOOKUP(A26, Fechas_Estado!A:AE,8,0),10)</f>
        <v/>
      </c>
      <c r="AN26" t="str">
        <f>MID(VLOOKUP(A26, Fechas_Estado!A:AE,8,0),12,8)</f>
        <v/>
      </c>
      <c r="AO26" t="str">
        <f t="shared" si="12"/>
        <v xml:space="preserve"> </v>
      </c>
      <c r="AP26" t="str">
        <f>LEFT(VLOOKUP(A26, Fechas_Estado!A:AE,7,0),10)</f>
        <v/>
      </c>
      <c r="AQ26" t="str">
        <f>MID(VLOOKUP(A26, Fechas_Estado!A:AE,7,0),12,8)</f>
        <v/>
      </c>
      <c r="AR26" t="str">
        <f t="shared" si="13"/>
        <v xml:space="preserve"> </v>
      </c>
      <c r="AS26" t="str">
        <f>LEFT(VLOOKUP(A26, Fechas_Estado!A:AE,10,0),10)</f>
        <v>2024-09-18</v>
      </c>
      <c r="AT26" t="str">
        <f>MID(VLOOKUP(A26, Fechas_Estado!A:AE,10,0),12,8)</f>
        <v>09:46:01</v>
      </c>
      <c r="AU26" t="str">
        <f t="shared" si="14"/>
        <v>2024-09-18 09:46:01</v>
      </c>
      <c r="AV26" t="str">
        <f>LEFT(VLOOKUP(A26, Fechas_Estado!A:AE,17,0),10)</f>
        <v>2024-09-18</v>
      </c>
      <c r="AW26" t="str">
        <f>MID(VLOOKUP(A26, Fechas_Estado!A:AE,17,0),12,8)</f>
        <v>09:46:05</v>
      </c>
      <c r="AX26" t="str">
        <f t="shared" si="15"/>
        <v>2024-09-18 09:46:05</v>
      </c>
      <c r="AY26" t="e">
        <f t="shared" si="19"/>
        <v>#VALUE!</v>
      </c>
      <c r="AZ26" t="str">
        <f>LEFT(VLOOKUP(A26, Fechas_Estado!A:AE,5,0),10)</f>
        <v>2024-11-07</v>
      </c>
      <c r="BA26" t="str">
        <f>MID(VLOOKUP(A26, Fechas_Estado!A:AE,5,0),12,8)</f>
        <v>13:17:25</v>
      </c>
      <c r="BB26" t="str">
        <f t="shared" si="16"/>
        <v>2024-11-07 13:17:25</v>
      </c>
      <c r="BC26">
        <f t="shared" si="17"/>
        <v>50.146759259259852</v>
      </c>
    </row>
    <row r="27" spans="1:55" x14ac:dyDescent="0.25">
      <c r="A27" t="str">
        <f>Fechas_Estado!A26</f>
        <v>ESPC360-11079</v>
      </c>
      <c r="B27" t="str">
        <f>LEFT(VLOOKUP(A27,Fechas_Estado!A:AE,2,0),10)</f>
        <v>2024-08-28</v>
      </c>
      <c r="C27" t="str">
        <f>MID(VLOOKUP(A27, Fechas_Estado!A:AE,2,0),12,8)</f>
        <v>09:20:15</v>
      </c>
      <c r="D27" t="str">
        <f t="shared" si="0"/>
        <v>2024-08-28 09:20:15</v>
      </c>
      <c r="E27" t="str">
        <f>LEFT(VLOOKUP(A27, Fechas_Estado!A:AE,19,0),10)</f>
        <v/>
      </c>
      <c r="F27" t="str">
        <f>MID(VLOOKUP(A27, Fechas_Estado!A:AE,19,0),12,8)</f>
        <v/>
      </c>
      <c r="G27" t="str">
        <f t="shared" si="1"/>
        <v xml:space="preserve"> </v>
      </c>
      <c r="H27" t="str">
        <f>LEFT(VLOOKUP(A27, Fechas_Estado!A:AE,20,0),10)</f>
        <v/>
      </c>
      <c r="I27" t="str">
        <f>MID(VLOOKUP(A27, Fechas_Estado!A:AE,20,0),12,8)</f>
        <v/>
      </c>
      <c r="J27" t="str">
        <f t="shared" si="2"/>
        <v xml:space="preserve"> </v>
      </c>
      <c r="K27" t="str">
        <f>LEFT(VLOOKUP(A27, Fechas_Estado!A:AE,21,0),10)</f>
        <v/>
      </c>
      <c r="L27" t="str">
        <f>MID(VLOOKUP(A27, Fechas_Estado!A:AE,21,0),12,8)</f>
        <v/>
      </c>
      <c r="M27" t="str">
        <f t="shared" si="3"/>
        <v xml:space="preserve"> </v>
      </c>
      <c r="N27" t="str">
        <f>LEFT(VLOOKUP(A27, Fechas_Estado!A:AE,22,0),10)</f>
        <v/>
      </c>
      <c r="O27" t="str">
        <f>MID(VLOOKUP(A27, Fechas_Estado!A:AE,22,0),12,8)</f>
        <v/>
      </c>
      <c r="P27" t="str">
        <f t="shared" si="4"/>
        <v xml:space="preserve"> </v>
      </c>
      <c r="Q27" t="str">
        <f>LEFT(VLOOKUP(A27, Fechas_Estado!A:AE,23,0),10)</f>
        <v/>
      </c>
      <c r="R27" t="str">
        <f>MID(VLOOKUP(A27, Fechas_Estado!A:AE,23,0),12,8)</f>
        <v/>
      </c>
      <c r="S27" t="str">
        <f t="shared" si="5"/>
        <v xml:space="preserve"> </v>
      </c>
      <c r="T27" t="str">
        <f>LEFT(VLOOKUP(A27, Fechas_Estado!A:AE,24,0),10)</f>
        <v/>
      </c>
      <c r="U27" t="str">
        <f>MID(VLOOKUP(A27, Fechas_Estado!A:AE,24,0),12,8)</f>
        <v/>
      </c>
      <c r="V27" t="str">
        <f t="shared" si="6"/>
        <v xml:space="preserve"> </v>
      </c>
      <c r="W27" t="str">
        <f>LEFT(VLOOKUP(A27, Fechas_Estado!A:AE,25,0),10)</f>
        <v>2024-09-18</v>
      </c>
      <c r="X27" t="str">
        <f>MID(VLOOKUP(A27, Fechas_Estado!A:AE,25,0),12,8)</f>
        <v>15:44:26</v>
      </c>
      <c r="Y27" t="str">
        <f t="shared" si="7"/>
        <v>2024-09-18 15:44:26</v>
      </c>
      <c r="Z27" t="str">
        <f>LEFT(VLOOKUP(A27, Fechas_Estado!A:AE,26,0),10)</f>
        <v>2024-09-30</v>
      </c>
      <c r="AA27" t="str">
        <f>MID(VLOOKUP(A27, Fechas_Estado!A:AE,26,0),12,8)</f>
        <v>16:25:15</v>
      </c>
      <c r="AB27" t="str">
        <f t="shared" si="8"/>
        <v>2024-09-30 16:25:15</v>
      </c>
      <c r="AC27" t="str">
        <f>LEFT(VLOOKUP(A27, Fechas_Estado!A:AE,27,0),10)</f>
        <v/>
      </c>
      <c r="AD27" t="str">
        <f>MID(VLOOKUP(A27, Fechas_Estado!A:AE,27,0),12,8)</f>
        <v/>
      </c>
      <c r="AE27" t="str">
        <f t="shared" si="9"/>
        <v xml:space="preserve"> </v>
      </c>
      <c r="AF27" t="str">
        <f>LEFT(VLOOKUP(A27, Fechas_Estado!A:AF,28,0),10)</f>
        <v/>
      </c>
      <c r="AG27" t="str">
        <f>MID(VLOOKUP(A27, Fechas_Estado!A:AF,28,0),12,8)</f>
        <v/>
      </c>
      <c r="AH27" t="str">
        <f t="shared" si="10"/>
        <v xml:space="preserve"> </v>
      </c>
      <c r="AI27" t="str">
        <f>LEFT(VLOOKUP(A27, Fechas_Estado!A:AF,16,0),10)</f>
        <v>2024-10-03</v>
      </c>
      <c r="AJ27" t="str">
        <f>MID(VLOOKUP(A27, Fechas_Estado!A:AF,16,0),12,8)</f>
        <v>11:51:16</v>
      </c>
      <c r="AK27" t="str">
        <f t="shared" si="11"/>
        <v>2024-10-03 11:51:16</v>
      </c>
      <c r="AL27">
        <f t="shared" si="18"/>
        <v>36.104872685187729</v>
      </c>
      <c r="AM27" t="str">
        <f>LEFT(VLOOKUP(A27, Fechas_Estado!A:AE,8,0),10)</f>
        <v>2024-10-03</v>
      </c>
      <c r="AN27" t="str">
        <f>MID(VLOOKUP(A27, Fechas_Estado!A:AE,8,0),12,8)</f>
        <v>16:09:51</v>
      </c>
      <c r="AO27" t="str">
        <f t="shared" si="12"/>
        <v>2024-10-03 16:09:51</v>
      </c>
      <c r="AP27" t="str">
        <f>LEFT(VLOOKUP(A27, Fechas_Estado!A:AE,7,0),10)</f>
        <v>2024-10-15</v>
      </c>
      <c r="AQ27" t="str">
        <f>MID(VLOOKUP(A27, Fechas_Estado!A:AE,7,0),12,8)</f>
        <v>18:01:47</v>
      </c>
      <c r="AR27" t="str">
        <f t="shared" si="13"/>
        <v>2024-10-15 18:01:47</v>
      </c>
      <c r="AS27" t="str">
        <f>LEFT(VLOOKUP(A27, Fechas_Estado!A:AE,10,0),10)</f>
        <v>2024-10-15</v>
      </c>
      <c r="AT27" t="str">
        <f>MID(VLOOKUP(A27, Fechas_Estado!A:AE,10,0),12,8)</f>
        <v>18:01:53</v>
      </c>
      <c r="AU27" t="str">
        <f t="shared" si="14"/>
        <v>2024-10-15 18:01:53</v>
      </c>
      <c r="AV27" t="str">
        <f>LEFT(VLOOKUP(A27, Fechas_Estado!A:AE,17,0),10)</f>
        <v>2024-10-16</v>
      </c>
      <c r="AW27" t="str">
        <f>MID(VLOOKUP(A27, Fechas_Estado!A:AE,17,0),12,8)</f>
        <v>10:06:37</v>
      </c>
      <c r="AX27" t="str">
        <f t="shared" si="15"/>
        <v>2024-10-16 10:06:37</v>
      </c>
      <c r="AY27">
        <f t="shared" si="19"/>
        <v>12.747754629628616</v>
      </c>
      <c r="AZ27" t="str">
        <f>LEFT(VLOOKUP(A27, Fechas_Estado!A:AE,5,0),10)</f>
        <v>2024-10-31</v>
      </c>
      <c r="BA27" t="str">
        <f>MID(VLOOKUP(A27, Fechas_Estado!A:AE,5,0),12,8)</f>
        <v>09:15:06</v>
      </c>
      <c r="BB27" t="str">
        <f t="shared" si="16"/>
        <v>2024-10-31 09:15:06</v>
      </c>
      <c r="BC27">
        <f t="shared" si="17"/>
        <v>14.96422453703417</v>
      </c>
    </row>
    <row r="28" spans="1:55" x14ac:dyDescent="0.25">
      <c r="A28" t="str">
        <f>Fechas_Estado!A27</f>
        <v>ESPC360-11222</v>
      </c>
      <c r="B28" t="str">
        <f>LEFT(VLOOKUP(A28,Fechas_Estado!A:AE,2,0),10)</f>
        <v>2024-09-03</v>
      </c>
      <c r="C28" t="str">
        <f>MID(VLOOKUP(A28, Fechas_Estado!A:AE,2,0),12,8)</f>
        <v>15:18:15</v>
      </c>
      <c r="D28" t="str">
        <f t="shared" si="0"/>
        <v>2024-09-03 15:18:15</v>
      </c>
      <c r="E28" t="str">
        <f>LEFT(VLOOKUP(A28, Fechas_Estado!A:AE,19,0),10)</f>
        <v/>
      </c>
      <c r="F28" t="str">
        <f>MID(VLOOKUP(A28, Fechas_Estado!A:AE,19,0),12,8)</f>
        <v/>
      </c>
      <c r="G28" t="str">
        <f t="shared" si="1"/>
        <v xml:space="preserve"> </v>
      </c>
      <c r="H28" t="str">
        <f>LEFT(VLOOKUP(A28, Fechas_Estado!A:AE,20,0),10)</f>
        <v/>
      </c>
      <c r="I28" t="str">
        <f>MID(VLOOKUP(A28, Fechas_Estado!A:AE,20,0),12,8)</f>
        <v/>
      </c>
      <c r="J28" t="str">
        <f t="shared" si="2"/>
        <v xml:space="preserve"> </v>
      </c>
      <c r="K28" t="str">
        <f>LEFT(VLOOKUP(A28, Fechas_Estado!A:AE,21,0),10)</f>
        <v/>
      </c>
      <c r="L28" t="str">
        <f>MID(VLOOKUP(A28, Fechas_Estado!A:AE,21,0),12,8)</f>
        <v/>
      </c>
      <c r="M28" t="str">
        <f t="shared" si="3"/>
        <v xml:space="preserve"> </v>
      </c>
      <c r="N28" t="str">
        <f>LEFT(VLOOKUP(A28, Fechas_Estado!A:AE,22,0),10)</f>
        <v/>
      </c>
      <c r="O28" t="str">
        <f>MID(VLOOKUP(A28, Fechas_Estado!A:AE,22,0),12,8)</f>
        <v/>
      </c>
      <c r="P28" t="str">
        <f t="shared" si="4"/>
        <v xml:space="preserve"> </v>
      </c>
      <c r="Q28" t="str">
        <f>LEFT(VLOOKUP(A28, Fechas_Estado!A:AE,23,0),10)</f>
        <v/>
      </c>
      <c r="R28" t="str">
        <f>MID(VLOOKUP(A28, Fechas_Estado!A:AE,23,0),12,8)</f>
        <v/>
      </c>
      <c r="S28" t="str">
        <f t="shared" si="5"/>
        <v xml:space="preserve"> </v>
      </c>
      <c r="T28" t="str">
        <f>LEFT(VLOOKUP(A28, Fechas_Estado!A:AE,24,0),10)</f>
        <v/>
      </c>
      <c r="U28" t="str">
        <f>MID(VLOOKUP(A28, Fechas_Estado!A:AE,24,0),12,8)</f>
        <v/>
      </c>
      <c r="V28" t="str">
        <f t="shared" si="6"/>
        <v xml:space="preserve"> </v>
      </c>
      <c r="W28" t="str">
        <f>LEFT(VLOOKUP(A28, Fechas_Estado!A:AE,25,0),10)</f>
        <v>2024-09-04</v>
      </c>
      <c r="X28" t="str">
        <f>MID(VLOOKUP(A28, Fechas_Estado!A:AE,25,0),12,8)</f>
        <v>08:16:20</v>
      </c>
      <c r="Y28" t="str">
        <f t="shared" si="7"/>
        <v>2024-09-04 08:16:20</v>
      </c>
      <c r="Z28" t="str">
        <f>LEFT(VLOOKUP(A28, Fechas_Estado!A:AE,26,0),10)</f>
        <v>2024-09-12</v>
      </c>
      <c r="AA28" t="str">
        <f>MID(VLOOKUP(A28, Fechas_Estado!A:AE,26,0),12,8)</f>
        <v>09:46:13</v>
      </c>
      <c r="AB28" t="str">
        <f t="shared" si="8"/>
        <v>2024-09-12 09:46:13</v>
      </c>
      <c r="AC28" t="str">
        <f>LEFT(VLOOKUP(A28, Fechas_Estado!A:AE,27,0),10)</f>
        <v>2024-09-12</v>
      </c>
      <c r="AD28" t="str">
        <f>MID(VLOOKUP(A28, Fechas_Estado!A:AE,27,0),12,8)</f>
        <v>09:46:22</v>
      </c>
      <c r="AE28" t="str">
        <f t="shared" si="9"/>
        <v>2024-09-12 09:46:22</v>
      </c>
      <c r="AF28" t="str">
        <f>LEFT(VLOOKUP(A28, Fechas_Estado!A:AF,28,0),10)</f>
        <v>2024-09-12</v>
      </c>
      <c r="AG28" t="str">
        <f>MID(VLOOKUP(A28, Fechas_Estado!A:AF,28,0),12,8)</f>
        <v>09:46:18</v>
      </c>
      <c r="AH28" t="str">
        <f t="shared" si="10"/>
        <v>2024-09-12 09:46:18</v>
      </c>
      <c r="AI28" t="str">
        <f>LEFT(VLOOKUP(A28, Fechas_Estado!A:AF,16,0),10)</f>
        <v>2024-09-12</v>
      </c>
      <c r="AJ28" t="str">
        <f>MID(VLOOKUP(A28, Fechas_Estado!A:AF,16,0),12,8)</f>
        <v>09:46:26</v>
      </c>
      <c r="AK28" t="str">
        <f t="shared" si="11"/>
        <v>2024-09-12 09:46:26</v>
      </c>
      <c r="AL28">
        <f t="shared" si="18"/>
        <v>8.7695717592578148</v>
      </c>
      <c r="AM28" t="str">
        <f>LEFT(VLOOKUP(A28, Fechas_Estado!A:AE,8,0),10)</f>
        <v>2024-09-12</v>
      </c>
      <c r="AN28" t="str">
        <f>MID(VLOOKUP(A28, Fechas_Estado!A:AE,8,0),12,8)</f>
        <v>09:46:31</v>
      </c>
      <c r="AO28" t="str">
        <f t="shared" si="12"/>
        <v>2024-09-12 09:46:31</v>
      </c>
      <c r="AP28" t="str">
        <f>LEFT(VLOOKUP(A28, Fechas_Estado!A:AE,7,0),10)</f>
        <v>2024-09-12</v>
      </c>
      <c r="AQ28" t="str">
        <f>MID(VLOOKUP(A28, Fechas_Estado!A:AE,7,0),12,8)</f>
        <v>09:46:36</v>
      </c>
      <c r="AR28" t="str">
        <f t="shared" si="13"/>
        <v>2024-09-12 09:46:36</v>
      </c>
      <c r="AS28" t="str">
        <f>LEFT(VLOOKUP(A28, Fechas_Estado!A:AE,10,0),10)</f>
        <v>2024-09-12</v>
      </c>
      <c r="AT28" t="str">
        <f>MID(VLOOKUP(A28, Fechas_Estado!A:AE,10,0),12,8)</f>
        <v>09:46:39</v>
      </c>
      <c r="AU28" t="str">
        <f t="shared" si="14"/>
        <v>2024-09-12 09:46:39</v>
      </c>
      <c r="AV28" t="str">
        <f>LEFT(VLOOKUP(A28, Fechas_Estado!A:AE,17,0),10)</f>
        <v>2024-09-12</v>
      </c>
      <c r="AW28" t="str">
        <f>MID(VLOOKUP(A28, Fechas_Estado!A:AE,17,0),12,8)</f>
        <v>09:46:43</v>
      </c>
      <c r="AX28" t="str">
        <f t="shared" si="15"/>
        <v>2024-09-12 09:46:43</v>
      </c>
      <c r="AY28">
        <f t="shared" si="19"/>
        <v>1.3888889225199819E-4</v>
      </c>
      <c r="AZ28" t="str">
        <f>LEFT(VLOOKUP(A28, Fechas_Estado!A:AE,5,0),10)</f>
        <v>2024-09-12</v>
      </c>
      <c r="BA28" t="str">
        <f>MID(VLOOKUP(A28, Fechas_Estado!A:AE,5,0),12,8)</f>
        <v>12:07:14</v>
      </c>
      <c r="BB28" t="str">
        <f t="shared" si="16"/>
        <v>2024-09-12 12:07:14</v>
      </c>
      <c r="BC28">
        <f t="shared" si="17"/>
        <v>9.7581018519122154E-2</v>
      </c>
    </row>
    <row r="29" spans="1:55" x14ac:dyDescent="0.25">
      <c r="A29" t="str">
        <f>Fechas_Estado!A28</f>
        <v>ESPC360-11404</v>
      </c>
      <c r="B29" t="str">
        <f>LEFT(VLOOKUP(A29,Fechas_Estado!A:AE,2,0),10)</f>
        <v>2024-09-10</v>
      </c>
      <c r="C29" t="str">
        <f>MID(VLOOKUP(A29, Fechas_Estado!A:AE,2,0),12,8)</f>
        <v>15:47:43</v>
      </c>
      <c r="D29" t="str">
        <f t="shared" si="0"/>
        <v>2024-09-10 15:47:43</v>
      </c>
      <c r="E29" t="str">
        <f>LEFT(VLOOKUP(A29, Fechas_Estado!A:AE,19,0),10)</f>
        <v/>
      </c>
      <c r="F29" t="str">
        <f>MID(VLOOKUP(A29, Fechas_Estado!A:AE,19,0),12,8)</f>
        <v/>
      </c>
      <c r="G29" t="str">
        <f t="shared" si="1"/>
        <v xml:space="preserve"> </v>
      </c>
      <c r="H29" t="str">
        <f>LEFT(VLOOKUP(A29, Fechas_Estado!A:AE,20,0),10)</f>
        <v/>
      </c>
      <c r="I29" t="str">
        <f>MID(VLOOKUP(A29, Fechas_Estado!A:AE,20,0),12,8)</f>
        <v/>
      </c>
      <c r="J29" t="str">
        <f t="shared" si="2"/>
        <v xml:space="preserve"> </v>
      </c>
      <c r="K29" t="str">
        <f>LEFT(VLOOKUP(A29, Fechas_Estado!A:AE,21,0),10)</f>
        <v/>
      </c>
      <c r="L29" t="str">
        <f>MID(VLOOKUP(A29, Fechas_Estado!A:AE,21,0),12,8)</f>
        <v/>
      </c>
      <c r="M29" t="str">
        <f t="shared" si="3"/>
        <v xml:space="preserve"> </v>
      </c>
      <c r="N29" t="str">
        <f>LEFT(VLOOKUP(A29, Fechas_Estado!A:AE,22,0),10)</f>
        <v/>
      </c>
      <c r="O29" t="str">
        <f>MID(VLOOKUP(A29, Fechas_Estado!A:AE,22,0),12,8)</f>
        <v/>
      </c>
      <c r="P29" t="str">
        <f t="shared" si="4"/>
        <v xml:space="preserve"> </v>
      </c>
      <c r="Q29" t="str">
        <f>LEFT(VLOOKUP(A29, Fechas_Estado!A:AE,23,0),10)</f>
        <v/>
      </c>
      <c r="R29" t="str">
        <f>MID(VLOOKUP(A29, Fechas_Estado!A:AE,23,0),12,8)</f>
        <v/>
      </c>
      <c r="S29" t="str">
        <f t="shared" si="5"/>
        <v xml:space="preserve"> </v>
      </c>
      <c r="T29" t="str">
        <f>LEFT(VLOOKUP(A29, Fechas_Estado!A:AE,24,0),10)</f>
        <v/>
      </c>
      <c r="U29" t="str">
        <f>MID(VLOOKUP(A29, Fechas_Estado!A:AE,24,0),12,8)</f>
        <v/>
      </c>
      <c r="V29" t="str">
        <f t="shared" si="6"/>
        <v xml:space="preserve"> </v>
      </c>
      <c r="W29" t="str">
        <f>LEFT(VLOOKUP(A29, Fechas_Estado!A:AE,25,0),10)</f>
        <v>2024-09-10</v>
      </c>
      <c r="X29" t="str">
        <f>MID(VLOOKUP(A29, Fechas_Estado!A:AE,25,0),12,8)</f>
        <v>15:47:57</v>
      </c>
      <c r="Y29" t="str">
        <f t="shared" si="7"/>
        <v>2024-09-10 15:47:57</v>
      </c>
      <c r="Z29" t="str">
        <f>LEFT(VLOOKUP(A29, Fechas_Estado!A:AE,26,0),10)</f>
        <v/>
      </c>
      <c r="AA29" t="str">
        <f>MID(VLOOKUP(A29, Fechas_Estado!A:AE,26,0),12,8)</f>
        <v/>
      </c>
      <c r="AB29" t="str">
        <f t="shared" si="8"/>
        <v xml:space="preserve"> </v>
      </c>
      <c r="AC29" t="str">
        <f>LEFT(VLOOKUP(A29, Fechas_Estado!A:AE,27,0),10)</f>
        <v/>
      </c>
      <c r="AD29" t="str">
        <f>MID(VLOOKUP(A29, Fechas_Estado!A:AE,27,0),12,8)</f>
        <v/>
      </c>
      <c r="AE29" t="str">
        <f t="shared" si="9"/>
        <v xml:space="preserve"> </v>
      </c>
      <c r="AF29" t="str">
        <f>LEFT(VLOOKUP(A29, Fechas_Estado!A:AF,28,0),10)</f>
        <v/>
      </c>
      <c r="AG29" t="str">
        <f>MID(VLOOKUP(A29, Fechas_Estado!A:AF,28,0),12,8)</f>
        <v/>
      </c>
      <c r="AH29" t="str">
        <f t="shared" si="10"/>
        <v xml:space="preserve"> </v>
      </c>
      <c r="AI29" t="str">
        <f>LEFT(VLOOKUP(A29, Fechas_Estado!A:AF,16,0),10)</f>
        <v/>
      </c>
      <c r="AJ29" t="str">
        <f>MID(VLOOKUP(A29, Fechas_Estado!A:AF,16,0),12,8)</f>
        <v/>
      </c>
      <c r="AK29" t="str">
        <f t="shared" si="11"/>
        <v xml:space="preserve"> </v>
      </c>
      <c r="AL29" t="e">
        <f t="shared" si="18"/>
        <v>#VALUE!</v>
      </c>
      <c r="AM29" t="str">
        <f>LEFT(VLOOKUP(A29, Fechas_Estado!A:AE,8,0),10)</f>
        <v/>
      </c>
      <c r="AN29" t="str">
        <f>MID(VLOOKUP(A29, Fechas_Estado!A:AE,8,0),12,8)</f>
        <v/>
      </c>
      <c r="AO29" t="str">
        <f t="shared" si="12"/>
        <v xml:space="preserve"> </v>
      </c>
      <c r="AP29" t="str">
        <f>LEFT(VLOOKUP(A29, Fechas_Estado!A:AE,7,0),10)</f>
        <v/>
      </c>
      <c r="AQ29" t="str">
        <f>MID(VLOOKUP(A29, Fechas_Estado!A:AE,7,0),12,8)</f>
        <v/>
      </c>
      <c r="AR29" t="str">
        <f t="shared" si="13"/>
        <v xml:space="preserve"> </v>
      </c>
      <c r="AS29" t="str">
        <f>LEFT(VLOOKUP(A29, Fechas_Estado!A:AE,10,0),10)</f>
        <v/>
      </c>
      <c r="AT29" t="str">
        <f>MID(VLOOKUP(A29, Fechas_Estado!A:AE,10,0),12,8)</f>
        <v/>
      </c>
      <c r="AU29" t="str">
        <f t="shared" si="14"/>
        <v xml:space="preserve"> </v>
      </c>
      <c r="AV29" t="str">
        <f>LEFT(VLOOKUP(A29, Fechas_Estado!A:AE,17,0),10)</f>
        <v/>
      </c>
      <c r="AW29" t="str">
        <f>MID(VLOOKUP(A29, Fechas_Estado!A:AE,17,0),12,8)</f>
        <v/>
      </c>
      <c r="AX29" t="str">
        <f t="shared" si="15"/>
        <v xml:space="preserve"> </v>
      </c>
      <c r="AY29" t="e">
        <f t="shared" si="19"/>
        <v>#VALUE!</v>
      </c>
      <c r="AZ29" t="str">
        <f>LEFT(VLOOKUP(A29, Fechas_Estado!A:AE,5,0),10)</f>
        <v/>
      </c>
      <c r="BA29" t="str">
        <f>MID(VLOOKUP(A29, Fechas_Estado!A:AE,5,0),12,8)</f>
        <v/>
      </c>
      <c r="BB29" t="str">
        <f t="shared" si="16"/>
        <v xml:space="preserve"> </v>
      </c>
      <c r="BC29" t="e">
        <f t="shared" si="17"/>
        <v>#VALUE!</v>
      </c>
    </row>
    <row r="30" spans="1:55" x14ac:dyDescent="0.25">
      <c r="A30" t="str">
        <f>Fechas_Estado!A29</f>
        <v>ESPC360-11469</v>
      </c>
      <c r="B30" t="str">
        <f>LEFT(VLOOKUP(A30,Fechas_Estado!A:AE,2,0),10)</f>
        <v>2024-09-13</v>
      </c>
      <c r="C30" t="str">
        <f>MID(VLOOKUP(A30, Fechas_Estado!A:AE,2,0),12,8)</f>
        <v>09:26:26</v>
      </c>
      <c r="D30" t="str">
        <f t="shared" si="0"/>
        <v>2024-09-13 09:26:26</v>
      </c>
      <c r="E30" t="str">
        <f>LEFT(VLOOKUP(A30, Fechas_Estado!A:AE,19,0),10)</f>
        <v/>
      </c>
      <c r="F30" t="str">
        <f>MID(VLOOKUP(A30, Fechas_Estado!A:AE,19,0),12,8)</f>
        <v/>
      </c>
      <c r="G30" t="str">
        <f t="shared" si="1"/>
        <v xml:space="preserve"> </v>
      </c>
      <c r="H30" t="str">
        <f>LEFT(VLOOKUP(A30, Fechas_Estado!A:AE,20,0),10)</f>
        <v/>
      </c>
      <c r="I30" t="str">
        <f>MID(VLOOKUP(A30, Fechas_Estado!A:AE,20,0),12,8)</f>
        <v/>
      </c>
      <c r="J30" t="str">
        <f t="shared" si="2"/>
        <v xml:space="preserve"> </v>
      </c>
      <c r="K30" t="str">
        <f>LEFT(VLOOKUP(A30, Fechas_Estado!A:AE,21,0),10)</f>
        <v/>
      </c>
      <c r="L30" t="str">
        <f>MID(VLOOKUP(A30, Fechas_Estado!A:AE,21,0),12,8)</f>
        <v/>
      </c>
      <c r="M30" t="str">
        <f t="shared" si="3"/>
        <v xml:space="preserve"> </v>
      </c>
      <c r="N30" t="str">
        <f>LEFT(VLOOKUP(A30, Fechas_Estado!A:AE,22,0),10)</f>
        <v/>
      </c>
      <c r="O30" t="str">
        <f>MID(VLOOKUP(A30, Fechas_Estado!A:AE,22,0),12,8)</f>
        <v/>
      </c>
      <c r="P30" t="str">
        <f t="shared" si="4"/>
        <v xml:space="preserve"> </v>
      </c>
      <c r="Q30" t="str">
        <f>LEFT(VLOOKUP(A30, Fechas_Estado!A:AE,23,0),10)</f>
        <v/>
      </c>
      <c r="R30" t="str">
        <f>MID(VLOOKUP(A30, Fechas_Estado!A:AE,23,0),12,8)</f>
        <v/>
      </c>
      <c r="S30" t="str">
        <f t="shared" si="5"/>
        <v xml:space="preserve"> </v>
      </c>
      <c r="T30" t="str">
        <f>LEFT(VLOOKUP(A30, Fechas_Estado!A:AE,24,0),10)</f>
        <v/>
      </c>
      <c r="U30" t="str">
        <f>MID(VLOOKUP(A30, Fechas_Estado!A:AE,24,0),12,8)</f>
        <v/>
      </c>
      <c r="V30" t="str">
        <f t="shared" si="6"/>
        <v xml:space="preserve"> </v>
      </c>
      <c r="W30" t="str">
        <f>LEFT(VLOOKUP(A30, Fechas_Estado!A:AE,25,0),10)</f>
        <v>2024-09-13</v>
      </c>
      <c r="X30" t="str">
        <f>MID(VLOOKUP(A30, Fechas_Estado!A:AE,25,0),12,8)</f>
        <v>09:26:42</v>
      </c>
      <c r="Y30" t="str">
        <f t="shared" si="7"/>
        <v>2024-09-13 09:26:42</v>
      </c>
      <c r="Z30" t="str">
        <f>LEFT(VLOOKUP(A30, Fechas_Estado!A:AE,26,0),10)</f>
        <v>2024-09-24</v>
      </c>
      <c r="AA30" t="str">
        <f>MID(VLOOKUP(A30, Fechas_Estado!A:AE,26,0),12,8)</f>
        <v>17:30:08</v>
      </c>
      <c r="AB30" t="str">
        <f t="shared" si="8"/>
        <v>2024-09-24 17:30:08</v>
      </c>
      <c r="AC30" t="str">
        <f>LEFT(VLOOKUP(A30, Fechas_Estado!A:AE,27,0),10)</f>
        <v>2024-09-25</v>
      </c>
      <c r="AD30" t="str">
        <f>MID(VLOOKUP(A30, Fechas_Estado!A:AE,27,0),12,8)</f>
        <v>11:06:19</v>
      </c>
      <c r="AE30" t="str">
        <f t="shared" si="9"/>
        <v>2024-09-25 11:06:19</v>
      </c>
      <c r="AF30" t="str">
        <f>LEFT(VLOOKUP(A30, Fechas_Estado!A:AF,28,0),10)</f>
        <v/>
      </c>
      <c r="AG30" t="str">
        <f>MID(VLOOKUP(A30, Fechas_Estado!A:AF,28,0),12,8)</f>
        <v/>
      </c>
      <c r="AH30" t="str">
        <f t="shared" si="10"/>
        <v xml:space="preserve"> </v>
      </c>
      <c r="AI30" t="str">
        <f>LEFT(VLOOKUP(A30, Fechas_Estado!A:AF,16,0),10)</f>
        <v/>
      </c>
      <c r="AJ30" t="str">
        <f>MID(VLOOKUP(A30, Fechas_Estado!A:AF,16,0),12,8)</f>
        <v/>
      </c>
      <c r="AK30" t="str">
        <f t="shared" si="11"/>
        <v xml:space="preserve"> </v>
      </c>
      <c r="AL30" t="e">
        <f t="shared" si="18"/>
        <v>#VALUE!</v>
      </c>
      <c r="AM30" t="str">
        <f>LEFT(VLOOKUP(A30, Fechas_Estado!A:AE,8,0),10)</f>
        <v/>
      </c>
      <c r="AN30" t="str">
        <f>MID(VLOOKUP(A30, Fechas_Estado!A:AE,8,0),12,8)</f>
        <v/>
      </c>
      <c r="AO30" t="str">
        <f t="shared" si="12"/>
        <v xml:space="preserve"> </v>
      </c>
      <c r="AP30" t="str">
        <f>LEFT(VLOOKUP(A30, Fechas_Estado!A:AE,7,0),10)</f>
        <v/>
      </c>
      <c r="AQ30" t="str">
        <f>MID(VLOOKUP(A30, Fechas_Estado!A:AE,7,0),12,8)</f>
        <v/>
      </c>
      <c r="AR30" t="str">
        <f t="shared" si="13"/>
        <v xml:space="preserve"> </v>
      </c>
      <c r="AS30" t="str">
        <f>LEFT(VLOOKUP(A30, Fechas_Estado!A:AE,10,0),10)</f>
        <v/>
      </c>
      <c r="AT30" t="str">
        <f>MID(VLOOKUP(A30, Fechas_Estado!A:AE,10,0),12,8)</f>
        <v/>
      </c>
      <c r="AU30" t="str">
        <f t="shared" si="14"/>
        <v xml:space="preserve"> </v>
      </c>
      <c r="AV30" t="str">
        <f>LEFT(VLOOKUP(A30, Fechas_Estado!A:AE,17,0),10)</f>
        <v/>
      </c>
      <c r="AW30" t="str">
        <f>MID(VLOOKUP(A30, Fechas_Estado!A:AE,17,0),12,8)</f>
        <v/>
      </c>
      <c r="AX30" t="str">
        <f t="shared" si="15"/>
        <v xml:space="preserve"> </v>
      </c>
      <c r="AY30" t="e">
        <f t="shared" si="19"/>
        <v>#VALUE!</v>
      </c>
      <c r="AZ30" t="str">
        <f>LEFT(VLOOKUP(A30, Fechas_Estado!A:AE,5,0),10)</f>
        <v/>
      </c>
      <c r="BA30" t="str">
        <f>MID(VLOOKUP(A30, Fechas_Estado!A:AE,5,0),12,8)</f>
        <v/>
      </c>
      <c r="BB30" t="str">
        <f t="shared" si="16"/>
        <v xml:space="preserve"> </v>
      </c>
      <c r="BC30" t="e">
        <f t="shared" si="17"/>
        <v>#VALUE!</v>
      </c>
    </row>
    <row r="31" spans="1:55" x14ac:dyDescent="0.25">
      <c r="A31" t="str">
        <f>Fechas_Estado!A30</f>
        <v>ESPC360-11499</v>
      </c>
      <c r="B31" t="str">
        <f>LEFT(VLOOKUP(A31,Fechas_Estado!A:AE,2,0),10)</f>
        <v>2024-09-17</v>
      </c>
      <c r="C31" t="str">
        <f>MID(VLOOKUP(A31, Fechas_Estado!A:AE,2,0),12,8)</f>
        <v>10:11:56</v>
      </c>
      <c r="D31" t="str">
        <f t="shared" si="0"/>
        <v>2024-09-17 10:11:56</v>
      </c>
      <c r="E31" t="str">
        <f>LEFT(VLOOKUP(A31, Fechas_Estado!A:AE,19,0),10)</f>
        <v>2024-09-17</v>
      </c>
      <c r="F31" t="str">
        <f>MID(VLOOKUP(A31, Fechas_Estado!A:AE,19,0),12,8)</f>
        <v>10:55:34</v>
      </c>
      <c r="G31" t="str">
        <f t="shared" si="1"/>
        <v>2024-09-17 10:55:34</v>
      </c>
      <c r="H31" t="str">
        <f>LEFT(VLOOKUP(A31, Fechas_Estado!A:AE,20,0),10)</f>
        <v/>
      </c>
      <c r="I31" t="str">
        <f>MID(VLOOKUP(A31, Fechas_Estado!A:AE,20,0),12,8)</f>
        <v/>
      </c>
      <c r="J31" t="str">
        <f t="shared" si="2"/>
        <v xml:space="preserve"> </v>
      </c>
      <c r="K31" t="str">
        <f>LEFT(VLOOKUP(A31, Fechas_Estado!A:AE,21,0),10)</f>
        <v/>
      </c>
      <c r="L31" t="str">
        <f>MID(VLOOKUP(A31, Fechas_Estado!A:AE,21,0),12,8)</f>
        <v/>
      </c>
      <c r="M31" t="str">
        <f t="shared" si="3"/>
        <v xml:space="preserve"> </v>
      </c>
      <c r="N31" t="str">
        <f>LEFT(VLOOKUP(A31, Fechas_Estado!A:AE,22,0),10)</f>
        <v/>
      </c>
      <c r="O31" t="str">
        <f>MID(VLOOKUP(A31, Fechas_Estado!A:AE,22,0),12,8)</f>
        <v/>
      </c>
      <c r="P31" t="str">
        <f t="shared" si="4"/>
        <v xml:space="preserve"> </v>
      </c>
      <c r="Q31" t="str">
        <f>LEFT(VLOOKUP(A31, Fechas_Estado!A:AE,23,0),10)</f>
        <v>2024-09-17</v>
      </c>
      <c r="R31" t="str">
        <f>MID(VLOOKUP(A31, Fechas_Estado!A:AE,23,0),12,8)</f>
        <v>12:18:16</v>
      </c>
      <c r="S31" t="str">
        <f t="shared" si="5"/>
        <v>2024-09-17 12:18:16</v>
      </c>
      <c r="T31" t="str">
        <f>LEFT(VLOOKUP(A31, Fechas_Estado!A:AE,24,0),10)</f>
        <v>2024-09-17</v>
      </c>
      <c r="U31" t="str">
        <f>MID(VLOOKUP(A31, Fechas_Estado!A:AE,24,0),12,8)</f>
        <v>18:10:16</v>
      </c>
      <c r="V31" t="str">
        <f t="shared" si="6"/>
        <v>2024-09-17 18:10:16</v>
      </c>
      <c r="W31" t="str">
        <f>LEFT(VLOOKUP(A31, Fechas_Estado!A:AE,25,0),10)</f>
        <v>2024-09-17</v>
      </c>
      <c r="X31" t="str">
        <f>MID(VLOOKUP(A31, Fechas_Estado!A:AE,25,0),12,8)</f>
        <v>18:10:23</v>
      </c>
      <c r="Y31" t="str">
        <f t="shared" si="7"/>
        <v>2024-09-17 18:10:23</v>
      </c>
      <c r="Z31" t="str">
        <f>LEFT(VLOOKUP(A31, Fechas_Estado!A:AE,26,0),10)</f>
        <v>2024-09-20</v>
      </c>
      <c r="AA31" t="str">
        <f>MID(VLOOKUP(A31, Fechas_Estado!A:AE,26,0),12,8)</f>
        <v>13:03:44</v>
      </c>
      <c r="AB31" t="str">
        <f t="shared" si="8"/>
        <v>2024-09-20 13:03:44</v>
      </c>
      <c r="AC31" t="str">
        <f>LEFT(VLOOKUP(A31, Fechas_Estado!A:AE,27,0),10)</f>
        <v>2024-09-20</v>
      </c>
      <c r="AD31" t="str">
        <f>MID(VLOOKUP(A31, Fechas_Estado!A:AE,27,0),12,8)</f>
        <v>13:04:07</v>
      </c>
      <c r="AE31" t="str">
        <f t="shared" si="9"/>
        <v>2024-09-20 13:04:07</v>
      </c>
      <c r="AF31" t="str">
        <f>LEFT(VLOOKUP(A31, Fechas_Estado!A:AF,28,0),10)</f>
        <v/>
      </c>
      <c r="AG31" t="str">
        <f>MID(VLOOKUP(A31, Fechas_Estado!A:AF,28,0),12,8)</f>
        <v/>
      </c>
      <c r="AH31" t="str">
        <f t="shared" si="10"/>
        <v xml:space="preserve"> </v>
      </c>
      <c r="AI31" t="str">
        <f>LEFT(VLOOKUP(A31, Fechas_Estado!A:AF,16,0),10)</f>
        <v>2024-09-23</v>
      </c>
      <c r="AJ31" t="str">
        <f>MID(VLOOKUP(A31, Fechas_Estado!A:AF,16,0),12,8)</f>
        <v>10:15:20</v>
      </c>
      <c r="AK31" t="str">
        <f t="shared" si="11"/>
        <v>2024-09-23 10:15:20</v>
      </c>
      <c r="AL31">
        <f t="shared" si="18"/>
        <v>6.0023611111100763</v>
      </c>
      <c r="AM31" t="str">
        <f>LEFT(VLOOKUP(A31, Fechas_Estado!A:AE,8,0),10)</f>
        <v>2024-09-23</v>
      </c>
      <c r="AN31" t="str">
        <f>MID(VLOOKUP(A31, Fechas_Estado!A:AE,8,0),12,8)</f>
        <v>10:18:09</v>
      </c>
      <c r="AO31" t="str">
        <f t="shared" si="12"/>
        <v>2024-09-23 10:18:09</v>
      </c>
      <c r="AP31" t="str">
        <f>LEFT(VLOOKUP(A31, Fechas_Estado!A:AE,7,0),10)</f>
        <v>2024-10-02</v>
      </c>
      <c r="AQ31" t="str">
        <f>MID(VLOOKUP(A31, Fechas_Estado!A:AE,7,0),12,8)</f>
        <v>17:30:59</v>
      </c>
      <c r="AR31" t="str">
        <f t="shared" si="13"/>
        <v>2024-10-02 17:30:59</v>
      </c>
      <c r="AS31" t="str">
        <f>LEFT(VLOOKUP(A31, Fechas_Estado!A:AE,10,0),10)</f>
        <v>2024-10-02</v>
      </c>
      <c r="AT31" t="str">
        <f>MID(VLOOKUP(A31, Fechas_Estado!A:AE,10,0),12,8)</f>
        <v>17:31:06</v>
      </c>
      <c r="AU31" t="str">
        <f t="shared" si="14"/>
        <v>2024-10-02 17:31:06</v>
      </c>
      <c r="AV31" t="str">
        <f>LEFT(VLOOKUP(A31, Fechas_Estado!A:AE,17,0),10)</f>
        <v>2024-10-02</v>
      </c>
      <c r="AW31" t="str">
        <f>MID(VLOOKUP(A31, Fechas_Estado!A:AE,17,0),12,8)</f>
        <v>17:31:11</v>
      </c>
      <c r="AX31" t="str">
        <f t="shared" si="15"/>
        <v>2024-10-02 17:31:11</v>
      </c>
      <c r="AY31">
        <f t="shared" si="19"/>
        <v>9.3007175925959018</v>
      </c>
      <c r="AZ31" t="str">
        <f>LEFT(VLOOKUP(A31, Fechas_Estado!A:AE,5,0),10)</f>
        <v>2024-10-08</v>
      </c>
      <c r="BA31" t="str">
        <f>MID(VLOOKUP(A31, Fechas_Estado!A:AE,5,0),12,8)</f>
        <v>19:01:45</v>
      </c>
      <c r="BB31" t="str">
        <f t="shared" si="16"/>
        <v>2024-10-08 19:01:45</v>
      </c>
      <c r="BC31">
        <f t="shared" si="17"/>
        <v>6.0628935185159207</v>
      </c>
    </row>
    <row r="32" spans="1:55" x14ac:dyDescent="0.25">
      <c r="A32" t="str">
        <f>Fechas_Estado!A31</f>
        <v>ESPC360-11504</v>
      </c>
      <c r="B32" t="str">
        <f>LEFT(VLOOKUP(A32,Fechas_Estado!A:AE,2,0),10)</f>
        <v>2024-09-17</v>
      </c>
      <c r="C32" t="str">
        <f>MID(VLOOKUP(A32, Fechas_Estado!A:AE,2,0),12,8)</f>
        <v>12:11:23</v>
      </c>
      <c r="D32" t="str">
        <f t="shared" si="0"/>
        <v>2024-09-17 12:11:23</v>
      </c>
      <c r="E32" t="str">
        <f>LEFT(VLOOKUP(A32, Fechas_Estado!A:AE,19,0),10)</f>
        <v/>
      </c>
      <c r="F32" t="str">
        <f>MID(VLOOKUP(A32, Fechas_Estado!A:AE,19,0),12,8)</f>
        <v/>
      </c>
      <c r="G32" t="str">
        <f t="shared" si="1"/>
        <v xml:space="preserve"> </v>
      </c>
      <c r="H32" t="str">
        <f>LEFT(VLOOKUP(A32, Fechas_Estado!A:AE,20,0),10)</f>
        <v/>
      </c>
      <c r="I32" t="str">
        <f>MID(VLOOKUP(A32, Fechas_Estado!A:AE,20,0),12,8)</f>
        <v/>
      </c>
      <c r="J32" t="str">
        <f t="shared" si="2"/>
        <v xml:space="preserve"> </v>
      </c>
      <c r="K32" t="str">
        <f>LEFT(VLOOKUP(A32, Fechas_Estado!A:AE,21,0),10)</f>
        <v/>
      </c>
      <c r="L32" t="str">
        <f>MID(VLOOKUP(A32, Fechas_Estado!A:AE,21,0),12,8)</f>
        <v/>
      </c>
      <c r="M32" t="str">
        <f t="shared" si="3"/>
        <v xml:space="preserve"> </v>
      </c>
      <c r="N32" t="str">
        <f>LEFT(VLOOKUP(A32, Fechas_Estado!A:AE,22,0),10)</f>
        <v/>
      </c>
      <c r="O32" t="str">
        <f>MID(VLOOKUP(A32, Fechas_Estado!A:AE,22,0),12,8)</f>
        <v/>
      </c>
      <c r="P32" t="str">
        <f t="shared" si="4"/>
        <v xml:space="preserve"> </v>
      </c>
      <c r="Q32" t="str">
        <f>LEFT(VLOOKUP(A32, Fechas_Estado!A:AE,23,0),10)</f>
        <v/>
      </c>
      <c r="R32" t="str">
        <f>MID(VLOOKUP(A32, Fechas_Estado!A:AE,23,0),12,8)</f>
        <v/>
      </c>
      <c r="S32" t="str">
        <f t="shared" si="5"/>
        <v xml:space="preserve"> </v>
      </c>
      <c r="T32" t="str">
        <f>LEFT(VLOOKUP(A32, Fechas_Estado!A:AE,24,0),10)</f>
        <v/>
      </c>
      <c r="U32" t="str">
        <f>MID(VLOOKUP(A32, Fechas_Estado!A:AE,24,0),12,8)</f>
        <v/>
      </c>
      <c r="V32" t="str">
        <f t="shared" si="6"/>
        <v xml:space="preserve"> </v>
      </c>
      <c r="W32" t="str">
        <f>LEFT(VLOOKUP(A32, Fechas_Estado!A:AE,25,0),10)</f>
        <v>2024-09-18</v>
      </c>
      <c r="X32" t="str">
        <f>MID(VLOOKUP(A32, Fechas_Estado!A:AE,25,0),12,8)</f>
        <v>09:50:51</v>
      </c>
      <c r="Y32" t="str">
        <f t="shared" si="7"/>
        <v>2024-09-18 09:50:51</v>
      </c>
      <c r="Z32" t="str">
        <f>LEFT(VLOOKUP(A32, Fechas_Estado!A:AE,26,0),10)</f>
        <v>2024-09-25</v>
      </c>
      <c r="AA32" t="str">
        <f>MID(VLOOKUP(A32, Fechas_Estado!A:AE,26,0),12,8)</f>
        <v>17:32:37</v>
      </c>
      <c r="AB32" t="str">
        <f t="shared" si="8"/>
        <v>2024-09-25 17:32:37</v>
      </c>
      <c r="AC32" t="str">
        <f>LEFT(VLOOKUP(A32, Fechas_Estado!A:AE,27,0),10)</f>
        <v>2024-09-25</v>
      </c>
      <c r="AD32" t="str">
        <f>MID(VLOOKUP(A32, Fechas_Estado!A:AE,27,0),12,8)</f>
        <v>17:38:10</v>
      </c>
      <c r="AE32" t="str">
        <f t="shared" si="9"/>
        <v>2024-09-25 17:38:10</v>
      </c>
      <c r="AF32" t="str">
        <f>LEFT(VLOOKUP(A32, Fechas_Estado!A:AF,28,0),10)</f>
        <v/>
      </c>
      <c r="AG32" t="str">
        <f>MID(VLOOKUP(A32, Fechas_Estado!A:AF,28,0),12,8)</f>
        <v/>
      </c>
      <c r="AH32" t="str">
        <f t="shared" si="10"/>
        <v xml:space="preserve"> </v>
      </c>
      <c r="AI32" t="str">
        <f>LEFT(VLOOKUP(A32, Fechas_Estado!A:AF,16,0),10)</f>
        <v>2024-10-02</v>
      </c>
      <c r="AJ32" t="str">
        <f>MID(VLOOKUP(A32, Fechas_Estado!A:AF,16,0),12,8)</f>
        <v>11:24:24</v>
      </c>
      <c r="AK32" t="str">
        <f t="shared" si="11"/>
        <v>2024-10-02 11:24:24</v>
      </c>
      <c r="AL32">
        <f t="shared" si="18"/>
        <v>14.967372685183364</v>
      </c>
      <c r="AM32" t="str">
        <f>LEFT(VLOOKUP(A32, Fechas_Estado!A:AE,8,0),10)</f>
        <v>2024-10-08</v>
      </c>
      <c r="AN32" t="str">
        <f>MID(VLOOKUP(A32, Fechas_Estado!A:AE,8,0),12,8)</f>
        <v>09:10:13</v>
      </c>
      <c r="AO32" t="str">
        <f t="shared" si="12"/>
        <v>2024-10-08 09:10:13</v>
      </c>
      <c r="AP32" t="str">
        <f>LEFT(VLOOKUP(A32, Fechas_Estado!A:AE,7,0),10)</f>
        <v>2024-10-09</v>
      </c>
      <c r="AQ32" t="str">
        <f>MID(VLOOKUP(A32, Fechas_Estado!A:AE,7,0),12,8)</f>
        <v>09:10:09</v>
      </c>
      <c r="AR32" t="str">
        <f t="shared" si="13"/>
        <v>2024-10-09 09:10:09</v>
      </c>
      <c r="AS32" t="str">
        <f>LEFT(VLOOKUP(A32, Fechas_Estado!A:AE,10,0),10)</f>
        <v>2024-10-09</v>
      </c>
      <c r="AT32" t="str">
        <f>MID(VLOOKUP(A32, Fechas_Estado!A:AE,10,0),12,8)</f>
        <v>09:41:15</v>
      </c>
      <c r="AU32" t="str">
        <f t="shared" si="14"/>
        <v>2024-10-09 09:41:15</v>
      </c>
      <c r="AV32" t="str">
        <f>LEFT(VLOOKUP(A32, Fechas_Estado!A:AE,17,0),10)</f>
        <v>2024-10-15</v>
      </c>
      <c r="AW32" t="str">
        <f>MID(VLOOKUP(A32, Fechas_Estado!A:AE,17,0),12,8)</f>
        <v>10:06:12</v>
      </c>
      <c r="AX32" t="str">
        <f t="shared" si="15"/>
        <v>2024-10-15 10:06:12</v>
      </c>
      <c r="AY32">
        <f t="shared" si="19"/>
        <v>7.0388773148151813</v>
      </c>
      <c r="AZ32" t="str">
        <f>LEFT(VLOOKUP(A32, Fechas_Estado!A:AE,5,0),10)</f>
        <v>2024-10-31</v>
      </c>
      <c r="BA32" t="str">
        <f>MID(VLOOKUP(A32, Fechas_Estado!A:AE,5,0),12,8)</f>
        <v>09:15:06</v>
      </c>
      <c r="BB32" t="str">
        <f t="shared" si="16"/>
        <v>2024-10-31 09:15:06</v>
      </c>
      <c r="BC32">
        <f t="shared" si="17"/>
        <v>15.964513888888177</v>
      </c>
    </row>
    <row r="33" spans="1:55" x14ac:dyDescent="0.25">
      <c r="A33" t="str">
        <f>Fechas_Estado!A32</f>
        <v>ESPC360-11523</v>
      </c>
      <c r="B33" t="str">
        <f>LEFT(VLOOKUP(A33,Fechas_Estado!A:AE,2,0),10)</f>
        <v>2024-09-18</v>
      </c>
      <c r="C33" t="str">
        <f>MID(VLOOKUP(A33, Fechas_Estado!A:AE,2,0),12,8)</f>
        <v>16:25:55</v>
      </c>
      <c r="D33" t="str">
        <f t="shared" si="0"/>
        <v>2024-09-18 16:25:55</v>
      </c>
      <c r="E33" t="str">
        <f>LEFT(VLOOKUP(A33, Fechas_Estado!A:AE,19,0),10)</f>
        <v/>
      </c>
      <c r="F33" t="str">
        <f>MID(VLOOKUP(A33, Fechas_Estado!A:AE,19,0),12,8)</f>
        <v/>
      </c>
      <c r="G33" t="str">
        <f t="shared" si="1"/>
        <v xml:space="preserve"> </v>
      </c>
      <c r="H33" t="str">
        <f>LEFT(VLOOKUP(A33, Fechas_Estado!A:AE,20,0),10)</f>
        <v/>
      </c>
      <c r="I33" t="str">
        <f>MID(VLOOKUP(A33, Fechas_Estado!A:AE,20,0),12,8)</f>
        <v/>
      </c>
      <c r="J33" t="str">
        <f t="shared" si="2"/>
        <v xml:space="preserve"> </v>
      </c>
      <c r="K33" t="str">
        <f>LEFT(VLOOKUP(A33, Fechas_Estado!A:AE,21,0),10)</f>
        <v/>
      </c>
      <c r="L33" t="str">
        <f>MID(VLOOKUP(A33, Fechas_Estado!A:AE,21,0),12,8)</f>
        <v/>
      </c>
      <c r="M33" t="str">
        <f t="shared" si="3"/>
        <v xml:space="preserve"> </v>
      </c>
      <c r="N33" t="str">
        <f>LEFT(VLOOKUP(A33, Fechas_Estado!A:AE,22,0),10)</f>
        <v/>
      </c>
      <c r="O33" t="str">
        <f>MID(VLOOKUP(A33, Fechas_Estado!A:AE,22,0),12,8)</f>
        <v/>
      </c>
      <c r="P33" t="str">
        <f t="shared" si="4"/>
        <v xml:space="preserve"> </v>
      </c>
      <c r="Q33" t="str">
        <f>LEFT(VLOOKUP(A33, Fechas_Estado!A:AE,23,0),10)</f>
        <v/>
      </c>
      <c r="R33" t="str">
        <f>MID(VLOOKUP(A33, Fechas_Estado!A:AE,23,0),12,8)</f>
        <v/>
      </c>
      <c r="S33" t="str">
        <f t="shared" si="5"/>
        <v xml:space="preserve"> </v>
      </c>
      <c r="T33" t="str">
        <f>LEFT(VLOOKUP(A33, Fechas_Estado!A:AE,24,0),10)</f>
        <v/>
      </c>
      <c r="U33" t="str">
        <f>MID(VLOOKUP(A33, Fechas_Estado!A:AE,24,0),12,8)</f>
        <v/>
      </c>
      <c r="V33" t="str">
        <f t="shared" si="6"/>
        <v xml:space="preserve"> </v>
      </c>
      <c r="W33" t="str">
        <f>LEFT(VLOOKUP(A33, Fechas_Estado!A:AE,25,0),10)</f>
        <v>2024-09-18</v>
      </c>
      <c r="X33" t="str">
        <f>MID(VLOOKUP(A33, Fechas_Estado!A:AE,25,0),12,8)</f>
        <v>16:26:14</v>
      </c>
      <c r="Y33" t="str">
        <f t="shared" si="7"/>
        <v>2024-09-18 16:26:14</v>
      </c>
      <c r="Z33" t="str">
        <f>LEFT(VLOOKUP(A33, Fechas_Estado!A:AE,26,0),10)</f>
        <v/>
      </c>
      <c r="AA33" t="str">
        <f>MID(VLOOKUP(A33, Fechas_Estado!A:AE,26,0),12,8)</f>
        <v/>
      </c>
      <c r="AB33" t="str">
        <f t="shared" si="8"/>
        <v xml:space="preserve"> </v>
      </c>
      <c r="AC33" t="str">
        <f>LEFT(VLOOKUP(A33, Fechas_Estado!A:AE,27,0),10)</f>
        <v/>
      </c>
      <c r="AD33" t="str">
        <f>MID(VLOOKUP(A33, Fechas_Estado!A:AE,27,0),12,8)</f>
        <v/>
      </c>
      <c r="AE33" t="str">
        <f t="shared" si="9"/>
        <v xml:space="preserve"> </v>
      </c>
      <c r="AF33" t="str">
        <f>LEFT(VLOOKUP(A33, Fechas_Estado!A:AF,28,0),10)</f>
        <v/>
      </c>
      <c r="AG33" t="str">
        <f>MID(VLOOKUP(A33, Fechas_Estado!A:AF,28,0),12,8)</f>
        <v/>
      </c>
      <c r="AH33" t="str">
        <f t="shared" si="10"/>
        <v xml:space="preserve"> </v>
      </c>
      <c r="AI33" t="str">
        <f>LEFT(VLOOKUP(A33, Fechas_Estado!A:AF,16,0),10)</f>
        <v>2024-09-18</v>
      </c>
      <c r="AJ33" t="str">
        <f>MID(VLOOKUP(A33, Fechas_Estado!A:AF,16,0),12,8)</f>
        <v>16:26:56</v>
      </c>
      <c r="AK33" t="str">
        <f t="shared" si="11"/>
        <v>2024-09-18 16:26:56</v>
      </c>
      <c r="AL33">
        <f t="shared" si="18"/>
        <v>7.0601851621177047E-4</v>
      </c>
      <c r="AM33" t="str">
        <f>LEFT(VLOOKUP(A33, Fechas_Estado!A:AE,8,0),10)</f>
        <v/>
      </c>
      <c r="AN33" t="str">
        <f>MID(VLOOKUP(A33, Fechas_Estado!A:AE,8,0),12,8)</f>
        <v/>
      </c>
      <c r="AO33" t="str">
        <f t="shared" si="12"/>
        <v xml:space="preserve"> </v>
      </c>
      <c r="AP33" t="str">
        <f>LEFT(VLOOKUP(A33, Fechas_Estado!A:AE,7,0),10)</f>
        <v/>
      </c>
      <c r="AQ33" t="str">
        <f>MID(VLOOKUP(A33, Fechas_Estado!A:AE,7,0),12,8)</f>
        <v/>
      </c>
      <c r="AR33" t="str">
        <f t="shared" si="13"/>
        <v xml:space="preserve"> </v>
      </c>
      <c r="AS33" t="str">
        <f>LEFT(VLOOKUP(A33, Fechas_Estado!A:AE,10,0),10)</f>
        <v/>
      </c>
      <c r="AT33" t="str">
        <f>MID(VLOOKUP(A33, Fechas_Estado!A:AE,10,0),12,8)</f>
        <v/>
      </c>
      <c r="AU33" t="str">
        <f t="shared" si="14"/>
        <v xml:space="preserve"> </v>
      </c>
      <c r="AV33" t="str">
        <f>LEFT(VLOOKUP(A33, Fechas_Estado!A:AE,17,0),10)</f>
        <v>2024-09-18</v>
      </c>
      <c r="AW33" t="str">
        <f>MID(VLOOKUP(A33, Fechas_Estado!A:AE,17,0),12,8)</f>
        <v>16:34:20</v>
      </c>
      <c r="AX33" t="str">
        <f t="shared" si="15"/>
        <v>2024-09-18 16:34:20</v>
      </c>
      <c r="AY33" t="e">
        <f t="shared" si="19"/>
        <v>#VALUE!</v>
      </c>
      <c r="AZ33" t="str">
        <f>LEFT(VLOOKUP(A33, Fechas_Estado!A:AE,5,0),10)</f>
        <v>2024-10-10</v>
      </c>
      <c r="BA33" t="str">
        <f>MID(VLOOKUP(A33, Fechas_Estado!A:AE,5,0),12,8)</f>
        <v>17:41:37</v>
      </c>
      <c r="BB33" t="str">
        <f t="shared" si="16"/>
        <v>2024-10-10 17:41:37</v>
      </c>
      <c r="BC33">
        <f t="shared" si="17"/>
        <v>22.046724537038244</v>
      </c>
    </row>
    <row r="34" spans="1:55" x14ac:dyDescent="0.25">
      <c r="A34" t="str">
        <f>Fechas_Estado!A33</f>
        <v>ESPC360-11540</v>
      </c>
      <c r="B34" t="str">
        <f>LEFT(VLOOKUP(A34,Fechas_Estado!A:AE,2,0),10)</f>
        <v>2024-09-19</v>
      </c>
      <c r="C34" t="str">
        <f>MID(VLOOKUP(A34, Fechas_Estado!A:AE,2,0),12,8)</f>
        <v>09:33:47</v>
      </c>
      <c r="D34" t="str">
        <f t="shared" si="0"/>
        <v>2024-09-19 09:33:47</v>
      </c>
      <c r="E34" t="str">
        <f>LEFT(VLOOKUP(A34, Fechas_Estado!A:AE,19,0),10)</f>
        <v/>
      </c>
      <c r="F34" t="str">
        <f>MID(VLOOKUP(A34, Fechas_Estado!A:AE,19,0),12,8)</f>
        <v/>
      </c>
      <c r="G34" t="str">
        <f t="shared" si="1"/>
        <v xml:space="preserve"> </v>
      </c>
      <c r="H34" t="str">
        <f>LEFT(VLOOKUP(A34, Fechas_Estado!A:AE,20,0),10)</f>
        <v/>
      </c>
      <c r="I34" t="str">
        <f>MID(VLOOKUP(A34, Fechas_Estado!A:AE,20,0),12,8)</f>
        <v/>
      </c>
      <c r="J34" t="str">
        <f t="shared" si="2"/>
        <v xml:space="preserve"> </v>
      </c>
      <c r="K34" t="str">
        <f>LEFT(VLOOKUP(A34, Fechas_Estado!A:AE,21,0),10)</f>
        <v/>
      </c>
      <c r="L34" t="str">
        <f>MID(VLOOKUP(A34, Fechas_Estado!A:AE,21,0),12,8)</f>
        <v/>
      </c>
      <c r="M34" t="str">
        <f t="shared" si="3"/>
        <v xml:space="preserve"> </v>
      </c>
      <c r="N34" t="str">
        <f>LEFT(VLOOKUP(A34, Fechas_Estado!A:AE,22,0),10)</f>
        <v/>
      </c>
      <c r="O34" t="str">
        <f>MID(VLOOKUP(A34, Fechas_Estado!A:AE,22,0),12,8)</f>
        <v/>
      </c>
      <c r="P34" t="str">
        <f t="shared" si="4"/>
        <v xml:space="preserve"> </v>
      </c>
      <c r="Q34" t="str">
        <f>LEFT(VLOOKUP(A34, Fechas_Estado!A:AE,23,0),10)</f>
        <v/>
      </c>
      <c r="R34" t="str">
        <f>MID(VLOOKUP(A34, Fechas_Estado!A:AE,23,0),12,8)</f>
        <v/>
      </c>
      <c r="S34" t="str">
        <f t="shared" si="5"/>
        <v xml:space="preserve"> </v>
      </c>
      <c r="T34" t="str">
        <f>LEFT(VLOOKUP(A34, Fechas_Estado!A:AE,24,0),10)</f>
        <v/>
      </c>
      <c r="U34" t="str">
        <f>MID(VLOOKUP(A34, Fechas_Estado!A:AE,24,0),12,8)</f>
        <v/>
      </c>
      <c r="V34" t="str">
        <f t="shared" si="6"/>
        <v xml:space="preserve"> </v>
      </c>
      <c r="W34" t="str">
        <f>LEFT(VLOOKUP(A34, Fechas_Estado!A:AE,25,0),10)</f>
        <v>2024-09-19</v>
      </c>
      <c r="X34" t="str">
        <f>MID(VLOOKUP(A34, Fechas_Estado!A:AE,25,0),12,8)</f>
        <v>09:34:00</v>
      </c>
      <c r="Y34" t="str">
        <f t="shared" si="7"/>
        <v>2024-09-19 09:34:00</v>
      </c>
      <c r="Z34" t="str">
        <f>LEFT(VLOOKUP(A34, Fechas_Estado!A:AE,26,0),10)</f>
        <v>2024-09-19</v>
      </c>
      <c r="AA34" t="str">
        <f>MID(VLOOKUP(A34, Fechas_Estado!A:AE,26,0),12,8)</f>
        <v>12:12:39</v>
      </c>
      <c r="AB34" t="str">
        <f t="shared" si="8"/>
        <v>2024-09-19 12:12:39</v>
      </c>
      <c r="AC34" t="str">
        <f>LEFT(VLOOKUP(A34, Fechas_Estado!A:AE,27,0),10)</f>
        <v>2024-10-03</v>
      </c>
      <c r="AD34" t="str">
        <f>MID(VLOOKUP(A34, Fechas_Estado!A:AE,27,0),12,8)</f>
        <v>11:36:44</v>
      </c>
      <c r="AE34" t="str">
        <f t="shared" si="9"/>
        <v>2024-10-03 11:36:44</v>
      </c>
      <c r="AF34" t="str">
        <f>LEFT(VLOOKUP(A34, Fechas_Estado!A:AF,28,0),10)</f>
        <v>2024-10-04</v>
      </c>
      <c r="AG34" t="str">
        <f>MID(VLOOKUP(A34, Fechas_Estado!A:AF,28,0),12,8)</f>
        <v>09:42:05</v>
      </c>
      <c r="AH34" t="str">
        <f t="shared" si="10"/>
        <v>2024-10-04 09:42:05</v>
      </c>
      <c r="AI34" t="str">
        <f>LEFT(VLOOKUP(A34, Fechas_Estado!A:AF,16,0),10)</f>
        <v>2024-10-08</v>
      </c>
      <c r="AJ34" t="str">
        <f>MID(VLOOKUP(A34, Fechas_Estado!A:AF,16,0),12,8)</f>
        <v>09:26:08</v>
      </c>
      <c r="AK34" t="str">
        <f t="shared" si="11"/>
        <v>2024-10-08 09:26:08</v>
      </c>
      <c r="AL34">
        <f t="shared" si="18"/>
        <v>18.994687500002328</v>
      </c>
      <c r="AM34" t="str">
        <f>LEFT(VLOOKUP(A34, Fechas_Estado!A:AE,8,0),10)</f>
        <v>2024-10-08</v>
      </c>
      <c r="AN34" t="str">
        <f>MID(VLOOKUP(A34, Fechas_Estado!A:AE,8,0),12,8)</f>
        <v>09:26:18</v>
      </c>
      <c r="AO34" t="str">
        <f t="shared" si="12"/>
        <v>2024-10-08 09:26:18</v>
      </c>
      <c r="AP34" t="str">
        <f>LEFT(VLOOKUP(A34, Fechas_Estado!A:AE,7,0),10)</f>
        <v>2024-10-08</v>
      </c>
      <c r="AQ34" t="str">
        <f>MID(VLOOKUP(A34, Fechas_Estado!A:AE,7,0),12,8)</f>
        <v>09:26:25</v>
      </c>
      <c r="AR34" t="str">
        <f t="shared" si="13"/>
        <v>2024-10-08 09:26:25</v>
      </c>
      <c r="AS34" t="str">
        <f>LEFT(VLOOKUP(A34, Fechas_Estado!A:AE,10,0),10)</f>
        <v>2024-10-08</v>
      </c>
      <c r="AT34" t="str">
        <f>MID(VLOOKUP(A34, Fechas_Estado!A:AE,10,0),12,8)</f>
        <v>09:26:32</v>
      </c>
      <c r="AU34" t="str">
        <f t="shared" si="14"/>
        <v>2024-10-08 09:26:32</v>
      </c>
      <c r="AV34" t="str">
        <f>LEFT(VLOOKUP(A34, Fechas_Estado!A:AE,17,0),10)</f>
        <v>2024-10-08</v>
      </c>
      <c r="AW34" t="str">
        <f>MID(VLOOKUP(A34, Fechas_Estado!A:AE,17,0),12,8)</f>
        <v>09:26:40</v>
      </c>
      <c r="AX34" t="str">
        <f t="shared" si="15"/>
        <v>2024-10-08 09:26:40</v>
      </c>
      <c r="AY34">
        <f t="shared" si="19"/>
        <v>2.546296309446916E-4</v>
      </c>
      <c r="AZ34" t="str">
        <f>LEFT(VLOOKUP(A34, Fechas_Estado!A:AE,5,0),10)</f>
        <v>2024-10-08</v>
      </c>
      <c r="BA34" t="str">
        <f>MID(VLOOKUP(A34, Fechas_Estado!A:AE,5,0),12,8)</f>
        <v>19:01:44</v>
      </c>
      <c r="BB34" t="str">
        <f t="shared" si="16"/>
        <v>2024-10-08 19:01:44</v>
      </c>
      <c r="BC34">
        <f t="shared" si="17"/>
        <v>0.39935185185458977</v>
      </c>
    </row>
    <row r="35" spans="1:55" x14ac:dyDescent="0.25">
      <c r="A35" t="str">
        <f>Fechas_Estado!A34</f>
        <v>ESPC360-11691</v>
      </c>
      <c r="B35" t="str">
        <f>LEFT(VLOOKUP(A35,Fechas_Estado!A:AE,2,0),10)</f>
        <v>2024-09-19</v>
      </c>
      <c r="C35" t="str">
        <f>MID(VLOOKUP(A35, Fechas_Estado!A:AE,2,0),12,8)</f>
        <v>13:42:50</v>
      </c>
      <c r="D35" t="str">
        <f t="shared" si="0"/>
        <v>2024-09-19 13:42:50</v>
      </c>
      <c r="E35" t="str">
        <f>LEFT(VLOOKUP(A35, Fechas_Estado!A:AE,19,0),10)</f>
        <v/>
      </c>
      <c r="F35" t="str">
        <f>MID(VLOOKUP(A35, Fechas_Estado!A:AE,19,0),12,8)</f>
        <v/>
      </c>
      <c r="G35" t="str">
        <f t="shared" si="1"/>
        <v xml:space="preserve"> </v>
      </c>
      <c r="H35" t="str">
        <f>LEFT(VLOOKUP(A35, Fechas_Estado!A:AE,20,0),10)</f>
        <v/>
      </c>
      <c r="I35" t="str">
        <f>MID(VLOOKUP(A35, Fechas_Estado!A:AE,20,0),12,8)</f>
        <v/>
      </c>
      <c r="J35" t="str">
        <f t="shared" si="2"/>
        <v xml:space="preserve"> </v>
      </c>
      <c r="K35" t="str">
        <f>LEFT(VLOOKUP(A35, Fechas_Estado!A:AE,21,0),10)</f>
        <v/>
      </c>
      <c r="L35" t="str">
        <f>MID(VLOOKUP(A35, Fechas_Estado!A:AE,21,0),12,8)</f>
        <v/>
      </c>
      <c r="M35" t="str">
        <f t="shared" si="3"/>
        <v xml:space="preserve"> </v>
      </c>
      <c r="N35" t="str">
        <f>LEFT(VLOOKUP(A35, Fechas_Estado!A:AE,22,0),10)</f>
        <v/>
      </c>
      <c r="O35" t="str">
        <f>MID(VLOOKUP(A35, Fechas_Estado!A:AE,22,0),12,8)</f>
        <v/>
      </c>
      <c r="P35" t="str">
        <f t="shared" si="4"/>
        <v xml:space="preserve"> </v>
      </c>
      <c r="Q35" t="str">
        <f>LEFT(VLOOKUP(A35, Fechas_Estado!A:AE,23,0),10)</f>
        <v/>
      </c>
      <c r="R35" t="str">
        <f>MID(VLOOKUP(A35, Fechas_Estado!A:AE,23,0),12,8)</f>
        <v/>
      </c>
      <c r="S35" t="str">
        <f t="shared" si="5"/>
        <v xml:space="preserve"> </v>
      </c>
      <c r="T35" t="str">
        <f>LEFT(VLOOKUP(A35, Fechas_Estado!A:AE,24,0),10)</f>
        <v/>
      </c>
      <c r="U35" t="str">
        <f>MID(VLOOKUP(A35, Fechas_Estado!A:AE,24,0),12,8)</f>
        <v/>
      </c>
      <c r="V35" t="str">
        <f t="shared" si="6"/>
        <v xml:space="preserve"> </v>
      </c>
      <c r="W35" t="str">
        <f>LEFT(VLOOKUP(A35, Fechas_Estado!A:AE,25,0),10)</f>
        <v>2024-09-19</v>
      </c>
      <c r="X35" t="str">
        <f>MID(VLOOKUP(A35, Fechas_Estado!A:AE,25,0),12,8)</f>
        <v>13:43:02</v>
      </c>
      <c r="Y35" t="str">
        <f t="shared" si="7"/>
        <v>2024-09-19 13:43:02</v>
      </c>
      <c r="Z35" t="str">
        <f>LEFT(VLOOKUP(A35, Fechas_Estado!A:AE,26,0),10)</f>
        <v>2024-10-04</v>
      </c>
      <c r="AA35" t="str">
        <f>MID(VLOOKUP(A35, Fechas_Estado!A:AE,26,0),12,8)</f>
        <v>09:06:54</v>
      </c>
      <c r="AB35" t="str">
        <f t="shared" si="8"/>
        <v>2024-10-04 09:06:54</v>
      </c>
      <c r="AC35" t="str">
        <f>LEFT(VLOOKUP(A35, Fechas_Estado!A:AE,27,0),10)</f>
        <v>2024-10-09</v>
      </c>
      <c r="AD35" t="str">
        <f>MID(VLOOKUP(A35, Fechas_Estado!A:AE,27,0),12,8)</f>
        <v>13:35:46</v>
      </c>
      <c r="AE35" t="str">
        <f t="shared" si="9"/>
        <v>2024-10-09 13:35:46</v>
      </c>
      <c r="AF35" t="str">
        <f>LEFT(VLOOKUP(A35, Fechas_Estado!A:AF,28,0),10)</f>
        <v/>
      </c>
      <c r="AG35" t="str">
        <f>MID(VLOOKUP(A35, Fechas_Estado!A:AF,28,0),12,8)</f>
        <v/>
      </c>
      <c r="AH35" t="str">
        <f t="shared" si="10"/>
        <v xml:space="preserve"> </v>
      </c>
      <c r="AI35" t="str">
        <f>LEFT(VLOOKUP(A35, Fechas_Estado!A:AF,16,0),10)</f>
        <v>2024-10-09</v>
      </c>
      <c r="AJ35" t="str">
        <f>MID(VLOOKUP(A35, Fechas_Estado!A:AF,16,0),12,8)</f>
        <v>15:09:07</v>
      </c>
      <c r="AK35" t="str">
        <f t="shared" si="11"/>
        <v>2024-10-09 15:09:07</v>
      </c>
      <c r="AL35">
        <f t="shared" si="18"/>
        <v>20.059918981482042</v>
      </c>
      <c r="AM35" t="str">
        <f>LEFT(VLOOKUP(A35, Fechas_Estado!A:AE,8,0),10)</f>
        <v>2024-10-09</v>
      </c>
      <c r="AN35" t="str">
        <f>MID(VLOOKUP(A35, Fechas_Estado!A:AE,8,0),12,8)</f>
        <v>15:09:10</v>
      </c>
      <c r="AO35" t="str">
        <f t="shared" si="12"/>
        <v>2024-10-09 15:09:10</v>
      </c>
      <c r="AP35" t="str">
        <f>LEFT(VLOOKUP(A35, Fechas_Estado!A:AE,7,0),10)</f>
        <v>2024-10-09</v>
      </c>
      <c r="AQ35" t="str">
        <f>MID(VLOOKUP(A35, Fechas_Estado!A:AE,7,0),12,8)</f>
        <v>15:09:13</v>
      </c>
      <c r="AR35" t="str">
        <f t="shared" si="13"/>
        <v>2024-10-09 15:09:13</v>
      </c>
      <c r="AS35" t="str">
        <f>LEFT(VLOOKUP(A35, Fechas_Estado!A:AE,10,0),10)</f>
        <v>2024-10-09</v>
      </c>
      <c r="AT35" t="str">
        <f>MID(VLOOKUP(A35, Fechas_Estado!A:AE,10,0),12,8)</f>
        <v>15:09:18</v>
      </c>
      <c r="AU35" t="str">
        <f t="shared" si="14"/>
        <v>2024-10-09 15:09:18</v>
      </c>
      <c r="AV35" t="str">
        <f>LEFT(VLOOKUP(A35, Fechas_Estado!A:AE,17,0),10)</f>
        <v>2024-10-09</v>
      </c>
      <c r="AW35" t="str">
        <f>MID(VLOOKUP(A35, Fechas_Estado!A:AE,17,0),12,8)</f>
        <v>15:09:20</v>
      </c>
      <c r="AX35" t="str">
        <f t="shared" si="15"/>
        <v>2024-10-09 15:09:20</v>
      </c>
      <c r="AY35">
        <f t="shared" si="19"/>
        <v>1.1574074596865103E-4</v>
      </c>
      <c r="AZ35" t="str">
        <f>LEFT(VLOOKUP(A35, Fechas_Estado!A:AE,5,0),10)</f>
        <v>2024-10-09</v>
      </c>
      <c r="BA35" t="str">
        <f>MID(VLOOKUP(A35, Fechas_Estado!A:AE,5,0),12,8)</f>
        <v>15:09:30</v>
      </c>
      <c r="BB35" t="str">
        <f t="shared" si="16"/>
        <v>2024-10-09 15:09:30</v>
      </c>
      <c r="BC35">
        <f t="shared" si="17"/>
        <v>1.1574073869269341E-4</v>
      </c>
    </row>
    <row r="36" spans="1:55" x14ac:dyDescent="0.25">
      <c r="A36" t="str">
        <f>Fechas_Estado!A35</f>
        <v>ESPC360-11717</v>
      </c>
      <c r="B36" t="str">
        <f>LEFT(VLOOKUP(A36,Fechas_Estado!A:AE,2,0),10)</f>
        <v>2024-09-23</v>
      </c>
      <c r="C36" t="str">
        <f>MID(VLOOKUP(A36, Fechas_Estado!A:AE,2,0),12,8)</f>
        <v>08:56:17</v>
      </c>
      <c r="D36" t="str">
        <f t="shared" si="0"/>
        <v>2024-09-23 08:56:17</v>
      </c>
      <c r="E36" t="str">
        <f>LEFT(VLOOKUP(A36, Fechas_Estado!A:AE,19,0),10)</f>
        <v/>
      </c>
      <c r="F36" t="str">
        <f>MID(VLOOKUP(A36, Fechas_Estado!A:AE,19,0),12,8)</f>
        <v/>
      </c>
      <c r="G36" t="str">
        <f t="shared" si="1"/>
        <v xml:space="preserve"> </v>
      </c>
      <c r="H36" t="str">
        <f>LEFT(VLOOKUP(A36, Fechas_Estado!A:AE,20,0),10)</f>
        <v/>
      </c>
      <c r="I36" t="str">
        <f>MID(VLOOKUP(A36, Fechas_Estado!A:AE,20,0),12,8)</f>
        <v/>
      </c>
      <c r="J36" t="str">
        <f t="shared" si="2"/>
        <v xml:space="preserve"> </v>
      </c>
      <c r="K36" t="str">
        <f>LEFT(VLOOKUP(A36, Fechas_Estado!A:AE,21,0),10)</f>
        <v/>
      </c>
      <c r="L36" t="str">
        <f>MID(VLOOKUP(A36, Fechas_Estado!A:AE,21,0),12,8)</f>
        <v/>
      </c>
      <c r="M36" t="str">
        <f t="shared" si="3"/>
        <v xml:space="preserve"> </v>
      </c>
      <c r="N36" t="str">
        <f>LEFT(VLOOKUP(A36, Fechas_Estado!A:AE,22,0),10)</f>
        <v/>
      </c>
      <c r="O36" t="str">
        <f>MID(VLOOKUP(A36, Fechas_Estado!A:AE,22,0),12,8)</f>
        <v/>
      </c>
      <c r="P36" t="str">
        <f t="shared" si="4"/>
        <v xml:space="preserve"> </v>
      </c>
      <c r="Q36" t="str">
        <f>LEFT(VLOOKUP(A36, Fechas_Estado!A:AE,23,0),10)</f>
        <v/>
      </c>
      <c r="R36" t="str">
        <f>MID(VLOOKUP(A36, Fechas_Estado!A:AE,23,0),12,8)</f>
        <v/>
      </c>
      <c r="S36" t="str">
        <f t="shared" si="5"/>
        <v xml:space="preserve"> </v>
      </c>
      <c r="T36" t="str">
        <f>LEFT(VLOOKUP(A36, Fechas_Estado!A:AE,24,0),10)</f>
        <v/>
      </c>
      <c r="U36" t="str">
        <f>MID(VLOOKUP(A36, Fechas_Estado!A:AE,24,0),12,8)</f>
        <v/>
      </c>
      <c r="V36" t="str">
        <f t="shared" si="6"/>
        <v xml:space="preserve"> </v>
      </c>
      <c r="W36" t="str">
        <f>LEFT(VLOOKUP(A36, Fechas_Estado!A:AE,25,0),10)</f>
        <v>2024-09-23</v>
      </c>
      <c r="X36" t="str">
        <f>MID(VLOOKUP(A36, Fechas_Estado!A:AE,25,0),12,8)</f>
        <v>09:52:11</v>
      </c>
      <c r="Y36" t="str">
        <f t="shared" si="7"/>
        <v>2024-09-23 09:52:11</v>
      </c>
      <c r="Z36" t="str">
        <f>LEFT(VLOOKUP(A36, Fechas_Estado!A:AE,26,0),10)</f>
        <v>2024-09-24</v>
      </c>
      <c r="AA36" t="str">
        <f>MID(VLOOKUP(A36, Fechas_Estado!A:AE,26,0),12,8)</f>
        <v>09:34:40</v>
      </c>
      <c r="AB36" t="str">
        <f t="shared" si="8"/>
        <v>2024-09-24 09:34:40</v>
      </c>
      <c r="AC36" t="str">
        <f>LEFT(VLOOKUP(A36, Fechas_Estado!A:AE,27,0),10)</f>
        <v>2024-09-24</v>
      </c>
      <c r="AD36" t="str">
        <f>MID(VLOOKUP(A36, Fechas_Estado!A:AE,27,0),12,8)</f>
        <v>13:32:02</v>
      </c>
      <c r="AE36" t="str">
        <f t="shared" si="9"/>
        <v>2024-09-24 13:32:02</v>
      </c>
      <c r="AF36" t="str">
        <f>LEFT(VLOOKUP(A36, Fechas_Estado!A:AF,28,0),10)</f>
        <v/>
      </c>
      <c r="AG36" t="str">
        <f>MID(VLOOKUP(A36, Fechas_Estado!A:AF,28,0),12,8)</f>
        <v/>
      </c>
      <c r="AH36" t="str">
        <f t="shared" si="10"/>
        <v xml:space="preserve"> </v>
      </c>
      <c r="AI36" t="str">
        <f>LEFT(VLOOKUP(A36, Fechas_Estado!A:AF,16,0),10)</f>
        <v>2024-10-02</v>
      </c>
      <c r="AJ36" t="str">
        <f>MID(VLOOKUP(A36, Fechas_Estado!A:AF,16,0),12,8)</f>
        <v>11:17:19</v>
      </c>
      <c r="AK36" t="str">
        <f t="shared" si="11"/>
        <v>2024-10-02 11:17:19</v>
      </c>
      <c r="AL36">
        <f t="shared" si="18"/>
        <v>9.0979398148119799</v>
      </c>
      <c r="AM36" t="str">
        <f>LEFT(VLOOKUP(A36, Fechas_Estado!A:AE,8,0),10)</f>
        <v>2024-10-04</v>
      </c>
      <c r="AN36" t="str">
        <f>MID(VLOOKUP(A36, Fechas_Estado!A:AE,8,0),12,8)</f>
        <v>10:00:49</v>
      </c>
      <c r="AO36" t="str">
        <f t="shared" si="12"/>
        <v>2024-10-04 10:00:49</v>
      </c>
      <c r="AP36" t="str">
        <f>LEFT(VLOOKUP(A36, Fechas_Estado!A:AE,7,0),10)</f>
        <v>2024-10-07</v>
      </c>
      <c r="AQ36" t="str">
        <f>MID(VLOOKUP(A36, Fechas_Estado!A:AE,7,0),12,8)</f>
        <v>09:30:26</v>
      </c>
      <c r="AR36" t="str">
        <f t="shared" si="13"/>
        <v>2024-10-07 09:30:26</v>
      </c>
      <c r="AS36" t="str">
        <f>LEFT(VLOOKUP(A36, Fechas_Estado!A:AE,10,0),10)</f>
        <v>2024-10-09</v>
      </c>
      <c r="AT36" t="str">
        <f>MID(VLOOKUP(A36, Fechas_Estado!A:AE,10,0),12,8)</f>
        <v>09:39:17</v>
      </c>
      <c r="AU36" t="str">
        <f t="shared" si="14"/>
        <v>2024-10-09 09:39:17</v>
      </c>
      <c r="AV36" t="str">
        <f>LEFT(VLOOKUP(A36, Fechas_Estado!A:AE,17,0),10)</f>
        <v>2024-10-15</v>
      </c>
      <c r="AW36" t="str">
        <f>MID(VLOOKUP(A36, Fechas_Estado!A:AE,17,0),12,8)</f>
        <v>10:06:09</v>
      </c>
      <c r="AX36" t="str">
        <f t="shared" si="15"/>
        <v>2024-10-15 10:06:09</v>
      </c>
      <c r="AY36">
        <f t="shared" si="19"/>
        <v>11.00370370370365</v>
      </c>
      <c r="AZ36" t="str">
        <f>LEFT(VLOOKUP(A36, Fechas_Estado!A:AE,5,0),10)</f>
        <v>2024-10-31</v>
      </c>
      <c r="BA36" t="str">
        <f>MID(VLOOKUP(A36, Fechas_Estado!A:AE,5,0),12,8)</f>
        <v>09:15:06</v>
      </c>
      <c r="BB36" t="str">
        <f t="shared" si="16"/>
        <v>2024-10-31 09:15:06</v>
      </c>
      <c r="BC36">
        <f t="shared" si="17"/>
        <v>15.96454861111124</v>
      </c>
    </row>
    <row r="37" spans="1:55" x14ac:dyDescent="0.25">
      <c r="A37" t="str">
        <f>Fechas_Estado!A36</f>
        <v>ESPC360-11718</v>
      </c>
      <c r="B37" t="str">
        <f>LEFT(VLOOKUP(A37,Fechas_Estado!A:AE,2,0),10)</f>
        <v>2024-09-23</v>
      </c>
      <c r="C37" t="str">
        <f>MID(VLOOKUP(A37, Fechas_Estado!A:AE,2,0),12,8)</f>
        <v>09:28:59</v>
      </c>
      <c r="D37" t="str">
        <f t="shared" si="0"/>
        <v>2024-09-23 09:28:59</v>
      </c>
      <c r="E37" t="str">
        <f>LEFT(VLOOKUP(A37, Fechas_Estado!A:AE,19,0),10)</f>
        <v/>
      </c>
      <c r="F37" t="str">
        <f>MID(VLOOKUP(A37, Fechas_Estado!A:AE,19,0),12,8)</f>
        <v/>
      </c>
      <c r="G37" t="str">
        <f t="shared" si="1"/>
        <v xml:space="preserve"> </v>
      </c>
      <c r="H37" t="str">
        <f>LEFT(VLOOKUP(A37, Fechas_Estado!A:AE,20,0),10)</f>
        <v/>
      </c>
      <c r="I37" t="str">
        <f>MID(VLOOKUP(A37, Fechas_Estado!A:AE,20,0),12,8)</f>
        <v/>
      </c>
      <c r="J37" t="str">
        <f t="shared" si="2"/>
        <v xml:space="preserve"> </v>
      </c>
      <c r="K37" t="str">
        <f>LEFT(VLOOKUP(A37, Fechas_Estado!A:AE,21,0),10)</f>
        <v/>
      </c>
      <c r="L37" t="str">
        <f>MID(VLOOKUP(A37, Fechas_Estado!A:AE,21,0),12,8)</f>
        <v/>
      </c>
      <c r="M37" t="str">
        <f t="shared" si="3"/>
        <v xml:space="preserve"> </v>
      </c>
      <c r="N37" t="str">
        <f>LEFT(VLOOKUP(A37, Fechas_Estado!A:AE,22,0),10)</f>
        <v/>
      </c>
      <c r="O37" t="str">
        <f>MID(VLOOKUP(A37, Fechas_Estado!A:AE,22,0),12,8)</f>
        <v/>
      </c>
      <c r="P37" t="str">
        <f t="shared" si="4"/>
        <v xml:space="preserve"> </v>
      </c>
      <c r="Q37" t="str">
        <f>LEFT(VLOOKUP(A37, Fechas_Estado!A:AE,23,0),10)</f>
        <v/>
      </c>
      <c r="R37" t="str">
        <f>MID(VLOOKUP(A37, Fechas_Estado!A:AE,23,0),12,8)</f>
        <v/>
      </c>
      <c r="S37" t="str">
        <f t="shared" si="5"/>
        <v xml:space="preserve"> </v>
      </c>
      <c r="T37" t="str">
        <f>LEFT(VLOOKUP(A37, Fechas_Estado!A:AE,24,0),10)</f>
        <v/>
      </c>
      <c r="U37" t="str">
        <f>MID(VLOOKUP(A37, Fechas_Estado!A:AE,24,0),12,8)</f>
        <v/>
      </c>
      <c r="V37" t="str">
        <f t="shared" si="6"/>
        <v xml:space="preserve"> </v>
      </c>
      <c r="W37" t="str">
        <f>LEFT(VLOOKUP(A37, Fechas_Estado!A:AE,25,0),10)</f>
        <v>2024-09-23</v>
      </c>
      <c r="X37" t="str">
        <f>MID(VLOOKUP(A37, Fechas_Estado!A:AE,25,0),12,8)</f>
        <v>09:51:39</v>
      </c>
      <c r="Y37" t="str">
        <f t="shared" si="7"/>
        <v>2024-09-23 09:51:39</v>
      </c>
      <c r="Z37" t="str">
        <f>LEFT(VLOOKUP(A37, Fechas_Estado!A:AE,26,0),10)</f>
        <v>2024-09-30</v>
      </c>
      <c r="AA37" t="str">
        <f>MID(VLOOKUP(A37, Fechas_Estado!A:AE,26,0),12,8)</f>
        <v>09:44:01</v>
      </c>
      <c r="AB37" t="str">
        <f t="shared" si="8"/>
        <v>2024-09-30 09:44:01</v>
      </c>
      <c r="AC37" t="str">
        <f>LEFT(VLOOKUP(A37, Fechas_Estado!A:AE,27,0),10)</f>
        <v>2024-09-30</v>
      </c>
      <c r="AD37" t="str">
        <f>MID(VLOOKUP(A37, Fechas_Estado!A:AE,27,0),12,8)</f>
        <v>16:35:16</v>
      </c>
      <c r="AE37" t="str">
        <f t="shared" si="9"/>
        <v>2024-09-30 16:35:16</v>
      </c>
      <c r="AF37" t="str">
        <f>LEFT(VLOOKUP(A37, Fechas_Estado!A:AF,28,0),10)</f>
        <v/>
      </c>
      <c r="AG37" t="str">
        <f>MID(VLOOKUP(A37, Fechas_Estado!A:AF,28,0),12,8)</f>
        <v/>
      </c>
      <c r="AH37" t="str">
        <f t="shared" si="10"/>
        <v xml:space="preserve"> </v>
      </c>
      <c r="AI37" t="str">
        <f>LEFT(VLOOKUP(A37, Fechas_Estado!A:AF,16,0),10)</f>
        <v>2024-10-02</v>
      </c>
      <c r="AJ37" t="str">
        <f>MID(VLOOKUP(A37, Fechas_Estado!A:AF,16,0),12,8)</f>
        <v>11:32:23</v>
      </c>
      <c r="AK37" t="str">
        <f t="shared" si="11"/>
        <v>2024-10-02 11:32:23</v>
      </c>
      <c r="AL37">
        <f t="shared" si="18"/>
        <v>9.085694444445835</v>
      </c>
      <c r="AM37" t="str">
        <f>LEFT(VLOOKUP(A37, Fechas_Estado!A:AE,8,0),10)</f>
        <v>2024-10-08</v>
      </c>
      <c r="AN37" t="str">
        <f>MID(VLOOKUP(A37, Fechas_Estado!A:AE,8,0),12,8)</f>
        <v>10:11:13</v>
      </c>
      <c r="AO37" t="str">
        <f t="shared" si="12"/>
        <v>2024-10-08 10:11:13</v>
      </c>
      <c r="AP37" t="str">
        <f>LEFT(VLOOKUP(A37, Fechas_Estado!A:AE,7,0),10)</f>
        <v>2024-10-09</v>
      </c>
      <c r="AQ37" t="str">
        <f>MID(VLOOKUP(A37, Fechas_Estado!A:AE,7,0),12,8)</f>
        <v>09:10:15</v>
      </c>
      <c r="AR37" t="str">
        <f t="shared" si="13"/>
        <v>2024-10-09 09:10:15</v>
      </c>
      <c r="AS37" t="str">
        <f>LEFT(VLOOKUP(A37, Fechas_Estado!A:AE,10,0),10)</f>
        <v>2024-10-09</v>
      </c>
      <c r="AT37" t="str">
        <f>MID(VLOOKUP(A37, Fechas_Estado!A:AE,10,0),12,8)</f>
        <v>09:39:49</v>
      </c>
      <c r="AU37" t="str">
        <f t="shared" si="14"/>
        <v>2024-10-09 09:39:49</v>
      </c>
      <c r="AV37" t="str">
        <f>LEFT(VLOOKUP(A37, Fechas_Estado!A:AE,17,0),10)</f>
        <v>2024-10-15</v>
      </c>
      <c r="AW37" t="str">
        <f>MID(VLOOKUP(A37, Fechas_Estado!A:AE,17,0),12,8)</f>
        <v>10:06:16</v>
      </c>
      <c r="AX37" t="str">
        <f t="shared" si="15"/>
        <v>2024-10-15 10:06:16</v>
      </c>
      <c r="AY37">
        <f t="shared" si="19"/>
        <v>6.9965625000040745</v>
      </c>
      <c r="AZ37" t="str">
        <f>LEFT(VLOOKUP(A37, Fechas_Estado!A:AE,5,0),10)</f>
        <v>2024-10-31</v>
      </c>
      <c r="BA37" t="str">
        <f>MID(VLOOKUP(A37, Fechas_Estado!A:AE,5,0),12,8)</f>
        <v>09:15:06</v>
      </c>
      <c r="BB37" t="str">
        <f t="shared" si="16"/>
        <v>2024-10-31 09:15:06</v>
      </c>
      <c r="BC37">
        <f t="shared" si="17"/>
        <v>15.964467592588335</v>
      </c>
    </row>
    <row r="38" spans="1:55" x14ac:dyDescent="0.25">
      <c r="A38" t="str">
        <f>Fechas_Estado!A37</f>
        <v>ESPC360-11736</v>
      </c>
      <c r="B38" t="str">
        <f>LEFT(VLOOKUP(A38,Fechas_Estado!A:AE,2,0),10)</f>
        <v>2024-09-23</v>
      </c>
      <c r="C38" t="str">
        <f>MID(VLOOKUP(A38, Fechas_Estado!A:AE,2,0),12,8)</f>
        <v>10:27:44</v>
      </c>
      <c r="D38" t="str">
        <f t="shared" si="0"/>
        <v>2024-09-23 10:27:44</v>
      </c>
      <c r="E38" t="str">
        <f>LEFT(VLOOKUP(A38, Fechas_Estado!A:AE,19,0),10)</f>
        <v>2024-09-23</v>
      </c>
      <c r="F38" t="str">
        <f>MID(VLOOKUP(A38, Fechas_Estado!A:AE,19,0),12,8)</f>
        <v>16:07:08</v>
      </c>
      <c r="G38" t="str">
        <f t="shared" si="1"/>
        <v>2024-09-23 16:07:08</v>
      </c>
      <c r="H38" t="str">
        <f>LEFT(VLOOKUP(A38, Fechas_Estado!A:AE,20,0),10)</f>
        <v>2024-09-23</v>
      </c>
      <c r="I38" t="str">
        <f>MID(VLOOKUP(A38, Fechas_Estado!A:AE,20,0),12,8)</f>
        <v>16:07:13</v>
      </c>
      <c r="J38" t="str">
        <f t="shared" si="2"/>
        <v>2024-09-23 16:07:13</v>
      </c>
      <c r="K38" t="str">
        <f>LEFT(VLOOKUP(A38, Fechas_Estado!A:AE,21,0),10)</f>
        <v>2024-09-23</v>
      </c>
      <c r="L38" t="str">
        <f>MID(VLOOKUP(A38, Fechas_Estado!A:AE,21,0),12,8)</f>
        <v>16:07:15</v>
      </c>
      <c r="M38" t="str">
        <f t="shared" si="3"/>
        <v>2024-09-23 16:07:15</v>
      </c>
      <c r="N38" t="str">
        <f>LEFT(VLOOKUP(A38, Fechas_Estado!A:AE,22,0),10)</f>
        <v>2024-09-23</v>
      </c>
      <c r="O38" t="str">
        <f>MID(VLOOKUP(A38, Fechas_Estado!A:AE,22,0),12,8)</f>
        <v>16:07:18</v>
      </c>
      <c r="P38" t="str">
        <f t="shared" si="4"/>
        <v>2024-09-23 16:07:18</v>
      </c>
      <c r="Q38" t="str">
        <f>LEFT(VLOOKUP(A38, Fechas_Estado!A:AE,23,0),10)</f>
        <v>2024-09-23</v>
      </c>
      <c r="R38" t="str">
        <f>MID(VLOOKUP(A38, Fechas_Estado!A:AE,23,0),12,8)</f>
        <v>16:07:21</v>
      </c>
      <c r="S38" t="str">
        <f t="shared" si="5"/>
        <v>2024-09-23 16:07:21</v>
      </c>
      <c r="T38" t="str">
        <f>LEFT(VLOOKUP(A38, Fechas_Estado!A:AE,24,0),10)</f>
        <v>2024-09-23</v>
      </c>
      <c r="U38" t="str">
        <f>MID(VLOOKUP(A38, Fechas_Estado!A:AE,24,0),12,8)</f>
        <v>16:07:37</v>
      </c>
      <c r="V38" t="str">
        <f t="shared" si="6"/>
        <v>2024-09-23 16:07:37</v>
      </c>
      <c r="W38" t="str">
        <f>LEFT(VLOOKUP(A38, Fechas_Estado!A:AE,25,0),10)</f>
        <v>2024-09-23</v>
      </c>
      <c r="X38" t="str">
        <f>MID(VLOOKUP(A38, Fechas_Estado!A:AE,25,0),12,8)</f>
        <v>16:07:40</v>
      </c>
      <c r="Y38" t="str">
        <f t="shared" si="7"/>
        <v>2024-09-23 16:07:40</v>
      </c>
      <c r="Z38" t="str">
        <f>LEFT(VLOOKUP(A38, Fechas_Estado!A:AE,26,0),10)</f>
        <v>2024-09-30</v>
      </c>
      <c r="AA38" t="str">
        <f>MID(VLOOKUP(A38, Fechas_Estado!A:AE,26,0),12,8)</f>
        <v>16:59:17</v>
      </c>
      <c r="AB38" t="str">
        <f t="shared" si="8"/>
        <v>2024-09-30 16:59:17</v>
      </c>
      <c r="AC38" t="str">
        <f>LEFT(VLOOKUP(A38, Fechas_Estado!A:AE,27,0),10)</f>
        <v>2024-10-08</v>
      </c>
      <c r="AD38" t="str">
        <f>MID(VLOOKUP(A38, Fechas_Estado!A:AE,27,0),12,8)</f>
        <v>09:27:03</v>
      </c>
      <c r="AE38" t="str">
        <f t="shared" si="9"/>
        <v>2024-10-08 09:27:03</v>
      </c>
      <c r="AF38" t="str">
        <f>LEFT(VLOOKUP(A38, Fechas_Estado!A:AF,28,0),10)</f>
        <v/>
      </c>
      <c r="AG38" t="str">
        <f>MID(VLOOKUP(A38, Fechas_Estado!A:AF,28,0),12,8)</f>
        <v/>
      </c>
      <c r="AH38" t="str">
        <f t="shared" si="10"/>
        <v xml:space="preserve"> </v>
      </c>
      <c r="AI38" t="str">
        <f>LEFT(VLOOKUP(A38, Fechas_Estado!A:AF,16,0),10)</f>
        <v>2024-10-08</v>
      </c>
      <c r="AJ38" t="str">
        <f>MID(VLOOKUP(A38, Fechas_Estado!A:AF,16,0),12,8)</f>
        <v>10:32:03</v>
      </c>
      <c r="AK38" t="str">
        <f t="shared" si="11"/>
        <v>2024-10-08 10:32:03</v>
      </c>
      <c r="AL38">
        <f t="shared" si="18"/>
        <v>15.002997685180162</v>
      </c>
      <c r="AM38" t="str">
        <f>LEFT(VLOOKUP(A38, Fechas_Estado!A:AE,8,0),10)</f>
        <v>2024-10-09</v>
      </c>
      <c r="AN38" t="str">
        <f>MID(VLOOKUP(A38, Fechas_Estado!A:AE,8,0),12,8)</f>
        <v>08:40:44</v>
      </c>
      <c r="AO38" t="str">
        <f t="shared" si="12"/>
        <v>2024-10-09 08:40:44</v>
      </c>
      <c r="AP38" t="str">
        <f>LEFT(VLOOKUP(A38, Fechas_Estado!A:AE,7,0),10)</f>
        <v>2024-10-09</v>
      </c>
      <c r="AQ38" t="str">
        <f>MID(VLOOKUP(A38, Fechas_Estado!A:AE,7,0),12,8)</f>
        <v>09:22:37</v>
      </c>
      <c r="AR38" t="str">
        <f t="shared" si="13"/>
        <v>2024-10-09 09:22:37</v>
      </c>
      <c r="AS38" t="str">
        <f>LEFT(VLOOKUP(A38, Fechas_Estado!A:AE,10,0),10)</f>
        <v>2024-10-09</v>
      </c>
      <c r="AT38" t="str">
        <f>MID(VLOOKUP(A38, Fechas_Estado!A:AE,10,0),12,8)</f>
        <v>09:22:42</v>
      </c>
      <c r="AU38" t="str">
        <f t="shared" si="14"/>
        <v>2024-10-09 09:22:42</v>
      </c>
      <c r="AV38" t="str">
        <f>LEFT(VLOOKUP(A38, Fechas_Estado!A:AE,17,0),10)</f>
        <v>2024-10-15</v>
      </c>
      <c r="AW38" t="str">
        <f>MID(VLOOKUP(A38, Fechas_Estado!A:AE,17,0),12,8)</f>
        <v>10:06:05</v>
      </c>
      <c r="AX38" t="str">
        <f t="shared" si="15"/>
        <v>2024-10-15 10:06:05</v>
      </c>
      <c r="AY38">
        <f t="shared" si="19"/>
        <v>6.0592708333351766</v>
      </c>
      <c r="AZ38" t="str">
        <f>LEFT(VLOOKUP(A38, Fechas_Estado!A:AE,5,0),10)</f>
        <v>2024-10-31</v>
      </c>
      <c r="BA38" t="str">
        <f>MID(VLOOKUP(A38, Fechas_Estado!A:AE,5,0),12,8)</f>
        <v>09:15:07</v>
      </c>
      <c r="BB38" t="str">
        <f t="shared" si="16"/>
        <v>2024-10-31 09:15:07</v>
      </c>
      <c r="BC38">
        <f t="shared" si="17"/>
        <v>15.964606481480587</v>
      </c>
    </row>
    <row r="39" spans="1:55" x14ac:dyDescent="0.25">
      <c r="A39" t="str">
        <f>Fechas_Estado!A38</f>
        <v>ESPC360-11780</v>
      </c>
      <c r="B39" t="str">
        <f>LEFT(VLOOKUP(A39,Fechas_Estado!A:AE,2,0),10)</f>
        <v>2024-09-23</v>
      </c>
      <c r="C39" t="str">
        <f>MID(VLOOKUP(A39, Fechas_Estado!A:AE,2,0),12,8)</f>
        <v>13:07:57</v>
      </c>
      <c r="D39" t="str">
        <f t="shared" si="0"/>
        <v>2024-09-23 13:07:57</v>
      </c>
      <c r="E39" t="str">
        <f>LEFT(VLOOKUP(A39, Fechas_Estado!A:AE,19,0),10)</f>
        <v>2024-09-27</v>
      </c>
      <c r="F39" t="str">
        <f>MID(VLOOKUP(A39, Fechas_Estado!A:AE,19,0),12,8)</f>
        <v>10:51:15</v>
      </c>
      <c r="G39" t="str">
        <f t="shared" si="1"/>
        <v>2024-09-27 10:51:15</v>
      </c>
      <c r="H39" t="str">
        <f>LEFT(VLOOKUP(A39, Fechas_Estado!A:AE,20,0),10)</f>
        <v>2024-09-27</v>
      </c>
      <c r="I39" t="str">
        <f>MID(VLOOKUP(A39, Fechas_Estado!A:AE,20,0),12,8)</f>
        <v>11:28:40</v>
      </c>
      <c r="J39" t="str">
        <f t="shared" si="2"/>
        <v>2024-09-27 11:28:40</v>
      </c>
      <c r="K39" t="str">
        <f>LEFT(VLOOKUP(A39, Fechas_Estado!A:AE,21,0),10)</f>
        <v>2024-09-27</v>
      </c>
      <c r="L39" t="str">
        <f>MID(VLOOKUP(A39, Fechas_Estado!A:AE,21,0),12,8)</f>
        <v>11:28:43</v>
      </c>
      <c r="M39" t="str">
        <f t="shared" si="3"/>
        <v>2024-09-27 11:28:43</v>
      </c>
      <c r="N39" t="str">
        <f>LEFT(VLOOKUP(A39, Fechas_Estado!A:AE,22,0),10)</f>
        <v>2024-09-27</v>
      </c>
      <c r="O39" t="str">
        <f>MID(VLOOKUP(A39, Fechas_Estado!A:AE,22,0),12,8)</f>
        <v>11:28:45</v>
      </c>
      <c r="P39" t="str">
        <f t="shared" si="4"/>
        <v>2024-09-27 11:28:45</v>
      </c>
      <c r="Q39" t="str">
        <f>LEFT(VLOOKUP(A39, Fechas_Estado!A:AE,23,0),10)</f>
        <v>2024-09-30</v>
      </c>
      <c r="R39" t="str">
        <f>MID(VLOOKUP(A39, Fechas_Estado!A:AE,23,0),12,8)</f>
        <v>09:46:22</v>
      </c>
      <c r="S39" t="str">
        <f t="shared" si="5"/>
        <v>2024-09-30 09:46:22</v>
      </c>
      <c r="T39" t="str">
        <f>LEFT(VLOOKUP(A39, Fechas_Estado!A:AE,24,0),10)</f>
        <v>2024-09-23</v>
      </c>
      <c r="U39" t="str">
        <f>MID(VLOOKUP(A39, Fechas_Estado!A:AE,24,0),12,8)</f>
        <v>16:08:12</v>
      </c>
      <c r="V39" t="str">
        <f t="shared" si="6"/>
        <v>2024-09-23 16:08:12</v>
      </c>
      <c r="W39" t="str">
        <f>LEFT(VLOOKUP(A39, Fechas_Estado!A:AE,25,0),10)</f>
        <v>2024-10-01</v>
      </c>
      <c r="X39" t="str">
        <f>MID(VLOOKUP(A39, Fechas_Estado!A:AE,25,0),12,8)</f>
        <v>12:26:42</v>
      </c>
      <c r="Y39" t="str">
        <f t="shared" si="7"/>
        <v>2024-10-01 12:26:42</v>
      </c>
      <c r="Z39" t="str">
        <f>LEFT(VLOOKUP(A39, Fechas_Estado!A:AE,26,0),10)</f>
        <v>2024-10-01</v>
      </c>
      <c r="AA39" t="str">
        <f>MID(VLOOKUP(A39, Fechas_Estado!A:AE,26,0),12,8)</f>
        <v>13:20:01</v>
      </c>
      <c r="AB39" t="str">
        <f t="shared" si="8"/>
        <v>2024-10-01 13:20:01</v>
      </c>
      <c r="AC39" t="str">
        <f>LEFT(VLOOKUP(A39, Fechas_Estado!A:AE,27,0),10)</f>
        <v>2024-10-01</v>
      </c>
      <c r="AD39" t="str">
        <f>MID(VLOOKUP(A39, Fechas_Estado!A:AE,27,0),12,8)</f>
        <v>13:20:06</v>
      </c>
      <c r="AE39" t="str">
        <f t="shared" si="9"/>
        <v>2024-10-01 13:20:06</v>
      </c>
      <c r="AF39" t="str">
        <f>LEFT(VLOOKUP(A39, Fechas_Estado!A:AF,28,0),10)</f>
        <v/>
      </c>
      <c r="AG39" t="str">
        <f>MID(VLOOKUP(A39, Fechas_Estado!A:AF,28,0),12,8)</f>
        <v/>
      </c>
      <c r="AH39" t="str">
        <f t="shared" si="10"/>
        <v xml:space="preserve"> </v>
      </c>
      <c r="AI39" t="str">
        <f>LEFT(VLOOKUP(A39, Fechas_Estado!A:AF,16,0),10)</f>
        <v>2024-10-02</v>
      </c>
      <c r="AJ39" t="str">
        <f>MID(VLOOKUP(A39, Fechas_Estado!A:AF,16,0),12,8)</f>
        <v>11:16:09</v>
      </c>
      <c r="AK39" t="str">
        <f t="shared" si="11"/>
        <v>2024-10-02 11:16:09</v>
      </c>
      <c r="AL39">
        <f t="shared" si="18"/>
        <v>8.9223611111083301</v>
      </c>
      <c r="AM39" t="str">
        <f>LEFT(VLOOKUP(A39, Fechas_Estado!A:AE,8,0),10)</f>
        <v>2024-10-03</v>
      </c>
      <c r="AN39" t="str">
        <f>MID(VLOOKUP(A39, Fechas_Estado!A:AE,8,0),12,8)</f>
        <v>16:13:06</v>
      </c>
      <c r="AO39" t="str">
        <f t="shared" si="12"/>
        <v>2024-10-03 16:13:06</v>
      </c>
      <c r="AP39" t="str">
        <f>LEFT(VLOOKUP(A39, Fechas_Estado!A:AE,7,0),10)</f>
        <v>2024-10-09</v>
      </c>
      <c r="AQ39" t="str">
        <f>MID(VLOOKUP(A39, Fechas_Estado!A:AE,7,0),12,8)</f>
        <v>08:40:19</v>
      </c>
      <c r="AR39" t="str">
        <f t="shared" si="13"/>
        <v>2024-10-09 08:40:19</v>
      </c>
      <c r="AS39" t="str">
        <f>LEFT(VLOOKUP(A39, Fechas_Estado!A:AE,10,0),10)</f>
        <v>2024-10-16</v>
      </c>
      <c r="AT39" t="str">
        <f>MID(VLOOKUP(A39, Fechas_Estado!A:AE,10,0),12,8)</f>
        <v>09:41:56</v>
      </c>
      <c r="AU39" t="str">
        <f t="shared" si="14"/>
        <v>2024-10-16 09:41:56</v>
      </c>
      <c r="AV39" t="str">
        <f>LEFT(VLOOKUP(A39, Fechas_Estado!A:AE,17,0),10)</f>
        <v>2024-10-16</v>
      </c>
      <c r="AW39" t="str">
        <f>MID(VLOOKUP(A39, Fechas_Estado!A:AE,17,0),12,8)</f>
        <v>10:25:49</v>
      </c>
      <c r="AX39" t="str">
        <f t="shared" si="15"/>
        <v>2024-10-16 10:25:49</v>
      </c>
      <c r="AY39">
        <f t="shared" si="19"/>
        <v>12.758831018516503</v>
      </c>
      <c r="AZ39" t="str">
        <f>LEFT(VLOOKUP(A39, Fechas_Estado!A:AE,5,0),10)</f>
        <v>2024-10-31</v>
      </c>
      <c r="BA39" t="str">
        <f>MID(VLOOKUP(A39, Fechas_Estado!A:AE,5,0),12,8)</f>
        <v>09:15:07</v>
      </c>
      <c r="BB39" t="str">
        <f t="shared" si="16"/>
        <v>2024-10-31 09:15:07</v>
      </c>
      <c r="BC39">
        <f t="shared" si="17"/>
        <v>14.950902777782176</v>
      </c>
    </row>
    <row r="40" spans="1:55" x14ac:dyDescent="0.25">
      <c r="A40" t="str">
        <f>Fechas_Estado!A39</f>
        <v>ESPC360-11800</v>
      </c>
      <c r="B40" t="str">
        <f>LEFT(VLOOKUP(A40,Fechas_Estado!A:AE,2,0),10)</f>
        <v>2024-09-23</v>
      </c>
      <c r="C40" t="str">
        <f>MID(VLOOKUP(A40, Fechas_Estado!A:AE,2,0),12,8)</f>
        <v>18:24:29</v>
      </c>
      <c r="D40" t="str">
        <f t="shared" si="0"/>
        <v>2024-09-23 18:24:29</v>
      </c>
      <c r="E40" t="str">
        <f>LEFT(VLOOKUP(A40, Fechas_Estado!A:AE,19,0),10)</f>
        <v>2024-09-24</v>
      </c>
      <c r="F40" t="str">
        <f>MID(VLOOKUP(A40, Fechas_Estado!A:AE,19,0),12,8)</f>
        <v>09:16:40</v>
      </c>
      <c r="G40" t="str">
        <f t="shared" si="1"/>
        <v>2024-09-24 09:16:40</v>
      </c>
      <c r="H40" t="str">
        <f>LEFT(VLOOKUP(A40, Fechas_Estado!A:AE,20,0),10)</f>
        <v>2024-09-26</v>
      </c>
      <c r="I40" t="str">
        <f>MID(VLOOKUP(A40, Fechas_Estado!A:AE,20,0),12,8)</f>
        <v>19:02:28</v>
      </c>
      <c r="J40" t="str">
        <f t="shared" si="2"/>
        <v>2024-09-26 19:02:28</v>
      </c>
      <c r="K40" t="str">
        <f>LEFT(VLOOKUP(A40, Fechas_Estado!A:AE,21,0),10)</f>
        <v>2024-09-26</v>
      </c>
      <c r="L40" t="str">
        <f>MID(VLOOKUP(A40, Fechas_Estado!A:AE,21,0),12,8)</f>
        <v>19:02:30</v>
      </c>
      <c r="M40" t="str">
        <f t="shared" si="3"/>
        <v>2024-09-26 19:02:30</v>
      </c>
      <c r="N40" t="str">
        <f>LEFT(VLOOKUP(A40, Fechas_Estado!A:AE,22,0),10)</f>
        <v>2024-09-26</v>
      </c>
      <c r="O40" t="str">
        <f>MID(VLOOKUP(A40, Fechas_Estado!A:AE,22,0),12,8)</f>
        <v>19:12:44</v>
      </c>
      <c r="P40" t="str">
        <f t="shared" si="4"/>
        <v>2024-09-26 19:12:44</v>
      </c>
      <c r="Q40" t="str">
        <f>LEFT(VLOOKUP(A40, Fechas_Estado!A:AE,23,0),10)</f>
        <v>2024-09-26</v>
      </c>
      <c r="R40" t="str">
        <f>MID(VLOOKUP(A40, Fechas_Estado!A:AE,23,0),12,8)</f>
        <v>19:12:47</v>
      </c>
      <c r="S40" t="str">
        <f t="shared" si="5"/>
        <v>2024-09-26 19:12:47</v>
      </c>
      <c r="T40" t="str">
        <f>LEFT(VLOOKUP(A40, Fechas_Estado!A:AE,24,0),10)</f>
        <v>2024-09-26</v>
      </c>
      <c r="U40" t="str">
        <f>MID(VLOOKUP(A40, Fechas_Estado!A:AE,24,0),12,8)</f>
        <v>19:12:52</v>
      </c>
      <c r="V40" t="str">
        <f t="shared" si="6"/>
        <v>2024-09-26 19:12:52</v>
      </c>
      <c r="W40" t="str">
        <f>LEFT(VLOOKUP(A40, Fechas_Estado!A:AE,25,0),10)</f>
        <v>2024-09-26</v>
      </c>
      <c r="X40" t="str">
        <f>MID(VLOOKUP(A40, Fechas_Estado!A:AE,25,0),12,8)</f>
        <v>19:12:55</v>
      </c>
      <c r="Y40" t="str">
        <f t="shared" si="7"/>
        <v>2024-09-26 19:12:55</v>
      </c>
      <c r="Z40" t="str">
        <f>LEFT(VLOOKUP(A40, Fechas_Estado!A:AE,26,0),10)</f>
        <v>2024-10-08</v>
      </c>
      <c r="AA40" t="str">
        <f>MID(VLOOKUP(A40, Fechas_Estado!A:AE,26,0),12,8)</f>
        <v>10:41:31</v>
      </c>
      <c r="AB40" t="str">
        <f t="shared" si="8"/>
        <v>2024-10-08 10:41:31</v>
      </c>
      <c r="AC40" t="str">
        <f>LEFT(VLOOKUP(A40, Fechas_Estado!A:AE,27,0),10)</f>
        <v/>
      </c>
      <c r="AD40" t="str">
        <f>MID(VLOOKUP(A40, Fechas_Estado!A:AE,27,0),12,8)</f>
        <v/>
      </c>
      <c r="AE40" t="str">
        <f t="shared" si="9"/>
        <v xml:space="preserve"> </v>
      </c>
      <c r="AF40" t="str">
        <f>LEFT(VLOOKUP(A40, Fechas_Estado!A:AF,28,0),10)</f>
        <v/>
      </c>
      <c r="AG40" t="str">
        <f>MID(VLOOKUP(A40, Fechas_Estado!A:AF,28,0),12,8)</f>
        <v/>
      </c>
      <c r="AH40" t="str">
        <f t="shared" si="10"/>
        <v xml:space="preserve"> </v>
      </c>
      <c r="AI40" t="str">
        <f>LEFT(VLOOKUP(A40, Fechas_Estado!A:AF,16,0),10)</f>
        <v/>
      </c>
      <c r="AJ40" t="str">
        <f>MID(VLOOKUP(A40, Fechas_Estado!A:AF,16,0),12,8)</f>
        <v/>
      </c>
      <c r="AK40" t="str">
        <f t="shared" si="11"/>
        <v xml:space="preserve"> </v>
      </c>
      <c r="AL40" t="e">
        <f t="shared" si="18"/>
        <v>#VALUE!</v>
      </c>
      <c r="AM40" t="str">
        <f>LEFT(VLOOKUP(A40, Fechas_Estado!A:AE,8,0),10)</f>
        <v/>
      </c>
      <c r="AN40" t="str">
        <f>MID(VLOOKUP(A40, Fechas_Estado!A:AE,8,0),12,8)</f>
        <v/>
      </c>
      <c r="AO40" t="str">
        <f t="shared" si="12"/>
        <v xml:space="preserve"> </v>
      </c>
      <c r="AP40" t="str">
        <f>LEFT(VLOOKUP(A40, Fechas_Estado!A:AE,7,0),10)</f>
        <v/>
      </c>
      <c r="AQ40" t="str">
        <f>MID(VLOOKUP(A40, Fechas_Estado!A:AE,7,0),12,8)</f>
        <v/>
      </c>
      <c r="AR40" t="str">
        <f t="shared" si="13"/>
        <v xml:space="preserve"> </v>
      </c>
      <c r="AS40" t="str">
        <f>LEFT(VLOOKUP(A40, Fechas_Estado!A:AE,10,0),10)</f>
        <v/>
      </c>
      <c r="AT40" t="str">
        <f>MID(VLOOKUP(A40, Fechas_Estado!A:AE,10,0),12,8)</f>
        <v/>
      </c>
      <c r="AU40" t="str">
        <f t="shared" si="14"/>
        <v xml:space="preserve"> </v>
      </c>
      <c r="AV40" t="str">
        <f>LEFT(VLOOKUP(A40, Fechas_Estado!A:AE,17,0),10)</f>
        <v/>
      </c>
      <c r="AW40" t="str">
        <f>MID(VLOOKUP(A40, Fechas_Estado!A:AE,17,0),12,8)</f>
        <v/>
      </c>
      <c r="AX40" t="str">
        <f t="shared" si="15"/>
        <v xml:space="preserve"> </v>
      </c>
      <c r="AY40" t="e">
        <f t="shared" si="19"/>
        <v>#VALUE!</v>
      </c>
      <c r="AZ40" t="str">
        <f>LEFT(VLOOKUP(A40, Fechas_Estado!A:AE,5,0),10)</f>
        <v/>
      </c>
      <c r="BA40" t="str">
        <f>MID(VLOOKUP(A40, Fechas_Estado!A:AE,5,0),12,8)</f>
        <v/>
      </c>
      <c r="BB40" t="str">
        <f t="shared" si="16"/>
        <v xml:space="preserve"> </v>
      </c>
      <c r="BC40" t="e">
        <f t="shared" si="17"/>
        <v>#VALUE!</v>
      </c>
    </row>
    <row r="41" spans="1:55" x14ac:dyDescent="0.25">
      <c r="A41" t="str">
        <f>Fechas_Estado!A40</f>
        <v>ESPC360-11803</v>
      </c>
      <c r="B41" t="str">
        <f>LEFT(VLOOKUP(A41,Fechas_Estado!A:AE,2,0),10)</f>
        <v>2024-09-24</v>
      </c>
      <c r="C41" t="str">
        <f>MID(VLOOKUP(A41, Fechas_Estado!A:AE,2,0),12,8)</f>
        <v>10:31:03</v>
      </c>
      <c r="D41" t="str">
        <f t="shared" si="0"/>
        <v>2024-09-24 10:31:03</v>
      </c>
      <c r="E41" t="str">
        <f>LEFT(VLOOKUP(A41, Fechas_Estado!A:AE,19,0),10)</f>
        <v>2024-09-26</v>
      </c>
      <c r="F41" t="str">
        <f>MID(VLOOKUP(A41, Fechas_Estado!A:AE,19,0),12,8)</f>
        <v>19:25:36</v>
      </c>
      <c r="G41" t="str">
        <f t="shared" si="1"/>
        <v>2024-09-26 19:25:36</v>
      </c>
      <c r="H41" t="str">
        <f>LEFT(VLOOKUP(A41, Fechas_Estado!A:AE,20,0),10)</f>
        <v>2024-09-26</v>
      </c>
      <c r="I41" t="str">
        <f>MID(VLOOKUP(A41, Fechas_Estado!A:AE,20,0),12,8)</f>
        <v>19:25:39</v>
      </c>
      <c r="J41" t="str">
        <f t="shared" si="2"/>
        <v>2024-09-26 19:25:39</v>
      </c>
      <c r="K41" t="str">
        <f>LEFT(VLOOKUP(A41, Fechas_Estado!A:AE,21,0),10)</f>
        <v>2024-09-26</v>
      </c>
      <c r="L41" t="str">
        <f>MID(VLOOKUP(A41, Fechas_Estado!A:AE,21,0),12,8)</f>
        <v>19:25:41</v>
      </c>
      <c r="M41" t="str">
        <f t="shared" si="3"/>
        <v>2024-09-26 19:25:41</v>
      </c>
      <c r="N41" t="str">
        <f>LEFT(VLOOKUP(A41, Fechas_Estado!A:AE,22,0),10)</f>
        <v/>
      </c>
      <c r="O41" t="str">
        <f>MID(VLOOKUP(A41, Fechas_Estado!A:AE,22,0),12,8)</f>
        <v/>
      </c>
      <c r="P41" t="str">
        <f t="shared" si="4"/>
        <v xml:space="preserve"> </v>
      </c>
      <c r="Q41" t="str">
        <f>LEFT(VLOOKUP(A41, Fechas_Estado!A:AE,23,0),10)</f>
        <v/>
      </c>
      <c r="R41" t="str">
        <f>MID(VLOOKUP(A41, Fechas_Estado!A:AE,23,0),12,8)</f>
        <v/>
      </c>
      <c r="S41" t="str">
        <f t="shared" si="5"/>
        <v xml:space="preserve"> </v>
      </c>
      <c r="T41" t="str">
        <f>LEFT(VLOOKUP(A41, Fechas_Estado!A:AE,24,0),10)</f>
        <v>2024-09-26</v>
      </c>
      <c r="U41" t="str">
        <f>MID(VLOOKUP(A41, Fechas_Estado!A:AE,24,0),12,8)</f>
        <v>19:27:13</v>
      </c>
      <c r="V41" t="str">
        <f t="shared" si="6"/>
        <v>2024-09-26 19:27:13</v>
      </c>
      <c r="W41" t="str">
        <f>LEFT(VLOOKUP(A41, Fechas_Estado!A:AE,25,0),10)</f>
        <v>2024-09-26</v>
      </c>
      <c r="X41" t="str">
        <f>MID(VLOOKUP(A41, Fechas_Estado!A:AE,25,0),12,8)</f>
        <v>19:27:16</v>
      </c>
      <c r="Y41" t="str">
        <f t="shared" si="7"/>
        <v>2024-09-26 19:27:16</v>
      </c>
      <c r="Z41" t="str">
        <f>LEFT(VLOOKUP(A41, Fechas_Estado!A:AE,26,0),10)</f>
        <v/>
      </c>
      <c r="AA41" t="str">
        <f>MID(VLOOKUP(A41, Fechas_Estado!A:AE,26,0),12,8)</f>
        <v/>
      </c>
      <c r="AB41" t="str">
        <f t="shared" si="8"/>
        <v xml:space="preserve"> </v>
      </c>
      <c r="AC41" t="str">
        <f>LEFT(VLOOKUP(A41, Fechas_Estado!A:AE,27,0),10)</f>
        <v/>
      </c>
      <c r="AD41" t="str">
        <f>MID(VLOOKUP(A41, Fechas_Estado!A:AE,27,0),12,8)</f>
        <v/>
      </c>
      <c r="AE41" t="str">
        <f t="shared" si="9"/>
        <v xml:space="preserve"> </v>
      </c>
      <c r="AF41" t="str">
        <f>LEFT(VLOOKUP(A41, Fechas_Estado!A:AF,28,0),10)</f>
        <v/>
      </c>
      <c r="AG41" t="str">
        <f>MID(VLOOKUP(A41, Fechas_Estado!A:AF,28,0),12,8)</f>
        <v/>
      </c>
      <c r="AH41" t="str">
        <f t="shared" si="10"/>
        <v xml:space="preserve"> </v>
      </c>
      <c r="AI41" t="str">
        <f>LEFT(VLOOKUP(A41, Fechas_Estado!A:AF,16,0),10)</f>
        <v/>
      </c>
      <c r="AJ41" t="str">
        <f>MID(VLOOKUP(A41, Fechas_Estado!A:AF,16,0),12,8)</f>
        <v/>
      </c>
      <c r="AK41" t="str">
        <f t="shared" si="11"/>
        <v xml:space="preserve"> </v>
      </c>
      <c r="AL41" t="e">
        <f t="shared" si="18"/>
        <v>#VALUE!</v>
      </c>
      <c r="AM41" t="str">
        <f>LEFT(VLOOKUP(A41, Fechas_Estado!A:AE,8,0),10)</f>
        <v/>
      </c>
      <c r="AN41" t="str">
        <f>MID(VLOOKUP(A41, Fechas_Estado!A:AE,8,0),12,8)</f>
        <v/>
      </c>
      <c r="AO41" t="str">
        <f t="shared" si="12"/>
        <v xml:space="preserve"> </v>
      </c>
      <c r="AP41" t="str">
        <f>LEFT(VLOOKUP(A41, Fechas_Estado!A:AE,7,0),10)</f>
        <v/>
      </c>
      <c r="AQ41" t="str">
        <f>MID(VLOOKUP(A41, Fechas_Estado!A:AE,7,0),12,8)</f>
        <v/>
      </c>
      <c r="AR41" t="str">
        <f t="shared" si="13"/>
        <v xml:space="preserve"> </v>
      </c>
      <c r="AS41" t="str">
        <f>LEFT(VLOOKUP(A41, Fechas_Estado!A:AE,10,0),10)</f>
        <v/>
      </c>
      <c r="AT41" t="str">
        <f>MID(VLOOKUP(A41, Fechas_Estado!A:AE,10,0),12,8)</f>
        <v/>
      </c>
      <c r="AU41" t="str">
        <f t="shared" si="14"/>
        <v xml:space="preserve"> </v>
      </c>
      <c r="AV41" t="str">
        <f>LEFT(VLOOKUP(A41, Fechas_Estado!A:AE,17,0),10)</f>
        <v/>
      </c>
      <c r="AW41" t="str">
        <f>MID(VLOOKUP(A41, Fechas_Estado!A:AE,17,0),12,8)</f>
        <v/>
      </c>
      <c r="AX41" t="str">
        <f t="shared" si="15"/>
        <v xml:space="preserve"> </v>
      </c>
      <c r="AY41" t="e">
        <f t="shared" si="19"/>
        <v>#VALUE!</v>
      </c>
      <c r="AZ41" t="str">
        <f>LEFT(VLOOKUP(A41, Fechas_Estado!A:AE,5,0),10)</f>
        <v>2024-09-30</v>
      </c>
      <c r="BA41" t="str">
        <f>MID(VLOOKUP(A41, Fechas_Estado!A:AE,5,0),12,8)</f>
        <v>14:28:31</v>
      </c>
      <c r="BB41" t="str">
        <f t="shared" si="16"/>
        <v>2024-09-30 14:28:31</v>
      </c>
      <c r="BC41" t="e">
        <f t="shared" si="17"/>
        <v>#VALUE!</v>
      </c>
    </row>
    <row r="42" spans="1:55" x14ac:dyDescent="0.25">
      <c r="A42" t="str">
        <f>Fechas_Estado!A41</f>
        <v>ESPC360-11814</v>
      </c>
      <c r="B42" t="str">
        <f>LEFT(VLOOKUP(A42,Fechas_Estado!A:AE,2,0),10)</f>
        <v>2024-09-24</v>
      </c>
      <c r="C42" t="str">
        <f>MID(VLOOKUP(A42, Fechas_Estado!A:AE,2,0),12,8)</f>
        <v>16:12:33</v>
      </c>
      <c r="D42" t="str">
        <f t="shared" si="0"/>
        <v>2024-09-24 16:12:33</v>
      </c>
      <c r="E42" t="str">
        <f>LEFT(VLOOKUP(A42, Fechas_Estado!A:AE,19,0),10)</f>
        <v/>
      </c>
      <c r="F42" t="str">
        <f>MID(VLOOKUP(A42, Fechas_Estado!A:AE,19,0),12,8)</f>
        <v/>
      </c>
      <c r="G42" t="str">
        <f t="shared" si="1"/>
        <v xml:space="preserve"> </v>
      </c>
      <c r="H42" t="str">
        <f>LEFT(VLOOKUP(A42, Fechas_Estado!A:AE,20,0),10)</f>
        <v/>
      </c>
      <c r="I42" t="str">
        <f>MID(VLOOKUP(A42, Fechas_Estado!A:AE,20,0),12,8)</f>
        <v/>
      </c>
      <c r="J42" t="str">
        <f t="shared" si="2"/>
        <v xml:space="preserve"> </v>
      </c>
      <c r="K42" t="str">
        <f>LEFT(VLOOKUP(A42, Fechas_Estado!A:AE,21,0),10)</f>
        <v/>
      </c>
      <c r="L42" t="str">
        <f>MID(VLOOKUP(A42, Fechas_Estado!A:AE,21,0),12,8)</f>
        <v/>
      </c>
      <c r="M42" t="str">
        <f t="shared" si="3"/>
        <v xml:space="preserve"> </v>
      </c>
      <c r="N42" t="str">
        <f>LEFT(VLOOKUP(A42, Fechas_Estado!A:AE,22,0),10)</f>
        <v/>
      </c>
      <c r="O42" t="str">
        <f>MID(VLOOKUP(A42, Fechas_Estado!A:AE,22,0),12,8)</f>
        <v/>
      </c>
      <c r="P42" t="str">
        <f t="shared" si="4"/>
        <v xml:space="preserve"> </v>
      </c>
      <c r="Q42" t="str">
        <f>LEFT(VLOOKUP(A42, Fechas_Estado!A:AE,23,0),10)</f>
        <v/>
      </c>
      <c r="R42" t="str">
        <f>MID(VLOOKUP(A42, Fechas_Estado!A:AE,23,0),12,8)</f>
        <v/>
      </c>
      <c r="S42" t="str">
        <f t="shared" si="5"/>
        <v xml:space="preserve"> </v>
      </c>
      <c r="T42" t="str">
        <f>LEFT(VLOOKUP(A42, Fechas_Estado!A:AE,24,0),10)</f>
        <v/>
      </c>
      <c r="U42" t="str">
        <f>MID(VLOOKUP(A42, Fechas_Estado!A:AE,24,0),12,8)</f>
        <v/>
      </c>
      <c r="V42" t="str">
        <f t="shared" si="6"/>
        <v xml:space="preserve"> </v>
      </c>
      <c r="W42" t="str">
        <f>LEFT(VLOOKUP(A42, Fechas_Estado!A:AE,25,0),10)</f>
        <v>2024-09-24</v>
      </c>
      <c r="X42" t="str">
        <f>MID(VLOOKUP(A42, Fechas_Estado!A:AE,25,0),12,8)</f>
        <v>16:12:46</v>
      </c>
      <c r="Y42" t="str">
        <f t="shared" si="7"/>
        <v>2024-09-24 16:12:46</v>
      </c>
      <c r="Z42" t="str">
        <f>LEFT(VLOOKUP(A42, Fechas_Estado!A:AE,26,0),10)</f>
        <v/>
      </c>
      <c r="AA42" t="str">
        <f>MID(VLOOKUP(A42, Fechas_Estado!A:AE,26,0),12,8)</f>
        <v/>
      </c>
      <c r="AB42" t="str">
        <f t="shared" si="8"/>
        <v xml:space="preserve"> </v>
      </c>
      <c r="AC42" t="str">
        <f>LEFT(VLOOKUP(A42, Fechas_Estado!A:AE,27,0),10)</f>
        <v/>
      </c>
      <c r="AD42" t="str">
        <f>MID(VLOOKUP(A42, Fechas_Estado!A:AE,27,0),12,8)</f>
        <v/>
      </c>
      <c r="AE42" t="str">
        <f t="shared" si="9"/>
        <v xml:space="preserve"> </v>
      </c>
      <c r="AF42" t="str">
        <f>LEFT(VLOOKUP(A42, Fechas_Estado!A:AF,28,0),10)</f>
        <v/>
      </c>
      <c r="AG42" t="str">
        <f>MID(VLOOKUP(A42, Fechas_Estado!A:AF,28,0),12,8)</f>
        <v/>
      </c>
      <c r="AH42" t="str">
        <f t="shared" si="10"/>
        <v xml:space="preserve"> </v>
      </c>
      <c r="AI42" t="str">
        <f>LEFT(VLOOKUP(A42, Fechas_Estado!A:AF,16,0),10)</f>
        <v>2024-10-16</v>
      </c>
      <c r="AJ42" t="str">
        <f>MID(VLOOKUP(A42, Fechas_Estado!A:AF,16,0),12,8)</f>
        <v>09:33:39</v>
      </c>
      <c r="AK42" t="str">
        <f t="shared" si="11"/>
        <v>2024-10-16 09:33:39</v>
      </c>
      <c r="AL42">
        <f t="shared" si="18"/>
        <v>21.722986111111823</v>
      </c>
      <c r="AM42" t="str">
        <f>LEFT(VLOOKUP(A42, Fechas_Estado!A:AE,8,0),10)</f>
        <v>2024-10-29</v>
      </c>
      <c r="AN42" t="str">
        <f>MID(VLOOKUP(A42, Fechas_Estado!A:AE,8,0),12,8)</f>
        <v>16:32:14</v>
      </c>
      <c r="AO42" t="str">
        <f t="shared" si="12"/>
        <v>2024-10-29 16:32:14</v>
      </c>
      <c r="AP42" t="str">
        <f>LEFT(VLOOKUP(A42, Fechas_Estado!A:AE,7,0),10)</f>
        <v>2024-10-29</v>
      </c>
      <c r="AQ42" t="str">
        <f>MID(VLOOKUP(A42, Fechas_Estado!A:AE,7,0),12,8)</f>
        <v>16:32:18</v>
      </c>
      <c r="AR42" t="str">
        <f t="shared" si="13"/>
        <v>2024-10-29 16:32:18</v>
      </c>
      <c r="AS42" t="str">
        <f>LEFT(VLOOKUP(A42, Fechas_Estado!A:AE,10,0),10)</f>
        <v>2024-10-29</v>
      </c>
      <c r="AT42" t="str">
        <f>MID(VLOOKUP(A42, Fechas_Estado!A:AE,10,0),12,8)</f>
        <v>16:33:49</v>
      </c>
      <c r="AU42" t="str">
        <f t="shared" si="14"/>
        <v>2024-10-29 16:33:49</v>
      </c>
      <c r="AV42" t="str">
        <f>LEFT(VLOOKUP(A42, Fechas_Estado!A:AE,17,0),10)</f>
        <v>2024-10-29</v>
      </c>
      <c r="AW42" t="str">
        <f>MID(VLOOKUP(A42, Fechas_Estado!A:AE,17,0),12,8)</f>
        <v>16:34:25</v>
      </c>
      <c r="AX42" t="str">
        <f t="shared" si="15"/>
        <v>2024-10-29 16:34:25</v>
      </c>
      <c r="AY42">
        <f t="shared" si="19"/>
        <v>1.5162037016125396E-3</v>
      </c>
      <c r="AZ42" t="str">
        <f>LEFT(VLOOKUP(A42, Fechas_Estado!A:AE,5,0),10)</f>
        <v>2024-11-26</v>
      </c>
      <c r="BA42" t="str">
        <f>MID(VLOOKUP(A42, Fechas_Estado!A:AE,5,0),12,8)</f>
        <v>10:22:11</v>
      </c>
      <c r="BB42" t="str">
        <f t="shared" si="16"/>
        <v>2024-11-26 10:22:11</v>
      </c>
      <c r="BC42">
        <f t="shared" si="17"/>
        <v>27.741504629630072</v>
      </c>
    </row>
    <row r="43" spans="1:55" x14ac:dyDescent="0.25">
      <c r="A43" t="str">
        <f>Fechas_Estado!A42</f>
        <v>ESPC360-11853</v>
      </c>
      <c r="B43" t="str">
        <f>LEFT(VLOOKUP(A43,Fechas_Estado!A:AE,2,0),10)</f>
        <v>2024-09-26</v>
      </c>
      <c r="C43" t="str">
        <f>MID(VLOOKUP(A43, Fechas_Estado!A:AE,2,0),12,8)</f>
        <v>17:49:45</v>
      </c>
      <c r="D43" t="str">
        <f t="shared" si="0"/>
        <v>2024-09-26 17:49:45</v>
      </c>
      <c r="E43" t="str">
        <f>LEFT(VLOOKUP(A43, Fechas_Estado!A:AE,19,0),10)</f>
        <v/>
      </c>
      <c r="F43" t="str">
        <f>MID(VLOOKUP(A43, Fechas_Estado!A:AE,19,0),12,8)</f>
        <v/>
      </c>
      <c r="G43" t="str">
        <f t="shared" si="1"/>
        <v xml:space="preserve"> </v>
      </c>
      <c r="H43" t="str">
        <f>LEFT(VLOOKUP(A43, Fechas_Estado!A:AE,20,0),10)</f>
        <v/>
      </c>
      <c r="I43" t="str">
        <f>MID(VLOOKUP(A43, Fechas_Estado!A:AE,20,0),12,8)</f>
        <v/>
      </c>
      <c r="J43" t="str">
        <f t="shared" si="2"/>
        <v xml:space="preserve"> </v>
      </c>
      <c r="K43" t="str">
        <f>LEFT(VLOOKUP(A43, Fechas_Estado!A:AE,21,0),10)</f>
        <v/>
      </c>
      <c r="L43" t="str">
        <f>MID(VLOOKUP(A43, Fechas_Estado!A:AE,21,0),12,8)</f>
        <v/>
      </c>
      <c r="M43" t="str">
        <f t="shared" si="3"/>
        <v xml:space="preserve"> </v>
      </c>
      <c r="N43" t="str">
        <f>LEFT(VLOOKUP(A43, Fechas_Estado!A:AE,22,0),10)</f>
        <v/>
      </c>
      <c r="O43" t="str">
        <f>MID(VLOOKUP(A43, Fechas_Estado!A:AE,22,0),12,8)</f>
        <v/>
      </c>
      <c r="P43" t="str">
        <f t="shared" si="4"/>
        <v xml:space="preserve"> </v>
      </c>
      <c r="Q43" t="str">
        <f>LEFT(VLOOKUP(A43, Fechas_Estado!A:AE,23,0),10)</f>
        <v/>
      </c>
      <c r="R43" t="str">
        <f>MID(VLOOKUP(A43, Fechas_Estado!A:AE,23,0),12,8)</f>
        <v/>
      </c>
      <c r="S43" t="str">
        <f t="shared" si="5"/>
        <v xml:space="preserve"> </v>
      </c>
      <c r="T43" t="str">
        <f>LEFT(VLOOKUP(A43, Fechas_Estado!A:AE,24,0),10)</f>
        <v/>
      </c>
      <c r="U43" t="str">
        <f>MID(VLOOKUP(A43, Fechas_Estado!A:AE,24,0),12,8)</f>
        <v/>
      </c>
      <c r="V43" t="str">
        <f t="shared" si="6"/>
        <v xml:space="preserve"> </v>
      </c>
      <c r="W43" t="str">
        <f>LEFT(VLOOKUP(A43, Fechas_Estado!A:AE,25,0),10)</f>
        <v>2024-09-26</v>
      </c>
      <c r="X43" t="str">
        <f>MID(VLOOKUP(A43, Fechas_Estado!A:AE,25,0),12,8)</f>
        <v>17:49:59</v>
      </c>
      <c r="Y43" t="str">
        <f t="shared" si="7"/>
        <v>2024-09-26 17:49:59</v>
      </c>
      <c r="Z43" t="str">
        <f>LEFT(VLOOKUP(A43, Fechas_Estado!A:AE,26,0),10)</f>
        <v>2024-09-26</v>
      </c>
      <c r="AA43" t="str">
        <f>MID(VLOOKUP(A43, Fechas_Estado!A:AE,26,0),12,8)</f>
        <v>17:57:15</v>
      </c>
      <c r="AB43" t="str">
        <f t="shared" si="8"/>
        <v>2024-09-26 17:57:15</v>
      </c>
      <c r="AC43" t="str">
        <f>LEFT(VLOOKUP(A43, Fechas_Estado!A:AE,27,0),10)</f>
        <v>2024-09-26</v>
      </c>
      <c r="AD43" t="str">
        <f>MID(VLOOKUP(A43, Fechas_Estado!A:AE,27,0),12,8)</f>
        <v>17:57:27</v>
      </c>
      <c r="AE43" t="str">
        <f t="shared" si="9"/>
        <v>2024-09-26 17:57:27</v>
      </c>
      <c r="AF43" t="str">
        <f>LEFT(VLOOKUP(A43, Fechas_Estado!A:AF,28,0),10)</f>
        <v/>
      </c>
      <c r="AG43" t="str">
        <f>MID(VLOOKUP(A43, Fechas_Estado!A:AF,28,0),12,8)</f>
        <v/>
      </c>
      <c r="AH43" t="str">
        <f t="shared" si="10"/>
        <v xml:space="preserve"> </v>
      </c>
      <c r="AI43" t="str">
        <f>LEFT(VLOOKUP(A43, Fechas_Estado!A:AF,16,0),10)</f>
        <v>2024-11-13</v>
      </c>
      <c r="AJ43" t="str">
        <f>MID(VLOOKUP(A43, Fechas_Estado!A:AF,16,0),12,8)</f>
        <v>09:12:39</v>
      </c>
      <c r="AK43" t="str">
        <f t="shared" si="11"/>
        <v>2024-11-13 09:12:39</v>
      </c>
      <c r="AL43">
        <f t="shared" si="18"/>
        <v>47.640902777777228</v>
      </c>
      <c r="AM43" t="str">
        <f>LEFT(VLOOKUP(A43, Fechas_Estado!A:AE,8,0),10)</f>
        <v>2024-11-13</v>
      </c>
      <c r="AN43" t="str">
        <f>MID(VLOOKUP(A43, Fechas_Estado!A:AE,8,0),12,8)</f>
        <v>09:12:51</v>
      </c>
      <c r="AO43" t="str">
        <f t="shared" si="12"/>
        <v>2024-11-13 09:12:51</v>
      </c>
      <c r="AP43" t="str">
        <f>LEFT(VLOOKUP(A43, Fechas_Estado!A:AE,7,0),10)</f>
        <v>2024-11-13</v>
      </c>
      <c r="AQ43" t="str">
        <f>MID(VLOOKUP(A43, Fechas_Estado!A:AE,7,0),12,8)</f>
        <v>09:12:56</v>
      </c>
      <c r="AR43" t="str">
        <f t="shared" si="13"/>
        <v>2024-11-13 09:12:56</v>
      </c>
      <c r="AS43" t="str">
        <f>LEFT(VLOOKUP(A43, Fechas_Estado!A:AE,10,0),10)</f>
        <v>2024-11-13</v>
      </c>
      <c r="AT43" t="str">
        <f>MID(VLOOKUP(A43, Fechas_Estado!A:AE,10,0),12,8)</f>
        <v>09:13:00</v>
      </c>
      <c r="AU43" t="str">
        <f t="shared" si="14"/>
        <v>2024-11-13 09:13:00</v>
      </c>
      <c r="AV43" t="str">
        <f>LEFT(VLOOKUP(A43, Fechas_Estado!A:AE,17,0),10)</f>
        <v>2024-11-13</v>
      </c>
      <c r="AW43" t="str">
        <f>MID(VLOOKUP(A43, Fechas_Estado!A:AE,17,0),12,8)</f>
        <v>09:13:17</v>
      </c>
      <c r="AX43" t="str">
        <f t="shared" si="15"/>
        <v>2024-11-13 09:13:17</v>
      </c>
      <c r="AY43">
        <f t="shared" si="19"/>
        <v>3.0092593078734353E-4</v>
      </c>
      <c r="AZ43" t="str">
        <f>LEFT(VLOOKUP(A43, Fechas_Estado!A:AE,5,0),10)</f>
        <v>2024-12-11</v>
      </c>
      <c r="BA43" t="str">
        <f>MID(VLOOKUP(A43, Fechas_Estado!A:AE,5,0),12,8)</f>
        <v>09:27:10</v>
      </c>
      <c r="BB43" t="str">
        <f t="shared" si="16"/>
        <v>2024-12-11 09:27:10</v>
      </c>
      <c r="BC43">
        <f t="shared" si="17"/>
        <v>28.009641203701904</v>
      </c>
    </row>
    <row r="44" spans="1:55" x14ac:dyDescent="0.25">
      <c r="A44" t="str">
        <f>Fechas_Estado!A43</f>
        <v>ESPC360-11855</v>
      </c>
      <c r="B44" t="str">
        <f>LEFT(VLOOKUP(A44,Fechas_Estado!A:AE,2,0),10)</f>
        <v>2024-09-26</v>
      </c>
      <c r="C44" t="str">
        <f>MID(VLOOKUP(A44, Fechas_Estado!A:AE,2,0),12,8)</f>
        <v>18:00:24</v>
      </c>
      <c r="D44" t="str">
        <f t="shared" si="0"/>
        <v>2024-09-26 18:00:24</v>
      </c>
      <c r="E44" t="str">
        <f>LEFT(VLOOKUP(A44, Fechas_Estado!A:AE,19,0),10)</f>
        <v/>
      </c>
      <c r="F44" t="str">
        <f>MID(VLOOKUP(A44, Fechas_Estado!A:AE,19,0),12,8)</f>
        <v/>
      </c>
      <c r="G44" t="str">
        <f t="shared" si="1"/>
        <v xml:space="preserve"> </v>
      </c>
      <c r="H44" t="str">
        <f>LEFT(VLOOKUP(A44, Fechas_Estado!A:AE,20,0),10)</f>
        <v/>
      </c>
      <c r="I44" t="str">
        <f>MID(VLOOKUP(A44, Fechas_Estado!A:AE,20,0),12,8)</f>
        <v/>
      </c>
      <c r="J44" t="str">
        <f t="shared" si="2"/>
        <v xml:space="preserve"> </v>
      </c>
      <c r="K44" t="str">
        <f>LEFT(VLOOKUP(A44, Fechas_Estado!A:AE,21,0),10)</f>
        <v/>
      </c>
      <c r="L44" t="str">
        <f>MID(VLOOKUP(A44, Fechas_Estado!A:AE,21,0),12,8)</f>
        <v/>
      </c>
      <c r="M44" t="str">
        <f t="shared" si="3"/>
        <v xml:space="preserve"> </v>
      </c>
      <c r="N44" t="str">
        <f>LEFT(VLOOKUP(A44, Fechas_Estado!A:AE,22,0),10)</f>
        <v/>
      </c>
      <c r="O44" t="str">
        <f>MID(VLOOKUP(A44, Fechas_Estado!A:AE,22,0),12,8)</f>
        <v/>
      </c>
      <c r="P44" t="str">
        <f t="shared" si="4"/>
        <v xml:space="preserve"> </v>
      </c>
      <c r="Q44" t="str">
        <f>LEFT(VLOOKUP(A44, Fechas_Estado!A:AE,23,0),10)</f>
        <v/>
      </c>
      <c r="R44" t="str">
        <f>MID(VLOOKUP(A44, Fechas_Estado!A:AE,23,0),12,8)</f>
        <v/>
      </c>
      <c r="S44" t="str">
        <f t="shared" si="5"/>
        <v xml:space="preserve"> </v>
      </c>
      <c r="T44" t="str">
        <f>LEFT(VLOOKUP(A44, Fechas_Estado!A:AE,24,0),10)</f>
        <v/>
      </c>
      <c r="U44" t="str">
        <f>MID(VLOOKUP(A44, Fechas_Estado!A:AE,24,0),12,8)</f>
        <v/>
      </c>
      <c r="V44" t="str">
        <f t="shared" si="6"/>
        <v xml:space="preserve"> </v>
      </c>
      <c r="W44" t="str">
        <f>LEFT(VLOOKUP(A44, Fechas_Estado!A:AE,25,0),10)</f>
        <v>2024-09-26</v>
      </c>
      <c r="X44" t="str">
        <f>MID(VLOOKUP(A44, Fechas_Estado!A:AE,25,0),12,8)</f>
        <v>18:00:38</v>
      </c>
      <c r="Y44" t="str">
        <f t="shared" si="7"/>
        <v>2024-09-26 18:00:38</v>
      </c>
      <c r="Z44" t="str">
        <f>LEFT(VLOOKUP(A44, Fechas_Estado!A:AE,26,0),10)</f>
        <v>2024-09-26</v>
      </c>
      <c r="AA44" t="str">
        <f>MID(VLOOKUP(A44, Fechas_Estado!A:AE,26,0),12,8)</f>
        <v>18:03:52</v>
      </c>
      <c r="AB44" t="str">
        <f t="shared" si="8"/>
        <v>2024-09-26 18:03:52</v>
      </c>
      <c r="AC44" t="str">
        <f>LEFT(VLOOKUP(A44, Fechas_Estado!A:AE,27,0),10)</f>
        <v>2024-09-26</v>
      </c>
      <c r="AD44" t="str">
        <f>MID(VLOOKUP(A44, Fechas_Estado!A:AE,27,0),12,8)</f>
        <v>18:05:26</v>
      </c>
      <c r="AE44" t="str">
        <f t="shared" si="9"/>
        <v>2024-09-26 18:05:26</v>
      </c>
      <c r="AF44" t="str">
        <f>LEFT(VLOOKUP(A44, Fechas_Estado!A:AF,28,0),10)</f>
        <v>2024-09-26</v>
      </c>
      <c r="AG44" t="str">
        <f>MID(VLOOKUP(A44, Fechas_Estado!A:AF,28,0),12,8)</f>
        <v>18:05:32</v>
      </c>
      <c r="AH44" t="str">
        <f t="shared" si="10"/>
        <v>2024-09-26 18:05:32</v>
      </c>
      <c r="AI44" t="str">
        <f>LEFT(VLOOKUP(A44, Fechas_Estado!A:AF,16,0),10)</f>
        <v>2024-09-26</v>
      </c>
      <c r="AJ44" t="str">
        <f>MID(VLOOKUP(A44, Fechas_Estado!A:AF,16,0),12,8)</f>
        <v>18:05:57</v>
      </c>
      <c r="AK44" t="str">
        <f t="shared" si="11"/>
        <v>2024-09-26 18:05:57</v>
      </c>
      <c r="AL44">
        <f t="shared" si="18"/>
        <v>3.8541666654055007E-3</v>
      </c>
      <c r="AM44" t="str">
        <f>LEFT(VLOOKUP(A44, Fechas_Estado!A:AE,8,0),10)</f>
        <v/>
      </c>
      <c r="AN44" t="str">
        <f>MID(VLOOKUP(A44, Fechas_Estado!A:AE,8,0),12,8)</f>
        <v/>
      </c>
      <c r="AO44" t="str">
        <f t="shared" si="12"/>
        <v xml:space="preserve"> </v>
      </c>
      <c r="AP44" t="str">
        <f>LEFT(VLOOKUP(A44, Fechas_Estado!A:AE,7,0),10)</f>
        <v/>
      </c>
      <c r="AQ44" t="str">
        <f>MID(VLOOKUP(A44, Fechas_Estado!A:AE,7,0),12,8)</f>
        <v/>
      </c>
      <c r="AR44" t="str">
        <f t="shared" si="13"/>
        <v xml:space="preserve"> </v>
      </c>
      <c r="AS44" t="str">
        <f>LEFT(VLOOKUP(A44, Fechas_Estado!A:AE,10,0),10)</f>
        <v/>
      </c>
      <c r="AT44" t="str">
        <f>MID(VLOOKUP(A44, Fechas_Estado!A:AE,10,0),12,8)</f>
        <v/>
      </c>
      <c r="AU44" t="str">
        <f t="shared" si="14"/>
        <v xml:space="preserve"> </v>
      </c>
      <c r="AV44" t="str">
        <f>LEFT(VLOOKUP(A44, Fechas_Estado!A:AE,17,0),10)</f>
        <v/>
      </c>
      <c r="AW44" t="str">
        <f>MID(VLOOKUP(A44, Fechas_Estado!A:AE,17,0),12,8)</f>
        <v/>
      </c>
      <c r="AX44" t="str">
        <f t="shared" si="15"/>
        <v xml:space="preserve"> </v>
      </c>
      <c r="AY44" t="e">
        <f t="shared" si="19"/>
        <v>#VALUE!</v>
      </c>
      <c r="AZ44" t="str">
        <f>LEFT(VLOOKUP(A44, Fechas_Estado!A:AE,5,0),10)</f>
        <v/>
      </c>
      <c r="BA44" t="str">
        <f>MID(VLOOKUP(A44, Fechas_Estado!A:AE,5,0),12,8)</f>
        <v/>
      </c>
      <c r="BB44" t="str">
        <f t="shared" si="16"/>
        <v xml:space="preserve"> </v>
      </c>
      <c r="BC44" t="e">
        <f t="shared" si="17"/>
        <v>#VALUE!</v>
      </c>
    </row>
    <row r="45" spans="1:55" x14ac:dyDescent="0.25">
      <c r="A45" t="str">
        <f>Fechas_Estado!A44</f>
        <v>ESPC360-11901</v>
      </c>
      <c r="B45" t="str">
        <f>LEFT(VLOOKUP(A45,Fechas_Estado!A:AE,2,0),10)</f>
        <v>2024-10-01</v>
      </c>
      <c r="C45" t="str">
        <f>MID(VLOOKUP(A45, Fechas_Estado!A:AE,2,0),12,8)</f>
        <v>09:54:59</v>
      </c>
      <c r="D45" t="str">
        <f t="shared" si="0"/>
        <v>2024-10-01 09:54:59</v>
      </c>
      <c r="E45" t="str">
        <f>LEFT(VLOOKUP(A45, Fechas_Estado!A:AE,19,0),10)</f>
        <v>2024-10-01</v>
      </c>
      <c r="F45" t="str">
        <f>MID(VLOOKUP(A45, Fechas_Estado!A:AE,19,0),12,8)</f>
        <v>12:35:07</v>
      </c>
      <c r="G45" t="str">
        <f t="shared" si="1"/>
        <v>2024-10-01 12:35:07</v>
      </c>
      <c r="H45" t="str">
        <f>LEFT(VLOOKUP(A45, Fechas_Estado!A:AE,20,0),10)</f>
        <v/>
      </c>
      <c r="I45" t="str">
        <f>MID(VLOOKUP(A45, Fechas_Estado!A:AE,20,0),12,8)</f>
        <v/>
      </c>
      <c r="J45" t="str">
        <f t="shared" si="2"/>
        <v xml:space="preserve"> </v>
      </c>
      <c r="K45" t="str">
        <f>LEFT(VLOOKUP(A45, Fechas_Estado!A:AE,21,0),10)</f>
        <v/>
      </c>
      <c r="L45" t="str">
        <f>MID(VLOOKUP(A45, Fechas_Estado!A:AE,21,0),12,8)</f>
        <v/>
      </c>
      <c r="M45" t="str">
        <f t="shared" si="3"/>
        <v xml:space="preserve"> </v>
      </c>
      <c r="N45" t="str">
        <f>LEFT(VLOOKUP(A45, Fechas_Estado!A:AE,22,0),10)</f>
        <v/>
      </c>
      <c r="O45" t="str">
        <f>MID(VLOOKUP(A45, Fechas_Estado!A:AE,22,0),12,8)</f>
        <v/>
      </c>
      <c r="P45" t="str">
        <f t="shared" si="4"/>
        <v xml:space="preserve"> </v>
      </c>
      <c r="Q45" t="str">
        <f>LEFT(VLOOKUP(A45, Fechas_Estado!A:AE,23,0),10)</f>
        <v/>
      </c>
      <c r="R45" t="str">
        <f>MID(VLOOKUP(A45, Fechas_Estado!A:AE,23,0),12,8)</f>
        <v/>
      </c>
      <c r="S45" t="str">
        <f t="shared" si="5"/>
        <v xml:space="preserve"> </v>
      </c>
      <c r="T45" t="str">
        <f>LEFT(VLOOKUP(A45, Fechas_Estado!A:AE,24,0),10)</f>
        <v/>
      </c>
      <c r="U45" t="str">
        <f>MID(VLOOKUP(A45, Fechas_Estado!A:AE,24,0),12,8)</f>
        <v/>
      </c>
      <c r="V45" t="str">
        <f t="shared" si="6"/>
        <v xml:space="preserve"> </v>
      </c>
      <c r="W45" t="str">
        <f>LEFT(VLOOKUP(A45, Fechas_Estado!A:AE,25,0),10)</f>
        <v/>
      </c>
      <c r="X45" t="str">
        <f>MID(VLOOKUP(A45, Fechas_Estado!A:AE,25,0),12,8)</f>
        <v/>
      </c>
      <c r="Y45" t="str">
        <f t="shared" si="7"/>
        <v xml:space="preserve"> </v>
      </c>
      <c r="Z45" t="str">
        <f>LEFT(VLOOKUP(A45, Fechas_Estado!A:AE,26,0),10)</f>
        <v/>
      </c>
      <c r="AA45" t="str">
        <f>MID(VLOOKUP(A45, Fechas_Estado!A:AE,26,0),12,8)</f>
        <v/>
      </c>
      <c r="AB45" t="str">
        <f t="shared" si="8"/>
        <v xml:space="preserve"> </v>
      </c>
      <c r="AC45" t="str">
        <f>LEFT(VLOOKUP(A45, Fechas_Estado!A:AE,27,0),10)</f>
        <v/>
      </c>
      <c r="AD45" t="str">
        <f>MID(VLOOKUP(A45, Fechas_Estado!A:AE,27,0),12,8)</f>
        <v/>
      </c>
      <c r="AE45" t="str">
        <f t="shared" si="9"/>
        <v xml:space="preserve"> </v>
      </c>
      <c r="AF45" t="str">
        <f>LEFT(VLOOKUP(A45, Fechas_Estado!A:AF,28,0),10)</f>
        <v/>
      </c>
      <c r="AG45" t="str">
        <f>MID(VLOOKUP(A45, Fechas_Estado!A:AF,28,0),12,8)</f>
        <v/>
      </c>
      <c r="AH45" t="str">
        <f t="shared" si="10"/>
        <v xml:space="preserve"> </v>
      </c>
      <c r="AI45" t="str">
        <f>LEFT(VLOOKUP(A45, Fechas_Estado!A:AF,16,0),10)</f>
        <v/>
      </c>
      <c r="AJ45" t="str">
        <f>MID(VLOOKUP(A45, Fechas_Estado!A:AF,16,0),12,8)</f>
        <v/>
      </c>
      <c r="AK45" t="str">
        <f t="shared" si="11"/>
        <v xml:space="preserve"> </v>
      </c>
      <c r="AL45" t="e">
        <f t="shared" si="18"/>
        <v>#VALUE!</v>
      </c>
      <c r="AM45" t="str">
        <f>LEFT(VLOOKUP(A45, Fechas_Estado!A:AE,8,0),10)</f>
        <v>2024-10-04</v>
      </c>
      <c r="AN45" t="str">
        <f>MID(VLOOKUP(A45, Fechas_Estado!A:AE,8,0),12,8)</f>
        <v>10:21:21</v>
      </c>
      <c r="AO45" t="str">
        <f t="shared" si="12"/>
        <v>2024-10-04 10:21:21</v>
      </c>
      <c r="AP45" t="str">
        <f>LEFT(VLOOKUP(A45, Fechas_Estado!A:AE,7,0),10)</f>
        <v/>
      </c>
      <c r="AQ45" t="str">
        <f>MID(VLOOKUP(A45, Fechas_Estado!A:AE,7,0),12,8)</f>
        <v/>
      </c>
      <c r="AR45" t="str">
        <f t="shared" si="13"/>
        <v xml:space="preserve"> </v>
      </c>
      <c r="AS45" t="str">
        <f>LEFT(VLOOKUP(A45, Fechas_Estado!A:AE,10,0),10)</f>
        <v/>
      </c>
      <c r="AT45" t="str">
        <f>MID(VLOOKUP(A45, Fechas_Estado!A:AE,10,0),12,8)</f>
        <v/>
      </c>
      <c r="AU45" t="str">
        <f t="shared" si="14"/>
        <v xml:space="preserve"> </v>
      </c>
      <c r="AV45" t="str">
        <f>LEFT(VLOOKUP(A45, Fechas_Estado!A:AE,17,0),10)</f>
        <v/>
      </c>
      <c r="AW45" t="str">
        <f>MID(VLOOKUP(A45, Fechas_Estado!A:AE,17,0),12,8)</f>
        <v/>
      </c>
      <c r="AX45" t="str">
        <f t="shared" si="15"/>
        <v xml:space="preserve"> </v>
      </c>
      <c r="AY45" t="e">
        <f t="shared" si="19"/>
        <v>#VALUE!</v>
      </c>
      <c r="AZ45" t="str">
        <f>LEFT(VLOOKUP(A45, Fechas_Estado!A:AE,5,0),10)</f>
        <v/>
      </c>
      <c r="BA45" t="str">
        <f>MID(VLOOKUP(A45, Fechas_Estado!A:AE,5,0),12,8)</f>
        <v/>
      </c>
      <c r="BB45" t="str">
        <f t="shared" si="16"/>
        <v xml:space="preserve"> </v>
      </c>
      <c r="BC45" t="e">
        <f t="shared" si="17"/>
        <v>#VALUE!</v>
      </c>
    </row>
    <row r="46" spans="1:55" x14ac:dyDescent="0.25">
      <c r="A46" t="str">
        <f>Fechas_Estado!A45</f>
        <v>ESPC360-12090</v>
      </c>
      <c r="B46" t="str">
        <f>LEFT(VLOOKUP(A46,Fechas_Estado!A:AE,2,0),10)</f>
        <v>2024-10-04</v>
      </c>
      <c r="C46" t="str">
        <f>MID(VLOOKUP(A46, Fechas_Estado!A:AE,2,0),12,8)</f>
        <v>08:58:12</v>
      </c>
      <c r="D46" t="str">
        <f t="shared" si="0"/>
        <v>2024-10-04 08:58:12</v>
      </c>
      <c r="E46" t="str">
        <f>LEFT(VLOOKUP(A46, Fechas_Estado!A:AE,19,0),10)</f>
        <v/>
      </c>
      <c r="F46" t="str">
        <f>MID(VLOOKUP(A46, Fechas_Estado!A:AE,19,0),12,8)</f>
        <v/>
      </c>
      <c r="G46" t="str">
        <f t="shared" si="1"/>
        <v xml:space="preserve"> </v>
      </c>
      <c r="H46" t="str">
        <f>LEFT(VLOOKUP(A46, Fechas_Estado!A:AE,20,0),10)</f>
        <v/>
      </c>
      <c r="I46" t="str">
        <f>MID(VLOOKUP(A46, Fechas_Estado!A:AE,20,0),12,8)</f>
        <v/>
      </c>
      <c r="J46" t="str">
        <f t="shared" si="2"/>
        <v xml:space="preserve"> </v>
      </c>
      <c r="K46" t="str">
        <f>LEFT(VLOOKUP(A46, Fechas_Estado!A:AE,21,0),10)</f>
        <v/>
      </c>
      <c r="L46" t="str">
        <f>MID(VLOOKUP(A46, Fechas_Estado!A:AE,21,0),12,8)</f>
        <v/>
      </c>
      <c r="M46" t="str">
        <f t="shared" si="3"/>
        <v xml:space="preserve"> </v>
      </c>
      <c r="N46" t="str">
        <f>LEFT(VLOOKUP(A46, Fechas_Estado!A:AE,22,0),10)</f>
        <v/>
      </c>
      <c r="O46" t="str">
        <f>MID(VLOOKUP(A46, Fechas_Estado!A:AE,22,0),12,8)</f>
        <v/>
      </c>
      <c r="P46" t="str">
        <f t="shared" si="4"/>
        <v xml:space="preserve"> </v>
      </c>
      <c r="Q46" t="str">
        <f>LEFT(VLOOKUP(A46, Fechas_Estado!A:AE,23,0),10)</f>
        <v/>
      </c>
      <c r="R46" t="str">
        <f>MID(VLOOKUP(A46, Fechas_Estado!A:AE,23,0),12,8)</f>
        <v/>
      </c>
      <c r="S46" t="str">
        <f t="shared" si="5"/>
        <v xml:space="preserve"> </v>
      </c>
      <c r="T46" t="str">
        <f>LEFT(VLOOKUP(A46, Fechas_Estado!A:AE,24,0),10)</f>
        <v/>
      </c>
      <c r="U46" t="str">
        <f>MID(VLOOKUP(A46, Fechas_Estado!A:AE,24,0),12,8)</f>
        <v/>
      </c>
      <c r="V46" t="str">
        <f t="shared" si="6"/>
        <v xml:space="preserve"> </v>
      </c>
      <c r="W46" t="str">
        <f>LEFT(VLOOKUP(A46, Fechas_Estado!A:AE,25,0),10)</f>
        <v>2024-10-04</v>
      </c>
      <c r="X46" t="str">
        <f>MID(VLOOKUP(A46, Fechas_Estado!A:AE,25,0),12,8)</f>
        <v>08:58:25</v>
      </c>
      <c r="Y46" t="str">
        <f t="shared" si="7"/>
        <v>2024-10-04 08:58:25</v>
      </c>
      <c r="Z46" t="str">
        <f>LEFT(VLOOKUP(A46, Fechas_Estado!A:AE,26,0),10)</f>
        <v>2024-10-04</v>
      </c>
      <c r="AA46" t="str">
        <f>MID(VLOOKUP(A46, Fechas_Estado!A:AE,26,0),12,8)</f>
        <v>09:05:58</v>
      </c>
      <c r="AB46" t="str">
        <f t="shared" si="8"/>
        <v>2024-10-04 09:05:58</v>
      </c>
      <c r="AC46" t="str">
        <f>LEFT(VLOOKUP(A46, Fechas_Estado!A:AE,27,0),10)</f>
        <v/>
      </c>
      <c r="AD46" t="str">
        <f>MID(VLOOKUP(A46, Fechas_Estado!A:AE,27,0),12,8)</f>
        <v/>
      </c>
      <c r="AE46" t="str">
        <f t="shared" si="9"/>
        <v xml:space="preserve"> </v>
      </c>
      <c r="AF46" t="str">
        <f>LEFT(VLOOKUP(A46, Fechas_Estado!A:AF,28,0),10)</f>
        <v/>
      </c>
      <c r="AG46" t="str">
        <f>MID(VLOOKUP(A46, Fechas_Estado!A:AF,28,0),12,8)</f>
        <v/>
      </c>
      <c r="AH46" t="str">
        <f t="shared" si="10"/>
        <v xml:space="preserve"> </v>
      </c>
      <c r="AI46" t="str">
        <f>LEFT(VLOOKUP(A46, Fechas_Estado!A:AF,16,0),10)</f>
        <v/>
      </c>
      <c r="AJ46" t="str">
        <f>MID(VLOOKUP(A46, Fechas_Estado!A:AF,16,0),12,8)</f>
        <v/>
      </c>
      <c r="AK46" t="str">
        <f t="shared" si="11"/>
        <v xml:space="preserve"> </v>
      </c>
      <c r="AL46" t="e">
        <f t="shared" si="18"/>
        <v>#VALUE!</v>
      </c>
      <c r="AM46" t="str">
        <f>LEFT(VLOOKUP(A46, Fechas_Estado!A:AE,8,0),10)</f>
        <v/>
      </c>
      <c r="AN46" t="str">
        <f>MID(VLOOKUP(A46, Fechas_Estado!A:AE,8,0),12,8)</f>
        <v/>
      </c>
      <c r="AO46" t="str">
        <f t="shared" si="12"/>
        <v xml:space="preserve"> </v>
      </c>
      <c r="AP46" t="str">
        <f>LEFT(VLOOKUP(A46, Fechas_Estado!A:AE,7,0),10)</f>
        <v/>
      </c>
      <c r="AQ46" t="str">
        <f>MID(VLOOKUP(A46, Fechas_Estado!A:AE,7,0),12,8)</f>
        <v/>
      </c>
      <c r="AR46" t="str">
        <f t="shared" si="13"/>
        <v xml:space="preserve"> </v>
      </c>
      <c r="AS46" t="str">
        <f>LEFT(VLOOKUP(A46, Fechas_Estado!A:AE,10,0),10)</f>
        <v/>
      </c>
      <c r="AT46" t="str">
        <f>MID(VLOOKUP(A46, Fechas_Estado!A:AE,10,0),12,8)</f>
        <v/>
      </c>
      <c r="AU46" t="str">
        <f t="shared" si="14"/>
        <v xml:space="preserve"> </v>
      </c>
      <c r="AV46" t="str">
        <f>LEFT(VLOOKUP(A46, Fechas_Estado!A:AE,17,0),10)</f>
        <v/>
      </c>
      <c r="AW46" t="str">
        <f>MID(VLOOKUP(A46, Fechas_Estado!A:AE,17,0),12,8)</f>
        <v/>
      </c>
      <c r="AX46" t="str">
        <f t="shared" si="15"/>
        <v xml:space="preserve"> </v>
      </c>
      <c r="AY46" t="e">
        <f t="shared" si="19"/>
        <v>#VALUE!</v>
      </c>
      <c r="AZ46" t="str">
        <f>LEFT(VLOOKUP(A46, Fechas_Estado!A:AE,5,0),10)</f>
        <v/>
      </c>
      <c r="BA46" t="str">
        <f>MID(VLOOKUP(A46, Fechas_Estado!A:AE,5,0),12,8)</f>
        <v/>
      </c>
      <c r="BB46" t="str">
        <f t="shared" si="16"/>
        <v xml:space="preserve"> </v>
      </c>
      <c r="BC46" t="e">
        <f t="shared" si="17"/>
        <v>#VALUE!</v>
      </c>
    </row>
    <row r="47" spans="1:55" x14ac:dyDescent="0.25">
      <c r="A47" t="str">
        <f>Fechas_Estado!A46</f>
        <v>ESPC360-12143</v>
      </c>
      <c r="B47" t="str">
        <f>LEFT(VLOOKUP(A47,Fechas_Estado!A:AE,2,0),10)</f>
        <v>2024-10-07</v>
      </c>
      <c r="C47" t="str">
        <f>MID(VLOOKUP(A47, Fechas_Estado!A:AE,2,0),12,8)</f>
        <v>12:47:08</v>
      </c>
      <c r="D47" t="str">
        <f t="shared" si="0"/>
        <v>2024-10-07 12:47:08</v>
      </c>
      <c r="E47" t="str">
        <f>LEFT(VLOOKUP(A47, Fechas_Estado!A:AE,19,0),10)</f>
        <v/>
      </c>
      <c r="F47" t="str">
        <f>MID(VLOOKUP(A47, Fechas_Estado!A:AE,19,0),12,8)</f>
        <v/>
      </c>
      <c r="G47" t="str">
        <f t="shared" si="1"/>
        <v xml:space="preserve"> </v>
      </c>
      <c r="H47" t="str">
        <f>LEFT(VLOOKUP(A47, Fechas_Estado!A:AE,20,0),10)</f>
        <v/>
      </c>
      <c r="I47" t="str">
        <f>MID(VLOOKUP(A47, Fechas_Estado!A:AE,20,0),12,8)</f>
        <v/>
      </c>
      <c r="J47" t="str">
        <f t="shared" si="2"/>
        <v xml:space="preserve"> </v>
      </c>
      <c r="K47" t="str">
        <f>LEFT(VLOOKUP(A47, Fechas_Estado!A:AE,21,0),10)</f>
        <v/>
      </c>
      <c r="L47" t="str">
        <f>MID(VLOOKUP(A47, Fechas_Estado!A:AE,21,0),12,8)</f>
        <v/>
      </c>
      <c r="M47" t="str">
        <f t="shared" si="3"/>
        <v xml:space="preserve"> </v>
      </c>
      <c r="N47" t="str">
        <f>LEFT(VLOOKUP(A47, Fechas_Estado!A:AE,22,0),10)</f>
        <v/>
      </c>
      <c r="O47" t="str">
        <f>MID(VLOOKUP(A47, Fechas_Estado!A:AE,22,0),12,8)</f>
        <v/>
      </c>
      <c r="P47" t="str">
        <f t="shared" si="4"/>
        <v xml:space="preserve"> </v>
      </c>
      <c r="Q47" t="str">
        <f>LEFT(VLOOKUP(A47, Fechas_Estado!A:AE,23,0),10)</f>
        <v/>
      </c>
      <c r="R47" t="str">
        <f>MID(VLOOKUP(A47, Fechas_Estado!A:AE,23,0),12,8)</f>
        <v/>
      </c>
      <c r="S47" t="str">
        <f t="shared" si="5"/>
        <v xml:space="preserve"> </v>
      </c>
      <c r="T47" t="str">
        <f>LEFT(VLOOKUP(A47, Fechas_Estado!A:AE,24,0),10)</f>
        <v/>
      </c>
      <c r="U47" t="str">
        <f>MID(VLOOKUP(A47, Fechas_Estado!A:AE,24,0),12,8)</f>
        <v/>
      </c>
      <c r="V47" t="str">
        <f t="shared" si="6"/>
        <v xml:space="preserve"> </v>
      </c>
      <c r="W47" t="str">
        <f>LEFT(VLOOKUP(A47, Fechas_Estado!A:AE,25,0),10)</f>
        <v>2024-10-07</v>
      </c>
      <c r="X47" t="str">
        <f>MID(VLOOKUP(A47, Fechas_Estado!A:AE,25,0),12,8)</f>
        <v>12:47:19</v>
      </c>
      <c r="Y47" t="str">
        <f t="shared" si="7"/>
        <v>2024-10-07 12:47:19</v>
      </c>
      <c r="Z47" t="str">
        <f>LEFT(VLOOKUP(A47, Fechas_Estado!A:AE,26,0),10)</f>
        <v/>
      </c>
      <c r="AA47" t="str">
        <f>MID(VLOOKUP(A47, Fechas_Estado!A:AE,26,0),12,8)</f>
        <v/>
      </c>
      <c r="AB47" t="str">
        <f t="shared" si="8"/>
        <v xml:space="preserve"> </v>
      </c>
      <c r="AC47" t="str">
        <f>LEFT(VLOOKUP(A47, Fechas_Estado!A:AE,27,0),10)</f>
        <v/>
      </c>
      <c r="AD47" t="str">
        <f>MID(VLOOKUP(A47, Fechas_Estado!A:AE,27,0),12,8)</f>
        <v/>
      </c>
      <c r="AE47" t="str">
        <f t="shared" si="9"/>
        <v xml:space="preserve"> </v>
      </c>
      <c r="AF47" t="str">
        <f>LEFT(VLOOKUP(A47, Fechas_Estado!A:AF,28,0),10)</f>
        <v/>
      </c>
      <c r="AG47" t="str">
        <f>MID(VLOOKUP(A47, Fechas_Estado!A:AF,28,0),12,8)</f>
        <v/>
      </c>
      <c r="AH47" t="str">
        <f t="shared" si="10"/>
        <v xml:space="preserve"> </v>
      </c>
      <c r="AI47" t="str">
        <f>LEFT(VLOOKUP(A47, Fechas_Estado!A:AF,16,0),10)</f>
        <v/>
      </c>
      <c r="AJ47" t="str">
        <f>MID(VLOOKUP(A47, Fechas_Estado!A:AF,16,0),12,8)</f>
        <v/>
      </c>
      <c r="AK47" t="str">
        <f t="shared" si="11"/>
        <v xml:space="preserve"> </v>
      </c>
      <c r="AL47" t="e">
        <f t="shared" si="18"/>
        <v>#VALUE!</v>
      </c>
      <c r="AM47" t="str">
        <f>LEFT(VLOOKUP(A47, Fechas_Estado!A:AE,8,0),10)</f>
        <v/>
      </c>
      <c r="AN47" t="str">
        <f>MID(VLOOKUP(A47, Fechas_Estado!A:AE,8,0),12,8)</f>
        <v/>
      </c>
      <c r="AO47" t="str">
        <f t="shared" si="12"/>
        <v xml:space="preserve"> </v>
      </c>
      <c r="AP47" t="str">
        <f>LEFT(VLOOKUP(A47, Fechas_Estado!A:AE,7,0),10)</f>
        <v/>
      </c>
      <c r="AQ47" t="str">
        <f>MID(VLOOKUP(A47, Fechas_Estado!A:AE,7,0),12,8)</f>
        <v/>
      </c>
      <c r="AR47" t="str">
        <f t="shared" si="13"/>
        <v xml:space="preserve"> </v>
      </c>
      <c r="AS47" t="str">
        <f>LEFT(VLOOKUP(A47, Fechas_Estado!A:AE,10,0),10)</f>
        <v/>
      </c>
      <c r="AT47" t="str">
        <f>MID(VLOOKUP(A47, Fechas_Estado!A:AE,10,0),12,8)</f>
        <v/>
      </c>
      <c r="AU47" t="str">
        <f t="shared" si="14"/>
        <v xml:space="preserve"> </v>
      </c>
      <c r="AV47" t="str">
        <f>LEFT(VLOOKUP(A47, Fechas_Estado!A:AE,17,0),10)</f>
        <v/>
      </c>
      <c r="AW47" t="str">
        <f>MID(VLOOKUP(A47, Fechas_Estado!A:AE,17,0),12,8)</f>
        <v/>
      </c>
      <c r="AX47" t="str">
        <f t="shared" si="15"/>
        <v xml:space="preserve"> </v>
      </c>
      <c r="AY47" t="e">
        <f t="shared" si="19"/>
        <v>#VALUE!</v>
      </c>
      <c r="AZ47" t="str">
        <f>LEFT(VLOOKUP(A47, Fechas_Estado!A:AE,5,0),10)</f>
        <v/>
      </c>
      <c r="BA47" t="str">
        <f>MID(VLOOKUP(A47, Fechas_Estado!A:AE,5,0),12,8)</f>
        <v/>
      </c>
      <c r="BB47" t="str">
        <f t="shared" si="16"/>
        <v xml:space="preserve"> </v>
      </c>
      <c r="BC47" t="e">
        <f t="shared" si="17"/>
        <v>#VALUE!</v>
      </c>
    </row>
    <row r="48" spans="1:55" x14ac:dyDescent="0.25">
      <c r="A48" t="str">
        <f>Fechas_Estado!A47</f>
        <v>ESPC360-12336</v>
      </c>
      <c r="B48" t="str">
        <f>LEFT(VLOOKUP(A48,Fechas_Estado!A:AE,2,0),10)</f>
        <v>2024-10-14</v>
      </c>
      <c r="C48" t="str">
        <f>MID(VLOOKUP(A48, Fechas_Estado!A:AE,2,0),12,8)</f>
        <v>12:31:58</v>
      </c>
      <c r="D48" t="str">
        <f t="shared" si="0"/>
        <v>2024-10-14 12:31:58</v>
      </c>
      <c r="E48" t="str">
        <f>LEFT(VLOOKUP(A48, Fechas_Estado!A:AE,19,0),10)</f>
        <v/>
      </c>
      <c r="F48" t="str">
        <f>MID(VLOOKUP(A48, Fechas_Estado!A:AE,19,0),12,8)</f>
        <v/>
      </c>
      <c r="G48" t="str">
        <f t="shared" si="1"/>
        <v xml:space="preserve"> </v>
      </c>
      <c r="H48" t="str">
        <f>LEFT(VLOOKUP(A48, Fechas_Estado!A:AE,20,0),10)</f>
        <v/>
      </c>
      <c r="I48" t="str">
        <f>MID(VLOOKUP(A48, Fechas_Estado!A:AE,20,0),12,8)</f>
        <v/>
      </c>
      <c r="J48" t="str">
        <f t="shared" si="2"/>
        <v xml:space="preserve"> </v>
      </c>
      <c r="K48" t="str">
        <f>LEFT(VLOOKUP(A48, Fechas_Estado!A:AE,21,0),10)</f>
        <v/>
      </c>
      <c r="L48" t="str">
        <f>MID(VLOOKUP(A48, Fechas_Estado!A:AE,21,0),12,8)</f>
        <v/>
      </c>
      <c r="M48" t="str">
        <f t="shared" si="3"/>
        <v xml:space="preserve"> </v>
      </c>
      <c r="N48" t="str">
        <f>LEFT(VLOOKUP(A48, Fechas_Estado!A:AE,22,0),10)</f>
        <v/>
      </c>
      <c r="O48" t="str">
        <f>MID(VLOOKUP(A48, Fechas_Estado!A:AE,22,0),12,8)</f>
        <v/>
      </c>
      <c r="P48" t="str">
        <f t="shared" si="4"/>
        <v xml:space="preserve"> </v>
      </c>
      <c r="Q48" t="str">
        <f>LEFT(VLOOKUP(A48, Fechas_Estado!A:AE,23,0),10)</f>
        <v/>
      </c>
      <c r="R48" t="str">
        <f>MID(VLOOKUP(A48, Fechas_Estado!A:AE,23,0),12,8)</f>
        <v/>
      </c>
      <c r="S48" t="str">
        <f t="shared" si="5"/>
        <v xml:space="preserve"> </v>
      </c>
      <c r="T48" t="str">
        <f>LEFT(VLOOKUP(A48, Fechas_Estado!A:AE,24,0),10)</f>
        <v/>
      </c>
      <c r="U48" t="str">
        <f>MID(VLOOKUP(A48, Fechas_Estado!A:AE,24,0),12,8)</f>
        <v/>
      </c>
      <c r="V48" t="str">
        <f t="shared" si="6"/>
        <v xml:space="preserve"> </v>
      </c>
      <c r="W48" t="str">
        <f>LEFT(VLOOKUP(A48, Fechas_Estado!A:AE,25,0),10)</f>
        <v>2024-10-14</v>
      </c>
      <c r="X48" t="str">
        <f>MID(VLOOKUP(A48, Fechas_Estado!A:AE,25,0),12,8)</f>
        <v>12:52:38</v>
      </c>
      <c r="Y48" t="str">
        <f t="shared" si="7"/>
        <v>2024-10-14 12:52:38</v>
      </c>
      <c r="Z48" t="str">
        <f>LEFT(VLOOKUP(A48, Fechas_Estado!A:AE,26,0),10)</f>
        <v>2024-10-16</v>
      </c>
      <c r="AA48" t="str">
        <f>MID(VLOOKUP(A48, Fechas_Estado!A:AE,26,0),12,8)</f>
        <v>12:20:58</v>
      </c>
      <c r="AB48" t="str">
        <f t="shared" si="8"/>
        <v>2024-10-16 12:20:58</v>
      </c>
      <c r="AC48" t="str">
        <f>LEFT(VLOOKUP(A48, Fechas_Estado!A:AE,27,0),10)</f>
        <v>2024-10-17</v>
      </c>
      <c r="AD48" t="str">
        <f>MID(VLOOKUP(A48, Fechas_Estado!A:AE,27,0),12,8)</f>
        <v>16:11:58</v>
      </c>
      <c r="AE48" t="str">
        <f t="shared" si="9"/>
        <v>2024-10-17 16:11:58</v>
      </c>
      <c r="AF48" t="str">
        <f>LEFT(VLOOKUP(A48, Fechas_Estado!A:AF,28,0),10)</f>
        <v/>
      </c>
      <c r="AG48" t="str">
        <f>MID(VLOOKUP(A48, Fechas_Estado!A:AF,28,0),12,8)</f>
        <v/>
      </c>
      <c r="AH48" t="str">
        <f t="shared" si="10"/>
        <v xml:space="preserve"> </v>
      </c>
      <c r="AI48" t="str">
        <f>LEFT(VLOOKUP(A48, Fechas_Estado!A:AF,16,0),10)</f>
        <v>2024-10-18</v>
      </c>
      <c r="AJ48" t="str">
        <f>MID(VLOOKUP(A48, Fechas_Estado!A:AF,16,0),12,8)</f>
        <v>14:50:48</v>
      </c>
      <c r="AK48" t="str">
        <f t="shared" si="11"/>
        <v>2024-10-18 14:50:48</v>
      </c>
      <c r="AL48">
        <f t="shared" si="18"/>
        <v>4.0964120370335877</v>
      </c>
      <c r="AM48" t="str">
        <f>LEFT(VLOOKUP(A48, Fechas_Estado!A:AE,8,0),10)</f>
        <v>2024-10-18</v>
      </c>
      <c r="AN48" t="str">
        <f>MID(VLOOKUP(A48, Fechas_Estado!A:AE,8,0),12,8)</f>
        <v>14:50:54</v>
      </c>
      <c r="AO48" t="str">
        <f t="shared" si="12"/>
        <v>2024-10-18 14:50:54</v>
      </c>
      <c r="AP48" t="str">
        <f>LEFT(VLOOKUP(A48, Fechas_Estado!A:AE,7,0),10)</f>
        <v>2024-10-18</v>
      </c>
      <c r="AQ48" t="str">
        <f>MID(VLOOKUP(A48, Fechas_Estado!A:AE,7,0),12,8)</f>
        <v>14:51:00</v>
      </c>
      <c r="AR48" t="str">
        <f t="shared" si="13"/>
        <v>2024-10-18 14:51:00</v>
      </c>
      <c r="AS48" t="str">
        <f>LEFT(VLOOKUP(A48, Fechas_Estado!A:AE,10,0),10)</f>
        <v>2024-10-18</v>
      </c>
      <c r="AT48" t="str">
        <f>MID(VLOOKUP(A48, Fechas_Estado!A:AE,10,0),12,8)</f>
        <v>15:50:40</v>
      </c>
      <c r="AU48" t="str">
        <f t="shared" si="14"/>
        <v>2024-10-18 15:50:40</v>
      </c>
      <c r="AV48" t="str">
        <f>LEFT(VLOOKUP(A48, Fechas_Estado!A:AE,17,0),10)</f>
        <v>2024-10-18</v>
      </c>
      <c r="AW48" t="str">
        <f>MID(VLOOKUP(A48, Fechas_Estado!A:AE,17,0),12,8)</f>
        <v>15:50:44</v>
      </c>
      <c r="AX48" t="str">
        <f t="shared" si="15"/>
        <v>2024-10-18 15:50:44</v>
      </c>
      <c r="AY48">
        <f t="shared" si="19"/>
        <v>4.1550925925548654E-2</v>
      </c>
      <c r="AZ48" t="str">
        <f>LEFT(VLOOKUP(A48, Fechas_Estado!A:AE,5,0),10)</f>
        <v>2024-10-31</v>
      </c>
      <c r="BA48" t="str">
        <f>MID(VLOOKUP(A48, Fechas_Estado!A:AE,5,0),12,8)</f>
        <v>09:15:06</v>
      </c>
      <c r="BB48" t="str">
        <f t="shared" si="16"/>
        <v>2024-10-31 09:15:06</v>
      </c>
      <c r="BC48">
        <f t="shared" si="17"/>
        <v>12.72525462962949</v>
      </c>
    </row>
    <row r="49" spans="1:55" x14ac:dyDescent="0.25">
      <c r="A49" t="str">
        <f>Fechas_Estado!A48</f>
        <v>ESPC360-12355</v>
      </c>
      <c r="B49" t="str">
        <f>LEFT(VLOOKUP(A49,Fechas_Estado!A:AE,2,0),10)</f>
        <v>2024-10-15</v>
      </c>
      <c r="C49" t="str">
        <f>MID(VLOOKUP(A49, Fechas_Estado!A:AE,2,0),12,8)</f>
        <v>11:29:53</v>
      </c>
      <c r="D49" t="str">
        <f t="shared" si="0"/>
        <v>2024-10-15 11:29:53</v>
      </c>
      <c r="E49" t="str">
        <f>LEFT(VLOOKUP(A49, Fechas_Estado!A:AE,19,0),10)</f>
        <v/>
      </c>
      <c r="F49" t="str">
        <f>MID(VLOOKUP(A49, Fechas_Estado!A:AE,19,0),12,8)</f>
        <v/>
      </c>
      <c r="G49" t="str">
        <f t="shared" si="1"/>
        <v xml:space="preserve"> </v>
      </c>
      <c r="H49" t="str">
        <f>LEFT(VLOOKUP(A49, Fechas_Estado!A:AE,20,0),10)</f>
        <v/>
      </c>
      <c r="I49" t="str">
        <f>MID(VLOOKUP(A49, Fechas_Estado!A:AE,20,0),12,8)</f>
        <v/>
      </c>
      <c r="J49" t="str">
        <f t="shared" si="2"/>
        <v xml:space="preserve"> </v>
      </c>
      <c r="K49" t="str">
        <f>LEFT(VLOOKUP(A49, Fechas_Estado!A:AE,21,0),10)</f>
        <v/>
      </c>
      <c r="L49" t="str">
        <f>MID(VLOOKUP(A49, Fechas_Estado!A:AE,21,0),12,8)</f>
        <v/>
      </c>
      <c r="M49" t="str">
        <f t="shared" si="3"/>
        <v xml:space="preserve"> </v>
      </c>
      <c r="N49" t="str">
        <f>LEFT(VLOOKUP(A49, Fechas_Estado!A:AE,22,0),10)</f>
        <v/>
      </c>
      <c r="O49" t="str">
        <f>MID(VLOOKUP(A49, Fechas_Estado!A:AE,22,0),12,8)</f>
        <v/>
      </c>
      <c r="P49" t="str">
        <f t="shared" si="4"/>
        <v xml:space="preserve"> </v>
      </c>
      <c r="Q49" t="str">
        <f>LEFT(VLOOKUP(A49, Fechas_Estado!A:AE,23,0),10)</f>
        <v/>
      </c>
      <c r="R49" t="str">
        <f>MID(VLOOKUP(A49, Fechas_Estado!A:AE,23,0),12,8)</f>
        <v/>
      </c>
      <c r="S49" t="str">
        <f t="shared" si="5"/>
        <v xml:space="preserve"> </v>
      </c>
      <c r="T49" t="str">
        <f>LEFT(VLOOKUP(A49, Fechas_Estado!A:AE,24,0),10)</f>
        <v/>
      </c>
      <c r="U49" t="str">
        <f>MID(VLOOKUP(A49, Fechas_Estado!A:AE,24,0),12,8)</f>
        <v/>
      </c>
      <c r="V49" t="str">
        <f t="shared" si="6"/>
        <v xml:space="preserve"> </v>
      </c>
      <c r="W49" t="str">
        <f>LEFT(VLOOKUP(A49, Fechas_Estado!A:AE,25,0),10)</f>
        <v>2024-10-15</v>
      </c>
      <c r="X49" t="str">
        <f>MID(VLOOKUP(A49, Fechas_Estado!A:AE,25,0),12,8)</f>
        <v>11:30:07</v>
      </c>
      <c r="Y49" t="str">
        <f t="shared" si="7"/>
        <v>2024-10-15 11:30:07</v>
      </c>
      <c r="Z49" t="str">
        <f>LEFT(VLOOKUP(A49, Fechas_Estado!A:AE,26,0),10)</f>
        <v>2024-10-17</v>
      </c>
      <c r="AA49" t="str">
        <f>MID(VLOOKUP(A49, Fechas_Estado!A:AE,26,0),12,8)</f>
        <v>15:57:53</v>
      </c>
      <c r="AB49" t="str">
        <f t="shared" si="8"/>
        <v>2024-10-17 15:57:53</v>
      </c>
      <c r="AC49" t="str">
        <f>LEFT(VLOOKUP(A49, Fechas_Estado!A:AE,27,0),10)</f>
        <v>2024-10-23</v>
      </c>
      <c r="AD49" t="str">
        <f>MID(VLOOKUP(A49, Fechas_Estado!A:AE,27,0),12,8)</f>
        <v>13:14:55</v>
      </c>
      <c r="AE49" t="str">
        <f t="shared" si="9"/>
        <v>2024-10-23 13:14:55</v>
      </c>
      <c r="AF49" t="str">
        <f>LEFT(VLOOKUP(A49, Fechas_Estado!A:AF,28,0),10)</f>
        <v/>
      </c>
      <c r="AG49" t="str">
        <f>MID(VLOOKUP(A49, Fechas_Estado!A:AF,28,0),12,8)</f>
        <v/>
      </c>
      <c r="AH49" t="str">
        <f t="shared" si="10"/>
        <v xml:space="preserve"> </v>
      </c>
      <c r="AI49" t="str">
        <f>LEFT(VLOOKUP(A49, Fechas_Estado!A:AF,16,0),10)</f>
        <v>2024-10-28</v>
      </c>
      <c r="AJ49" t="str">
        <f>MID(VLOOKUP(A49, Fechas_Estado!A:AF,16,0),12,8)</f>
        <v>11:53:47</v>
      </c>
      <c r="AK49" t="str">
        <f t="shared" si="11"/>
        <v>2024-10-28 11:53:47</v>
      </c>
      <c r="AL49">
        <f t="shared" si="18"/>
        <v>13.016597222223936</v>
      </c>
      <c r="AM49" t="str">
        <f>LEFT(VLOOKUP(A49, Fechas_Estado!A:AE,8,0),10)</f>
        <v>2024-10-31</v>
      </c>
      <c r="AN49" t="str">
        <f>MID(VLOOKUP(A49, Fechas_Estado!A:AE,8,0),12,8)</f>
        <v>15:22:59</v>
      </c>
      <c r="AO49" t="str">
        <f t="shared" si="12"/>
        <v>2024-10-31 15:22:59</v>
      </c>
      <c r="AP49" t="str">
        <f>LEFT(VLOOKUP(A49, Fechas_Estado!A:AE,7,0),10)</f>
        <v>2024-10-31</v>
      </c>
      <c r="AQ49" t="str">
        <f>MID(VLOOKUP(A49, Fechas_Estado!A:AE,7,0),12,8)</f>
        <v>16:40:35</v>
      </c>
      <c r="AR49" t="str">
        <f t="shared" si="13"/>
        <v>2024-10-31 16:40:35</v>
      </c>
      <c r="AS49" t="str">
        <f>LEFT(VLOOKUP(A49, Fechas_Estado!A:AE,10,0),10)</f>
        <v>2024-10-31</v>
      </c>
      <c r="AT49" t="str">
        <f>MID(VLOOKUP(A49, Fechas_Estado!A:AE,10,0),12,8)</f>
        <v>16:40:38</v>
      </c>
      <c r="AU49" t="str">
        <f t="shared" si="14"/>
        <v>2024-10-31 16:40:38</v>
      </c>
      <c r="AV49" t="str">
        <f>LEFT(VLOOKUP(A49, Fechas_Estado!A:AE,17,0),10)</f>
        <v>2024-11-06</v>
      </c>
      <c r="AW49" t="str">
        <f>MID(VLOOKUP(A49, Fechas_Estado!A:AE,17,0),12,8)</f>
        <v>09:43:03</v>
      </c>
      <c r="AX49" t="str">
        <f t="shared" si="15"/>
        <v>2024-11-06 09:43:03</v>
      </c>
      <c r="AY49">
        <f t="shared" si="19"/>
        <v>5.7639351851903484</v>
      </c>
      <c r="AZ49" t="str">
        <f>LEFT(VLOOKUP(A49, Fechas_Estado!A:AE,5,0),10)</f>
        <v>2024-11-26</v>
      </c>
      <c r="BA49" t="str">
        <f>MID(VLOOKUP(A49, Fechas_Estado!A:AE,5,0),12,8)</f>
        <v>10:22:11</v>
      </c>
      <c r="BB49" t="str">
        <f t="shared" si="16"/>
        <v>2024-11-26 10:22:11</v>
      </c>
      <c r="BC49">
        <f t="shared" si="17"/>
        <v>20.027175925919437</v>
      </c>
    </row>
    <row r="50" spans="1:55" x14ac:dyDescent="0.25">
      <c r="A50" t="str">
        <f>Fechas_Estado!A49</f>
        <v>ESPC360-12363</v>
      </c>
      <c r="B50" t="str">
        <f>LEFT(VLOOKUP(A50,Fechas_Estado!A:AE,2,0),10)</f>
        <v>2024-10-15</v>
      </c>
      <c r="C50" t="str">
        <f>MID(VLOOKUP(A50, Fechas_Estado!A:AE,2,0),12,8)</f>
        <v>18:10:26</v>
      </c>
      <c r="D50" t="str">
        <f t="shared" si="0"/>
        <v>2024-10-15 18:10:26</v>
      </c>
      <c r="E50" t="str">
        <f>LEFT(VLOOKUP(A50, Fechas_Estado!A:AE,19,0),10)</f>
        <v/>
      </c>
      <c r="F50" t="str">
        <f>MID(VLOOKUP(A50, Fechas_Estado!A:AE,19,0),12,8)</f>
        <v/>
      </c>
      <c r="G50" t="str">
        <f t="shared" si="1"/>
        <v xml:space="preserve"> </v>
      </c>
      <c r="H50" t="str">
        <f>LEFT(VLOOKUP(A50, Fechas_Estado!A:AE,20,0),10)</f>
        <v/>
      </c>
      <c r="I50" t="str">
        <f>MID(VLOOKUP(A50, Fechas_Estado!A:AE,20,0),12,8)</f>
        <v/>
      </c>
      <c r="J50" t="str">
        <f t="shared" si="2"/>
        <v xml:space="preserve"> </v>
      </c>
      <c r="K50" t="str">
        <f>LEFT(VLOOKUP(A50, Fechas_Estado!A:AE,21,0),10)</f>
        <v/>
      </c>
      <c r="L50" t="str">
        <f>MID(VLOOKUP(A50, Fechas_Estado!A:AE,21,0),12,8)</f>
        <v/>
      </c>
      <c r="M50" t="str">
        <f t="shared" si="3"/>
        <v xml:space="preserve"> </v>
      </c>
      <c r="N50" t="str">
        <f>LEFT(VLOOKUP(A50, Fechas_Estado!A:AE,22,0),10)</f>
        <v/>
      </c>
      <c r="O50" t="str">
        <f>MID(VLOOKUP(A50, Fechas_Estado!A:AE,22,0),12,8)</f>
        <v/>
      </c>
      <c r="P50" t="str">
        <f t="shared" si="4"/>
        <v xml:space="preserve"> </v>
      </c>
      <c r="Q50" t="str">
        <f>LEFT(VLOOKUP(A50, Fechas_Estado!A:AE,23,0),10)</f>
        <v/>
      </c>
      <c r="R50" t="str">
        <f>MID(VLOOKUP(A50, Fechas_Estado!A:AE,23,0),12,8)</f>
        <v/>
      </c>
      <c r="S50" t="str">
        <f t="shared" si="5"/>
        <v xml:space="preserve"> </v>
      </c>
      <c r="T50" t="str">
        <f>LEFT(VLOOKUP(A50, Fechas_Estado!A:AE,24,0),10)</f>
        <v/>
      </c>
      <c r="U50" t="str">
        <f>MID(VLOOKUP(A50, Fechas_Estado!A:AE,24,0),12,8)</f>
        <v/>
      </c>
      <c r="V50" t="str">
        <f t="shared" si="6"/>
        <v xml:space="preserve"> </v>
      </c>
      <c r="W50" t="str">
        <f>LEFT(VLOOKUP(A50, Fechas_Estado!A:AE,25,0),10)</f>
        <v>2024-10-29</v>
      </c>
      <c r="X50" t="str">
        <f>MID(VLOOKUP(A50, Fechas_Estado!A:AE,25,0),12,8)</f>
        <v>11:45:51</v>
      </c>
      <c r="Y50" t="str">
        <f t="shared" si="7"/>
        <v>2024-10-29 11:45:51</v>
      </c>
      <c r="Z50" t="str">
        <f>LEFT(VLOOKUP(A50, Fechas_Estado!A:AE,26,0),10)</f>
        <v>2024-10-29</v>
      </c>
      <c r="AA50" t="str">
        <f>MID(VLOOKUP(A50, Fechas_Estado!A:AE,26,0),12,8)</f>
        <v>17:44:27</v>
      </c>
      <c r="AB50" t="str">
        <f t="shared" si="8"/>
        <v>2024-10-29 17:44:27</v>
      </c>
      <c r="AC50" t="str">
        <f>LEFT(VLOOKUP(A50, Fechas_Estado!A:AE,27,0),10)</f>
        <v>2024-10-31</v>
      </c>
      <c r="AD50" t="str">
        <f>MID(VLOOKUP(A50, Fechas_Estado!A:AE,27,0),12,8)</f>
        <v>11:30:23</v>
      </c>
      <c r="AE50" t="str">
        <f t="shared" si="9"/>
        <v>2024-10-31 11:30:23</v>
      </c>
      <c r="AF50" t="str">
        <f>LEFT(VLOOKUP(A50, Fechas_Estado!A:AF,28,0),10)</f>
        <v/>
      </c>
      <c r="AG50" t="str">
        <f>MID(VLOOKUP(A50, Fechas_Estado!A:AF,28,0),12,8)</f>
        <v/>
      </c>
      <c r="AH50" t="str">
        <f t="shared" si="10"/>
        <v xml:space="preserve"> </v>
      </c>
      <c r="AI50" t="str">
        <f>LEFT(VLOOKUP(A50, Fechas_Estado!A:AF,16,0),10)</f>
        <v>2024-11-13</v>
      </c>
      <c r="AJ50" t="str">
        <f>MID(VLOOKUP(A50, Fechas_Estado!A:AF,16,0),12,8)</f>
        <v>11:19:49</v>
      </c>
      <c r="AK50" t="str">
        <f t="shared" si="11"/>
        <v>2024-11-13 11:19:49</v>
      </c>
      <c r="AL50">
        <f t="shared" si="18"/>
        <v>28.714849537042028</v>
      </c>
      <c r="AM50" t="str">
        <f>LEFT(VLOOKUP(A50, Fechas_Estado!A:AE,8,0),10)</f>
        <v>2024-11-14</v>
      </c>
      <c r="AN50" t="str">
        <f>MID(VLOOKUP(A50, Fechas_Estado!A:AE,8,0),12,8)</f>
        <v>16:38:25</v>
      </c>
      <c r="AO50" t="str">
        <f t="shared" si="12"/>
        <v>2024-11-14 16:38:25</v>
      </c>
      <c r="AP50" t="str">
        <f>LEFT(VLOOKUP(A50, Fechas_Estado!A:AE,7,0),10)</f>
        <v>2024-11-15</v>
      </c>
      <c r="AQ50" t="str">
        <f>MID(VLOOKUP(A50, Fechas_Estado!A:AE,7,0),12,8)</f>
        <v>12:23:02</v>
      </c>
      <c r="AR50" t="str">
        <f t="shared" si="13"/>
        <v>2024-11-15 12:23:02</v>
      </c>
      <c r="AS50" t="str">
        <f>LEFT(VLOOKUP(A50, Fechas_Estado!A:AE,10,0),10)</f>
        <v>2024-11-20</v>
      </c>
      <c r="AT50" t="str">
        <f>MID(VLOOKUP(A50, Fechas_Estado!A:AE,10,0),12,8)</f>
        <v>10:12:53</v>
      </c>
      <c r="AU50" t="str">
        <f t="shared" si="14"/>
        <v>2024-11-20 10:12:53</v>
      </c>
      <c r="AV50" t="str">
        <f>LEFT(VLOOKUP(A50, Fechas_Estado!A:AE,17,0),10)</f>
        <v>2024-11-26</v>
      </c>
      <c r="AW50" t="str">
        <f>MID(VLOOKUP(A50, Fechas_Estado!A:AE,17,0),12,8)</f>
        <v>09:21:06</v>
      </c>
      <c r="AX50" t="str">
        <f t="shared" si="15"/>
        <v>2024-11-26 09:21:06</v>
      </c>
      <c r="AY50">
        <f t="shared" si="19"/>
        <v>11.696307870370219</v>
      </c>
      <c r="AZ50" t="str">
        <f>LEFT(VLOOKUP(A50, Fechas_Estado!A:AE,5,0),10)</f>
        <v>2024-12-11</v>
      </c>
      <c r="BA50" t="str">
        <f>MID(VLOOKUP(A50, Fechas_Estado!A:AE,5,0),12,8)</f>
        <v>09:27:11</v>
      </c>
      <c r="BB50" t="str">
        <f t="shared" si="16"/>
        <v>2024-12-11 09:27:11</v>
      </c>
      <c r="BC50">
        <f t="shared" si="17"/>
        <v>15.004224537042319</v>
      </c>
    </row>
    <row r="51" spans="1:55" x14ac:dyDescent="0.25">
      <c r="A51" t="str">
        <f>Fechas_Estado!A50</f>
        <v>ESPC360-12372</v>
      </c>
      <c r="B51" t="str">
        <f>LEFT(VLOOKUP(A51,Fechas_Estado!A:AE,2,0),10)</f>
        <v>2024-10-16</v>
      </c>
      <c r="C51" t="str">
        <f>MID(VLOOKUP(A51, Fechas_Estado!A:AE,2,0),12,8)</f>
        <v>11:22:07</v>
      </c>
      <c r="D51" t="str">
        <f t="shared" si="0"/>
        <v>2024-10-16 11:22:07</v>
      </c>
      <c r="E51" t="str">
        <f>LEFT(VLOOKUP(A51, Fechas_Estado!A:AE,19,0),10)</f>
        <v/>
      </c>
      <c r="F51" t="str">
        <f>MID(VLOOKUP(A51, Fechas_Estado!A:AE,19,0),12,8)</f>
        <v/>
      </c>
      <c r="G51" t="str">
        <f t="shared" si="1"/>
        <v xml:space="preserve"> </v>
      </c>
      <c r="H51" t="str">
        <f>LEFT(VLOOKUP(A51, Fechas_Estado!A:AE,20,0),10)</f>
        <v/>
      </c>
      <c r="I51" t="str">
        <f>MID(VLOOKUP(A51, Fechas_Estado!A:AE,20,0),12,8)</f>
        <v/>
      </c>
      <c r="J51" t="str">
        <f t="shared" si="2"/>
        <v xml:space="preserve"> </v>
      </c>
      <c r="K51" t="str">
        <f>LEFT(VLOOKUP(A51, Fechas_Estado!A:AE,21,0),10)</f>
        <v/>
      </c>
      <c r="L51" t="str">
        <f>MID(VLOOKUP(A51, Fechas_Estado!A:AE,21,0),12,8)</f>
        <v/>
      </c>
      <c r="M51" t="str">
        <f t="shared" si="3"/>
        <v xml:space="preserve"> </v>
      </c>
      <c r="N51" t="str">
        <f>LEFT(VLOOKUP(A51, Fechas_Estado!A:AE,22,0),10)</f>
        <v/>
      </c>
      <c r="O51" t="str">
        <f>MID(VLOOKUP(A51, Fechas_Estado!A:AE,22,0),12,8)</f>
        <v/>
      </c>
      <c r="P51" t="str">
        <f t="shared" si="4"/>
        <v xml:space="preserve"> </v>
      </c>
      <c r="Q51" t="str">
        <f>LEFT(VLOOKUP(A51, Fechas_Estado!A:AE,23,0),10)</f>
        <v/>
      </c>
      <c r="R51" t="str">
        <f>MID(VLOOKUP(A51, Fechas_Estado!A:AE,23,0),12,8)</f>
        <v/>
      </c>
      <c r="S51" t="str">
        <f t="shared" si="5"/>
        <v xml:space="preserve"> </v>
      </c>
      <c r="T51" t="str">
        <f>LEFT(VLOOKUP(A51, Fechas_Estado!A:AE,24,0),10)</f>
        <v/>
      </c>
      <c r="U51" t="str">
        <f>MID(VLOOKUP(A51, Fechas_Estado!A:AE,24,0),12,8)</f>
        <v/>
      </c>
      <c r="V51" t="str">
        <f t="shared" si="6"/>
        <v xml:space="preserve"> </v>
      </c>
      <c r="W51" t="str">
        <f>LEFT(VLOOKUP(A51, Fechas_Estado!A:AE,25,0),10)</f>
        <v>2024-10-16</v>
      </c>
      <c r="X51" t="str">
        <f>MID(VLOOKUP(A51, Fechas_Estado!A:AE,25,0),12,8)</f>
        <v>11:22:22</v>
      </c>
      <c r="Y51" t="str">
        <f t="shared" si="7"/>
        <v>2024-10-16 11:22:22</v>
      </c>
      <c r="Z51" t="str">
        <f>LEFT(VLOOKUP(A51, Fechas_Estado!A:AE,26,0),10)</f>
        <v>2024-10-17</v>
      </c>
      <c r="AA51" t="str">
        <f>MID(VLOOKUP(A51, Fechas_Estado!A:AE,26,0),12,8)</f>
        <v>18:34:20</v>
      </c>
      <c r="AB51" t="str">
        <f t="shared" si="8"/>
        <v>2024-10-17 18:34:20</v>
      </c>
      <c r="AC51" t="str">
        <f>LEFT(VLOOKUP(A51, Fechas_Estado!A:AE,27,0),10)</f>
        <v/>
      </c>
      <c r="AD51" t="str">
        <f>MID(VLOOKUP(A51, Fechas_Estado!A:AE,27,0),12,8)</f>
        <v/>
      </c>
      <c r="AE51" t="str">
        <f t="shared" si="9"/>
        <v xml:space="preserve"> </v>
      </c>
      <c r="AF51" t="str">
        <f>LEFT(VLOOKUP(A51, Fechas_Estado!A:AF,28,0),10)</f>
        <v/>
      </c>
      <c r="AG51" t="str">
        <f>MID(VLOOKUP(A51, Fechas_Estado!A:AF,28,0),12,8)</f>
        <v/>
      </c>
      <c r="AH51" t="str">
        <f t="shared" si="10"/>
        <v xml:space="preserve"> </v>
      </c>
      <c r="AI51" t="str">
        <f>LEFT(VLOOKUP(A51, Fechas_Estado!A:AF,16,0),10)</f>
        <v/>
      </c>
      <c r="AJ51" t="str">
        <f>MID(VLOOKUP(A51, Fechas_Estado!A:AF,16,0),12,8)</f>
        <v/>
      </c>
      <c r="AK51" t="str">
        <f t="shared" si="11"/>
        <v xml:space="preserve"> </v>
      </c>
      <c r="AL51" t="e">
        <f t="shared" si="18"/>
        <v>#VALUE!</v>
      </c>
      <c r="AM51" t="str">
        <f>LEFT(VLOOKUP(A51, Fechas_Estado!A:AE,8,0),10)</f>
        <v/>
      </c>
      <c r="AN51" t="str">
        <f>MID(VLOOKUP(A51, Fechas_Estado!A:AE,8,0),12,8)</f>
        <v/>
      </c>
      <c r="AO51" t="str">
        <f t="shared" si="12"/>
        <v xml:space="preserve"> </v>
      </c>
      <c r="AP51" t="str">
        <f>LEFT(VLOOKUP(A51, Fechas_Estado!A:AE,7,0),10)</f>
        <v/>
      </c>
      <c r="AQ51" t="str">
        <f>MID(VLOOKUP(A51, Fechas_Estado!A:AE,7,0),12,8)</f>
        <v/>
      </c>
      <c r="AR51" t="str">
        <f t="shared" si="13"/>
        <v xml:space="preserve"> </v>
      </c>
      <c r="AS51" t="str">
        <f>LEFT(VLOOKUP(A51, Fechas_Estado!A:AE,10,0),10)</f>
        <v/>
      </c>
      <c r="AT51" t="str">
        <f>MID(VLOOKUP(A51, Fechas_Estado!A:AE,10,0),12,8)</f>
        <v/>
      </c>
      <c r="AU51" t="str">
        <f t="shared" si="14"/>
        <v xml:space="preserve"> </v>
      </c>
      <c r="AV51" t="str">
        <f>LEFT(VLOOKUP(A51, Fechas_Estado!A:AE,17,0),10)</f>
        <v/>
      </c>
      <c r="AW51" t="str">
        <f>MID(VLOOKUP(A51, Fechas_Estado!A:AE,17,0),12,8)</f>
        <v/>
      </c>
      <c r="AX51" t="str">
        <f t="shared" si="15"/>
        <v xml:space="preserve"> </v>
      </c>
      <c r="AY51" t="e">
        <f t="shared" si="19"/>
        <v>#VALUE!</v>
      </c>
      <c r="AZ51" t="str">
        <f>LEFT(VLOOKUP(A51, Fechas_Estado!A:AE,5,0),10)</f>
        <v>2024-10-22</v>
      </c>
      <c r="BA51" t="str">
        <f>MID(VLOOKUP(A51, Fechas_Estado!A:AE,5,0),12,8)</f>
        <v>15:51:43</v>
      </c>
      <c r="BB51" t="str">
        <f t="shared" si="16"/>
        <v>2024-10-22 15:51:43</v>
      </c>
      <c r="BC51" t="e">
        <f t="shared" si="17"/>
        <v>#VALUE!</v>
      </c>
    </row>
    <row r="52" spans="1:55" x14ac:dyDescent="0.25">
      <c r="A52" t="str">
        <f>Fechas_Estado!A51</f>
        <v>ESPC360-12379</v>
      </c>
      <c r="B52" t="str">
        <f>LEFT(VLOOKUP(A52,Fechas_Estado!A:AE,2,0),10)</f>
        <v>2024-10-16</v>
      </c>
      <c r="C52" t="str">
        <f>MID(VLOOKUP(A52, Fechas_Estado!A:AE,2,0),12,8)</f>
        <v>13:28:25</v>
      </c>
      <c r="D52" t="str">
        <f t="shared" si="0"/>
        <v>2024-10-16 13:28:25</v>
      </c>
      <c r="E52" t="str">
        <f>LEFT(VLOOKUP(A52, Fechas_Estado!A:AE,19,0),10)</f>
        <v/>
      </c>
      <c r="F52" t="str">
        <f>MID(VLOOKUP(A52, Fechas_Estado!A:AE,19,0),12,8)</f>
        <v/>
      </c>
      <c r="G52" t="str">
        <f t="shared" si="1"/>
        <v xml:space="preserve"> </v>
      </c>
      <c r="H52" t="str">
        <f>LEFT(VLOOKUP(A52, Fechas_Estado!A:AE,20,0),10)</f>
        <v/>
      </c>
      <c r="I52" t="str">
        <f>MID(VLOOKUP(A52, Fechas_Estado!A:AE,20,0),12,8)</f>
        <v/>
      </c>
      <c r="J52" t="str">
        <f t="shared" si="2"/>
        <v xml:space="preserve"> </v>
      </c>
      <c r="K52" t="str">
        <f>LEFT(VLOOKUP(A52, Fechas_Estado!A:AE,21,0),10)</f>
        <v/>
      </c>
      <c r="L52" t="str">
        <f>MID(VLOOKUP(A52, Fechas_Estado!A:AE,21,0),12,8)</f>
        <v/>
      </c>
      <c r="M52" t="str">
        <f t="shared" si="3"/>
        <v xml:space="preserve"> </v>
      </c>
      <c r="N52" t="str">
        <f>LEFT(VLOOKUP(A52, Fechas_Estado!A:AE,22,0),10)</f>
        <v/>
      </c>
      <c r="O52" t="str">
        <f>MID(VLOOKUP(A52, Fechas_Estado!A:AE,22,0),12,8)</f>
        <v/>
      </c>
      <c r="P52" t="str">
        <f t="shared" si="4"/>
        <v xml:space="preserve"> </v>
      </c>
      <c r="Q52" t="str">
        <f>LEFT(VLOOKUP(A52, Fechas_Estado!A:AE,23,0),10)</f>
        <v/>
      </c>
      <c r="R52" t="str">
        <f>MID(VLOOKUP(A52, Fechas_Estado!A:AE,23,0),12,8)</f>
        <v/>
      </c>
      <c r="S52" t="str">
        <f t="shared" si="5"/>
        <v xml:space="preserve"> </v>
      </c>
      <c r="T52" t="str">
        <f>LEFT(VLOOKUP(A52, Fechas_Estado!A:AE,24,0),10)</f>
        <v/>
      </c>
      <c r="U52" t="str">
        <f>MID(VLOOKUP(A52, Fechas_Estado!A:AE,24,0),12,8)</f>
        <v/>
      </c>
      <c r="V52" t="str">
        <f t="shared" si="6"/>
        <v xml:space="preserve"> </v>
      </c>
      <c r="W52" t="str">
        <f>LEFT(VLOOKUP(A52, Fechas_Estado!A:AE,25,0),10)</f>
        <v>2024-10-16</v>
      </c>
      <c r="X52" t="str">
        <f>MID(VLOOKUP(A52, Fechas_Estado!A:AE,25,0),12,8)</f>
        <v>13:38:05</v>
      </c>
      <c r="Y52" t="str">
        <f t="shared" si="7"/>
        <v>2024-10-16 13:38:05</v>
      </c>
      <c r="Z52" t="str">
        <f>LEFT(VLOOKUP(A52, Fechas_Estado!A:AE,26,0),10)</f>
        <v>2024-10-25</v>
      </c>
      <c r="AA52" t="str">
        <f>MID(VLOOKUP(A52, Fechas_Estado!A:AE,26,0),12,8)</f>
        <v>09:01:17</v>
      </c>
      <c r="AB52" t="str">
        <f t="shared" si="8"/>
        <v>2024-10-25 09:01:17</v>
      </c>
      <c r="AC52" t="str">
        <f>LEFT(VLOOKUP(A52, Fechas_Estado!A:AE,27,0),10)</f>
        <v>2024-10-25</v>
      </c>
      <c r="AD52" t="str">
        <f>MID(VLOOKUP(A52, Fechas_Estado!A:AE,27,0),12,8)</f>
        <v>09:01:23</v>
      </c>
      <c r="AE52" t="str">
        <f t="shared" si="9"/>
        <v>2024-10-25 09:01:23</v>
      </c>
      <c r="AF52" t="str">
        <f>LEFT(VLOOKUP(A52, Fechas_Estado!A:AF,28,0),10)</f>
        <v/>
      </c>
      <c r="AG52" t="str">
        <f>MID(VLOOKUP(A52, Fechas_Estado!A:AF,28,0),12,8)</f>
        <v/>
      </c>
      <c r="AH52" t="str">
        <f t="shared" si="10"/>
        <v xml:space="preserve"> </v>
      </c>
      <c r="AI52" t="str">
        <f>LEFT(VLOOKUP(A52, Fechas_Estado!A:AF,16,0),10)</f>
        <v>2024-10-28</v>
      </c>
      <c r="AJ52" t="str">
        <f>MID(VLOOKUP(A52, Fechas_Estado!A:AF,16,0),12,8)</f>
        <v>09:11:32</v>
      </c>
      <c r="AK52" t="str">
        <f t="shared" si="11"/>
        <v>2024-10-28 09:11:32</v>
      </c>
      <c r="AL52">
        <f t="shared" si="18"/>
        <v>11.821608796301007</v>
      </c>
      <c r="AM52" t="str">
        <f>LEFT(VLOOKUP(A52, Fechas_Estado!A:AE,8,0),10)</f>
        <v>2024-11-06</v>
      </c>
      <c r="AN52" t="str">
        <f>MID(VLOOKUP(A52, Fechas_Estado!A:AE,8,0),12,8)</f>
        <v>10:27:58</v>
      </c>
      <c r="AO52" t="str">
        <f t="shared" si="12"/>
        <v>2024-11-06 10:27:58</v>
      </c>
      <c r="AP52" t="str">
        <f>LEFT(VLOOKUP(A52, Fechas_Estado!A:AE,7,0),10)</f>
        <v>2024-11-06</v>
      </c>
      <c r="AQ52" t="str">
        <f>MID(VLOOKUP(A52, Fechas_Estado!A:AE,7,0),12,8)</f>
        <v>16:12:55</v>
      </c>
      <c r="AR52" t="str">
        <f t="shared" si="13"/>
        <v>2024-11-06 16:12:55</v>
      </c>
      <c r="AS52" t="str">
        <f>LEFT(VLOOKUP(A52, Fechas_Estado!A:AE,10,0),10)</f>
        <v>2024-11-06</v>
      </c>
      <c r="AT52" t="str">
        <f>MID(VLOOKUP(A52, Fechas_Estado!A:AE,10,0),12,8)</f>
        <v>16:12:58</v>
      </c>
      <c r="AU52" t="str">
        <f t="shared" si="14"/>
        <v>2024-11-06 16:12:58</v>
      </c>
      <c r="AV52" t="str">
        <f>LEFT(VLOOKUP(A52, Fechas_Estado!A:AE,17,0),10)</f>
        <v>2024-11-06</v>
      </c>
      <c r="AW52" t="str">
        <f>MID(VLOOKUP(A52, Fechas_Estado!A:AE,17,0),12,8)</f>
        <v>16:13:04</v>
      </c>
      <c r="AX52" t="str">
        <f t="shared" si="15"/>
        <v>2024-11-06 16:13:04</v>
      </c>
      <c r="AY52">
        <f t="shared" si="19"/>
        <v>0.23965277778188465</v>
      </c>
      <c r="AZ52" t="str">
        <f>LEFT(VLOOKUP(A52, Fechas_Estado!A:AE,5,0),10)</f>
        <v>2024-11-26</v>
      </c>
      <c r="BA52" t="str">
        <f>MID(VLOOKUP(A52, Fechas_Estado!A:AE,5,0),12,8)</f>
        <v>10:22:10</v>
      </c>
      <c r="BB52" t="str">
        <f t="shared" si="16"/>
        <v>2024-11-26 10:22:10</v>
      </c>
      <c r="BC52">
        <f t="shared" si="17"/>
        <v>19.756319444444671</v>
      </c>
    </row>
    <row r="53" spans="1:55" x14ac:dyDescent="0.25">
      <c r="A53" t="str">
        <f>Fechas_Estado!A52</f>
        <v>ESPC360-12632</v>
      </c>
      <c r="B53" t="str">
        <f>LEFT(VLOOKUP(A53,Fechas_Estado!A:AE,2,0),10)</f>
        <v>2024-10-22</v>
      </c>
      <c r="C53" t="str">
        <f>MID(VLOOKUP(A53, Fechas_Estado!A:AE,2,0),12,8)</f>
        <v>12:46:09</v>
      </c>
      <c r="D53" t="str">
        <f t="shared" si="0"/>
        <v>2024-10-22 12:46:09</v>
      </c>
      <c r="E53" t="str">
        <f>LEFT(VLOOKUP(A53, Fechas_Estado!A:AE,19,0),10)</f>
        <v/>
      </c>
      <c r="F53" t="str">
        <f>MID(VLOOKUP(A53, Fechas_Estado!A:AE,19,0),12,8)</f>
        <v/>
      </c>
      <c r="G53" t="str">
        <f t="shared" si="1"/>
        <v xml:space="preserve"> </v>
      </c>
      <c r="H53" t="str">
        <f>LEFT(VLOOKUP(A53, Fechas_Estado!A:AE,20,0),10)</f>
        <v/>
      </c>
      <c r="I53" t="str">
        <f>MID(VLOOKUP(A53, Fechas_Estado!A:AE,20,0),12,8)</f>
        <v/>
      </c>
      <c r="J53" t="str">
        <f t="shared" si="2"/>
        <v xml:space="preserve"> </v>
      </c>
      <c r="K53" t="str">
        <f>LEFT(VLOOKUP(A53, Fechas_Estado!A:AE,21,0),10)</f>
        <v/>
      </c>
      <c r="L53" t="str">
        <f>MID(VLOOKUP(A53, Fechas_Estado!A:AE,21,0),12,8)</f>
        <v/>
      </c>
      <c r="M53" t="str">
        <f t="shared" si="3"/>
        <v xml:space="preserve"> </v>
      </c>
      <c r="N53" t="str">
        <f>LEFT(VLOOKUP(A53, Fechas_Estado!A:AE,22,0),10)</f>
        <v/>
      </c>
      <c r="O53" t="str">
        <f>MID(VLOOKUP(A53, Fechas_Estado!A:AE,22,0),12,8)</f>
        <v/>
      </c>
      <c r="P53" t="str">
        <f t="shared" si="4"/>
        <v xml:space="preserve"> </v>
      </c>
      <c r="Q53" t="str">
        <f>LEFT(VLOOKUP(A53, Fechas_Estado!A:AE,23,0),10)</f>
        <v/>
      </c>
      <c r="R53" t="str">
        <f>MID(VLOOKUP(A53, Fechas_Estado!A:AE,23,0),12,8)</f>
        <v/>
      </c>
      <c r="S53" t="str">
        <f t="shared" si="5"/>
        <v xml:space="preserve"> </v>
      </c>
      <c r="T53" t="str">
        <f>LEFT(VLOOKUP(A53, Fechas_Estado!A:AE,24,0),10)</f>
        <v/>
      </c>
      <c r="U53" t="str">
        <f>MID(VLOOKUP(A53, Fechas_Estado!A:AE,24,0),12,8)</f>
        <v/>
      </c>
      <c r="V53" t="str">
        <f t="shared" si="6"/>
        <v xml:space="preserve"> </v>
      </c>
      <c r="W53" t="str">
        <f>LEFT(VLOOKUP(A53, Fechas_Estado!A:AE,25,0),10)</f>
        <v>2024-10-22</v>
      </c>
      <c r="X53" t="str">
        <f>MID(VLOOKUP(A53, Fechas_Estado!A:AE,25,0),12,8)</f>
        <v>12:46:22</v>
      </c>
      <c r="Y53" t="str">
        <f t="shared" si="7"/>
        <v>2024-10-22 12:46:22</v>
      </c>
      <c r="Z53" t="str">
        <f>LEFT(VLOOKUP(A53, Fechas_Estado!A:AE,26,0),10)</f>
        <v>2024-10-30</v>
      </c>
      <c r="AA53" t="str">
        <f>MID(VLOOKUP(A53, Fechas_Estado!A:AE,26,0),12,8)</f>
        <v>16:03:39</v>
      </c>
      <c r="AB53" t="str">
        <f t="shared" si="8"/>
        <v>2024-10-30 16:03:39</v>
      </c>
      <c r="AC53" t="str">
        <f>LEFT(VLOOKUP(A53, Fechas_Estado!A:AE,27,0),10)</f>
        <v>2024-11-18</v>
      </c>
      <c r="AD53" t="str">
        <f>MID(VLOOKUP(A53, Fechas_Estado!A:AE,27,0),12,8)</f>
        <v>17:34:21</v>
      </c>
      <c r="AE53" t="str">
        <f t="shared" si="9"/>
        <v>2024-11-18 17:34:21</v>
      </c>
      <c r="AF53" t="str">
        <f>LEFT(VLOOKUP(A53, Fechas_Estado!A:AF,28,0),10)</f>
        <v>2024-11-25</v>
      </c>
      <c r="AG53" t="str">
        <f>MID(VLOOKUP(A53, Fechas_Estado!A:AF,28,0),12,8)</f>
        <v>10:10:58</v>
      </c>
      <c r="AH53" t="str">
        <f t="shared" si="10"/>
        <v>2024-11-25 10:10:58</v>
      </c>
      <c r="AI53" t="str">
        <f>LEFT(VLOOKUP(A53, Fechas_Estado!A:AF,16,0),10)</f>
        <v/>
      </c>
      <c r="AJ53" t="str">
        <f>MID(VLOOKUP(A53, Fechas_Estado!A:AF,16,0),12,8)</f>
        <v/>
      </c>
      <c r="AK53" t="str">
        <f t="shared" si="11"/>
        <v xml:space="preserve"> </v>
      </c>
      <c r="AL53" t="e">
        <f t="shared" si="18"/>
        <v>#VALUE!</v>
      </c>
      <c r="AM53" t="str">
        <f>LEFT(VLOOKUP(A53, Fechas_Estado!A:AE,8,0),10)</f>
        <v/>
      </c>
      <c r="AN53" t="str">
        <f>MID(VLOOKUP(A53, Fechas_Estado!A:AE,8,0),12,8)</f>
        <v/>
      </c>
      <c r="AO53" t="str">
        <f t="shared" si="12"/>
        <v xml:space="preserve"> </v>
      </c>
      <c r="AP53" t="str">
        <f>LEFT(VLOOKUP(A53, Fechas_Estado!A:AE,7,0),10)</f>
        <v/>
      </c>
      <c r="AQ53" t="str">
        <f>MID(VLOOKUP(A53, Fechas_Estado!A:AE,7,0),12,8)</f>
        <v/>
      </c>
      <c r="AR53" t="str">
        <f t="shared" si="13"/>
        <v xml:space="preserve"> </v>
      </c>
      <c r="AS53" t="str">
        <f>LEFT(VLOOKUP(A53, Fechas_Estado!A:AE,10,0),10)</f>
        <v>2024-11-26</v>
      </c>
      <c r="AT53" t="str">
        <f>MID(VLOOKUP(A53, Fechas_Estado!A:AE,10,0),12,8)</f>
        <v>16:23:52</v>
      </c>
      <c r="AU53" t="str">
        <f t="shared" si="14"/>
        <v>2024-11-26 16:23:52</v>
      </c>
      <c r="AV53" t="str">
        <f>LEFT(VLOOKUP(A53, Fechas_Estado!A:AE,17,0),10)</f>
        <v>2024-11-26</v>
      </c>
      <c r="AW53" t="str">
        <f>MID(VLOOKUP(A53, Fechas_Estado!A:AE,17,0),12,8)</f>
        <v>16:23:58</v>
      </c>
      <c r="AX53" t="str">
        <f t="shared" si="15"/>
        <v>2024-11-26 16:23:58</v>
      </c>
      <c r="AY53" t="e">
        <f t="shared" si="19"/>
        <v>#VALUE!</v>
      </c>
      <c r="AZ53" t="str">
        <f>LEFT(VLOOKUP(A53, Fechas_Estado!A:AE,5,0),10)</f>
        <v/>
      </c>
      <c r="BA53" t="str">
        <f>MID(VLOOKUP(A53, Fechas_Estado!A:AE,5,0),12,8)</f>
        <v/>
      </c>
      <c r="BB53" t="str">
        <f t="shared" si="16"/>
        <v xml:space="preserve"> </v>
      </c>
      <c r="BC53" t="e">
        <f t="shared" si="17"/>
        <v>#VALUE!</v>
      </c>
    </row>
    <row r="54" spans="1:55" x14ac:dyDescent="0.25">
      <c r="A54" t="str">
        <f>Fechas_Estado!A53</f>
        <v>ESPC360-12636</v>
      </c>
      <c r="B54" t="str">
        <f>LEFT(VLOOKUP(A54,Fechas_Estado!A:AE,2,0),10)</f>
        <v>2024-10-22</v>
      </c>
      <c r="C54" t="str">
        <f>MID(VLOOKUP(A54, Fechas_Estado!A:AE,2,0),12,8)</f>
        <v>14:30:11</v>
      </c>
      <c r="D54" t="str">
        <f t="shared" si="0"/>
        <v>2024-10-22 14:30:11</v>
      </c>
      <c r="E54" t="str">
        <f>LEFT(VLOOKUP(A54, Fechas_Estado!A:AE,19,0),10)</f>
        <v/>
      </c>
      <c r="F54" t="str">
        <f>MID(VLOOKUP(A54, Fechas_Estado!A:AE,19,0),12,8)</f>
        <v/>
      </c>
      <c r="G54" t="str">
        <f t="shared" si="1"/>
        <v xml:space="preserve"> </v>
      </c>
      <c r="H54" t="str">
        <f>LEFT(VLOOKUP(A54, Fechas_Estado!A:AE,20,0),10)</f>
        <v/>
      </c>
      <c r="I54" t="str">
        <f>MID(VLOOKUP(A54, Fechas_Estado!A:AE,20,0),12,8)</f>
        <v/>
      </c>
      <c r="J54" t="str">
        <f t="shared" si="2"/>
        <v xml:space="preserve"> </v>
      </c>
      <c r="K54" t="str">
        <f>LEFT(VLOOKUP(A54, Fechas_Estado!A:AE,21,0),10)</f>
        <v/>
      </c>
      <c r="L54" t="str">
        <f>MID(VLOOKUP(A54, Fechas_Estado!A:AE,21,0),12,8)</f>
        <v/>
      </c>
      <c r="M54" t="str">
        <f t="shared" si="3"/>
        <v xml:space="preserve"> </v>
      </c>
      <c r="N54" t="str">
        <f>LEFT(VLOOKUP(A54, Fechas_Estado!A:AE,22,0),10)</f>
        <v/>
      </c>
      <c r="O54" t="str">
        <f>MID(VLOOKUP(A54, Fechas_Estado!A:AE,22,0),12,8)</f>
        <v/>
      </c>
      <c r="P54" t="str">
        <f t="shared" si="4"/>
        <v xml:space="preserve"> </v>
      </c>
      <c r="Q54" t="str">
        <f>LEFT(VLOOKUP(A54, Fechas_Estado!A:AE,23,0),10)</f>
        <v/>
      </c>
      <c r="R54" t="str">
        <f>MID(VLOOKUP(A54, Fechas_Estado!A:AE,23,0),12,8)</f>
        <v/>
      </c>
      <c r="S54" t="str">
        <f t="shared" si="5"/>
        <v xml:space="preserve"> </v>
      </c>
      <c r="T54" t="str">
        <f>LEFT(VLOOKUP(A54, Fechas_Estado!A:AE,24,0),10)</f>
        <v/>
      </c>
      <c r="U54" t="str">
        <f>MID(VLOOKUP(A54, Fechas_Estado!A:AE,24,0),12,8)</f>
        <v/>
      </c>
      <c r="V54" t="str">
        <f t="shared" si="6"/>
        <v xml:space="preserve"> </v>
      </c>
      <c r="W54" t="str">
        <f>LEFT(VLOOKUP(A54, Fechas_Estado!A:AE,25,0),10)</f>
        <v>2024-10-22</v>
      </c>
      <c r="X54" t="str">
        <f>MID(VLOOKUP(A54, Fechas_Estado!A:AE,25,0),12,8)</f>
        <v>14:30:25</v>
      </c>
      <c r="Y54" t="str">
        <f t="shared" si="7"/>
        <v>2024-10-22 14:30:25</v>
      </c>
      <c r="Z54" t="str">
        <f>LEFT(VLOOKUP(A54, Fechas_Estado!A:AE,26,0),10)</f>
        <v>2024-10-31</v>
      </c>
      <c r="AA54" t="str">
        <f>MID(VLOOKUP(A54, Fechas_Estado!A:AE,26,0),12,8)</f>
        <v>12:58:52</v>
      </c>
      <c r="AB54" t="str">
        <f t="shared" si="8"/>
        <v>2024-10-31 12:58:52</v>
      </c>
      <c r="AC54" t="str">
        <f>LEFT(VLOOKUP(A54, Fechas_Estado!A:AE,27,0),10)</f>
        <v>2024-11-11</v>
      </c>
      <c r="AD54" t="str">
        <f>MID(VLOOKUP(A54, Fechas_Estado!A:AE,27,0),12,8)</f>
        <v>16:58:36</v>
      </c>
      <c r="AE54" t="str">
        <f t="shared" si="9"/>
        <v>2024-11-11 16:58:36</v>
      </c>
      <c r="AF54" t="str">
        <f>LEFT(VLOOKUP(A54, Fechas_Estado!A:AF,28,0),10)</f>
        <v/>
      </c>
      <c r="AG54" t="str">
        <f>MID(VLOOKUP(A54, Fechas_Estado!A:AF,28,0),12,8)</f>
        <v/>
      </c>
      <c r="AH54" t="str">
        <f t="shared" si="10"/>
        <v xml:space="preserve"> </v>
      </c>
      <c r="AI54" t="str">
        <f>LEFT(VLOOKUP(A54, Fechas_Estado!A:AF,16,0),10)</f>
        <v>2024-11-13</v>
      </c>
      <c r="AJ54" t="str">
        <f>MID(VLOOKUP(A54, Fechas_Estado!A:AF,16,0),12,8)</f>
        <v>11:53:42</v>
      </c>
      <c r="AK54" t="str">
        <f t="shared" si="11"/>
        <v>2024-11-13 11:53:42</v>
      </c>
      <c r="AL54">
        <f t="shared" si="18"/>
        <v>21.891331018523488</v>
      </c>
      <c r="AM54" t="str">
        <f>LEFT(VLOOKUP(A54, Fechas_Estado!A:AE,8,0),10)</f>
        <v>2024-11-14</v>
      </c>
      <c r="AN54" t="str">
        <f>MID(VLOOKUP(A54, Fechas_Estado!A:AE,8,0),12,8)</f>
        <v>16:10:10</v>
      </c>
      <c r="AO54" t="str">
        <f t="shared" si="12"/>
        <v>2024-11-14 16:10:10</v>
      </c>
      <c r="AP54" t="str">
        <f>LEFT(VLOOKUP(A54, Fechas_Estado!A:AE,7,0),10)</f>
        <v>2024-11-15</v>
      </c>
      <c r="AQ54" t="str">
        <f>MID(VLOOKUP(A54, Fechas_Estado!A:AE,7,0),12,8)</f>
        <v>09:51:40</v>
      </c>
      <c r="AR54" t="str">
        <f t="shared" si="13"/>
        <v>2024-11-15 09:51:40</v>
      </c>
      <c r="AS54" t="str">
        <f>LEFT(VLOOKUP(A54, Fechas_Estado!A:AE,10,0),10)</f>
        <v>2024-11-18</v>
      </c>
      <c r="AT54" t="str">
        <f>MID(VLOOKUP(A54, Fechas_Estado!A:AE,10,0),12,8)</f>
        <v>09:29:00</v>
      </c>
      <c r="AU54" t="str">
        <f t="shared" si="14"/>
        <v>2024-11-18 09:29:00</v>
      </c>
      <c r="AV54" t="str">
        <f>LEFT(VLOOKUP(A54, Fechas_Estado!A:AE,17,0),10)</f>
        <v>2024-11-26</v>
      </c>
      <c r="AW54" t="str">
        <f>MID(VLOOKUP(A54, Fechas_Estado!A:AE,17,0),12,8)</f>
        <v>10:11:27</v>
      </c>
      <c r="AX54" t="str">
        <f t="shared" si="15"/>
        <v>2024-11-26 10:11:27</v>
      </c>
      <c r="AY54">
        <f t="shared" si="19"/>
        <v>11.75089120370103</v>
      </c>
      <c r="AZ54" t="str">
        <f>LEFT(VLOOKUP(A54, Fechas_Estado!A:AE,5,0),10)</f>
        <v>2024-12-11</v>
      </c>
      <c r="BA54" t="str">
        <f>MID(VLOOKUP(A54, Fechas_Estado!A:AE,5,0),12,8)</f>
        <v>09:27:11</v>
      </c>
      <c r="BB54" t="str">
        <f t="shared" si="16"/>
        <v>2024-12-11 09:27:11</v>
      </c>
      <c r="BC54">
        <f t="shared" si="17"/>
        <v>14.969259259261889</v>
      </c>
    </row>
    <row r="55" spans="1:55" x14ac:dyDescent="0.25">
      <c r="A55" t="str">
        <f>Fechas_Estado!A54</f>
        <v>ESPC360-12646</v>
      </c>
      <c r="B55" t="str">
        <f>LEFT(VLOOKUP(A55,Fechas_Estado!A:AE,2,0),10)</f>
        <v>2024-10-23</v>
      </c>
      <c r="C55" t="str">
        <f>MID(VLOOKUP(A55, Fechas_Estado!A:AE,2,0),12,8)</f>
        <v>18:18:59</v>
      </c>
      <c r="D55" t="str">
        <f t="shared" si="0"/>
        <v>2024-10-23 18:18:59</v>
      </c>
      <c r="E55" t="str">
        <f>LEFT(VLOOKUP(A55, Fechas_Estado!A:AE,19,0),10)</f>
        <v/>
      </c>
      <c r="F55" t="str">
        <f>MID(VLOOKUP(A55, Fechas_Estado!A:AE,19,0),12,8)</f>
        <v/>
      </c>
      <c r="G55" t="str">
        <f t="shared" si="1"/>
        <v xml:space="preserve"> </v>
      </c>
      <c r="H55" t="str">
        <f>LEFT(VLOOKUP(A55, Fechas_Estado!A:AE,20,0),10)</f>
        <v/>
      </c>
      <c r="I55" t="str">
        <f>MID(VLOOKUP(A55, Fechas_Estado!A:AE,20,0),12,8)</f>
        <v/>
      </c>
      <c r="J55" t="str">
        <f t="shared" si="2"/>
        <v xml:space="preserve"> </v>
      </c>
      <c r="K55" t="str">
        <f>LEFT(VLOOKUP(A55, Fechas_Estado!A:AE,21,0),10)</f>
        <v/>
      </c>
      <c r="L55" t="str">
        <f>MID(VLOOKUP(A55, Fechas_Estado!A:AE,21,0),12,8)</f>
        <v/>
      </c>
      <c r="M55" t="str">
        <f t="shared" si="3"/>
        <v xml:space="preserve"> </v>
      </c>
      <c r="N55" t="str">
        <f>LEFT(VLOOKUP(A55, Fechas_Estado!A:AE,22,0),10)</f>
        <v/>
      </c>
      <c r="O55" t="str">
        <f>MID(VLOOKUP(A55, Fechas_Estado!A:AE,22,0),12,8)</f>
        <v/>
      </c>
      <c r="P55" t="str">
        <f t="shared" si="4"/>
        <v xml:space="preserve"> </v>
      </c>
      <c r="Q55" t="str">
        <f>LEFT(VLOOKUP(A55, Fechas_Estado!A:AE,23,0),10)</f>
        <v/>
      </c>
      <c r="R55" t="str">
        <f>MID(VLOOKUP(A55, Fechas_Estado!A:AE,23,0),12,8)</f>
        <v/>
      </c>
      <c r="S55" t="str">
        <f t="shared" si="5"/>
        <v xml:space="preserve"> </v>
      </c>
      <c r="T55" t="str">
        <f>LEFT(VLOOKUP(A55, Fechas_Estado!A:AE,24,0),10)</f>
        <v/>
      </c>
      <c r="U55" t="str">
        <f>MID(VLOOKUP(A55, Fechas_Estado!A:AE,24,0),12,8)</f>
        <v/>
      </c>
      <c r="V55" t="str">
        <f t="shared" si="6"/>
        <v xml:space="preserve"> </v>
      </c>
      <c r="W55" t="str">
        <f>LEFT(VLOOKUP(A55, Fechas_Estado!A:AE,25,0),10)</f>
        <v>2024-10-23</v>
      </c>
      <c r="X55" t="str">
        <f>MID(VLOOKUP(A55, Fechas_Estado!A:AE,25,0),12,8)</f>
        <v>18:19:11</v>
      </c>
      <c r="Y55" t="str">
        <f t="shared" si="7"/>
        <v>2024-10-23 18:19:11</v>
      </c>
      <c r="Z55" t="str">
        <f>LEFT(VLOOKUP(A55, Fechas_Estado!A:AE,26,0),10)</f>
        <v>2024-10-24</v>
      </c>
      <c r="AA55" t="str">
        <f>MID(VLOOKUP(A55, Fechas_Estado!A:AE,26,0),12,8)</f>
        <v>12:05:41</v>
      </c>
      <c r="AB55" t="str">
        <f t="shared" si="8"/>
        <v>2024-10-24 12:05:41</v>
      </c>
      <c r="AC55" t="str">
        <f>LEFT(VLOOKUP(A55, Fechas_Estado!A:AE,27,0),10)</f>
        <v/>
      </c>
      <c r="AD55" t="str">
        <f>MID(VLOOKUP(A55, Fechas_Estado!A:AE,27,0),12,8)</f>
        <v/>
      </c>
      <c r="AE55" t="str">
        <f t="shared" si="9"/>
        <v xml:space="preserve"> </v>
      </c>
      <c r="AF55" t="str">
        <f>LEFT(VLOOKUP(A55, Fechas_Estado!A:AF,28,0),10)</f>
        <v/>
      </c>
      <c r="AG55" t="str">
        <f>MID(VLOOKUP(A55, Fechas_Estado!A:AF,28,0),12,8)</f>
        <v/>
      </c>
      <c r="AH55" t="str">
        <f t="shared" si="10"/>
        <v xml:space="preserve"> </v>
      </c>
      <c r="AI55" t="str">
        <f>LEFT(VLOOKUP(A55, Fechas_Estado!A:AF,16,0),10)</f>
        <v/>
      </c>
      <c r="AJ55" t="str">
        <f>MID(VLOOKUP(A55, Fechas_Estado!A:AF,16,0),12,8)</f>
        <v/>
      </c>
      <c r="AK55" t="str">
        <f t="shared" si="11"/>
        <v xml:space="preserve"> </v>
      </c>
      <c r="AL55" t="e">
        <f t="shared" si="18"/>
        <v>#VALUE!</v>
      </c>
      <c r="AM55" t="str">
        <f>LEFT(VLOOKUP(A55, Fechas_Estado!A:AE,8,0),10)</f>
        <v/>
      </c>
      <c r="AN55" t="str">
        <f>MID(VLOOKUP(A55, Fechas_Estado!A:AE,8,0),12,8)</f>
        <v/>
      </c>
      <c r="AO55" t="str">
        <f t="shared" si="12"/>
        <v xml:space="preserve"> </v>
      </c>
      <c r="AP55" t="str">
        <f>LEFT(VLOOKUP(A55, Fechas_Estado!A:AE,7,0),10)</f>
        <v/>
      </c>
      <c r="AQ55" t="str">
        <f>MID(VLOOKUP(A55, Fechas_Estado!A:AE,7,0),12,8)</f>
        <v/>
      </c>
      <c r="AR55" t="str">
        <f t="shared" si="13"/>
        <v xml:space="preserve"> </v>
      </c>
      <c r="AS55" t="str">
        <f>LEFT(VLOOKUP(A55, Fechas_Estado!A:AE,10,0),10)</f>
        <v/>
      </c>
      <c r="AT55" t="str">
        <f>MID(VLOOKUP(A55, Fechas_Estado!A:AE,10,0),12,8)</f>
        <v/>
      </c>
      <c r="AU55" t="str">
        <f t="shared" si="14"/>
        <v xml:space="preserve"> </v>
      </c>
      <c r="AV55" t="str">
        <f>LEFT(VLOOKUP(A55, Fechas_Estado!A:AE,17,0),10)</f>
        <v/>
      </c>
      <c r="AW55" t="str">
        <f>MID(VLOOKUP(A55, Fechas_Estado!A:AE,17,0),12,8)</f>
        <v/>
      </c>
      <c r="AX55" t="str">
        <f t="shared" si="15"/>
        <v xml:space="preserve"> </v>
      </c>
      <c r="AY55" t="e">
        <f t="shared" si="19"/>
        <v>#VALUE!</v>
      </c>
      <c r="AZ55" t="str">
        <f>LEFT(VLOOKUP(A55, Fechas_Estado!A:AE,5,0),10)</f>
        <v>2024-10-25</v>
      </c>
      <c r="BA55" t="str">
        <f>MID(VLOOKUP(A55, Fechas_Estado!A:AE,5,0),12,8)</f>
        <v>14:00:41</v>
      </c>
      <c r="BB55" t="str">
        <f t="shared" si="16"/>
        <v>2024-10-25 14:00:41</v>
      </c>
      <c r="BC55" t="e">
        <f t="shared" si="17"/>
        <v>#VALUE!</v>
      </c>
    </row>
    <row r="56" spans="1:55" x14ac:dyDescent="0.25">
      <c r="A56" t="str">
        <f>Fechas_Estado!A55</f>
        <v>ESPC360-12700</v>
      </c>
      <c r="B56" t="str">
        <f>LEFT(VLOOKUP(A56,Fechas_Estado!A:AE,2,0),10)</f>
        <v>2024-10-25</v>
      </c>
      <c r="C56" t="str">
        <f>MID(VLOOKUP(A56, Fechas_Estado!A:AE,2,0),12,8)</f>
        <v>09:43:29</v>
      </c>
      <c r="D56" t="str">
        <f t="shared" si="0"/>
        <v>2024-10-25 09:43:29</v>
      </c>
      <c r="E56" t="str">
        <f>LEFT(VLOOKUP(A56, Fechas_Estado!A:AE,19,0),10)</f>
        <v/>
      </c>
      <c r="F56" t="str">
        <f>MID(VLOOKUP(A56, Fechas_Estado!A:AE,19,0),12,8)</f>
        <v/>
      </c>
      <c r="G56" t="str">
        <f t="shared" si="1"/>
        <v xml:space="preserve"> </v>
      </c>
      <c r="H56" t="str">
        <f>LEFT(VLOOKUP(A56, Fechas_Estado!A:AE,20,0),10)</f>
        <v/>
      </c>
      <c r="I56" t="str">
        <f>MID(VLOOKUP(A56, Fechas_Estado!A:AE,20,0),12,8)</f>
        <v/>
      </c>
      <c r="J56" t="str">
        <f t="shared" si="2"/>
        <v xml:space="preserve"> </v>
      </c>
      <c r="K56" t="str">
        <f>LEFT(VLOOKUP(A56, Fechas_Estado!A:AE,21,0),10)</f>
        <v/>
      </c>
      <c r="L56" t="str">
        <f>MID(VLOOKUP(A56, Fechas_Estado!A:AE,21,0),12,8)</f>
        <v/>
      </c>
      <c r="M56" t="str">
        <f t="shared" si="3"/>
        <v xml:space="preserve"> </v>
      </c>
      <c r="N56" t="str">
        <f>LEFT(VLOOKUP(A56, Fechas_Estado!A:AE,22,0),10)</f>
        <v/>
      </c>
      <c r="O56" t="str">
        <f>MID(VLOOKUP(A56, Fechas_Estado!A:AE,22,0),12,8)</f>
        <v/>
      </c>
      <c r="P56" t="str">
        <f t="shared" si="4"/>
        <v xml:space="preserve"> </v>
      </c>
      <c r="Q56" t="str">
        <f>LEFT(VLOOKUP(A56, Fechas_Estado!A:AE,23,0),10)</f>
        <v/>
      </c>
      <c r="R56" t="str">
        <f>MID(VLOOKUP(A56, Fechas_Estado!A:AE,23,0),12,8)</f>
        <v/>
      </c>
      <c r="S56" t="str">
        <f t="shared" si="5"/>
        <v xml:space="preserve"> </v>
      </c>
      <c r="T56" t="str">
        <f>LEFT(VLOOKUP(A56, Fechas_Estado!A:AE,24,0),10)</f>
        <v/>
      </c>
      <c r="U56" t="str">
        <f>MID(VLOOKUP(A56, Fechas_Estado!A:AE,24,0),12,8)</f>
        <v/>
      </c>
      <c r="V56" t="str">
        <f t="shared" si="6"/>
        <v xml:space="preserve"> </v>
      </c>
      <c r="W56" t="str">
        <f>LEFT(VLOOKUP(A56, Fechas_Estado!A:AE,25,0),10)</f>
        <v>2024-10-25</v>
      </c>
      <c r="X56" t="str">
        <f>MID(VLOOKUP(A56, Fechas_Estado!A:AE,25,0),12,8)</f>
        <v>09:43:42</v>
      </c>
      <c r="Y56" t="str">
        <f t="shared" si="7"/>
        <v>2024-10-25 09:43:42</v>
      </c>
      <c r="Z56" t="str">
        <f>LEFT(VLOOKUP(A56, Fechas_Estado!A:AE,26,0),10)</f>
        <v>2024-10-29</v>
      </c>
      <c r="AA56" t="str">
        <f>MID(VLOOKUP(A56, Fechas_Estado!A:AE,26,0),12,8)</f>
        <v>11:45:59</v>
      </c>
      <c r="AB56" t="str">
        <f t="shared" si="8"/>
        <v>2024-10-29 11:45:59</v>
      </c>
      <c r="AC56" t="str">
        <f>LEFT(VLOOKUP(A56, Fechas_Estado!A:AE,27,0),10)</f>
        <v>2024-10-31</v>
      </c>
      <c r="AD56" t="str">
        <f>MID(VLOOKUP(A56, Fechas_Estado!A:AE,27,0),12,8)</f>
        <v>09:52:25</v>
      </c>
      <c r="AE56" t="str">
        <f t="shared" si="9"/>
        <v>2024-10-31 09:52:25</v>
      </c>
      <c r="AF56" t="str">
        <f>LEFT(VLOOKUP(A56, Fechas_Estado!A:AF,28,0),10)</f>
        <v/>
      </c>
      <c r="AG56" t="str">
        <f>MID(VLOOKUP(A56, Fechas_Estado!A:AF,28,0),12,8)</f>
        <v/>
      </c>
      <c r="AH56" t="str">
        <f t="shared" si="10"/>
        <v xml:space="preserve"> </v>
      </c>
      <c r="AI56" t="str">
        <f>LEFT(VLOOKUP(A56, Fechas_Estado!A:AF,16,0),10)</f>
        <v>2024-10-31</v>
      </c>
      <c r="AJ56" t="str">
        <f>MID(VLOOKUP(A56, Fechas_Estado!A:AF,16,0),12,8)</f>
        <v>12:01:22</v>
      </c>
      <c r="AK56" t="str">
        <f t="shared" si="11"/>
        <v>2024-10-31 12:01:22</v>
      </c>
      <c r="AL56">
        <f t="shared" si="18"/>
        <v>6.0957523148172186</v>
      </c>
      <c r="AM56" t="str">
        <f>LEFT(VLOOKUP(A56, Fechas_Estado!A:AE,8,0),10)</f>
        <v>2024-11-04</v>
      </c>
      <c r="AN56" t="str">
        <f>MID(VLOOKUP(A56, Fechas_Estado!A:AE,8,0),12,8)</f>
        <v>10:28:49</v>
      </c>
      <c r="AO56" t="str">
        <f t="shared" si="12"/>
        <v>2024-11-04 10:28:49</v>
      </c>
      <c r="AP56" t="str">
        <f>LEFT(VLOOKUP(A56, Fechas_Estado!A:AE,7,0),10)</f>
        <v>2024-11-05</v>
      </c>
      <c r="AQ56" t="str">
        <f>MID(VLOOKUP(A56, Fechas_Estado!A:AE,7,0),12,8)</f>
        <v>15:56:25</v>
      </c>
      <c r="AR56" t="str">
        <f t="shared" si="13"/>
        <v>2024-11-05 15:56:25</v>
      </c>
      <c r="AS56" t="str">
        <f>LEFT(VLOOKUP(A56, Fechas_Estado!A:AE,10,0),10)</f>
        <v>2024-11-05</v>
      </c>
      <c r="AT56" t="str">
        <f>MID(VLOOKUP(A56, Fechas_Estado!A:AE,10,0),12,8)</f>
        <v>15:56:32</v>
      </c>
      <c r="AU56" t="str">
        <f t="shared" si="14"/>
        <v>2024-11-05 15:56:32</v>
      </c>
      <c r="AV56" t="str">
        <f>LEFT(VLOOKUP(A56, Fechas_Estado!A:AE,17,0),10)</f>
        <v>2024-11-06</v>
      </c>
      <c r="AW56" t="str">
        <f>MID(VLOOKUP(A56, Fechas_Estado!A:AE,17,0),12,8)</f>
        <v>09:43:17</v>
      </c>
      <c r="AX56" t="str">
        <f t="shared" si="15"/>
        <v>2024-11-06 09:43:17</v>
      </c>
      <c r="AY56">
        <f t="shared" si="19"/>
        <v>1.9683796296303626</v>
      </c>
      <c r="AZ56" t="str">
        <f>LEFT(VLOOKUP(A56, Fechas_Estado!A:AE,5,0),10)</f>
        <v>2024-11-26</v>
      </c>
      <c r="BA56" t="str">
        <f>MID(VLOOKUP(A56, Fechas_Estado!A:AE,5,0),12,8)</f>
        <v>10:22:10</v>
      </c>
      <c r="BB56" t="str">
        <f t="shared" si="16"/>
        <v>2024-11-26 10:22:10</v>
      </c>
      <c r="BC56">
        <f t="shared" si="17"/>
        <v>20.027002314818674</v>
      </c>
    </row>
    <row r="57" spans="1:55" x14ac:dyDescent="0.25">
      <c r="A57" t="str">
        <f>Fechas_Estado!A56</f>
        <v>ESPC360-12731</v>
      </c>
      <c r="B57" t="str">
        <f>LEFT(VLOOKUP(A57,Fechas_Estado!A:AE,2,0),10)</f>
        <v>2024-10-28</v>
      </c>
      <c r="C57" t="str">
        <f>MID(VLOOKUP(A57, Fechas_Estado!A:AE,2,0),12,8)</f>
        <v>09:35:37</v>
      </c>
      <c r="D57" t="str">
        <f t="shared" si="0"/>
        <v>2024-10-28 09:35:37</v>
      </c>
      <c r="E57" t="str">
        <f>LEFT(VLOOKUP(A57, Fechas_Estado!A:AE,19,0),10)</f>
        <v/>
      </c>
      <c r="F57" t="str">
        <f>MID(VLOOKUP(A57, Fechas_Estado!A:AE,19,0),12,8)</f>
        <v/>
      </c>
      <c r="G57" t="str">
        <f t="shared" si="1"/>
        <v xml:space="preserve"> </v>
      </c>
      <c r="H57" t="str">
        <f>LEFT(VLOOKUP(A57, Fechas_Estado!A:AE,20,0),10)</f>
        <v/>
      </c>
      <c r="I57" t="str">
        <f>MID(VLOOKUP(A57, Fechas_Estado!A:AE,20,0),12,8)</f>
        <v/>
      </c>
      <c r="J57" t="str">
        <f t="shared" si="2"/>
        <v xml:space="preserve"> </v>
      </c>
      <c r="K57" t="str">
        <f>LEFT(VLOOKUP(A57, Fechas_Estado!A:AE,21,0),10)</f>
        <v/>
      </c>
      <c r="L57" t="str">
        <f>MID(VLOOKUP(A57, Fechas_Estado!A:AE,21,0),12,8)</f>
        <v/>
      </c>
      <c r="M57" t="str">
        <f t="shared" si="3"/>
        <v xml:space="preserve"> </v>
      </c>
      <c r="N57" t="str">
        <f>LEFT(VLOOKUP(A57, Fechas_Estado!A:AE,22,0),10)</f>
        <v/>
      </c>
      <c r="O57" t="str">
        <f>MID(VLOOKUP(A57, Fechas_Estado!A:AE,22,0),12,8)</f>
        <v/>
      </c>
      <c r="P57" t="str">
        <f t="shared" si="4"/>
        <v xml:space="preserve"> </v>
      </c>
      <c r="Q57" t="str">
        <f>LEFT(VLOOKUP(A57, Fechas_Estado!A:AE,23,0),10)</f>
        <v/>
      </c>
      <c r="R57" t="str">
        <f>MID(VLOOKUP(A57, Fechas_Estado!A:AE,23,0),12,8)</f>
        <v/>
      </c>
      <c r="S57" t="str">
        <f t="shared" si="5"/>
        <v xml:space="preserve"> </v>
      </c>
      <c r="T57" t="str">
        <f>LEFT(VLOOKUP(A57, Fechas_Estado!A:AE,24,0),10)</f>
        <v/>
      </c>
      <c r="U57" t="str">
        <f>MID(VLOOKUP(A57, Fechas_Estado!A:AE,24,0),12,8)</f>
        <v/>
      </c>
      <c r="V57" t="str">
        <f t="shared" si="6"/>
        <v xml:space="preserve"> </v>
      </c>
      <c r="W57" t="str">
        <f>LEFT(VLOOKUP(A57, Fechas_Estado!A:AE,25,0),10)</f>
        <v>2024-10-28</v>
      </c>
      <c r="X57" t="str">
        <f>MID(VLOOKUP(A57, Fechas_Estado!A:AE,25,0),12,8)</f>
        <v>09:35:50</v>
      </c>
      <c r="Y57" t="str">
        <f t="shared" si="7"/>
        <v>2024-10-28 09:35:50</v>
      </c>
      <c r="Z57" t="str">
        <f>LEFT(VLOOKUP(A57, Fechas_Estado!A:AE,26,0),10)</f>
        <v>2024-10-28</v>
      </c>
      <c r="AA57" t="str">
        <f>MID(VLOOKUP(A57, Fechas_Estado!A:AE,26,0),12,8)</f>
        <v>09:44:10</v>
      </c>
      <c r="AB57" t="str">
        <f t="shared" si="8"/>
        <v>2024-10-28 09:44:10</v>
      </c>
      <c r="AC57" t="str">
        <f>LEFT(VLOOKUP(A57, Fechas_Estado!A:AE,27,0),10)</f>
        <v>2024-10-29</v>
      </c>
      <c r="AD57" t="str">
        <f>MID(VLOOKUP(A57, Fechas_Estado!A:AE,27,0),12,8)</f>
        <v>17:44:07</v>
      </c>
      <c r="AE57" t="str">
        <f t="shared" si="9"/>
        <v>2024-10-29 17:44:07</v>
      </c>
      <c r="AF57" t="str">
        <f>LEFT(VLOOKUP(A57, Fechas_Estado!A:AF,28,0),10)</f>
        <v>2024-10-29</v>
      </c>
      <c r="AG57" t="str">
        <f>MID(VLOOKUP(A57, Fechas_Estado!A:AF,28,0),12,8)</f>
        <v>17:44:13</v>
      </c>
      <c r="AH57" t="str">
        <f t="shared" si="10"/>
        <v>2024-10-29 17:44:13</v>
      </c>
      <c r="AI57" t="str">
        <f>LEFT(VLOOKUP(A57, Fechas_Estado!A:AF,16,0),10)</f>
        <v>2024-10-30</v>
      </c>
      <c r="AJ57" t="str">
        <f>MID(VLOOKUP(A57, Fechas_Estado!A:AF,16,0),12,8)</f>
        <v>09:40:52</v>
      </c>
      <c r="AK57" t="str">
        <f t="shared" si="11"/>
        <v>2024-10-30 09:40:52</v>
      </c>
      <c r="AL57">
        <f t="shared" si="18"/>
        <v>2.0036458333343035</v>
      </c>
      <c r="AM57" t="str">
        <f>LEFT(VLOOKUP(A57, Fechas_Estado!A:AE,8,0),10)</f>
        <v>2024-10-30</v>
      </c>
      <c r="AN57" t="str">
        <f>MID(VLOOKUP(A57, Fechas_Estado!A:AE,8,0),12,8)</f>
        <v>09:40:57</v>
      </c>
      <c r="AO57" t="str">
        <f t="shared" si="12"/>
        <v>2024-10-30 09:40:57</v>
      </c>
      <c r="AP57" t="str">
        <f>LEFT(VLOOKUP(A57, Fechas_Estado!A:AE,7,0),10)</f>
        <v>2024-10-30</v>
      </c>
      <c r="AQ57" t="str">
        <f>MID(VLOOKUP(A57, Fechas_Estado!A:AE,7,0),12,8)</f>
        <v>09:41:02</v>
      </c>
      <c r="AR57" t="str">
        <f t="shared" si="13"/>
        <v>2024-10-30 09:41:02</v>
      </c>
      <c r="AS57" t="str">
        <f>LEFT(VLOOKUP(A57, Fechas_Estado!A:AE,10,0),10)</f>
        <v>2024-10-30</v>
      </c>
      <c r="AT57" t="str">
        <f>MID(VLOOKUP(A57, Fechas_Estado!A:AE,10,0),12,8)</f>
        <v>09:41:09</v>
      </c>
      <c r="AU57" t="str">
        <f t="shared" si="14"/>
        <v>2024-10-30 09:41:09</v>
      </c>
      <c r="AV57" t="str">
        <f>LEFT(VLOOKUP(A57, Fechas_Estado!A:AE,17,0),10)</f>
        <v>2024-10-30</v>
      </c>
      <c r="AW57" t="str">
        <f>MID(VLOOKUP(A57, Fechas_Estado!A:AE,17,0),12,8)</f>
        <v>09:41:15</v>
      </c>
      <c r="AX57" t="str">
        <f t="shared" si="15"/>
        <v>2024-10-30 09:41:15</v>
      </c>
      <c r="AY57">
        <f t="shared" si="19"/>
        <v>2.0833333837799728E-4</v>
      </c>
      <c r="AZ57" t="str">
        <f>LEFT(VLOOKUP(A57, Fechas_Estado!A:AE,5,0),10)</f>
        <v>2024-10-30</v>
      </c>
      <c r="BA57" t="str">
        <f>MID(VLOOKUP(A57, Fechas_Estado!A:AE,5,0),12,8)</f>
        <v>09:41:22</v>
      </c>
      <c r="BB57" t="str">
        <f t="shared" si="16"/>
        <v>2024-10-30 09:41:22</v>
      </c>
      <c r="BC57">
        <f t="shared" si="17"/>
        <v>8.1018515629693866E-5</v>
      </c>
    </row>
    <row r="58" spans="1:55" x14ac:dyDescent="0.25">
      <c r="A58" t="str">
        <f>Fechas_Estado!A57</f>
        <v>ESPC360-12732</v>
      </c>
      <c r="B58" t="str">
        <f>LEFT(VLOOKUP(A58,Fechas_Estado!A:AE,2,0),10)</f>
        <v>2024-10-28</v>
      </c>
      <c r="C58" t="str">
        <f>MID(VLOOKUP(A58, Fechas_Estado!A:AE,2,0),12,8)</f>
        <v>12:47:52</v>
      </c>
      <c r="D58" t="str">
        <f t="shared" si="0"/>
        <v>2024-10-28 12:47:52</v>
      </c>
      <c r="E58" t="str">
        <f>LEFT(VLOOKUP(A58, Fechas_Estado!A:AE,19,0),10)</f>
        <v/>
      </c>
      <c r="F58" t="str">
        <f>MID(VLOOKUP(A58, Fechas_Estado!A:AE,19,0),12,8)</f>
        <v/>
      </c>
      <c r="G58" t="str">
        <f t="shared" si="1"/>
        <v xml:space="preserve"> </v>
      </c>
      <c r="H58" t="str">
        <f>LEFT(VLOOKUP(A58, Fechas_Estado!A:AE,20,0),10)</f>
        <v/>
      </c>
      <c r="I58" t="str">
        <f>MID(VLOOKUP(A58, Fechas_Estado!A:AE,20,0),12,8)</f>
        <v/>
      </c>
      <c r="J58" t="str">
        <f t="shared" si="2"/>
        <v xml:space="preserve"> </v>
      </c>
      <c r="K58" t="str">
        <f>LEFT(VLOOKUP(A58, Fechas_Estado!A:AE,21,0),10)</f>
        <v/>
      </c>
      <c r="L58" t="str">
        <f>MID(VLOOKUP(A58, Fechas_Estado!A:AE,21,0),12,8)</f>
        <v/>
      </c>
      <c r="M58" t="str">
        <f t="shared" si="3"/>
        <v xml:space="preserve"> </v>
      </c>
      <c r="N58" t="str">
        <f>LEFT(VLOOKUP(A58, Fechas_Estado!A:AE,22,0),10)</f>
        <v/>
      </c>
      <c r="O58" t="str">
        <f>MID(VLOOKUP(A58, Fechas_Estado!A:AE,22,0),12,8)</f>
        <v/>
      </c>
      <c r="P58" t="str">
        <f t="shared" si="4"/>
        <v xml:space="preserve"> </v>
      </c>
      <c r="Q58" t="str">
        <f>LEFT(VLOOKUP(A58, Fechas_Estado!A:AE,23,0),10)</f>
        <v/>
      </c>
      <c r="R58" t="str">
        <f>MID(VLOOKUP(A58, Fechas_Estado!A:AE,23,0),12,8)</f>
        <v/>
      </c>
      <c r="S58" t="str">
        <f t="shared" si="5"/>
        <v xml:space="preserve"> </v>
      </c>
      <c r="T58" t="str">
        <f>LEFT(VLOOKUP(A58, Fechas_Estado!A:AE,24,0),10)</f>
        <v/>
      </c>
      <c r="U58" t="str">
        <f>MID(VLOOKUP(A58, Fechas_Estado!A:AE,24,0),12,8)</f>
        <v/>
      </c>
      <c r="V58" t="str">
        <f t="shared" si="6"/>
        <v xml:space="preserve"> </v>
      </c>
      <c r="W58" t="str">
        <f>LEFT(VLOOKUP(A58, Fechas_Estado!A:AE,25,0),10)</f>
        <v>2024-10-28</v>
      </c>
      <c r="X58" t="str">
        <f>MID(VLOOKUP(A58, Fechas_Estado!A:AE,25,0),12,8)</f>
        <v>12:48:05</v>
      </c>
      <c r="Y58" t="str">
        <f t="shared" si="7"/>
        <v>2024-10-28 12:48:05</v>
      </c>
      <c r="Z58" t="str">
        <f>LEFT(VLOOKUP(A58, Fechas_Estado!A:AE,26,0),10)</f>
        <v>2024-10-31</v>
      </c>
      <c r="AA58" t="str">
        <f>MID(VLOOKUP(A58, Fechas_Estado!A:AE,26,0),12,8)</f>
        <v>17:37:35</v>
      </c>
      <c r="AB58" t="str">
        <f t="shared" si="8"/>
        <v>2024-10-31 17:37:35</v>
      </c>
      <c r="AC58" t="str">
        <f>LEFT(VLOOKUP(A58, Fechas_Estado!A:AE,27,0),10)</f>
        <v>2024-10-31</v>
      </c>
      <c r="AD58" t="str">
        <f>MID(VLOOKUP(A58, Fechas_Estado!A:AE,27,0),12,8)</f>
        <v>18:22:47</v>
      </c>
      <c r="AE58" t="str">
        <f t="shared" si="9"/>
        <v>2024-10-31 18:22:47</v>
      </c>
      <c r="AF58" t="str">
        <f>LEFT(VLOOKUP(A58, Fechas_Estado!A:AF,28,0),10)</f>
        <v/>
      </c>
      <c r="AG58" t="str">
        <f>MID(VLOOKUP(A58, Fechas_Estado!A:AF,28,0),12,8)</f>
        <v/>
      </c>
      <c r="AH58" t="str">
        <f t="shared" si="10"/>
        <v xml:space="preserve"> </v>
      </c>
      <c r="AI58" t="str">
        <f>LEFT(VLOOKUP(A58, Fechas_Estado!A:AF,16,0),10)</f>
        <v>2024-11-13</v>
      </c>
      <c r="AJ58" t="str">
        <f>MID(VLOOKUP(A58, Fechas_Estado!A:AF,16,0),12,8)</f>
        <v>11:25:56</v>
      </c>
      <c r="AK58" t="str">
        <f t="shared" si="11"/>
        <v>2024-11-13 11:25:56</v>
      </c>
      <c r="AL58">
        <f t="shared" si="18"/>
        <v>15.943101851851679</v>
      </c>
      <c r="AM58" t="str">
        <f>LEFT(VLOOKUP(A58, Fechas_Estado!A:AE,8,0),10)</f>
        <v>2024-11-18</v>
      </c>
      <c r="AN58" t="str">
        <f>MID(VLOOKUP(A58, Fechas_Estado!A:AE,8,0),12,8)</f>
        <v>10:18:03</v>
      </c>
      <c r="AO58" t="str">
        <f t="shared" si="12"/>
        <v>2024-11-18 10:18:03</v>
      </c>
      <c r="AP58" t="str">
        <f>LEFT(VLOOKUP(A58, Fechas_Estado!A:AE,7,0),10)</f>
        <v>2024-11-18</v>
      </c>
      <c r="AQ58" t="str">
        <f>MID(VLOOKUP(A58, Fechas_Estado!A:AE,7,0),12,8)</f>
        <v>10:18:09</v>
      </c>
      <c r="AR58" t="str">
        <f t="shared" si="13"/>
        <v>2024-11-18 10:18:09</v>
      </c>
      <c r="AS58" t="str">
        <f>LEFT(VLOOKUP(A58, Fechas_Estado!A:AE,10,0),10)</f>
        <v>2024-11-18</v>
      </c>
      <c r="AT58" t="str">
        <f>MID(VLOOKUP(A58, Fechas_Estado!A:AE,10,0),12,8)</f>
        <v>11:02:31</v>
      </c>
      <c r="AU58" t="str">
        <f t="shared" si="14"/>
        <v>2024-11-18 11:02:31</v>
      </c>
      <c r="AV58" t="str">
        <f>LEFT(VLOOKUP(A58, Fechas_Estado!A:AE,17,0),10)</f>
        <v>2024-11-19</v>
      </c>
      <c r="AW58" t="str">
        <f>MID(VLOOKUP(A58, Fechas_Estado!A:AE,17,0),12,8)</f>
        <v>10:56:19</v>
      </c>
      <c r="AX58" t="str">
        <f t="shared" si="15"/>
        <v>2024-11-19 10:56:19</v>
      </c>
      <c r="AY58">
        <f t="shared" si="19"/>
        <v>1.0265740740724141</v>
      </c>
      <c r="AZ58" t="str">
        <f>LEFT(VLOOKUP(A58, Fechas_Estado!A:AE,5,0),10)</f>
        <v>2024-12-11</v>
      </c>
      <c r="BA58" t="str">
        <f>MID(VLOOKUP(A58, Fechas_Estado!A:AE,5,0),12,8)</f>
        <v>09:27:11</v>
      </c>
      <c r="BB58" t="str">
        <f t="shared" si="16"/>
        <v>2024-12-11 09:27:11</v>
      </c>
      <c r="BC58">
        <f t="shared" si="17"/>
        <v>21.938101851854299</v>
      </c>
    </row>
    <row r="59" spans="1:55" x14ac:dyDescent="0.25">
      <c r="A59" t="str">
        <f>Fechas_Estado!A58</f>
        <v>ESPC360-12762</v>
      </c>
      <c r="B59" t="str">
        <f>LEFT(VLOOKUP(A59,Fechas_Estado!A:AE,2,0),10)</f>
        <v>2024-10-30</v>
      </c>
      <c r="C59" t="str">
        <f>MID(VLOOKUP(A59, Fechas_Estado!A:AE,2,0),12,8)</f>
        <v>10:49:08</v>
      </c>
      <c r="D59" t="str">
        <f t="shared" si="0"/>
        <v>2024-10-30 10:49:08</v>
      </c>
      <c r="E59" t="str">
        <f>LEFT(VLOOKUP(A59, Fechas_Estado!A:AE,19,0),10)</f>
        <v/>
      </c>
      <c r="F59" t="str">
        <f>MID(VLOOKUP(A59, Fechas_Estado!A:AE,19,0),12,8)</f>
        <v/>
      </c>
      <c r="G59" t="str">
        <f t="shared" si="1"/>
        <v xml:space="preserve"> </v>
      </c>
      <c r="H59" t="str">
        <f>LEFT(VLOOKUP(A59, Fechas_Estado!A:AE,20,0),10)</f>
        <v/>
      </c>
      <c r="I59" t="str">
        <f>MID(VLOOKUP(A59, Fechas_Estado!A:AE,20,0),12,8)</f>
        <v/>
      </c>
      <c r="J59" t="str">
        <f t="shared" si="2"/>
        <v xml:space="preserve"> </v>
      </c>
      <c r="K59" t="str">
        <f>LEFT(VLOOKUP(A59, Fechas_Estado!A:AE,21,0),10)</f>
        <v/>
      </c>
      <c r="L59" t="str">
        <f>MID(VLOOKUP(A59, Fechas_Estado!A:AE,21,0),12,8)</f>
        <v/>
      </c>
      <c r="M59" t="str">
        <f t="shared" si="3"/>
        <v xml:space="preserve"> </v>
      </c>
      <c r="N59" t="str">
        <f>LEFT(VLOOKUP(A59, Fechas_Estado!A:AE,22,0),10)</f>
        <v/>
      </c>
      <c r="O59" t="str">
        <f>MID(VLOOKUP(A59, Fechas_Estado!A:AE,22,0),12,8)</f>
        <v/>
      </c>
      <c r="P59" t="str">
        <f t="shared" si="4"/>
        <v xml:space="preserve"> </v>
      </c>
      <c r="Q59" t="str">
        <f>LEFT(VLOOKUP(A59, Fechas_Estado!A:AE,23,0),10)</f>
        <v/>
      </c>
      <c r="R59" t="str">
        <f>MID(VLOOKUP(A59, Fechas_Estado!A:AE,23,0),12,8)</f>
        <v/>
      </c>
      <c r="S59" t="str">
        <f t="shared" si="5"/>
        <v xml:space="preserve"> </v>
      </c>
      <c r="T59" t="str">
        <f>LEFT(VLOOKUP(A59, Fechas_Estado!A:AE,24,0),10)</f>
        <v/>
      </c>
      <c r="U59" t="str">
        <f>MID(VLOOKUP(A59, Fechas_Estado!A:AE,24,0),12,8)</f>
        <v/>
      </c>
      <c r="V59" t="str">
        <f t="shared" si="6"/>
        <v xml:space="preserve"> </v>
      </c>
      <c r="W59" t="str">
        <f>LEFT(VLOOKUP(A59, Fechas_Estado!A:AE,25,0),10)</f>
        <v>2024-10-30</v>
      </c>
      <c r="X59" t="str">
        <f>MID(VLOOKUP(A59, Fechas_Estado!A:AE,25,0),12,8)</f>
        <v>10:49:20</v>
      </c>
      <c r="Y59" t="str">
        <f t="shared" si="7"/>
        <v>2024-10-30 10:49:20</v>
      </c>
      <c r="Z59" t="str">
        <f>LEFT(VLOOKUP(A59, Fechas_Estado!A:AE,26,0),10)</f>
        <v>2024-11-04</v>
      </c>
      <c r="AA59" t="str">
        <f>MID(VLOOKUP(A59, Fechas_Estado!A:AE,26,0),12,8)</f>
        <v>09:36:50</v>
      </c>
      <c r="AB59" t="str">
        <f t="shared" si="8"/>
        <v>2024-11-04 09:36:50</v>
      </c>
      <c r="AC59" t="str">
        <f>LEFT(VLOOKUP(A59, Fechas_Estado!A:AE,27,0),10)</f>
        <v>2024-11-05</v>
      </c>
      <c r="AD59" t="str">
        <f>MID(VLOOKUP(A59, Fechas_Estado!A:AE,27,0),12,8)</f>
        <v>12:26:04</v>
      </c>
      <c r="AE59" t="str">
        <f t="shared" si="9"/>
        <v>2024-11-05 12:26:04</v>
      </c>
      <c r="AF59" t="str">
        <f>LEFT(VLOOKUP(A59, Fechas_Estado!A:AF,28,0),10)</f>
        <v>2024-11-05</v>
      </c>
      <c r="AG59" t="str">
        <f>MID(VLOOKUP(A59, Fechas_Estado!A:AF,28,0),12,8)</f>
        <v>13:25:28</v>
      </c>
      <c r="AH59" t="str">
        <f t="shared" si="10"/>
        <v>2024-11-05 13:25:28</v>
      </c>
      <c r="AI59" t="str">
        <f>LEFT(VLOOKUP(A59, Fechas_Estado!A:AF,16,0),10)</f>
        <v>2024-11-06</v>
      </c>
      <c r="AJ59" t="str">
        <f>MID(VLOOKUP(A59, Fechas_Estado!A:AF,16,0),12,8)</f>
        <v>10:24:04</v>
      </c>
      <c r="AK59" t="str">
        <f t="shared" si="11"/>
        <v>2024-11-06 10:24:04</v>
      </c>
      <c r="AL59">
        <f t="shared" si="18"/>
        <v>6.9825925925906631</v>
      </c>
      <c r="AM59" t="str">
        <f>LEFT(VLOOKUP(A59, Fechas_Estado!A:AE,8,0),10)</f>
        <v>2024-11-06</v>
      </c>
      <c r="AN59" t="str">
        <f>MID(VLOOKUP(A59, Fechas_Estado!A:AE,8,0),12,8)</f>
        <v>10:24:08</v>
      </c>
      <c r="AO59" t="str">
        <f t="shared" si="12"/>
        <v>2024-11-06 10:24:08</v>
      </c>
      <c r="AP59" t="str">
        <f>LEFT(VLOOKUP(A59, Fechas_Estado!A:AE,7,0),10)</f>
        <v>2024-11-06</v>
      </c>
      <c r="AQ59" t="str">
        <f>MID(VLOOKUP(A59, Fechas_Estado!A:AE,7,0),12,8)</f>
        <v>10:24:12</v>
      </c>
      <c r="AR59" t="str">
        <f t="shared" si="13"/>
        <v>2024-11-06 10:24:12</v>
      </c>
      <c r="AS59" t="str">
        <f>LEFT(VLOOKUP(A59, Fechas_Estado!A:AE,10,0),10)</f>
        <v>2024-11-06</v>
      </c>
      <c r="AT59" t="str">
        <f>MID(VLOOKUP(A59, Fechas_Estado!A:AE,10,0),12,8)</f>
        <v>10:24:15</v>
      </c>
      <c r="AU59" t="str">
        <f t="shared" si="14"/>
        <v>2024-11-06 10:24:15</v>
      </c>
      <c r="AV59" t="str">
        <f>LEFT(VLOOKUP(A59, Fechas_Estado!A:AE,17,0),10)</f>
        <v>2024-11-06</v>
      </c>
      <c r="AW59" t="str">
        <f>MID(VLOOKUP(A59, Fechas_Estado!A:AE,17,0),12,8)</f>
        <v>10:24:19</v>
      </c>
      <c r="AX59" t="str">
        <f t="shared" si="15"/>
        <v>2024-11-06 10:24:19</v>
      </c>
      <c r="AY59">
        <f t="shared" si="19"/>
        <v>1.273148154723458E-4</v>
      </c>
      <c r="AZ59" t="str">
        <f>LEFT(VLOOKUP(A59, Fechas_Estado!A:AE,5,0),10)</f>
        <v>2024-11-07</v>
      </c>
      <c r="BA59" t="str">
        <f>MID(VLOOKUP(A59, Fechas_Estado!A:AE,5,0),12,8)</f>
        <v>16:32:42</v>
      </c>
      <c r="BB59" t="str">
        <f t="shared" si="16"/>
        <v>2024-11-07 16:32:42</v>
      </c>
      <c r="BC59">
        <f t="shared" si="17"/>
        <v>1.2558217592595611</v>
      </c>
    </row>
    <row r="60" spans="1:55" x14ac:dyDescent="0.25">
      <c r="A60" t="str">
        <f>Fechas_Estado!A59</f>
        <v>ESPC360-12763</v>
      </c>
      <c r="B60" t="str">
        <f>LEFT(VLOOKUP(A60,Fechas_Estado!A:AE,2,0),10)</f>
        <v>2024-10-30</v>
      </c>
      <c r="C60" t="str">
        <f>MID(VLOOKUP(A60, Fechas_Estado!A:AE,2,0),12,8)</f>
        <v>11:08:08</v>
      </c>
      <c r="D60" t="str">
        <f t="shared" si="0"/>
        <v>2024-10-30 11:08:08</v>
      </c>
      <c r="E60" t="str">
        <f>LEFT(VLOOKUP(A60, Fechas_Estado!A:AE,19,0),10)</f>
        <v/>
      </c>
      <c r="F60" t="str">
        <f>MID(VLOOKUP(A60, Fechas_Estado!A:AE,19,0),12,8)</f>
        <v/>
      </c>
      <c r="G60" t="str">
        <f t="shared" si="1"/>
        <v xml:space="preserve"> </v>
      </c>
      <c r="H60" t="str">
        <f>LEFT(VLOOKUP(A60, Fechas_Estado!A:AE,20,0),10)</f>
        <v/>
      </c>
      <c r="I60" t="str">
        <f>MID(VLOOKUP(A60, Fechas_Estado!A:AE,20,0),12,8)</f>
        <v/>
      </c>
      <c r="J60" t="str">
        <f t="shared" si="2"/>
        <v xml:space="preserve"> </v>
      </c>
      <c r="K60" t="str">
        <f>LEFT(VLOOKUP(A60, Fechas_Estado!A:AE,21,0),10)</f>
        <v/>
      </c>
      <c r="L60" t="str">
        <f>MID(VLOOKUP(A60, Fechas_Estado!A:AE,21,0),12,8)</f>
        <v/>
      </c>
      <c r="M60" t="str">
        <f t="shared" si="3"/>
        <v xml:space="preserve"> </v>
      </c>
      <c r="N60" t="str">
        <f>LEFT(VLOOKUP(A60, Fechas_Estado!A:AE,22,0),10)</f>
        <v/>
      </c>
      <c r="O60" t="str">
        <f>MID(VLOOKUP(A60, Fechas_Estado!A:AE,22,0),12,8)</f>
        <v/>
      </c>
      <c r="P60" t="str">
        <f t="shared" si="4"/>
        <v xml:space="preserve"> </v>
      </c>
      <c r="Q60" t="str">
        <f>LEFT(VLOOKUP(A60, Fechas_Estado!A:AE,23,0),10)</f>
        <v/>
      </c>
      <c r="R60" t="str">
        <f>MID(VLOOKUP(A60, Fechas_Estado!A:AE,23,0),12,8)</f>
        <v/>
      </c>
      <c r="S60" t="str">
        <f t="shared" si="5"/>
        <v xml:space="preserve"> </v>
      </c>
      <c r="T60" t="str">
        <f>LEFT(VLOOKUP(A60, Fechas_Estado!A:AE,24,0),10)</f>
        <v/>
      </c>
      <c r="U60" t="str">
        <f>MID(VLOOKUP(A60, Fechas_Estado!A:AE,24,0),12,8)</f>
        <v/>
      </c>
      <c r="V60" t="str">
        <f t="shared" si="6"/>
        <v xml:space="preserve"> </v>
      </c>
      <c r="W60" t="str">
        <f>LEFT(VLOOKUP(A60, Fechas_Estado!A:AE,25,0),10)</f>
        <v>2024-10-30</v>
      </c>
      <c r="X60" t="str">
        <f>MID(VLOOKUP(A60, Fechas_Estado!A:AE,25,0),12,8)</f>
        <v>17:01:05</v>
      </c>
      <c r="Y60" t="str">
        <f t="shared" si="7"/>
        <v>2024-10-30 17:01:05</v>
      </c>
      <c r="Z60" t="str">
        <f>LEFT(VLOOKUP(A60, Fechas_Estado!A:AE,26,0),10)</f>
        <v>2024-11-04</v>
      </c>
      <c r="AA60" t="str">
        <f>MID(VLOOKUP(A60, Fechas_Estado!A:AE,26,0),12,8)</f>
        <v>09:36:56</v>
      </c>
      <c r="AB60" t="str">
        <f t="shared" si="8"/>
        <v>2024-11-04 09:36:56</v>
      </c>
      <c r="AC60" t="str">
        <f>LEFT(VLOOKUP(A60, Fechas_Estado!A:AE,27,0),10)</f>
        <v>2024-11-06</v>
      </c>
      <c r="AD60" t="str">
        <f>MID(VLOOKUP(A60, Fechas_Estado!A:AE,27,0),12,8)</f>
        <v>09:45:18</v>
      </c>
      <c r="AE60" t="str">
        <f t="shared" si="9"/>
        <v>2024-11-06 09:45:18</v>
      </c>
      <c r="AF60" t="str">
        <f>LEFT(VLOOKUP(A60, Fechas_Estado!A:AF,28,0),10)</f>
        <v>2024-11-06</v>
      </c>
      <c r="AG60" t="str">
        <f>MID(VLOOKUP(A60, Fechas_Estado!A:AF,28,0),12,8)</f>
        <v>09:45:22</v>
      </c>
      <c r="AH60" t="str">
        <f t="shared" si="10"/>
        <v>2024-11-06 09:45:22</v>
      </c>
      <c r="AI60" t="str">
        <f>LEFT(VLOOKUP(A60, Fechas_Estado!A:AF,16,0),10)</f>
        <v>2024-11-06</v>
      </c>
      <c r="AJ60" t="str">
        <f>MID(VLOOKUP(A60, Fechas_Estado!A:AF,16,0),12,8)</f>
        <v>10:24:37</v>
      </c>
      <c r="AK60" t="str">
        <f t="shared" si="11"/>
        <v>2024-11-06 10:24:37</v>
      </c>
      <c r="AL60">
        <f t="shared" si="18"/>
        <v>6.9697800925932825</v>
      </c>
      <c r="AM60" t="str">
        <f>LEFT(VLOOKUP(A60, Fechas_Estado!A:AE,8,0),10)</f>
        <v>2024-11-06</v>
      </c>
      <c r="AN60" t="str">
        <f>MID(VLOOKUP(A60, Fechas_Estado!A:AE,8,0),12,8)</f>
        <v>10:24:41</v>
      </c>
      <c r="AO60" t="str">
        <f t="shared" si="12"/>
        <v>2024-11-06 10:24:41</v>
      </c>
      <c r="AP60" t="str">
        <f>LEFT(VLOOKUP(A60, Fechas_Estado!A:AE,7,0),10)</f>
        <v>2024-11-06</v>
      </c>
      <c r="AQ60" t="str">
        <f>MID(VLOOKUP(A60, Fechas_Estado!A:AE,7,0),12,8)</f>
        <v>10:24:46</v>
      </c>
      <c r="AR60" t="str">
        <f t="shared" si="13"/>
        <v>2024-11-06 10:24:46</v>
      </c>
      <c r="AS60" t="str">
        <f>LEFT(VLOOKUP(A60, Fechas_Estado!A:AE,10,0),10)</f>
        <v>2024-11-06</v>
      </c>
      <c r="AT60" t="str">
        <f>MID(VLOOKUP(A60, Fechas_Estado!A:AE,10,0),12,8)</f>
        <v>10:26:06</v>
      </c>
      <c r="AU60" t="str">
        <f t="shared" si="14"/>
        <v>2024-11-06 10:26:06</v>
      </c>
      <c r="AV60" t="str">
        <f>LEFT(VLOOKUP(A60, Fechas_Estado!A:AE,17,0),10)</f>
        <v>2024-11-06</v>
      </c>
      <c r="AW60" t="str">
        <f>MID(VLOOKUP(A60, Fechas_Estado!A:AE,17,0),12,8)</f>
        <v>10:26:08</v>
      </c>
      <c r="AX60" t="str">
        <f t="shared" si="15"/>
        <v>2024-11-06 10:26:08</v>
      </c>
      <c r="AY60">
        <f t="shared" si="19"/>
        <v>1.0069444397231564E-3</v>
      </c>
      <c r="AZ60" t="str">
        <f>LEFT(VLOOKUP(A60, Fechas_Estado!A:AE,5,0),10)</f>
        <v>2024-11-07</v>
      </c>
      <c r="BA60" t="str">
        <f>MID(VLOOKUP(A60, Fechas_Estado!A:AE,5,0),12,8)</f>
        <v>16:32:42</v>
      </c>
      <c r="BB60" t="str">
        <f t="shared" si="16"/>
        <v>2024-11-07 16:32:42</v>
      </c>
      <c r="BC60">
        <f t="shared" si="17"/>
        <v>1.2545601851888932</v>
      </c>
    </row>
    <row r="61" spans="1:55" x14ac:dyDescent="0.25">
      <c r="A61" t="str">
        <f>Fechas_Estado!A60</f>
        <v>ESPC360-12774</v>
      </c>
      <c r="B61" t="str">
        <f>LEFT(VLOOKUP(A61,Fechas_Estado!A:AE,2,0),10)</f>
        <v>2024-10-31</v>
      </c>
      <c r="C61" t="str">
        <f>MID(VLOOKUP(A61, Fechas_Estado!A:AE,2,0),12,8)</f>
        <v>10:53:28</v>
      </c>
      <c r="D61" t="str">
        <f t="shared" si="0"/>
        <v>2024-10-31 10:53:28</v>
      </c>
      <c r="E61" t="str">
        <f>LEFT(VLOOKUP(A61, Fechas_Estado!A:AE,19,0),10)</f>
        <v/>
      </c>
      <c r="F61" t="str">
        <f>MID(VLOOKUP(A61, Fechas_Estado!A:AE,19,0),12,8)</f>
        <v/>
      </c>
      <c r="G61" t="str">
        <f t="shared" si="1"/>
        <v xml:space="preserve"> </v>
      </c>
      <c r="H61" t="str">
        <f>LEFT(VLOOKUP(A61, Fechas_Estado!A:AE,20,0),10)</f>
        <v/>
      </c>
      <c r="I61" t="str">
        <f>MID(VLOOKUP(A61, Fechas_Estado!A:AE,20,0),12,8)</f>
        <v/>
      </c>
      <c r="J61" t="str">
        <f t="shared" si="2"/>
        <v xml:space="preserve"> </v>
      </c>
      <c r="K61" t="str">
        <f>LEFT(VLOOKUP(A61, Fechas_Estado!A:AE,21,0),10)</f>
        <v/>
      </c>
      <c r="L61" t="str">
        <f>MID(VLOOKUP(A61, Fechas_Estado!A:AE,21,0),12,8)</f>
        <v/>
      </c>
      <c r="M61" t="str">
        <f t="shared" si="3"/>
        <v xml:space="preserve"> </v>
      </c>
      <c r="N61" t="str">
        <f>LEFT(VLOOKUP(A61, Fechas_Estado!A:AE,22,0),10)</f>
        <v/>
      </c>
      <c r="O61" t="str">
        <f>MID(VLOOKUP(A61, Fechas_Estado!A:AE,22,0),12,8)</f>
        <v/>
      </c>
      <c r="P61" t="str">
        <f t="shared" si="4"/>
        <v xml:space="preserve"> </v>
      </c>
      <c r="Q61" t="str">
        <f>LEFT(VLOOKUP(A61, Fechas_Estado!A:AE,23,0),10)</f>
        <v/>
      </c>
      <c r="R61" t="str">
        <f>MID(VLOOKUP(A61, Fechas_Estado!A:AE,23,0),12,8)</f>
        <v/>
      </c>
      <c r="S61" t="str">
        <f t="shared" si="5"/>
        <v xml:space="preserve"> </v>
      </c>
      <c r="T61" t="str">
        <f>LEFT(VLOOKUP(A61, Fechas_Estado!A:AE,24,0),10)</f>
        <v/>
      </c>
      <c r="U61" t="str">
        <f>MID(VLOOKUP(A61, Fechas_Estado!A:AE,24,0),12,8)</f>
        <v/>
      </c>
      <c r="V61" t="str">
        <f t="shared" si="6"/>
        <v xml:space="preserve"> </v>
      </c>
      <c r="W61" t="str">
        <f>LEFT(VLOOKUP(A61, Fechas_Estado!A:AE,25,0),10)</f>
        <v>2024-10-31</v>
      </c>
      <c r="X61" t="str">
        <f>MID(VLOOKUP(A61, Fechas_Estado!A:AE,25,0),12,8)</f>
        <v>10:53:39</v>
      </c>
      <c r="Y61" t="str">
        <f t="shared" si="7"/>
        <v>2024-10-31 10:53:39</v>
      </c>
      <c r="Z61" t="str">
        <f>LEFT(VLOOKUP(A61, Fechas_Estado!A:AE,26,0),10)</f>
        <v/>
      </c>
      <c r="AA61" t="str">
        <f>MID(VLOOKUP(A61, Fechas_Estado!A:AE,26,0),12,8)</f>
        <v/>
      </c>
      <c r="AB61" t="str">
        <f t="shared" si="8"/>
        <v xml:space="preserve"> </v>
      </c>
      <c r="AC61" t="str">
        <f>LEFT(VLOOKUP(A61, Fechas_Estado!A:AE,27,0),10)</f>
        <v/>
      </c>
      <c r="AD61" t="str">
        <f>MID(VLOOKUP(A61, Fechas_Estado!A:AE,27,0),12,8)</f>
        <v/>
      </c>
      <c r="AE61" t="str">
        <f t="shared" si="9"/>
        <v xml:space="preserve"> </v>
      </c>
      <c r="AF61" t="str">
        <f>LEFT(VLOOKUP(A61, Fechas_Estado!A:AF,28,0),10)</f>
        <v/>
      </c>
      <c r="AG61" t="str">
        <f>MID(VLOOKUP(A61, Fechas_Estado!A:AF,28,0),12,8)</f>
        <v/>
      </c>
      <c r="AH61" t="str">
        <f t="shared" si="10"/>
        <v xml:space="preserve"> </v>
      </c>
      <c r="AI61" t="str">
        <f>LEFT(VLOOKUP(A61, Fechas_Estado!A:AF,16,0),10)</f>
        <v>2024-10-31</v>
      </c>
      <c r="AJ61" t="str">
        <f>MID(VLOOKUP(A61, Fechas_Estado!A:AF,16,0),12,8)</f>
        <v>15:41:43</v>
      </c>
      <c r="AK61" t="str">
        <f t="shared" si="11"/>
        <v>2024-10-31 15:41:43</v>
      </c>
      <c r="AL61">
        <f t="shared" si="18"/>
        <v>0.20017361111240461</v>
      </c>
      <c r="AM61" t="str">
        <f>LEFT(VLOOKUP(A61, Fechas_Estado!A:AE,8,0),10)</f>
        <v>2024-10-31</v>
      </c>
      <c r="AN61" t="str">
        <f>MID(VLOOKUP(A61, Fechas_Estado!A:AE,8,0),12,8)</f>
        <v>15:41:47</v>
      </c>
      <c r="AO61" t="str">
        <f t="shared" si="12"/>
        <v>2024-10-31 15:41:47</v>
      </c>
      <c r="AP61" t="str">
        <f>LEFT(VLOOKUP(A61, Fechas_Estado!A:AE,7,0),10)</f>
        <v>2024-10-31</v>
      </c>
      <c r="AQ61" t="str">
        <f>MID(VLOOKUP(A61, Fechas_Estado!A:AE,7,0),12,8)</f>
        <v>15:41:51</v>
      </c>
      <c r="AR61" t="str">
        <f t="shared" si="13"/>
        <v>2024-10-31 15:41:51</v>
      </c>
      <c r="AS61" t="str">
        <f>LEFT(VLOOKUP(A61, Fechas_Estado!A:AE,10,0),10)</f>
        <v>2024-10-31</v>
      </c>
      <c r="AT61" t="str">
        <f>MID(VLOOKUP(A61, Fechas_Estado!A:AE,10,0),12,8)</f>
        <v>15:52:13</v>
      </c>
      <c r="AU61" t="str">
        <f t="shared" si="14"/>
        <v>2024-10-31 15:52:13</v>
      </c>
      <c r="AV61" t="str">
        <f>LEFT(VLOOKUP(A61, Fechas_Estado!A:AE,17,0),10)</f>
        <v>2024-10-31</v>
      </c>
      <c r="AW61" t="str">
        <f>MID(VLOOKUP(A61, Fechas_Estado!A:AE,17,0),12,8)</f>
        <v>15:52:16</v>
      </c>
      <c r="AX61" t="str">
        <f t="shared" si="15"/>
        <v>2024-10-31 15:52:16</v>
      </c>
      <c r="AY61">
        <f t="shared" si="19"/>
        <v>7.2800925918272696E-3</v>
      </c>
      <c r="AZ61" t="str">
        <f>LEFT(VLOOKUP(A61, Fechas_Estado!A:AE,5,0),10)</f>
        <v>2024-10-31</v>
      </c>
      <c r="BA61" t="str">
        <f>MID(VLOOKUP(A61, Fechas_Estado!A:AE,5,0),12,8)</f>
        <v>15:55:35</v>
      </c>
      <c r="BB61" t="str">
        <f t="shared" si="16"/>
        <v>2024-10-31 15:55:35</v>
      </c>
      <c r="BC61">
        <f t="shared" si="17"/>
        <v>2.3032407407299615E-3</v>
      </c>
    </row>
    <row r="62" spans="1:55" x14ac:dyDescent="0.25">
      <c r="A62" t="str">
        <f>Fechas_Estado!A61</f>
        <v>ESPC360-13108</v>
      </c>
      <c r="B62" t="str">
        <f>LEFT(VLOOKUP(A62,Fechas_Estado!A:AE,2,0),10)</f>
        <v>2024-11-11</v>
      </c>
      <c r="C62" t="str">
        <f>MID(VLOOKUP(A62, Fechas_Estado!A:AE,2,0),12,8)</f>
        <v>15:59:04</v>
      </c>
      <c r="D62" t="str">
        <f t="shared" si="0"/>
        <v>2024-11-11 15:59:04</v>
      </c>
      <c r="E62" t="str">
        <f>LEFT(VLOOKUP(A62, Fechas_Estado!A:AE,19,0),10)</f>
        <v>2024-11-11</v>
      </c>
      <c r="F62" t="str">
        <f>MID(VLOOKUP(A62, Fechas_Estado!A:AE,19,0),12,8)</f>
        <v>16:02:55</v>
      </c>
      <c r="G62" t="str">
        <f t="shared" si="1"/>
        <v>2024-11-11 16:02:55</v>
      </c>
      <c r="H62" t="str">
        <f>LEFT(VLOOKUP(A62, Fechas_Estado!A:AE,20,0),10)</f>
        <v>2024-11-12</v>
      </c>
      <c r="I62" t="str">
        <f>MID(VLOOKUP(A62, Fechas_Estado!A:AE,20,0),12,8)</f>
        <v>17:43:21</v>
      </c>
      <c r="J62" t="str">
        <f t="shared" si="2"/>
        <v>2024-11-12 17:43:21</v>
      </c>
      <c r="K62" t="str">
        <f>LEFT(VLOOKUP(A62, Fechas_Estado!A:AE,21,0),10)</f>
        <v>2024-11-12</v>
      </c>
      <c r="L62" t="str">
        <f>MID(VLOOKUP(A62, Fechas_Estado!A:AE,21,0),12,8)</f>
        <v>17:43:29</v>
      </c>
      <c r="M62" t="str">
        <f t="shared" si="3"/>
        <v>2024-11-12 17:43:29</v>
      </c>
      <c r="N62" t="str">
        <f>LEFT(VLOOKUP(A62, Fechas_Estado!A:AE,22,0),10)</f>
        <v>2024-11-12</v>
      </c>
      <c r="O62" t="str">
        <f>MID(VLOOKUP(A62, Fechas_Estado!A:AE,22,0),12,8)</f>
        <v>17:43:39</v>
      </c>
      <c r="P62" t="str">
        <f t="shared" si="4"/>
        <v>2024-11-12 17:43:39</v>
      </c>
      <c r="Q62" t="str">
        <f>LEFT(VLOOKUP(A62, Fechas_Estado!A:AE,23,0),10)</f>
        <v>2024-11-12</v>
      </c>
      <c r="R62" t="str">
        <f>MID(VLOOKUP(A62, Fechas_Estado!A:AE,23,0),12,8)</f>
        <v>17:43:47</v>
      </c>
      <c r="S62" t="str">
        <f t="shared" si="5"/>
        <v>2024-11-12 17:43:47</v>
      </c>
      <c r="T62" t="str">
        <f>LEFT(VLOOKUP(A62, Fechas_Estado!A:AE,24,0),10)</f>
        <v/>
      </c>
      <c r="U62" t="str">
        <f>MID(VLOOKUP(A62, Fechas_Estado!A:AE,24,0),12,8)</f>
        <v/>
      </c>
      <c r="V62" t="str">
        <f t="shared" si="6"/>
        <v xml:space="preserve"> </v>
      </c>
      <c r="W62" t="str">
        <f>LEFT(VLOOKUP(A62, Fechas_Estado!A:AE,25,0),10)</f>
        <v/>
      </c>
      <c r="X62" t="str">
        <f>MID(VLOOKUP(A62, Fechas_Estado!A:AE,25,0),12,8)</f>
        <v/>
      </c>
      <c r="Y62" t="str">
        <f t="shared" si="7"/>
        <v xml:space="preserve"> </v>
      </c>
      <c r="Z62" t="str">
        <f>LEFT(VLOOKUP(A62, Fechas_Estado!A:AE,26,0),10)</f>
        <v/>
      </c>
      <c r="AA62" t="str">
        <f>MID(VLOOKUP(A62, Fechas_Estado!A:AE,26,0),12,8)</f>
        <v/>
      </c>
      <c r="AB62" t="str">
        <f t="shared" si="8"/>
        <v xml:space="preserve"> </v>
      </c>
      <c r="AC62" t="str">
        <f>LEFT(VLOOKUP(A62, Fechas_Estado!A:AE,27,0),10)</f>
        <v/>
      </c>
      <c r="AD62" t="str">
        <f>MID(VLOOKUP(A62, Fechas_Estado!A:AE,27,0),12,8)</f>
        <v/>
      </c>
      <c r="AE62" t="str">
        <f t="shared" si="9"/>
        <v xml:space="preserve"> </v>
      </c>
      <c r="AF62" t="str">
        <f>LEFT(VLOOKUP(A62, Fechas_Estado!A:AF,28,0),10)</f>
        <v/>
      </c>
      <c r="AG62" t="str">
        <f>MID(VLOOKUP(A62, Fechas_Estado!A:AF,28,0),12,8)</f>
        <v/>
      </c>
      <c r="AH62" t="str">
        <f t="shared" si="10"/>
        <v xml:space="preserve"> </v>
      </c>
      <c r="AI62" t="str">
        <f>LEFT(VLOOKUP(A62, Fechas_Estado!A:AF,16,0),10)</f>
        <v/>
      </c>
      <c r="AJ62" t="str">
        <f>MID(VLOOKUP(A62, Fechas_Estado!A:AF,16,0),12,8)</f>
        <v/>
      </c>
      <c r="AK62" t="str">
        <f t="shared" si="11"/>
        <v xml:space="preserve"> </v>
      </c>
      <c r="AL62" t="e">
        <f t="shared" si="18"/>
        <v>#VALUE!</v>
      </c>
      <c r="AM62" t="str">
        <f>LEFT(VLOOKUP(A62, Fechas_Estado!A:AE,8,0),10)</f>
        <v/>
      </c>
      <c r="AN62" t="str">
        <f>MID(VLOOKUP(A62, Fechas_Estado!A:AE,8,0),12,8)</f>
        <v/>
      </c>
      <c r="AO62" t="str">
        <f t="shared" si="12"/>
        <v xml:space="preserve"> </v>
      </c>
      <c r="AP62" t="str">
        <f>LEFT(VLOOKUP(A62, Fechas_Estado!A:AE,7,0),10)</f>
        <v/>
      </c>
      <c r="AQ62" t="str">
        <f>MID(VLOOKUP(A62, Fechas_Estado!A:AE,7,0),12,8)</f>
        <v/>
      </c>
      <c r="AR62" t="str">
        <f t="shared" si="13"/>
        <v xml:space="preserve"> </v>
      </c>
      <c r="AS62" t="str">
        <f>LEFT(VLOOKUP(A62, Fechas_Estado!A:AE,10,0),10)</f>
        <v/>
      </c>
      <c r="AT62" t="str">
        <f>MID(VLOOKUP(A62, Fechas_Estado!A:AE,10,0),12,8)</f>
        <v/>
      </c>
      <c r="AU62" t="str">
        <f t="shared" si="14"/>
        <v xml:space="preserve"> </v>
      </c>
      <c r="AV62" t="str">
        <f>LEFT(VLOOKUP(A62, Fechas_Estado!A:AE,17,0),10)</f>
        <v/>
      </c>
      <c r="AW62" t="str">
        <f>MID(VLOOKUP(A62, Fechas_Estado!A:AE,17,0),12,8)</f>
        <v/>
      </c>
      <c r="AX62" t="str">
        <f t="shared" si="15"/>
        <v xml:space="preserve"> </v>
      </c>
      <c r="AY62" t="e">
        <f t="shared" si="19"/>
        <v>#VALUE!</v>
      </c>
      <c r="AZ62" t="str">
        <f>LEFT(VLOOKUP(A62, Fechas_Estado!A:AE,5,0),10)</f>
        <v>2024-11-13</v>
      </c>
      <c r="BA62" t="str">
        <f>MID(VLOOKUP(A62, Fechas_Estado!A:AE,5,0),12,8)</f>
        <v>17:06:41</v>
      </c>
      <c r="BB62" t="str">
        <f t="shared" si="16"/>
        <v>2024-11-13 17:06:41</v>
      </c>
      <c r="BC62" t="e">
        <f t="shared" si="17"/>
        <v>#VALUE!</v>
      </c>
    </row>
    <row r="63" spans="1:55" x14ac:dyDescent="0.25">
      <c r="A63" t="str">
        <f>Fechas_Estado!A62</f>
        <v>ESPC360-13113</v>
      </c>
      <c r="B63" t="str">
        <f>LEFT(VLOOKUP(A63,Fechas_Estado!A:AE,2,0),10)</f>
        <v>2024-11-12</v>
      </c>
      <c r="C63" t="str">
        <f>MID(VLOOKUP(A63, Fechas_Estado!A:AE,2,0),12,8)</f>
        <v>11:42:59</v>
      </c>
      <c r="D63" t="str">
        <f t="shared" si="0"/>
        <v>2024-11-12 11:42:59</v>
      </c>
      <c r="E63" t="str">
        <f>LEFT(VLOOKUP(A63, Fechas_Estado!A:AE,19,0),10)</f>
        <v/>
      </c>
      <c r="F63" t="str">
        <f>MID(VLOOKUP(A63, Fechas_Estado!A:AE,19,0),12,8)</f>
        <v/>
      </c>
      <c r="G63" t="str">
        <f t="shared" si="1"/>
        <v xml:space="preserve"> </v>
      </c>
      <c r="H63" t="str">
        <f>LEFT(VLOOKUP(A63, Fechas_Estado!A:AE,20,0),10)</f>
        <v/>
      </c>
      <c r="I63" t="str">
        <f>MID(VLOOKUP(A63, Fechas_Estado!A:AE,20,0),12,8)</f>
        <v/>
      </c>
      <c r="J63" t="str">
        <f t="shared" si="2"/>
        <v xml:space="preserve"> </v>
      </c>
      <c r="K63" t="str">
        <f>LEFT(VLOOKUP(A63, Fechas_Estado!A:AE,21,0),10)</f>
        <v/>
      </c>
      <c r="L63" t="str">
        <f>MID(VLOOKUP(A63, Fechas_Estado!A:AE,21,0),12,8)</f>
        <v/>
      </c>
      <c r="M63" t="str">
        <f t="shared" si="3"/>
        <v xml:space="preserve"> </v>
      </c>
      <c r="N63" t="str">
        <f>LEFT(VLOOKUP(A63, Fechas_Estado!A:AE,22,0),10)</f>
        <v/>
      </c>
      <c r="O63" t="str">
        <f>MID(VLOOKUP(A63, Fechas_Estado!A:AE,22,0),12,8)</f>
        <v/>
      </c>
      <c r="P63" t="str">
        <f t="shared" si="4"/>
        <v xml:space="preserve"> </v>
      </c>
      <c r="Q63" t="str">
        <f>LEFT(VLOOKUP(A63, Fechas_Estado!A:AE,23,0),10)</f>
        <v/>
      </c>
      <c r="R63" t="str">
        <f>MID(VLOOKUP(A63, Fechas_Estado!A:AE,23,0),12,8)</f>
        <v/>
      </c>
      <c r="S63" t="str">
        <f t="shared" si="5"/>
        <v xml:space="preserve"> </v>
      </c>
      <c r="T63" t="str">
        <f>LEFT(VLOOKUP(A63, Fechas_Estado!A:AE,24,0),10)</f>
        <v/>
      </c>
      <c r="U63" t="str">
        <f>MID(VLOOKUP(A63, Fechas_Estado!A:AE,24,0),12,8)</f>
        <v/>
      </c>
      <c r="V63" t="str">
        <f t="shared" si="6"/>
        <v xml:space="preserve"> </v>
      </c>
      <c r="W63" t="str">
        <f>LEFT(VLOOKUP(A63, Fechas_Estado!A:AE,25,0),10)</f>
        <v>2024-11-12</v>
      </c>
      <c r="X63" t="str">
        <f>MID(VLOOKUP(A63, Fechas_Estado!A:AE,25,0),12,8)</f>
        <v>11:43:10</v>
      </c>
      <c r="Y63" t="str">
        <f t="shared" si="7"/>
        <v>2024-11-12 11:43:10</v>
      </c>
      <c r="Z63" t="str">
        <f>LEFT(VLOOKUP(A63, Fechas_Estado!A:AE,26,0),10)</f>
        <v/>
      </c>
      <c r="AA63" t="str">
        <f>MID(VLOOKUP(A63, Fechas_Estado!A:AE,26,0),12,8)</f>
        <v/>
      </c>
      <c r="AB63" t="str">
        <f t="shared" si="8"/>
        <v xml:space="preserve"> </v>
      </c>
      <c r="AC63" t="str">
        <f>LEFT(VLOOKUP(A63, Fechas_Estado!A:AE,27,0),10)</f>
        <v/>
      </c>
      <c r="AD63" t="str">
        <f>MID(VLOOKUP(A63, Fechas_Estado!A:AE,27,0),12,8)</f>
        <v/>
      </c>
      <c r="AE63" t="str">
        <f t="shared" si="9"/>
        <v xml:space="preserve"> </v>
      </c>
      <c r="AF63" t="str">
        <f>LEFT(VLOOKUP(A63, Fechas_Estado!A:AF,28,0),10)</f>
        <v/>
      </c>
      <c r="AG63" t="str">
        <f>MID(VLOOKUP(A63, Fechas_Estado!A:AF,28,0),12,8)</f>
        <v/>
      </c>
      <c r="AH63" t="str">
        <f t="shared" si="10"/>
        <v xml:space="preserve"> </v>
      </c>
      <c r="AI63" t="str">
        <f>LEFT(VLOOKUP(A63, Fechas_Estado!A:AF,16,0),10)</f>
        <v/>
      </c>
      <c r="AJ63" t="str">
        <f>MID(VLOOKUP(A63, Fechas_Estado!A:AF,16,0),12,8)</f>
        <v/>
      </c>
      <c r="AK63" t="str">
        <f t="shared" si="11"/>
        <v xml:space="preserve"> </v>
      </c>
      <c r="AL63" t="e">
        <f t="shared" si="18"/>
        <v>#VALUE!</v>
      </c>
      <c r="AM63" t="str">
        <f>LEFT(VLOOKUP(A63, Fechas_Estado!A:AE,8,0),10)</f>
        <v/>
      </c>
      <c r="AN63" t="str">
        <f>MID(VLOOKUP(A63, Fechas_Estado!A:AE,8,0),12,8)</f>
        <v/>
      </c>
      <c r="AO63" t="str">
        <f t="shared" si="12"/>
        <v xml:space="preserve"> </v>
      </c>
      <c r="AP63" t="str">
        <f>LEFT(VLOOKUP(A63, Fechas_Estado!A:AE,7,0),10)</f>
        <v/>
      </c>
      <c r="AQ63" t="str">
        <f>MID(VLOOKUP(A63, Fechas_Estado!A:AE,7,0),12,8)</f>
        <v/>
      </c>
      <c r="AR63" t="str">
        <f t="shared" si="13"/>
        <v xml:space="preserve"> </v>
      </c>
      <c r="AS63" t="str">
        <f>LEFT(VLOOKUP(A63, Fechas_Estado!A:AE,10,0),10)</f>
        <v/>
      </c>
      <c r="AT63" t="str">
        <f>MID(VLOOKUP(A63, Fechas_Estado!A:AE,10,0),12,8)</f>
        <v/>
      </c>
      <c r="AU63" t="str">
        <f t="shared" si="14"/>
        <v xml:space="preserve"> </v>
      </c>
      <c r="AV63" t="str">
        <f>LEFT(VLOOKUP(A63, Fechas_Estado!A:AE,17,0),10)</f>
        <v/>
      </c>
      <c r="AW63" t="str">
        <f>MID(VLOOKUP(A63, Fechas_Estado!A:AE,17,0),12,8)</f>
        <v/>
      </c>
      <c r="AX63" t="str">
        <f t="shared" si="15"/>
        <v xml:space="preserve"> </v>
      </c>
      <c r="AY63" t="e">
        <f t="shared" si="19"/>
        <v>#VALUE!</v>
      </c>
      <c r="AZ63" t="str">
        <f>LEFT(VLOOKUP(A63, Fechas_Estado!A:AE,5,0),10)</f>
        <v/>
      </c>
      <c r="BA63" t="str">
        <f>MID(VLOOKUP(A63, Fechas_Estado!A:AE,5,0),12,8)</f>
        <v/>
      </c>
      <c r="BB63" t="str">
        <f t="shared" si="16"/>
        <v xml:space="preserve"> </v>
      </c>
      <c r="BC63" t="e">
        <f t="shared" si="17"/>
        <v>#VALUE!</v>
      </c>
    </row>
    <row r="64" spans="1:55" x14ac:dyDescent="0.25">
      <c r="A64" t="str">
        <f>Fechas_Estado!A63</f>
        <v>ESPC360-13114</v>
      </c>
      <c r="B64" t="str">
        <f>LEFT(VLOOKUP(A64,Fechas_Estado!A:AE,2,0),10)</f>
        <v>2024-11-12</v>
      </c>
      <c r="C64" t="str">
        <f>MID(VLOOKUP(A64, Fechas_Estado!A:AE,2,0),12,8)</f>
        <v>11:43:46</v>
      </c>
      <c r="D64" t="str">
        <f t="shared" si="0"/>
        <v>2024-11-12 11:43:46</v>
      </c>
      <c r="E64" t="str">
        <f>LEFT(VLOOKUP(A64, Fechas_Estado!A:AE,19,0),10)</f>
        <v/>
      </c>
      <c r="F64" t="str">
        <f>MID(VLOOKUP(A64, Fechas_Estado!A:AE,19,0),12,8)</f>
        <v/>
      </c>
      <c r="G64" t="str">
        <f t="shared" si="1"/>
        <v xml:space="preserve"> </v>
      </c>
      <c r="H64" t="str">
        <f>LEFT(VLOOKUP(A64, Fechas_Estado!A:AE,20,0),10)</f>
        <v/>
      </c>
      <c r="I64" t="str">
        <f>MID(VLOOKUP(A64, Fechas_Estado!A:AE,20,0),12,8)</f>
        <v/>
      </c>
      <c r="J64" t="str">
        <f t="shared" si="2"/>
        <v xml:space="preserve"> </v>
      </c>
      <c r="K64" t="str">
        <f>LEFT(VLOOKUP(A64, Fechas_Estado!A:AE,21,0),10)</f>
        <v/>
      </c>
      <c r="L64" t="str">
        <f>MID(VLOOKUP(A64, Fechas_Estado!A:AE,21,0),12,8)</f>
        <v/>
      </c>
      <c r="M64" t="str">
        <f t="shared" si="3"/>
        <v xml:space="preserve"> </v>
      </c>
      <c r="N64" t="str">
        <f>LEFT(VLOOKUP(A64, Fechas_Estado!A:AE,22,0),10)</f>
        <v/>
      </c>
      <c r="O64" t="str">
        <f>MID(VLOOKUP(A64, Fechas_Estado!A:AE,22,0),12,8)</f>
        <v/>
      </c>
      <c r="P64" t="str">
        <f t="shared" si="4"/>
        <v xml:space="preserve"> </v>
      </c>
      <c r="Q64" t="str">
        <f>LEFT(VLOOKUP(A64, Fechas_Estado!A:AE,23,0),10)</f>
        <v/>
      </c>
      <c r="R64" t="str">
        <f>MID(VLOOKUP(A64, Fechas_Estado!A:AE,23,0),12,8)</f>
        <v/>
      </c>
      <c r="S64" t="str">
        <f t="shared" si="5"/>
        <v xml:space="preserve"> </v>
      </c>
      <c r="T64" t="str">
        <f>LEFT(VLOOKUP(A64, Fechas_Estado!A:AE,24,0),10)</f>
        <v/>
      </c>
      <c r="U64" t="str">
        <f>MID(VLOOKUP(A64, Fechas_Estado!A:AE,24,0),12,8)</f>
        <v/>
      </c>
      <c r="V64" t="str">
        <f t="shared" si="6"/>
        <v xml:space="preserve"> </v>
      </c>
      <c r="W64" t="str">
        <f>LEFT(VLOOKUP(A64, Fechas_Estado!A:AE,25,0),10)</f>
        <v>2024-11-12</v>
      </c>
      <c r="X64" t="str">
        <f>MID(VLOOKUP(A64, Fechas_Estado!A:AE,25,0),12,8)</f>
        <v>11:43:58</v>
      </c>
      <c r="Y64" t="str">
        <f t="shared" si="7"/>
        <v>2024-11-12 11:43:58</v>
      </c>
      <c r="Z64" t="str">
        <f>LEFT(VLOOKUP(A64, Fechas_Estado!A:AE,26,0),10)</f>
        <v>2024-11-12</v>
      </c>
      <c r="AA64" t="str">
        <f>MID(VLOOKUP(A64, Fechas_Estado!A:AE,26,0),12,8)</f>
        <v>17:39:17</v>
      </c>
      <c r="AB64" t="str">
        <f t="shared" si="8"/>
        <v>2024-11-12 17:39:17</v>
      </c>
      <c r="AC64" t="str">
        <f>LEFT(VLOOKUP(A64, Fechas_Estado!A:AE,27,0),10)</f>
        <v/>
      </c>
      <c r="AD64" t="str">
        <f>MID(VLOOKUP(A64, Fechas_Estado!A:AE,27,0),12,8)</f>
        <v/>
      </c>
      <c r="AE64" t="str">
        <f t="shared" si="9"/>
        <v xml:space="preserve"> </v>
      </c>
      <c r="AF64" t="str">
        <f>LEFT(VLOOKUP(A64, Fechas_Estado!A:AF,28,0),10)</f>
        <v/>
      </c>
      <c r="AG64" t="str">
        <f>MID(VLOOKUP(A64, Fechas_Estado!A:AF,28,0),12,8)</f>
        <v/>
      </c>
      <c r="AH64" t="str">
        <f t="shared" si="10"/>
        <v xml:space="preserve"> </v>
      </c>
      <c r="AI64" t="str">
        <f>LEFT(VLOOKUP(A64, Fechas_Estado!A:AF,16,0),10)</f>
        <v/>
      </c>
      <c r="AJ64" t="str">
        <f>MID(VLOOKUP(A64, Fechas_Estado!A:AF,16,0),12,8)</f>
        <v/>
      </c>
      <c r="AK64" t="str">
        <f t="shared" si="11"/>
        <v xml:space="preserve"> </v>
      </c>
      <c r="AL64" t="e">
        <f t="shared" si="18"/>
        <v>#VALUE!</v>
      </c>
      <c r="AM64" t="str">
        <f>LEFT(VLOOKUP(A64, Fechas_Estado!A:AE,8,0),10)</f>
        <v/>
      </c>
      <c r="AN64" t="str">
        <f>MID(VLOOKUP(A64, Fechas_Estado!A:AE,8,0),12,8)</f>
        <v/>
      </c>
      <c r="AO64" t="str">
        <f t="shared" si="12"/>
        <v xml:space="preserve"> </v>
      </c>
      <c r="AP64" t="str">
        <f>LEFT(VLOOKUP(A64, Fechas_Estado!A:AE,7,0),10)</f>
        <v/>
      </c>
      <c r="AQ64" t="str">
        <f>MID(VLOOKUP(A64, Fechas_Estado!A:AE,7,0),12,8)</f>
        <v/>
      </c>
      <c r="AR64" t="str">
        <f t="shared" si="13"/>
        <v xml:space="preserve"> </v>
      </c>
      <c r="AS64" t="str">
        <f>LEFT(VLOOKUP(A64, Fechas_Estado!A:AE,10,0),10)</f>
        <v/>
      </c>
      <c r="AT64" t="str">
        <f>MID(VLOOKUP(A64, Fechas_Estado!A:AE,10,0),12,8)</f>
        <v/>
      </c>
      <c r="AU64" t="str">
        <f t="shared" si="14"/>
        <v xml:space="preserve"> </v>
      </c>
      <c r="AV64" t="str">
        <f>LEFT(VLOOKUP(A64, Fechas_Estado!A:AE,17,0),10)</f>
        <v/>
      </c>
      <c r="AW64" t="str">
        <f>MID(VLOOKUP(A64, Fechas_Estado!A:AE,17,0),12,8)</f>
        <v/>
      </c>
      <c r="AX64" t="str">
        <f t="shared" si="15"/>
        <v xml:space="preserve"> </v>
      </c>
      <c r="AY64" t="e">
        <f t="shared" si="19"/>
        <v>#VALUE!</v>
      </c>
      <c r="AZ64" t="str">
        <f>LEFT(VLOOKUP(A64, Fechas_Estado!A:AE,5,0),10)</f>
        <v/>
      </c>
      <c r="BA64" t="str">
        <f>MID(VLOOKUP(A64, Fechas_Estado!A:AE,5,0),12,8)</f>
        <v/>
      </c>
      <c r="BB64" t="str">
        <f t="shared" si="16"/>
        <v xml:space="preserve"> </v>
      </c>
      <c r="BC64" t="e">
        <f t="shared" si="17"/>
        <v>#VALUE!</v>
      </c>
    </row>
    <row r="65" spans="1:55" x14ac:dyDescent="0.25">
      <c r="A65" t="str">
        <f>Fechas_Estado!A64</f>
        <v>ESPC360-13131</v>
      </c>
      <c r="B65" t="str">
        <f>LEFT(VLOOKUP(A65,Fechas_Estado!A:AE,2,0),10)</f>
        <v>2024-11-13</v>
      </c>
      <c r="C65" t="str">
        <f>MID(VLOOKUP(A65, Fechas_Estado!A:AE,2,0),12,8)</f>
        <v>13:11:21</v>
      </c>
      <c r="D65" t="str">
        <f t="shared" si="0"/>
        <v>2024-11-13 13:11:21</v>
      </c>
      <c r="E65" t="str">
        <f>LEFT(VLOOKUP(A65, Fechas_Estado!A:AE,19,0),10)</f>
        <v>2024-11-21</v>
      </c>
      <c r="F65" t="str">
        <f>MID(VLOOKUP(A65, Fechas_Estado!A:AE,19,0),12,8)</f>
        <v>15:16:17</v>
      </c>
      <c r="G65" t="str">
        <f t="shared" si="1"/>
        <v>2024-11-21 15:16:17</v>
      </c>
      <c r="H65" t="str">
        <f>LEFT(VLOOKUP(A65, Fechas_Estado!A:AE,20,0),10)</f>
        <v/>
      </c>
      <c r="I65" t="str">
        <f>MID(VLOOKUP(A65, Fechas_Estado!A:AE,20,0),12,8)</f>
        <v/>
      </c>
      <c r="J65" t="str">
        <f t="shared" si="2"/>
        <v xml:space="preserve"> </v>
      </c>
      <c r="K65" t="str">
        <f>LEFT(VLOOKUP(A65, Fechas_Estado!A:AE,21,0),10)</f>
        <v/>
      </c>
      <c r="L65" t="str">
        <f>MID(VLOOKUP(A65, Fechas_Estado!A:AE,21,0),12,8)</f>
        <v/>
      </c>
      <c r="M65" t="str">
        <f t="shared" si="3"/>
        <v xml:space="preserve"> </v>
      </c>
      <c r="N65" t="str">
        <f>LEFT(VLOOKUP(A65, Fechas_Estado!A:AE,22,0),10)</f>
        <v/>
      </c>
      <c r="O65" t="str">
        <f>MID(VLOOKUP(A65, Fechas_Estado!A:AE,22,0),12,8)</f>
        <v/>
      </c>
      <c r="P65" t="str">
        <f t="shared" si="4"/>
        <v xml:space="preserve"> </v>
      </c>
      <c r="Q65" t="str">
        <f>LEFT(VLOOKUP(A65, Fechas_Estado!A:AE,23,0),10)</f>
        <v/>
      </c>
      <c r="R65" t="str">
        <f>MID(VLOOKUP(A65, Fechas_Estado!A:AE,23,0),12,8)</f>
        <v/>
      </c>
      <c r="S65" t="str">
        <f t="shared" si="5"/>
        <v xml:space="preserve"> </v>
      </c>
      <c r="T65" t="str">
        <f>LEFT(VLOOKUP(A65, Fechas_Estado!A:AE,24,0),10)</f>
        <v/>
      </c>
      <c r="U65" t="str">
        <f>MID(VLOOKUP(A65, Fechas_Estado!A:AE,24,0),12,8)</f>
        <v/>
      </c>
      <c r="V65" t="str">
        <f t="shared" si="6"/>
        <v xml:space="preserve"> </v>
      </c>
      <c r="W65" t="str">
        <f>LEFT(VLOOKUP(A65, Fechas_Estado!A:AE,25,0),10)</f>
        <v>2024-11-25</v>
      </c>
      <c r="X65" t="str">
        <f>MID(VLOOKUP(A65, Fechas_Estado!A:AE,25,0),12,8)</f>
        <v>09:53:01</v>
      </c>
      <c r="Y65" t="str">
        <f t="shared" si="7"/>
        <v>2024-11-25 09:53:01</v>
      </c>
      <c r="Z65" t="str">
        <f>LEFT(VLOOKUP(A65, Fechas_Estado!A:AE,26,0),10)</f>
        <v>2024-11-27</v>
      </c>
      <c r="AA65" t="str">
        <f>MID(VLOOKUP(A65, Fechas_Estado!A:AE,26,0),12,8)</f>
        <v>13:57:20</v>
      </c>
      <c r="AB65" t="str">
        <f t="shared" si="8"/>
        <v>2024-11-27 13:57:20</v>
      </c>
      <c r="AC65" t="str">
        <f>LEFT(VLOOKUP(A65, Fechas_Estado!A:AE,27,0),10)</f>
        <v>2024-12-03</v>
      </c>
      <c r="AD65" t="str">
        <f>MID(VLOOKUP(A65, Fechas_Estado!A:AE,27,0),12,8)</f>
        <v>09:17:15</v>
      </c>
      <c r="AE65" t="str">
        <f t="shared" si="9"/>
        <v>2024-12-03 09:17:15</v>
      </c>
      <c r="AF65" t="str">
        <f>LEFT(VLOOKUP(A65, Fechas_Estado!A:AF,28,0),10)</f>
        <v/>
      </c>
      <c r="AG65" t="str">
        <f>MID(VLOOKUP(A65, Fechas_Estado!A:AF,28,0),12,8)</f>
        <v/>
      </c>
      <c r="AH65" t="str">
        <f t="shared" si="10"/>
        <v xml:space="preserve"> </v>
      </c>
      <c r="AI65" t="str">
        <f>LEFT(VLOOKUP(A65, Fechas_Estado!A:AF,16,0),10)</f>
        <v>2024-12-04</v>
      </c>
      <c r="AJ65" t="str">
        <f>MID(VLOOKUP(A65, Fechas_Estado!A:AF,16,0),12,8)</f>
        <v>10:44:57</v>
      </c>
      <c r="AK65" t="str">
        <f t="shared" si="11"/>
        <v>2024-12-04 10:44:57</v>
      </c>
      <c r="AL65">
        <f t="shared" si="18"/>
        <v>20.898333333330811</v>
      </c>
      <c r="AM65" t="str">
        <f>LEFT(VLOOKUP(A65, Fechas_Estado!A:AE,8,0),10)</f>
        <v>2024-12-16</v>
      </c>
      <c r="AN65" t="str">
        <f>MID(VLOOKUP(A65, Fechas_Estado!A:AE,8,0),12,8)</f>
        <v>09:20:50</v>
      </c>
      <c r="AO65" t="str">
        <f t="shared" si="12"/>
        <v>2024-12-16 09:20:50</v>
      </c>
      <c r="AP65" t="str">
        <f>LEFT(VLOOKUP(A65, Fechas_Estado!A:AE,7,0),10)</f>
        <v>2024-12-16</v>
      </c>
      <c r="AQ65" t="str">
        <f>MID(VLOOKUP(A65, Fechas_Estado!A:AE,7,0),12,8)</f>
        <v>14:08:35</v>
      </c>
      <c r="AR65" t="str">
        <f t="shared" si="13"/>
        <v>2024-12-16 14:08:35</v>
      </c>
      <c r="AS65" t="str">
        <f>LEFT(VLOOKUP(A65, Fechas_Estado!A:AE,10,0),10)</f>
        <v/>
      </c>
      <c r="AT65" t="str">
        <f>MID(VLOOKUP(A65, Fechas_Estado!A:AE,10,0),12,8)</f>
        <v/>
      </c>
      <c r="AU65" t="str">
        <f t="shared" si="14"/>
        <v xml:space="preserve"> </v>
      </c>
      <c r="AV65" t="str">
        <f>LEFT(VLOOKUP(A65, Fechas_Estado!A:AE,17,0),10)</f>
        <v/>
      </c>
      <c r="AW65" t="str">
        <f>MID(VLOOKUP(A65, Fechas_Estado!A:AE,17,0),12,8)</f>
        <v/>
      </c>
      <c r="AX65" t="str">
        <f t="shared" si="15"/>
        <v xml:space="preserve"> </v>
      </c>
      <c r="AY65" t="e">
        <f t="shared" si="19"/>
        <v>#VALUE!</v>
      </c>
      <c r="AZ65" t="str">
        <f>LEFT(VLOOKUP(A65, Fechas_Estado!A:AE,5,0),10)</f>
        <v/>
      </c>
      <c r="BA65" t="str">
        <f>MID(VLOOKUP(A65, Fechas_Estado!A:AE,5,0),12,8)</f>
        <v/>
      </c>
      <c r="BB65" t="str">
        <f t="shared" si="16"/>
        <v xml:space="preserve"> </v>
      </c>
      <c r="BC65" t="e">
        <f t="shared" si="17"/>
        <v>#VALUE!</v>
      </c>
    </row>
    <row r="66" spans="1:55" x14ac:dyDescent="0.25">
      <c r="A66" t="str">
        <f>Fechas_Estado!A65</f>
        <v>ESPC360-13164</v>
      </c>
      <c r="B66" t="str">
        <f>LEFT(VLOOKUP(A66,Fechas_Estado!A:AE,2,0),10)</f>
        <v>2024-11-14</v>
      </c>
      <c r="C66" t="str">
        <f>MID(VLOOKUP(A66, Fechas_Estado!A:AE,2,0),12,8)</f>
        <v>11:08:32</v>
      </c>
      <c r="D66" t="str">
        <f t="shared" si="0"/>
        <v>2024-11-14 11:08:32</v>
      </c>
      <c r="E66" t="str">
        <f>LEFT(VLOOKUP(A66, Fechas_Estado!A:AE,19,0),10)</f>
        <v/>
      </c>
      <c r="F66" t="str">
        <f>MID(VLOOKUP(A66, Fechas_Estado!A:AE,19,0),12,8)</f>
        <v/>
      </c>
      <c r="G66" t="str">
        <f t="shared" si="1"/>
        <v xml:space="preserve"> </v>
      </c>
      <c r="H66" t="str">
        <f>LEFT(VLOOKUP(A66, Fechas_Estado!A:AE,20,0),10)</f>
        <v/>
      </c>
      <c r="I66" t="str">
        <f>MID(VLOOKUP(A66, Fechas_Estado!A:AE,20,0),12,8)</f>
        <v/>
      </c>
      <c r="J66" t="str">
        <f t="shared" si="2"/>
        <v xml:space="preserve"> </v>
      </c>
      <c r="K66" t="str">
        <f>LEFT(VLOOKUP(A66, Fechas_Estado!A:AE,21,0),10)</f>
        <v/>
      </c>
      <c r="L66" t="str">
        <f>MID(VLOOKUP(A66, Fechas_Estado!A:AE,21,0),12,8)</f>
        <v/>
      </c>
      <c r="M66" t="str">
        <f t="shared" si="3"/>
        <v xml:space="preserve"> </v>
      </c>
      <c r="N66" t="str">
        <f>LEFT(VLOOKUP(A66, Fechas_Estado!A:AE,22,0),10)</f>
        <v/>
      </c>
      <c r="O66" t="str">
        <f>MID(VLOOKUP(A66, Fechas_Estado!A:AE,22,0),12,8)</f>
        <v/>
      </c>
      <c r="P66" t="str">
        <f t="shared" si="4"/>
        <v xml:space="preserve"> </v>
      </c>
      <c r="Q66" t="str">
        <f>LEFT(VLOOKUP(A66, Fechas_Estado!A:AE,23,0),10)</f>
        <v/>
      </c>
      <c r="R66" t="str">
        <f>MID(VLOOKUP(A66, Fechas_Estado!A:AE,23,0),12,8)</f>
        <v/>
      </c>
      <c r="S66" t="str">
        <f t="shared" si="5"/>
        <v xml:space="preserve"> </v>
      </c>
      <c r="T66" t="str">
        <f>LEFT(VLOOKUP(A66, Fechas_Estado!A:AE,24,0),10)</f>
        <v/>
      </c>
      <c r="U66" t="str">
        <f>MID(VLOOKUP(A66, Fechas_Estado!A:AE,24,0),12,8)</f>
        <v/>
      </c>
      <c r="V66" t="str">
        <f t="shared" si="6"/>
        <v xml:space="preserve"> </v>
      </c>
      <c r="W66" t="str">
        <f>LEFT(VLOOKUP(A66, Fechas_Estado!A:AE,25,0),10)</f>
        <v>2024-11-14</v>
      </c>
      <c r="X66" t="str">
        <f>MID(VLOOKUP(A66, Fechas_Estado!A:AE,25,0),12,8)</f>
        <v>11:08:44</v>
      </c>
      <c r="Y66" t="str">
        <f t="shared" si="7"/>
        <v>2024-11-14 11:08:44</v>
      </c>
      <c r="Z66" t="str">
        <f>LEFT(VLOOKUP(A66, Fechas_Estado!A:AE,26,0),10)</f>
        <v>2024-11-18</v>
      </c>
      <c r="AA66" t="str">
        <f>MID(VLOOKUP(A66, Fechas_Estado!A:AE,26,0),12,8)</f>
        <v>17:34:25</v>
      </c>
      <c r="AB66" t="str">
        <f t="shared" si="8"/>
        <v>2024-11-18 17:34:25</v>
      </c>
      <c r="AC66" t="str">
        <f>LEFT(VLOOKUP(A66, Fechas_Estado!A:AE,27,0),10)</f>
        <v>2024-11-19</v>
      </c>
      <c r="AD66" t="str">
        <f>MID(VLOOKUP(A66, Fechas_Estado!A:AE,27,0),12,8)</f>
        <v>13:40:40</v>
      </c>
      <c r="AE66" t="str">
        <f t="shared" si="9"/>
        <v>2024-11-19 13:40:40</v>
      </c>
      <c r="AF66" t="str">
        <f>LEFT(VLOOKUP(A66, Fechas_Estado!A:AF,28,0),10)</f>
        <v/>
      </c>
      <c r="AG66" t="str">
        <f>MID(VLOOKUP(A66, Fechas_Estado!A:AF,28,0),12,8)</f>
        <v/>
      </c>
      <c r="AH66" t="str">
        <f t="shared" si="10"/>
        <v xml:space="preserve"> </v>
      </c>
      <c r="AI66" t="str">
        <f>LEFT(VLOOKUP(A66, Fechas_Estado!A:AF,16,0),10)</f>
        <v/>
      </c>
      <c r="AJ66" t="str">
        <f>MID(VLOOKUP(A66, Fechas_Estado!A:AF,16,0),12,8)</f>
        <v/>
      </c>
      <c r="AK66" t="str">
        <f t="shared" si="11"/>
        <v xml:space="preserve"> </v>
      </c>
      <c r="AL66" t="e">
        <f t="shared" si="18"/>
        <v>#VALUE!</v>
      </c>
      <c r="AM66" t="str">
        <f>LEFT(VLOOKUP(A66, Fechas_Estado!A:AE,8,0),10)</f>
        <v/>
      </c>
      <c r="AN66" t="str">
        <f>MID(VLOOKUP(A66, Fechas_Estado!A:AE,8,0),12,8)</f>
        <v/>
      </c>
      <c r="AO66" t="str">
        <f t="shared" si="12"/>
        <v xml:space="preserve"> </v>
      </c>
      <c r="AP66" t="str">
        <f>LEFT(VLOOKUP(A66, Fechas_Estado!A:AE,7,0),10)</f>
        <v/>
      </c>
      <c r="AQ66" t="str">
        <f>MID(VLOOKUP(A66, Fechas_Estado!A:AE,7,0),12,8)</f>
        <v/>
      </c>
      <c r="AR66" t="str">
        <f t="shared" si="13"/>
        <v xml:space="preserve"> </v>
      </c>
      <c r="AS66" t="str">
        <f>LEFT(VLOOKUP(A66, Fechas_Estado!A:AE,10,0),10)</f>
        <v/>
      </c>
      <c r="AT66" t="str">
        <f>MID(VLOOKUP(A66, Fechas_Estado!A:AE,10,0),12,8)</f>
        <v/>
      </c>
      <c r="AU66" t="str">
        <f t="shared" si="14"/>
        <v xml:space="preserve"> </v>
      </c>
      <c r="AV66" t="str">
        <f>LEFT(VLOOKUP(A66, Fechas_Estado!A:AE,17,0),10)</f>
        <v/>
      </c>
      <c r="AW66" t="str">
        <f>MID(VLOOKUP(A66, Fechas_Estado!A:AE,17,0),12,8)</f>
        <v/>
      </c>
      <c r="AX66" t="str">
        <f t="shared" si="15"/>
        <v xml:space="preserve"> </v>
      </c>
      <c r="AY66" t="e">
        <f t="shared" si="19"/>
        <v>#VALUE!</v>
      </c>
      <c r="AZ66" t="str">
        <f>LEFT(VLOOKUP(A66, Fechas_Estado!A:AE,5,0),10)</f>
        <v>2024-11-20</v>
      </c>
      <c r="BA66" t="str">
        <f>MID(VLOOKUP(A66, Fechas_Estado!A:AE,5,0),12,8)</f>
        <v>12:58:29</v>
      </c>
      <c r="BB66" t="str">
        <f t="shared" si="16"/>
        <v>2024-11-20 12:58:29</v>
      </c>
      <c r="BC66" t="e">
        <f t="shared" si="17"/>
        <v>#VALUE!</v>
      </c>
    </row>
    <row r="67" spans="1:55" x14ac:dyDescent="0.25">
      <c r="A67" t="str">
        <f>Fechas_Estado!A66</f>
        <v>ESPC360-13286</v>
      </c>
      <c r="B67" t="str">
        <f>LEFT(VLOOKUP(A67,Fechas_Estado!A:AE,2,0),10)</f>
        <v>2024-11-14</v>
      </c>
      <c r="C67" t="str">
        <f>MID(VLOOKUP(A67, Fechas_Estado!A:AE,2,0),12,8)</f>
        <v>15:44:29</v>
      </c>
      <c r="D67" t="str">
        <f t="shared" si="0"/>
        <v>2024-11-14 15:44:29</v>
      </c>
      <c r="E67" t="str">
        <f>LEFT(VLOOKUP(A67, Fechas_Estado!A:AE,19,0),10)</f>
        <v/>
      </c>
      <c r="F67" t="str">
        <f>MID(VLOOKUP(A67, Fechas_Estado!A:AE,19,0),12,8)</f>
        <v/>
      </c>
      <c r="G67" t="str">
        <f t="shared" si="1"/>
        <v xml:space="preserve"> </v>
      </c>
      <c r="H67" t="str">
        <f>LEFT(VLOOKUP(A67, Fechas_Estado!A:AE,20,0),10)</f>
        <v/>
      </c>
      <c r="I67" t="str">
        <f>MID(VLOOKUP(A67, Fechas_Estado!A:AE,20,0),12,8)</f>
        <v/>
      </c>
      <c r="J67" t="str">
        <f t="shared" si="2"/>
        <v xml:space="preserve"> </v>
      </c>
      <c r="K67" t="str">
        <f>LEFT(VLOOKUP(A67, Fechas_Estado!A:AE,21,0),10)</f>
        <v/>
      </c>
      <c r="L67" t="str">
        <f>MID(VLOOKUP(A67, Fechas_Estado!A:AE,21,0),12,8)</f>
        <v/>
      </c>
      <c r="M67" t="str">
        <f t="shared" si="3"/>
        <v xml:space="preserve"> </v>
      </c>
      <c r="N67" t="str">
        <f>LEFT(VLOOKUP(A67, Fechas_Estado!A:AE,22,0),10)</f>
        <v/>
      </c>
      <c r="O67" t="str">
        <f>MID(VLOOKUP(A67, Fechas_Estado!A:AE,22,0),12,8)</f>
        <v/>
      </c>
      <c r="P67" t="str">
        <f t="shared" si="4"/>
        <v xml:space="preserve"> </v>
      </c>
      <c r="Q67" t="str">
        <f>LEFT(VLOOKUP(A67, Fechas_Estado!A:AE,23,0),10)</f>
        <v/>
      </c>
      <c r="R67" t="str">
        <f>MID(VLOOKUP(A67, Fechas_Estado!A:AE,23,0),12,8)</f>
        <v/>
      </c>
      <c r="S67" t="str">
        <f t="shared" si="5"/>
        <v xml:space="preserve"> </v>
      </c>
      <c r="T67" t="str">
        <f>LEFT(VLOOKUP(A67, Fechas_Estado!A:AE,24,0),10)</f>
        <v/>
      </c>
      <c r="U67" t="str">
        <f>MID(VLOOKUP(A67, Fechas_Estado!A:AE,24,0),12,8)</f>
        <v/>
      </c>
      <c r="V67" t="str">
        <f t="shared" si="6"/>
        <v xml:space="preserve"> </v>
      </c>
      <c r="W67" t="str">
        <f>LEFT(VLOOKUP(A67, Fechas_Estado!A:AE,25,0),10)</f>
        <v>2024-11-14</v>
      </c>
      <c r="X67" t="str">
        <f>MID(VLOOKUP(A67, Fechas_Estado!A:AE,25,0),12,8)</f>
        <v>15:44:42</v>
      </c>
      <c r="Y67" t="str">
        <f t="shared" si="7"/>
        <v>2024-11-14 15:44:42</v>
      </c>
      <c r="Z67" t="str">
        <f>LEFT(VLOOKUP(A67, Fechas_Estado!A:AE,26,0),10)</f>
        <v>2024-11-18</v>
      </c>
      <c r="AA67" t="str">
        <f>MID(VLOOKUP(A67, Fechas_Estado!A:AE,26,0),12,8)</f>
        <v>17:34:37</v>
      </c>
      <c r="AB67" t="str">
        <f t="shared" si="8"/>
        <v>2024-11-18 17:34:37</v>
      </c>
      <c r="AC67" t="str">
        <f>LEFT(VLOOKUP(A67, Fechas_Estado!A:AE,27,0),10)</f>
        <v>2024-11-20</v>
      </c>
      <c r="AD67" t="str">
        <f>MID(VLOOKUP(A67, Fechas_Estado!A:AE,27,0),12,8)</f>
        <v>17:13:18</v>
      </c>
      <c r="AE67" t="str">
        <f t="shared" si="9"/>
        <v>2024-11-20 17:13:18</v>
      </c>
      <c r="AF67" t="str">
        <f>LEFT(VLOOKUP(A67, Fechas_Estado!A:AF,28,0),10)</f>
        <v/>
      </c>
      <c r="AG67" t="str">
        <f>MID(VLOOKUP(A67, Fechas_Estado!A:AF,28,0),12,8)</f>
        <v/>
      </c>
      <c r="AH67" t="str">
        <f t="shared" si="10"/>
        <v xml:space="preserve"> </v>
      </c>
      <c r="AI67" t="str">
        <f>LEFT(VLOOKUP(A67, Fechas_Estado!A:AF,16,0),10)</f>
        <v>2024-11-21</v>
      </c>
      <c r="AJ67" t="str">
        <f>MID(VLOOKUP(A67, Fechas_Estado!A:AF,16,0),12,8)</f>
        <v>15:21:33</v>
      </c>
      <c r="AK67" t="str">
        <f t="shared" si="11"/>
        <v>2024-11-21 15:21:33</v>
      </c>
      <c r="AL67">
        <f t="shared" si="18"/>
        <v>6.9840740740692127</v>
      </c>
      <c r="AM67" t="str">
        <f>LEFT(VLOOKUP(A67, Fechas_Estado!A:AE,8,0),10)</f>
        <v>2024-11-21</v>
      </c>
      <c r="AN67" t="str">
        <f>MID(VLOOKUP(A67, Fechas_Estado!A:AE,8,0),12,8)</f>
        <v>15:21:37</v>
      </c>
      <c r="AO67" t="str">
        <f t="shared" si="12"/>
        <v>2024-11-21 15:21:37</v>
      </c>
      <c r="AP67" t="str">
        <f>LEFT(VLOOKUP(A67, Fechas_Estado!A:AE,7,0),10)</f>
        <v/>
      </c>
      <c r="AQ67" t="str">
        <f>MID(VLOOKUP(A67, Fechas_Estado!A:AE,7,0),12,8)</f>
        <v/>
      </c>
      <c r="AR67" t="str">
        <f t="shared" si="13"/>
        <v xml:space="preserve"> </v>
      </c>
      <c r="AS67" t="str">
        <f>LEFT(VLOOKUP(A67, Fechas_Estado!A:AE,10,0),10)</f>
        <v/>
      </c>
      <c r="AT67" t="str">
        <f>MID(VLOOKUP(A67, Fechas_Estado!A:AE,10,0),12,8)</f>
        <v/>
      </c>
      <c r="AU67" t="str">
        <f t="shared" si="14"/>
        <v xml:space="preserve"> </v>
      </c>
      <c r="AV67" t="str">
        <f>LEFT(VLOOKUP(A67, Fechas_Estado!A:AE,17,0),10)</f>
        <v/>
      </c>
      <c r="AW67" t="str">
        <f>MID(VLOOKUP(A67, Fechas_Estado!A:AE,17,0),12,8)</f>
        <v/>
      </c>
      <c r="AX67" t="str">
        <f t="shared" si="15"/>
        <v xml:space="preserve"> </v>
      </c>
      <c r="AY67" t="e">
        <f t="shared" si="19"/>
        <v>#VALUE!</v>
      </c>
      <c r="AZ67" t="str">
        <f>LEFT(VLOOKUP(A67, Fechas_Estado!A:AE,5,0),10)</f>
        <v>2024-11-28</v>
      </c>
      <c r="BA67" t="str">
        <f>MID(VLOOKUP(A67, Fechas_Estado!A:AE,5,0),12,8)</f>
        <v>15:19:16</v>
      </c>
      <c r="BB67" t="str">
        <f t="shared" si="16"/>
        <v>2024-11-28 15:19:16</v>
      </c>
      <c r="BC67" t="e">
        <f t="shared" si="17"/>
        <v>#VALUE!</v>
      </c>
    </row>
    <row r="68" spans="1:55" x14ac:dyDescent="0.25">
      <c r="A68" t="str">
        <f>Fechas_Estado!A67</f>
        <v>ESPC360-13288</v>
      </c>
      <c r="B68" t="str">
        <f>LEFT(VLOOKUP(A68,Fechas_Estado!A:AE,2,0),10)</f>
        <v>2024-11-14</v>
      </c>
      <c r="C68" t="str">
        <f>MID(VLOOKUP(A68, Fechas_Estado!A:AE,2,0),12,8)</f>
        <v>16:18:09</v>
      </c>
      <c r="D68" t="str">
        <f t="shared" ref="D68:D131" si="20">_xlfn.CONCAT(B68," ",C68)</f>
        <v>2024-11-14 16:18:09</v>
      </c>
      <c r="E68" t="str">
        <f>LEFT(VLOOKUP(A68, Fechas_Estado!A:AE,19,0),10)</f>
        <v/>
      </c>
      <c r="F68" t="str">
        <f>MID(VLOOKUP(A68, Fechas_Estado!A:AE,19,0),12,8)</f>
        <v/>
      </c>
      <c r="G68" t="str">
        <f t="shared" ref="G68:G131" si="21">_xlfn.CONCAT(E68," ",F68)</f>
        <v xml:space="preserve"> </v>
      </c>
      <c r="H68" t="str">
        <f>LEFT(VLOOKUP(A68, Fechas_Estado!A:AE,20,0),10)</f>
        <v/>
      </c>
      <c r="I68" t="str">
        <f>MID(VLOOKUP(A68, Fechas_Estado!A:AE,20,0),12,8)</f>
        <v/>
      </c>
      <c r="J68" t="str">
        <f t="shared" ref="J68:J131" si="22">_xlfn.CONCAT(H68," ",I68)</f>
        <v xml:space="preserve"> </v>
      </c>
      <c r="K68" t="str">
        <f>LEFT(VLOOKUP(A68, Fechas_Estado!A:AE,21,0),10)</f>
        <v/>
      </c>
      <c r="L68" t="str">
        <f>MID(VLOOKUP(A68, Fechas_Estado!A:AE,21,0),12,8)</f>
        <v/>
      </c>
      <c r="M68" t="str">
        <f t="shared" ref="M68:M131" si="23">_xlfn.CONCAT(K68," ",L68)</f>
        <v xml:space="preserve"> </v>
      </c>
      <c r="N68" t="str">
        <f>LEFT(VLOOKUP(A68, Fechas_Estado!A:AE,22,0),10)</f>
        <v/>
      </c>
      <c r="O68" t="str">
        <f>MID(VLOOKUP(A68, Fechas_Estado!A:AE,22,0),12,8)</f>
        <v/>
      </c>
      <c r="P68" t="str">
        <f t="shared" ref="P68:P131" si="24">_xlfn.CONCAT(N68," ",O68)</f>
        <v xml:space="preserve"> </v>
      </c>
      <c r="Q68" t="str">
        <f>LEFT(VLOOKUP(A68, Fechas_Estado!A:AE,23,0),10)</f>
        <v/>
      </c>
      <c r="R68" t="str">
        <f>MID(VLOOKUP(A68, Fechas_Estado!A:AE,23,0),12,8)</f>
        <v/>
      </c>
      <c r="S68" t="str">
        <f t="shared" ref="S68:S131" si="25">_xlfn.CONCAT(Q68," ",R68)</f>
        <v xml:space="preserve"> </v>
      </c>
      <c r="T68" t="str">
        <f>LEFT(VLOOKUP(A68, Fechas_Estado!A:AE,24,0),10)</f>
        <v/>
      </c>
      <c r="U68" t="str">
        <f>MID(VLOOKUP(A68, Fechas_Estado!A:AE,24,0),12,8)</f>
        <v/>
      </c>
      <c r="V68" t="str">
        <f t="shared" ref="V68:V131" si="26">_xlfn.CONCAT(T68," ",U68)</f>
        <v xml:space="preserve"> </v>
      </c>
      <c r="W68" t="str">
        <f>LEFT(VLOOKUP(A68, Fechas_Estado!A:AE,25,0),10)</f>
        <v>2024-11-26</v>
      </c>
      <c r="X68" t="str">
        <f>MID(VLOOKUP(A68, Fechas_Estado!A:AE,25,0),12,8)</f>
        <v>08:16:49</v>
      </c>
      <c r="Y68" t="str">
        <f t="shared" ref="Y68:Y131" si="27">_xlfn.CONCAT(W68," ",X68)</f>
        <v>2024-11-26 08:16:49</v>
      </c>
      <c r="Z68" t="str">
        <f>LEFT(VLOOKUP(A68, Fechas_Estado!A:AE,26,0),10)</f>
        <v>2024-11-27</v>
      </c>
      <c r="AA68" t="str">
        <f>MID(VLOOKUP(A68, Fechas_Estado!A:AE,26,0),12,8)</f>
        <v>16:00:43</v>
      </c>
      <c r="AB68" t="str">
        <f t="shared" ref="AB68:AB131" si="28">_xlfn.CONCAT(Z68," ",AA68)</f>
        <v>2024-11-27 16:00:43</v>
      </c>
      <c r="AC68" t="str">
        <f>LEFT(VLOOKUP(A68, Fechas_Estado!A:AE,27,0),10)</f>
        <v>2024-11-28</v>
      </c>
      <c r="AD68" t="str">
        <f>MID(VLOOKUP(A68, Fechas_Estado!A:AE,27,0),12,8)</f>
        <v>14:03:59</v>
      </c>
      <c r="AE68" t="str">
        <f t="shared" ref="AE68:AE131" si="29">_xlfn.CONCAT(AC68," ",AD68)</f>
        <v>2024-11-28 14:03:59</v>
      </c>
      <c r="AF68" t="str">
        <f>LEFT(VLOOKUP(A68, Fechas_Estado!A:AF,28,0),10)</f>
        <v>2024-11-28</v>
      </c>
      <c r="AG68" t="str">
        <f>MID(VLOOKUP(A68, Fechas_Estado!A:AF,28,0),12,8)</f>
        <v>15:01:30</v>
      </c>
      <c r="AH68" t="str">
        <f t="shared" ref="AH68:AH131" si="30">_xlfn.CONCAT(AF68," ",AG68)</f>
        <v>2024-11-28 15:01:30</v>
      </c>
      <c r="AI68" t="str">
        <f>LEFT(VLOOKUP(A68, Fechas_Estado!A:AF,16,0),10)</f>
        <v/>
      </c>
      <c r="AJ68" t="str">
        <f>MID(VLOOKUP(A68, Fechas_Estado!A:AF,16,0),12,8)</f>
        <v/>
      </c>
      <c r="AK68" t="str">
        <f t="shared" ref="AK68:AK131" si="31">_xlfn.CONCAT(AI68," ",AJ68)</f>
        <v xml:space="preserve"> </v>
      </c>
      <c r="AL68" t="e">
        <f t="shared" ref="AL68:AL131" si="32">AK68-D68</f>
        <v>#VALUE!</v>
      </c>
      <c r="AM68" t="str">
        <f>LEFT(VLOOKUP(A68, Fechas_Estado!A:AE,8,0),10)</f>
        <v/>
      </c>
      <c r="AN68" t="str">
        <f>MID(VLOOKUP(A68, Fechas_Estado!A:AE,8,0),12,8)</f>
        <v/>
      </c>
      <c r="AO68" t="str">
        <f t="shared" ref="AO68:AO131" si="33">_xlfn.CONCAT(AM68," ",AN68)</f>
        <v xml:space="preserve"> </v>
      </c>
      <c r="AP68" t="str">
        <f>LEFT(VLOOKUP(A68, Fechas_Estado!A:AE,7,0),10)</f>
        <v/>
      </c>
      <c r="AQ68" t="str">
        <f>MID(VLOOKUP(A68, Fechas_Estado!A:AE,7,0),12,8)</f>
        <v/>
      </c>
      <c r="AR68" t="str">
        <f t="shared" ref="AR68:AR131" si="34">_xlfn.CONCAT(AP68," ",AQ68)</f>
        <v xml:space="preserve"> </v>
      </c>
      <c r="AS68" t="str">
        <f>LEFT(VLOOKUP(A68, Fechas_Estado!A:AE,10,0),10)</f>
        <v/>
      </c>
      <c r="AT68" t="str">
        <f>MID(VLOOKUP(A68, Fechas_Estado!A:AE,10,0),12,8)</f>
        <v/>
      </c>
      <c r="AU68" t="str">
        <f t="shared" ref="AU68:AU131" si="35">_xlfn.CONCAT(AS68," ",AT68)</f>
        <v xml:space="preserve"> </v>
      </c>
      <c r="AV68" t="str">
        <f>LEFT(VLOOKUP(A68, Fechas_Estado!A:AE,17,0),10)</f>
        <v/>
      </c>
      <c r="AW68" t="str">
        <f>MID(VLOOKUP(A68, Fechas_Estado!A:AE,17,0),12,8)</f>
        <v/>
      </c>
      <c r="AX68" t="str">
        <f t="shared" ref="AX68:AX131" si="36">_xlfn.CONCAT(AV68," ",AW68)</f>
        <v xml:space="preserve"> </v>
      </c>
      <c r="AY68" t="e">
        <f t="shared" ref="AY68:AY131" si="37">AX68-AO68</f>
        <v>#VALUE!</v>
      </c>
      <c r="AZ68" t="str">
        <f>LEFT(VLOOKUP(A68, Fechas_Estado!A:AE,5,0),10)</f>
        <v>2024-12-05</v>
      </c>
      <c r="BA68" t="str">
        <f>MID(VLOOKUP(A68, Fechas_Estado!A:AE,5,0),12,8)</f>
        <v>09:55:04</v>
      </c>
      <c r="BB68" t="str">
        <f t="shared" ref="BB68:BB131" si="38">_xlfn.CONCAT(AZ68," ",BA68)</f>
        <v>2024-12-05 09:55:04</v>
      </c>
      <c r="BC68" t="e">
        <f t="shared" ref="BC68:BC131" si="39">BB68-AX68</f>
        <v>#VALUE!</v>
      </c>
    </row>
    <row r="69" spans="1:55" x14ac:dyDescent="0.25">
      <c r="A69" t="str">
        <f>Fechas_Estado!A68</f>
        <v>ESPC360-13291</v>
      </c>
      <c r="B69" t="str">
        <f>LEFT(VLOOKUP(A69,Fechas_Estado!A:AE,2,0),10)</f>
        <v>2024-11-14</v>
      </c>
      <c r="C69" t="str">
        <f>MID(VLOOKUP(A69, Fechas_Estado!A:AE,2,0),12,8)</f>
        <v>18:20:51</v>
      </c>
      <c r="D69" t="str">
        <f t="shared" si="20"/>
        <v>2024-11-14 18:20:51</v>
      </c>
      <c r="E69" t="str">
        <f>LEFT(VLOOKUP(A69, Fechas_Estado!A:AE,19,0),10)</f>
        <v/>
      </c>
      <c r="F69" t="str">
        <f>MID(VLOOKUP(A69, Fechas_Estado!A:AE,19,0),12,8)</f>
        <v/>
      </c>
      <c r="G69" t="str">
        <f t="shared" si="21"/>
        <v xml:space="preserve"> </v>
      </c>
      <c r="H69" t="str">
        <f>LEFT(VLOOKUP(A69, Fechas_Estado!A:AE,20,0),10)</f>
        <v/>
      </c>
      <c r="I69" t="str">
        <f>MID(VLOOKUP(A69, Fechas_Estado!A:AE,20,0),12,8)</f>
        <v/>
      </c>
      <c r="J69" t="str">
        <f t="shared" si="22"/>
        <v xml:space="preserve"> </v>
      </c>
      <c r="K69" t="str">
        <f>LEFT(VLOOKUP(A69, Fechas_Estado!A:AE,21,0),10)</f>
        <v/>
      </c>
      <c r="L69" t="str">
        <f>MID(VLOOKUP(A69, Fechas_Estado!A:AE,21,0),12,8)</f>
        <v/>
      </c>
      <c r="M69" t="str">
        <f t="shared" si="23"/>
        <v xml:space="preserve"> </v>
      </c>
      <c r="N69" t="str">
        <f>LEFT(VLOOKUP(A69, Fechas_Estado!A:AE,22,0),10)</f>
        <v/>
      </c>
      <c r="O69" t="str">
        <f>MID(VLOOKUP(A69, Fechas_Estado!A:AE,22,0),12,8)</f>
        <v/>
      </c>
      <c r="P69" t="str">
        <f t="shared" si="24"/>
        <v xml:space="preserve"> </v>
      </c>
      <c r="Q69" t="str">
        <f>LEFT(VLOOKUP(A69, Fechas_Estado!A:AE,23,0),10)</f>
        <v/>
      </c>
      <c r="R69" t="str">
        <f>MID(VLOOKUP(A69, Fechas_Estado!A:AE,23,0),12,8)</f>
        <v/>
      </c>
      <c r="S69" t="str">
        <f t="shared" si="25"/>
        <v xml:space="preserve"> </v>
      </c>
      <c r="T69" t="str">
        <f>LEFT(VLOOKUP(A69, Fechas_Estado!A:AE,24,0),10)</f>
        <v/>
      </c>
      <c r="U69" t="str">
        <f>MID(VLOOKUP(A69, Fechas_Estado!A:AE,24,0),12,8)</f>
        <v/>
      </c>
      <c r="V69" t="str">
        <f t="shared" si="26"/>
        <v xml:space="preserve"> </v>
      </c>
      <c r="W69" t="str">
        <f>LEFT(VLOOKUP(A69, Fechas_Estado!A:AE,25,0),10)</f>
        <v>2024-11-14</v>
      </c>
      <c r="X69" t="str">
        <f>MID(VLOOKUP(A69, Fechas_Estado!A:AE,25,0),12,8)</f>
        <v>18:21:03</v>
      </c>
      <c r="Y69" t="str">
        <f t="shared" si="27"/>
        <v>2024-11-14 18:21:03</v>
      </c>
      <c r="Z69" t="str">
        <f>LEFT(VLOOKUP(A69, Fechas_Estado!A:AE,26,0),10)</f>
        <v>2024-11-28</v>
      </c>
      <c r="AA69" t="str">
        <f>MID(VLOOKUP(A69, Fechas_Estado!A:AE,26,0),12,8)</f>
        <v>15:24:47</v>
      </c>
      <c r="AB69" t="str">
        <f t="shared" si="28"/>
        <v>2024-11-28 15:24:47</v>
      </c>
      <c r="AC69" t="str">
        <f>LEFT(VLOOKUP(A69, Fechas_Estado!A:AE,27,0),10)</f>
        <v/>
      </c>
      <c r="AD69" t="str">
        <f>MID(VLOOKUP(A69, Fechas_Estado!A:AE,27,0),12,8)</f>
        <v/>
      </c>
      <c r="AE69" t="str">
        <f t="shared" si="29"/>
        <v xml:space="preserve"> </v>
      </c>
      <c r="AF69" t="str">
        <f>LEFT(VLOOKUP(A69, Fechas_Estado!A:AF,28,0),10)</f>
        <v/>
      </c>
      <c r="AG69" t="str">
        <f>MID(VLOOKUP(A69, Fechas_Estado!A:AF,28,0),12,8)</f>
        <v/>
      </c>
      <c r="AH69" t="str">
        <f t="shared" si="30"/>
        <v xml:space="preserve"> </v>
      </c>
      <c r="AI69" t="str">
        <f>LEFT(VLOOKUP(A69, Fechas_Estado!A:AF,16,0),10)</f>
        <v/>
      </c>
      <c r="AJ69" t="str">
        <f>MID(VLOOKUP(A69, Fechas_Estado!A:AF,16,0),12,8)</f>
        <v/>
      </c>
      <c r="AK69" t="str">
        <f t="shared" si="31"/>
        <v xml:space="preserve"> </v>
      </c>
      <c r="AL69" t="e">
        <f t="shared" si="32"/>
        <v>#VALUE!</v>
      </c>
      <c r="AM69" t="str">
        <f>LEFT(VLOOKUP(A69, Fechas_Estado!A:AE,8,0),10)</f>
        <v/>
      </c>
      <c r="AN69" t="str">
        <f>MID(VLOOKUP(A69, Fechas_Estado!A:AE,8,0),12,8)</f>
        <v/>
      </c>
      <c r="AO69" t="str">
        <f t="shared" si="33"/>
        <v xml:space="preserve"> </v>
      </c>
      <c r="AP69" t="str">
        <f>LEFT(VLOOKUP(A69, Fechas_Estado!A:AE,7,0),10)</f>
        <v/>
      </c>
      <c r="AQ69" t="str">
        <f>MID(VLOOKUP(A69, Fechas_Estado!A:AE,7,0),12,8)</f>
        <v/>
      </c>
      <c r="AR69" t="str">
        <f t="shared" si="34"/>
        <v xml:space="preserve"> </v>
      </c>
      <c r="AS69" t="str">
        <f>LEFT(VLOOKUP(A69, Fechas_Estado!A:AE,10,0),10)</f>
        <v/>
      </c>
      <c r="AT69" t="str">
        <f>MID(VLOOKUP(A69, Fechas_Estado!A:AE,10,0),12,8)</f>
        <v/>
      </c>
      <c r="AU69" t="str">
        <f t="shared" si="35"/>
        <v xml:space="preserve"> </v>
      </c>
      <c r="AV69" t="str">
        <f>LEFT(VLOOKUP(A69, Fechas_Estado!A:AE,17,0),10)</f>
        <v/>
      </c>
      <c r="AW69" t="str">
        <f>MID(VLOOKUP(A69, Fechas_Estado!A:AE,17,0),12,8)</f>
        <v/>
      </c>
      <c r="AX69" t="str">
        <f t="shared" si="36"/>
        <v xml:space="preserve"> </v>
      </c>
      <c r="AY69" t="e">
        <f t="shared" si="37"/>
        <v>#VALUE!</v>
      </c>
      <c r="AZ69" t="str">
        <f>LEFT(VLOOKUP(A69, Fechas_Estado!A:AE,5,0),10)</f>
        <v/>
      </c>
      <c r="BA69" t="str">
        <f>MID(VLOOKUP(A69, Fechas_Estado!A:AE,5,0),12,8)</f>
        <v/>
      </c>
      <c r="BB69" t="str">
        <f t="shared" si="38"/>
        <v xml:space="preserve"> </v>
      </c>
      <c r="BC69" t="e">
        <f t="shared" si="39"/>
        <v>#VALUE!</v>
      </c>
    </row>
    <row r="70" spans="1:55" x14ac:dyDescent="0.25">
      <c r="A70" t="str">
        <f>Fechas_Estado!A69</f>
        <v>ESPC360-13309</v>
      </c>
      <c r="B70" t="str">
        <f>LEFT(VLOOKUP(A70,Fechas_Estado!A:AE,2,0),10)</f>
        <v>2024-11-18</v>
      </c>
      <c r="C70" t="str">
        <f>MID(VLOOKUP(A70, Fechas_Estado!A:AE,2,0),12,8)</f>
        <v>11:30:07</v>
      </c>
      <c r="D70" t="str">
        <f t="shared" si="20"/>
        <v>2024-11-18 11:30:07</v>
      </c>
      <c r="E70" t="str">
        <f>LEFT(VLOOKUP(A70, Fechas_Estado!A:AE,19,0),10)</f>
        <v/>
      </c>
      <c r="F70" t="str">
        <f>MID(VLOOKUP(A70, Fechas_Estado!A:AE,19,0),12,8)</f>
        <v/>
      </c>
      <c r="G70" t="str">
        <f t="shared" si="21"/>
        <v xml:space="preserve"> </v>
      </c>
      <c r="H70" t="str">
        <f>LEFT(VLOOKUP(A70, Fechas_Estado!A:AE,20,0),10)</f>
        <v/>
      </c>
      <c r="I70" t="str">
        <f>MID(VLOOKUP(A70, Fechas_Estado!A:AE,20,0),12,8)</f>
        <v/>
      </c>
      <c r="J70" t="str">
        <f t="shared" si="22"/>
        <v xml:space="preserve"> </v>
      </c>
      <c r="K70" t="str">
        <f>LEFT(VLOOKUP(A70, Fechas_Estado!A:AE,21,0),10)</f>
        <v/>
      </c>
      <c r="L70" t="str">
        <f>MID(VLOOKUP(A70, Fechas_Estado!A:AE,21,0),12,8)</f>
        <v/>
      </c>
      <c r="M70" t="str">
        <f t="shared" si="23"/>
        <v xml:space="preserve"> </v>
      </c>
      <c r="N70" t="str">
        <f>LEFT(VLOOKUP(A70, Fechas_Estado!A:AE,22,0),10)</f>
        <v/>
      </c>
      <c r="O70" t="str">
        <f>MID(VLOOKUP(A70, Fechas_Estado!A:AE,22,0),12,8)</f>
        <v/>
      </c>
      <c r="P70" t="str">
        <f t="shared" si="24"/>
        <v xml:space="preserve"> </v>
      </c>
      <c r="Q70" t="str">
        <f>LEFT(VLOOKUP(A70, Fechas_Estado!A:AE,23,0),10)</f>
        <v>2024-12-05</v>
      </c>
      <c r="R70" t="str">
        <f>MID(VLOOKUP(A70, Fechas_Estado!A:AE,23,0),12,8)</f>
        <v>09:58:44</v>
      </c>
      <c r="S70" t="str">
        <f t="shared" si="25"/>
        <v>2024-12-05 09:58:44</v>
      </c>
      <c r="T70" t="str">
        <f>LEFT(VLOOKUP(A70, Fechas_Estado!A:AE,24,0),10)</f>
        <v>2024-12-05</v>
      </c>
      <c r="U70" t="str">
        <f>MID(VLOOKUP(A70, Fechas_Estado!A:AE,24,0),12,8)</f>
        <v>09:58:40</v>
      </c>
      <c r="V70" t="str">
        <f t="shared" si="26"/>
        <v>2024-12-05 09:58:40</v>
      </c>
      <c r="W70" t="str">
        <f>LEFT(VLOOKUP(A70, Fechas_Estado!A:AE,25,0),10)</f>
        <v>2024-12-04</v>
      </c>
      <c r="X70" t="str">
        <f>MID(VLOOKUP(A70, Fechas_Estado!A:AE,25,0),12,8)</f>
        <v>16:11:22</v>
      </c>
      <c r="Y70" t="str">
        <f t="shared" si="27"/>
        <v>2024-12-04 16:11:22</v>
      </c>
      <c r="Z70" t="str">
        <f>LEFT(VLOOKUP(A70, Fechas_Estado!A:AE,26,0),10)</f>
        <v>2024-11-28</v>
      </c>
      <c r="AA70" t="str">
        <f>MID(VLOOKUP(A70, Fechas_Estado!A:AE,26,0),12,8)</f>
        <v>15:23:30</v>
      </c>
      <c r="AB70" t="str">
        <f t="shared" si="28"/>
        <v>2024-11-28 15:23:30</v>
      </c>
      <c r="AC70" t="str">
        <f>LEFT(VLOOKUP(A70, Fechas_Estado!A:AE,27,0),10)</f>
        <v>2024-11-27</v>
      </c>
      <c r="AD70" t="str">
        <f>MID(VLOOKUP(A70, Fechas_Estado!A:AE,27,0),12,8)</f>
        <v>15:57:49</v>
      </c>
      <c r="AE70" t="str">
        <f t="shared" si="29"/>
        <v>2024-11-27 15:57:49</v>
      </c>
      <c r="AF70" t="str">
        <f>LEFT(VLOOKUP(A70, Fechas_Estado!A:AF,28,0),10)</f>
        <v/>
      </c>
      <c r="AG70" t="str">
        <f>MID(VLOOKUP(A70, Fechas_Estado!A:AF,28,0),12,8)</f>
        <v/>
      </c>
      <c r="AH70" t="str">
        <f t="shared" si="30"/>
        <v xml:space="preserve"> </v>
      </c>
      <c r="AI70" t="str">
        <f>LEFT(VLOOKUP(A70, Fechas_Estado!A:AF,16,0),10)</f>
        <v/>
      </c>
      <c r="AJ70" t="str">
        <f>MID(VLOOKUP(A70, Fechas_Estado!A:AF,16,0),12,8)</f>
        <v/>
      </c>
      <c r="AK70" t="str">
        <f t="shared" si="31"/>
        <v xml:space="preserve"> </v>
      </c>
      <c r="AL70" t="e">
        <f t="shared" si="32"/>
        <v>#VALUE!</v>
      </c>
      <c r="AM70" t="str">
        <f>LEFT(VLOOKUP(A70, Fechas_Estado!A:AE,8,0),10)</f>
        <v/>
      </c>
      <c r="AN70" t="str">
        <f>MID(VLOOKUP(A70, Fechas_Estado!A:AE,8,0),12,8)</f>
        <v/>
      </c>
      <c r="AO70" t="str">
        <f t="shared" si="33"/>
        <v xml:space="preserve"> </v>
      </c>
      <c r="AP70" t="str">
        <f>LEFT(VLOOKUP(A70, Fechas_Estado!A:AE,7,0),10)</f>
        <v/>
      </c>
      <c r="AQ70" t="str">
        <f>MID(VLOOKUP(A70, Fechas_Estado!A:AE,7,0),12,8)</f>
        <v/>
      </c>
      <c r="AR70" t="str">
        <f t="shared" si="34"/>
        <v xml:space="preserve"> </v>
      </c>
      <c r="AS70" t="str">
        <f>LEFT(VLOOKUP(A70, Fechas_Estado!A:AE,10,0),10)</f>
        <v/>
      </c>
      <c r="AT70" t="str">
        <f>MID(VLOOKUP(A70, Fechas_Estado!A:AE,10,0),12,8)</f>
        <v/>
      </c>
      <c r="AU70" t="str">
        <f t="shared" si="35"/>
        <v xml:space="preserve"> </v>
      </c>
      <c r="AV70" t="str">
        <f>LEFT(VLOOKUP(A70, Fechas_Estado!A:AE,17,0),10)</f>
        <v/>
      </c>
      <c r="AW70" t="str">
        <f>MID(VLOOKUP(A70, Fechas_Estado!A:AE,17,0),12,8)</f>
        <v/>
      </c>
      <c r="AX70" t="str">
        <f t="shared" si="36"/>
        <v xml:space="preserve"> </v>
      </c>
      <c r="AY70" t="e">
        <f t="shared" si="37"/>
        <v>#VALUE!</v>
      </c>
      <c r="AZ70" t="str">
        <f>LEFT(VLOOKUP(A70, Fechas_Estado!A:AE,5,0),10)</f>
        <v/>
      </c>
      <c r="BA70" t="str">
        <f>MID(VLOOKUP(A70, Fechas_Estado!A:AE,5,0),12,8)</f>
        <v/>
      </c>
      <c r="BB70" t="str">
        <f t="shared" si="38"/>
        <v xml:space="preserve"> </v>
      </c>
      <c r="BC70" t="e">
        <f t="shared" si="39"/>
        <v>#VALUE!</v>
      </c>
    </row>
    <row r="71" spans="1:55" x14ac:dyDescent="0.25">
      <c r="A71" t="str">
        <f>Fechas_Estado!A70</f>
        <v>ESPC360-13363</v>
      </c>
      <c r="B71" t="str">
        <f>LEFT(VLOOKUP(A71,Fechas_Estado!A:AE,2,0),10)</f>
        <v>2024-11-19</v>
      </c>
      <c r="C71" t="str">
        <f>MID(VLOOKUP(A71, Fechas_Estado!A:AE,2,0),12,8)</f>
        <v>10:11:03</v>
      </c>
      <c r="D71" t="str">
        <f t="shared" si="20"/>
        <v>2024-11-19 10:11:03</v>
      </c>
      <c r="E71" t="str">
        <f>LEFT(VLOOKUP(A71, Fechas_Estado!A:AE,19,0),10)</f>
        <v/>
      </c>
      <c r="F71" t="str">
        <f>MID(VLOOKUP(A71, Fechas_Estado!A:AE,19,0),12,8)</f>
        <v/>
      </c>
      <c r="G71" t="str">
        <f t="shared" si="21"/>
        <v xml:space="preserve"> </v>
      </c>
      <c r="H71" t="str">
        <f>LEFT(VLOOKUP(A71, Fechas_Estado!A:AE,20,0),10)</f>
        <v/>
      </c>
      <c r="I71" t="str">
        <f>MID(VLOOKUP(A71, Fechas_Estado!A:AE,20,0),12,8)</f>
        <v/>
      </c>
      <c r="J71" t="str">
        <f t="shared" si="22"/>
        <v xml:space="preserve"> </v>
      </c>
      <c r="K71" t="str">
        <f>LEFT(VLOOKUP(A71, Fechas_Estado!A:AE,21,0),10)</f>
        <v/>
      </c>
      <c r="L71" t="str">
        <f>MID(VLOOKUP(A71, Fechas_Estado!A:AE,21,0),12,8)</f>
        <v/>
      </c>
      <c r="M71" t="str">
        <f t="shared" si="23"/>
        <v xml:space="preserve"> </v>
      </c>
      <c r="N71" t="str">
        <f>LEFT(VLOOKUP(A71, Fechas_Estado!A:AE,22,0),10)</f>
        <v/>
      </c>
      <c r="O71" t="str">
        <f>MID(VLOOKUP(A71, Fechas_Estado!A:AE,22,0),12,8)</f>
        <v/>
      </c>
      <c r="P71" t="str">
        <f t="shared" si="24"/>
        <v xml:space="preserve"> </v>
      </c>
      <c r="Q71" t="str">
        <f>LEFT(VLOOKUP(A71, Fechas_Estado!A:AE,23,0),10)</f>
        <v/>
      </c>
      <c r="R71" t="str">
        <f>MID(VLOOKUP(A71, Fechas_Estado!A:AE,23,0),12,8)</f>
        <v/>
      </c>
      <c r="S71" t="str">
        <f t="shared" si="25"/>
        <v xml:space="preserve"> </v>
      </c>
      <c r="T71" t="str">
        <f>LEFT(VLOOKUP(A71, Fechas_Estado!A:AE,24,0),10)</f>
        <v/>
      </c>
      <c r="U71" t="str">
        <f>MID(VLOOKUP(A71, Fechas_Estado!A:AE,24,0),12,8)</f>
        <v/>
      </c>
      <c r="V71" t="str">
        <f t="shared" si="26"/>
        <v xml:space="preserve"> </v>
      </c>
      <c r="W71" t="str">
        <f>LEFT(VLOOKUP(A71, Fechas_Estado!A:AE,25,0),10)</f>
        <v>2024-12-05</v>
      </c>
      <c r="X71" t="str">
        <f>MID(VLOOKUP(A71, Fechas_Estado!A:AE,25,0),12,8)</f>
        <v>09:45:06</v>
      </c>
      <c r="Y71" t="str">
        <f t="shared" si="27"/>
        <v>2024-12-05 09:45:06</v>
      </c>
      <c r="Z71" t="str">
        <f>LEFT(VLOOKUP(A71, Fechas_Estado!A:AE,26,0),10)</f>
        <v>2024-12-05</v>
      </c>
      <c r="AA71" t="str">
        <f>MID(VLOOKUP(A71, Fechas_Estado!A:AE,26,0),12,8)</f>
        <v>09:45:15</v>
      </c>
      <c r="AB71" t="str">
        <f t="shared" si="28"/>
        <v>2024-12-05 09:45:15</v>
      </c>
      <c r="AC71" t="str">
        <f>LEFT(VLOOKUP(A71, Fechas_Estado!A:AE,27,0),10)</f>
        <v>2024-12-05</v>
      </c>
      <c r="AD71" t="str">
        <f>MID(VLOOKUP(A71, Fechas_Estado!A:AE,27,0),12,8)</f>
        <v>09:45:20</v>
      </c>
      <c r="AE71" t="str">
        <f t="shared" si="29"/>
        <v>2024-12-05 09:45:20</v>
      </c>
      <c r="AF71" t="str">
        <f>LEFT(VLOOKUP(A71, Fechas_Estado!A:AF,28,0),10)</f>
        <v/>
      </c>
      <c r="AG71" t="str">
        <f>MID(VLOOKUP(A71, Fechas_Estado!A:AF,28,0),12,8)</f>
        <v/>
      </c>
      <c r="AH71" t="str">
        <f t="shared" si="30"/>
        <v xml:space="preserve"> </v>
      </c>
      <c r="AI71" t="str">
        <f>LEFT(VLOOKUP(A71, Fechas_Estado!A:AF,16,0),10)</f>
        <v/>
      </c>
      <c r="AJ71" t="str">
        <f>MID(VLOOKUP(A71, Fechas_Estado!A:AF,16,0),12,8)</f>
        <v/>
      </c>
      <c r="AK71" t="str">
        <f t="shared" si="31"/>
        <v xml:space="preserve"> </v>
      </c>
      <c r="AL71" t="e">
        <f t="shared" si="32"/>
        <v>#VALUE!</v>
      </c>
      <c r="AM71" t="str">
        <f>LEFT(VLOOKUP(A71, Fechas_Estado!A:AE,8,0),10)</f>
        <v/>
      </c>
      <c r="AN71" t="str">
        <f>MID(VLOOKUP(A71, Fechas_Estado!A:AE,8,0),12,8)</f>
        <v/>
      </c>
      <c r="AO71" t="str">
        <f t="shared" si="33"/>
        <v xml:space="preserve"> </v>
      </c>
      <c r="AP71" t="str">
        <f>LEFT(VLOOKUP(A71, Fechas_Estado!A:AE,7,0),10)</f>
        <v/>
      </c>
      <c r="AQ71" t="str">
        <f>MID(VLOOKUP(A71, Fechas_Estado!A:AE,7,0),12,8)</f>
        <v/>
      </c>
      <c r="AR71" t="str">
        <f t="shared" si="34"/>
        <v xml:space="preserve"> </v>
      </c>
      <c r="AS71" t="str">
        <f>LEFT(VLOOKUP(A71, Fechas_Estado!A:AE,10,0),10)</f>
        <v/>
      </c>
      <c r="AT71" t="str">
        <f>MID(VLOOKUP(A71, Fechas_Estado!A:AE,10,0),12,8)</f>
        <v/>
      </c>
      <c r="AU71" t="str">
        <f t="shared" si="35"/>
        <v xml:space="preserve"> </v>
      </c>
      <c r="AV71" t="str">
        <f>LEFT(VLOOKUP(A71, Fechas_Estado!A:AE,17,0),10)</f>
        <v/>
      </c>
      <c r="AW71" t="str">
        <f>MID(VLOOKUP(A71, Fechas_Estado!A:AE,17,0),12,8)</f>
        <v/>
      </c>
      <c r="AX71" t="str">
        <f t="shared" si="36"/>
        <v xml:space="preserve"> </v>
      </c>
      <c r="AY71" t="e">
        <f t="shared" si="37"/>
        <v>#VALUE!</v>
      </c>
      <c r="AZ71" t="str">
        <f>LEFT(VLOOKUP(A71, Fechas_Estado!A:AE,5,0),10)</f>
        <v/>
      </c>
      <c r="BA71" t="str">
        <f>MID(VLOOKUP(A71, Fechas_Estado!A:AE,5,0),12,8)</f>
        <v/>
      </c>
      <c r="BB71" t="str">
        <f t="shared" si="38"/>
        <v xml:space="preserve"> </v>
      </c>
      <c r="BC71" t="e">
        <f t="shared" si="39"/>
        <v>#VALUE!</v>
      </c>
    </row>
    <row r="72" spans="1:55" x14ac:dyDescent="0.25">
      <c r="A72" t="str">
        <f>Fechas_Estado!A71</f>
        <v>ESPC360-13372</v>
      </c>
      <c r="B72" t="str">
        <f>LEFT(VLOOKUP(A72,Fechas_Estado!A:AE,2,0),10)</f>
        <v>2024-11-19</v>
      </c>
      <c r="C72" t="str">
        <f>MID(VLOOKUP(A72, Fechas_Estado!A:AE,2,0),12,8)</f>
        <v>14:54:45</v>
      </c>
      <c r="D72" t="str">
        <f t="shared" si="20"/>
        <v>2024-11-19 14:54:45</v>
      </c>
      <c r="E72" t="str">
        <f>LEFT(VLOOKUP(A72, Fechas_Estado!A:AE,19,0),10)</f>
        <v>2024-11-19</v>
      </c>
      <c r="F72" t="str">
        <f>MID(VLOOKUP(A72, Fechas_Estado!A:AE,19,0),12,8)</f>
        <v>15:04:03</v>
      </c>
      <c r="G72" t="str">
        <f t="shared" si="21"/>
        <v>2024-11-19 15:04:03</v>
      </c>
      <c r="H72" t="str">
        <f>LEFT(VLOOKUP(A72, Fechas_Estado!A:AE,20,0),10)</f>
        <v>2024-11-19</v>
      </c>
      <c r="I72" t="str">
        <f>MID(VLOOKUP(A72, Fechas_Estado!A:AE,20,0),12,8)</f>
        <v>15:03:56</v>
      </c>
      <c r="J72" t="str">
        <f t="shared" si="22"/>
        <v>2024-11-19 15:03:56</v>
      </c>
      <c r="K72" t="str">
        <f>LEFT(VLOOKUP(A72, Fechas_Estado!A:AE,21,0),10)</f>
        <v>2024-11-19</v>
      </c>
      <c r="L72" t="str">
        <f>MID(VLOOKUP(A72, Fechas_Estado!A:AE,21,0),12,8)</f>
        <v>15:03:53</v>
      </c>
      <c r="M72" t="str">
        <f t="shared" si="23"/>
        <v>2024-11-19 15:03:53</v>
      </c>
      <c r="N72" t="str">
        <f>LEFT(VLOOKUP(A72, Fechas_Estado!A:AE,22,0),10)</f>
        <v>2024-11-19</v>
      </c>
      <c r="O72" t="str">
        <f>MID(VLOOKUP(A72, Fechas_Estado!A:AE,22,0),12,8)</f>
        <v>15:03:50</v>
      </c>
      <c r="P72" t="str">
        <f t="shared" si="24"/>
        <v>2024-11-19 15:03:50</v>
      </c>
      <c r="Q72" t="str">
        <f>LEFT(VLOOKUP(A72, Fechas_Estado!A:AE,23,0),10)</f>
        <v>2024-11-19</v>
      </c>
      <c r="R72" t="str">
        <f>MID(VLOOKUP(A72, Fechas_Estado!A:AE,23,0),12,8)</f>
        <v>15:03:47</v>
      </c>
      <c r="S72" t="str">
        <f t="shared" si="25"/>
        <v>2024-11-19 15:03:47</v>
      </c>
      <c r="T72" t="str">
        <f>LEFT(VLOOKUP(A72, Fechas_Estado!A:AE,24,0),10)</f>
        <v>2024-11-19</v>
      </c>
      <c r="U72" t="str">
        <f>MID(VLOOKUP(A72, Fechas_Estado!A:AE,24,0),12,8)</f>
        <v>15:03:44</v>
      </c>
      <c r="V72" t="str">
        <f t="shared" si="26"/>
        <v>2024-11-19 15:03:44</v>
      </c>
      <c r="W72" t="str">
        <f>LEFT(VLOOKUP(A72, Fechas_Estado!A:AE,25,0),10)</f>
        <v>2024-12-05</v>
      </c>
      <c r="X72" t="str">
        <f>MID(VLOOKUP(A72, Fechas_Estado!A:AE,25,0),12,8)</f>
        <v>11:16:46</v>
      </c>
      <c r="Y72" t="str">
        <f t="shared" si="27"/>
        <v>2024-12-05 11:16:46</v>
      </c>
      <c r="Z72" t="str">
        <f>LEFT(VLOOKUP(A72, Fechas_Estado!A:AE,26,0),10)</f>
        <v>2024-12-05</v>
      </c>
      <c r="AA72" t="str">
        <f>MID(VLOOKUP(A72, Fechas_Estado!A:AE,26,0),12,8)</f>
        <v>11:17:13</v>
      </c>
      <c r="AB72" t="str">
        <f t="shared" si="28"/>
        <v>2024-12-05 11:17:13</v>
      </c>
      <c r="AC72" t="str">
        <f>LEFT(VLOOKUP(A72, Fechas_Estado!A:AE,27,0),10)</f>
        <v>2024-12-05</v>
      </c>
      <c r="AD72" t="str">
        <f>MID(VLOOKUP(A72, Fechas_Estado!A:AE,27,0),12,8)</f>
        <v>11:17:17</v>
      </c>
      <c r="AE72" t="str">
        <f t="shared" si="29"/>
        <v>2024-12-05 11:17:17</v>
      </c>
      <c r="AF72" t="str">
        <f>LEFT(VLOOKUP(A72, Fechas_Estado!A:AF,28,0),10)</f>
        <v>2024-12-05</v>
      </c>
      <c r="AG72" t="str">
        <f>MID(VLOOKUP(A72, Fechas_Estado!A:AF,28,0),12,8)</f>
        <v>11:17:21</v>
      </c>
      <c r="AH72" t="str">
        <f t="shared" si="30"/>
        <v>2024-12-05 11:17:21</v>
      </c>
      <c r="AI72" t="str">
        <f>LEFT(VLOOKUP(A72, Fechas_Estado!A:AF,16,0),10)</f>
        <v/>
      </c>
      <c r="AJ72" t="str">
        <f>MID(VLOOKUP(A72, Fechas_Estado!A:AF,16,0),12,8)</f>
        <v/>
      </c>
      <c r="AK72" t="str">
        <f t="shared" si="31"/>
        <v xml:space="preserve"> </v>
      </c>
      <c r="AL72" t="e">
        <f t="shared" si="32"/>
        <v>#VALUE!</v>
      </c>
      <c r="AM72" t="str">
        <f>LEFT(VLOOKUP(A72, Fechas_Estado!A:AE,8,0),10)</f>
        <v/>
      </c>
      <c r="AN72" t="str">
        <f>MID(VLOOKUP(A72, Fechas_Estado!A:AE,8,0),12,8)</f>
        <v/>
      </c>
      <c r="AO72" t="str">
        <f t="shared" si="33"/>
        <v xml:space="preserve"> </v>
      </c>
      <c r="AP72" t="str">
        <f>LEFT(VLOOKUP(A72, Fechas_Estado!A:AE,7,0),10)</f>
        <v/>
      </c>
      <c r="AQ72" t="str">
        <f>MID(VLOOKUP(A72, Fechas_Estado!A:AE,7,0),12,8)</f>
        <v/>
      </c>
      <c r="AR72" t="str">
        <f t="shared" si="34"/>
        <v xml:space="preserve"> </v>
      </c>
      <c r="AS72" t="str">
        <f>LEFT(VLOOKUP(A72, Fechas_Estado!A:AE,10,0),10)</f>
        <v/>
      </c>
      <c r="AT72" t="str">
        <f>MID(VLOOKUP(A72, Fechas_Estado!A:AE,10,0),12,8)</f>
        <v/>
      </c>
      <c r="AU72" t="str">
        <f t="shared" si="35"/>
        <v xml:space="preserve"> </v>
      </c>
      <c r="AV72" t="str">
        <f>LEFT(VLOOKUP(A72, Fechas_Estado!A:AE,17,0),10)</f>
        <v/>
      </c>
      <c r="AW72" t="str">
        <f>MID(VLOOKUP(A72, Fechas_Estado!A:AE,17,0),12,8)</f>
        <v/>
      </c>
      <c r="AX72" t="str">
        <f t="shared" si="36"/>
        <v xml:space="preserve"> </v>
      </c>
      <c r="AY72" t="e">
        <f t="shared" si="37"/>
        <v>#VALUE!</v>
      </c>
      <c r="AZ72" t="str">
        <f>LEFT(VLOOKUP(A72, Fechas_Estado!A:AE,5,0),10)</f>
        <v>2024-12-13</v>
      </c>
      <c r="BA72" t="str">
        <f>MID(VLOOKUP(A72, Fechas_Estado!A:AE,5,0),12,8)</f>
        <v>13:05:44</v>
      </c>
      <c r="BB72" t="str">
        <f t="shared" si="38"/>
        <v>2024-12-13 13:05:44</v>
      </c>
      <c r="BC72" t="e">
        <f t="shared" si="39"/>
        <v>#VALUE!</v>
      </c>
    </row>
    <row r="73" spans="1:55" x14ac:dyDescent="0.25">
      <c r="A73" t="str">
        <f>Fechas_Estado!A72</f>
        <v>ESPC360-13375</v>
      </c>
      <c r="B73" t="str">
        <f>LEFT(VLOOKUP(A73,Fechas_Estado!A:AE,2,0),10)</f>
        <v>2024-11-19</v>
      </c>
      <c r="C73" t="str">
        <f>MID(VLOOKUP(A73, Fechas_Estado!A:AE,2,0),12,8)</f>
        <v>15:15:52</v>
      </c>
      <c r="D73" t="str">
        <f t="shared" si="20"/>
        <v>2024-11-19 15:15:52</v>
      </c>
      <c r="E73" t="str">
        <f>LEFT(VLOOKUP(A73, Fechas_Estado!A:AE,19,0),10)</f>
        <v>2024-11-19</v>
      </c>
      <c r="F73" t="str">
        <f>MID(VLOOKUP(A73, Fechas_Estado!A:AE,19,0),12,8)</f>
        <v>15:21:38</v>
      </c>
      <c r="G73" t="str">
        <f t="shared" si="21"/>
        <v>2024-11-19 15:21:38</v>
      </c>
      <c r="H73" t="str">
        <f>LEFT(VLOOKUP(A73, Fechas_Estado!A:AE,20,0),10)</f>
        <v>2024-11-19</v>
      </c>
      <c r="I73" t="str">
        <f>MID(VLOOKUP(A73, Fechas_Estado!A:AE,20,0),12,8)</f>
        <v>15:21:32</v>
      </c>
      <c r="J73" t="str">
        <f t="shared" si="22"/>
        <v>2024-11-19 15:21:32</v>
      </c>
      <c r="K73" t="str">
        <f>LEFT(VLOOKUP(A73, Fechas_Estado!A:AE,21,0),10)</f>
        <v>2024-11-19</v>
      </c>
      <c r="L73" t="str">
        <f>MID(VLOOKUP(A73, Fechas_Estado!A:AE,21,0),12,8)</f>
        <v>15:21:29</v>
      </c>
      <c r="M73" t="str">
        <f t="shared" si="23"/>
        <v>2024-11-19 15:21:29</v>
      </c>
      <c r="N73" t="str">
        <f>LEFT(VLOOKUP(A73, Fechas_Estado!A:AE,22,0),10)</f>
        <v>2024-11-19</v>
      </c>
      <c r="O73" t="str">
        <f>MID(VLOOKUP(A73, Fechas_Estado!A:AE,22,0),12,8)</f>
        <v>15:21:26</v>
      </c>
      <c r="P73" t="str">
        <f t="shared" si="24"/>
        <v>2024-11-19 15:21:26</v>
      </c>
      <c r="Q73" t="str">
        <f>LEFT(VLOOKUP(A73, Fechas_Estado!A:AE,23,0),10)</f>
        <v>2024-11-19</v>
      </c>
      <c r="R73" t="str">
        <f>MID(VLOOKUP(A73, Fechas_Estado!A:AE,23,0),12,8)</f>
        <v>15:21:23</v>
      </c>
      <c r="S73" t="str">
        <f t="shared" si="25"/>
        <v>2024-11-19 15:21:23</v>
      </c>
      <c r="T73" t="str">
        <f>LEFT(VLOOKUP(A73, Fechas_Estado!A:AE,24,0),10)</f>
        <v>2024-11-19</v>
      </c>
      <c r="U73" t="str">
        <f>MID(VLOOKUP(A73, Fechas_Estado!A:AE,24,0),12,8)</f>
        <v>15:21:20</v>
      </c>
      <c r="V73" t="str">
        <f t="shared" si="26"/>
        <v>2024-11-19 15:21:20</v>
      </c>
      <c r="W73" t="str">
        <f>LEFT(VLOOKUP(A73, Fechas_Estado!A:AE,25,0),10)</f>
        <v>2024-11-20</v>
      </c>
      <c r="X73" t="str">
        <f>MID(VLOOKUP(A73, Fechas_Estado!A:AE,25,0),12,8)</f>
        <v>09:53:05</v>
      </c>
      <c r="Y73" t="str">
        <f t="shared" si="27"/>
        <v>2024-11-20 09:53:05</v>
      </c>
      <c r="Z73" t="str">
        <f>LEFT(VLOOKUP(A73, Fechas_Estado!A:AE,26,0),10)</f>
        <v>2024-11-25</v>
      </c>
      <c r="AA73" t="str">
        <f>MID(VLOOKUP(A73, Fechas_Estado!A:AE,26,0),12,8)</f>
        <v>10:10:39</v>
      </c>
      <c r="AB73" t="str">
        <f t="shared" si="28"/>
        <v>2024-11-25 10:10:39</v>
      </c>
      <c r="AC73" t="str">
        <f>LEFT(VLOOKUP(A73, Fechas_Estado!A:AE,27,0),10)</f>
        <v>2024-11-25</v>
      </c>
      <c r="AD73" t="str">
        <f>MID(VLOOKUP(A73, Fechas_Estado!A:AE,27,0),12,8)</f>
        <v>10:10:42</v>
      </c>
      <c r="AE73" t="str">
        <f t="shared" si="29"/>
        <v>2024-11-25 10:10:42</v>
      </c>
      <c r="AF73" t="str">
        <f>LEFT(VLOOKUP(A73, Fechas_Estado!A:AF,28,0),10)</f>
        <v>2024-11-25</v>
      </c>
      <c r="AG73" t="str">
        <f>MID(VLOOKUP(A73, Fechas_Estado!A:AF,28,0),12,8)</f>
        <v>10:10:48</v>
      </c>
      <c r="AH73" t="str">
        <f t="shared" si="30"/>
        <v>2024-11-25 10:10:48</v>
      </c>
      <c r="AI73" t="str">
        <f>LEFT(VLOOKUP(A73, Fechas_Estado!A:AF,16,0),10)</f>
        <v/>
      </c>
      <c r="AJ73" t="str">
        <f>MID(VLOOKUP(A73, Fechas_Estado!A:AF,16,0),12,8)</f>
        <v/>
      </c>
      <c r="AK73" t="str">
        <f t="shared" si="31"/>
        <v xml:space="preserve"> </v>
      </c>
      <c r="AL73" t="e">
        <f t="shared" si="32"/>
        <v>#VALUE!</v>
      </c>
      <c r="AM73" t="str">
        <f>LEFT(VLOOKUP(A73, Fechas_Estado!A:AE,8,0),10)</f>
        <v/>
      </c>
      <c r="AN73" t="str">
        <f>MID(VLOOKUP(A73, Fechas_Estado!A:AE,8,0),12,8)</f>
        <v/>
      </c>
      <c r="AO73" t="str">
        <f t="shared" si="33"/>
        <v xml:space="preserve"> </v>
      </c>
      <c r="AP73" t="str">
        <f>LEFT(VLOOKUP(A73, Fechas_Estado!A:AE,7,0),10)</f>
        <v/>
      </c>
      <c r="AQ73" t="str">
        <f>MID(VLOOKUP(A73, Fechas_Estado!A:AE,7,0),12,8)</f>
        <v/>
      </c>
      <c r="AR73" t="str">
        <f t="shared" si="34"/>
        <v xml:space="preserve"> </v>
      </c>
      <c r="AS73" t="str">
        <f>LEFT(VLOOKUP(A73, Fechas_Estado!A:AE,10,0),10)</f>
        <v/>
      </c>
      <c r="AT73" t="str">
        <f>MID(VLOOKUP(A73, Fechas_Estado!A:AE,10,0),12,8)</f>
        <v/>
      </c>
      <c r="AU73" t="str">
        <f t="shared" si="35"/>
        <v xml:space="preserve"> </v>
      </c>
      <c r="AV73" t="str">
        <f>LEFT(VLOOKUP(A73, Fechas_Estado!A:AE,17,0),10)</f>
        <v/>
      </c>
      <c r="AW73" t="str">
        <f>MID(VLOOKUP(A73, Fechas_Estado!A:AE,17,0),12,8)</f>
        <v/>
      </c>
      <c r="AX73" t="str">
        <f t="shared" si="36"/>
        <v xml:space="preserve"> </v>
      </c>
      <c r="AY73" t="e">
        <f t="shared" si="37"/>
        <v>#VALUE!</v>
      </c>
      <c r="AZ73" t="str">
        <f>LEFT(VLOOKUP(A73, Fechas_Estado!A:AE,5,0),10)</f>
        <v/>
      </c>
      <c r="BA73" t="str">
        <f>MID(VLOOKUP(A73, Fechas_Estado!A:AE,5,0),12,8)</f>
        <v/>
      </c>
      <c r="BB73" t="str">
        <f t="shared" si="38"/>
        <v xml:space="preserve"> </v>
      </c>
      <c r="BC73" t="e">
        <f t="shared" si="39"/>
        <v>#VALUE!</v>
      </c>
    </row>
    <row r="74" spans="1:55" x14ac:dyDescent="0.25">
      <c r="A74" t="str">
        <f>Fechas_Estado!A73</f>
        <v>ESPC360-13376</v>
      </c>
      <c r="B74" t="str">
        <f>LEFT(VLOOKUP(A74,Fechas_Estado!A:AE,2,0),10)</f>
        <v>2024-11-19</v>
      </c>
      <c r="C74" t="str">
        <f>MID(VLOOKUP(A74, Fechas_Estado!A:AE,2,0),12,8)</f>
        <v>15:22:33</v>
      </c>
      <c r="D74" t="str">
        <f t="shared" si="20"/>
        <v>2024-11-19 15:22:33</v>
      </c>
      <c r="E74" t="str">
        <f>LEFT(VLOOKUP(A74, Fechas_Estado!A:AE,19,0),10)</f>
        <v>2024-11-19</v>
      </c>
      <c r="F74" t="str">
        <f>MID(VLOOKUP(A74, Fechas_Estado!A:AE,19,0),12,8)</f>
        <v>15:26:18</v>
      </c>
      <c r="G74" t="str">
        <f t="shared" si="21"/>
        <v>2024-11-19 15:26:18</v>
      </c>
      <c r="H74" t="str">
        <f>LEFT(VLOOKUP(A74, Fechas_Estado!A:AE,20,0),10)</f>
        <v>2024-11-19</v>
      </c>
      <c r="I74" t="str">
        <f>MID(VLOOKUP(A74, Fechas_Estado!A:AE,20,0),12,8)</f>
        <v>15:26:15</v>
      </c>
      <c r="J74" t="str">
        <f t="shared" si="22"/>
        <v>2024-11-19 15:26:15</v>
      </c>
      <c r="K74" t="str">
        <f>LEFT(VLOOKUP(A74, Fechas_Estado!A:AE,21,0),10)</f>
        <v>2024-11-19</v>
      </c>
      <c r="L74" t="str">
        <f>MID(VLOOKUP(A74, Fechas_Estado!A:AE,21,0),12,8)</f>
        <v>15:26:12</v>
      </c>
      <c r="M74" t="str">
        <f t="shared" si="23"/>
        <v>2024-11-19 15:26:12</v>
      </c>
      <c r="N74" t="str">
        <f>LEFT(VLOOKUP(A74, Fechas_Estado!A:AE,22,0),10)</f>
        <v>2024-11-19</v>
      </c>
      <c r="O74" t="str">
        <f>MID(VLOOKUP(A74, Fechas_Estado!A:AE,22,0),12,8)</f>
        <v>15:26:09</v>
      </c>
      <c r="P74" t="str">
        <f t="shared" si="24"/>
        <v>2024-11-19 15:26:09</v>
      </c>
      <c r="Q74" t="str">
        <f>LEFT(VLOOKUP(A74, Fechas_Estado!A:AE,23,0),10)</f>
        <v>2024-11-19</v>
      </c>
      <c r="R74" t="str">
        <f>MID(VLOOKUP(A74, Fechas_Estado!A:AE,23,0),12,8)</f>
        <v>15:26:07</v>
      </c>
      <c r="S74" t="str">
        <f t="shared" si="25"/>
        <v>2024-11-19 15:26:07</v>
      </c>
      <c r="T74" t="str">
        <f>LEFT(VLOOKUP(A74, Fechas_Estado!A:AE,24,0),10)</f>
        <v>2024-11-19</v>
      </c>
      <c r="U74" t="str">
        <f>MID(VLOOKUP(A74, Fechas_Estado!A:AE,24,0),12,8)</f>
        <v>15:26:04</v>
      </c>
      <c r="V74" t="str">
        <f t="shared" si="26"/>
        <v>2024-11-19 15:26:04</v>
      </c>
      <c r="W74" t="str">
        <f>LEFT(VLOOKUP(A74, Fechas_Estado!A:AE,25,0),10)</f>
        <v>2024-11-19</v>
      </c>
      <c r="X74" t="str">
        <f>MID(VLOOKUP(A74, Fechas_Estado!A:AE,25,0),12,8)</f>
        <v>15:32:29</v>
      </c>
      <c r="Y74" t="str">
        <f t="shared" si="27"/>
        <v>2024-11-19 15:32:29</v>
      </c>
      <c r="Z74" t="str">
        <f>LEFT(VLOOKUP(A74, Fechas_Estado!A:AE,26,0),10)</f>
        <v/>
      </c>
      <c r="AA74" t="str">
        <f>MID(VLOOKUP(A74, Fechas_Estado!A:AE,26,0),12,8)</f>
        <v/>
      </c>
      <c r="AB74" t="str">
        <f t="shared" si="28"/>
        <v xml:space="preserve"> </v>
      </c>
      <c r="AC74" t="str">
        <f>LEFT(VLOOKUP(A74, Fechas_Estado!A:AE,27,0),10)</f>
        <v/>
      </c>
      <c r="AD74" t="str">
        <f>MID(VLOOKUP(A74, Fechas_Estado!A:AE,27,0),12,8)</f>
        <v/>
      </c>
      <c r="AE74" t="str">
        <f t="shared" si="29"/>
        <v xml:space="preserve"> </v>
      </c>
      <c r="AF74" t="str">
        <f>LEFT(VLOOKUP(A74, Fechas_Estado!A:AF,28,0),10)</f>
        <v>2024-11-27</v>
      </c>
      <c r="AG74" t="str">
        <f>MID(VLOOKUP(A74, Fechas_Estado!A:AF,28,0),12,8)</f>
        <v>13:53:52</v>
      </c>
      <c r="AH74" t="str">
        <f t="shared" si="30"/>
        <v>2024-11-27 13:53:52</v>
      </c>
      <c r="AI74" t="str">
        <f>LEFT(VLOOKUP(A74, Fechas_Estado!A:AF,16,0),10)</f>
        <v/>
      </c>
      <c r="AJ74" t="str">
        <f>MID(VLOOKUP(A74, Fechas_Estado!A:AF,16,0),12,8)</f>
        <v/>
      </c>
      <c r="AK74" t="str">
        <f t="shared" si="31"/>
        <v xml:space="preserve"> </v>
      </c>
      <c r="AL74" t="e">
        <f t="shared" si="32"/>
        <v>#VALUE!</v>
      </c>
      <c r="AM74" t="str">
        <f>LEFT(VLOOKUP(A74, Fechas_Estado!A:AE,8,0),10)</f>
        <v>2024-11-27</v>
      </c>
      <c r="AN74" t="str">
        <f>MID(VLOOKUP(A74, Fechas_Estado!A:AE,8,0),12,8)</f>
        <v>13:52:24</v>
      </c>
      <c r="AO74" t="str">
        <f t="shared" si="33"/>
        <v>2024-11-27 13:52:24</v>
      </c>
      <c r="AP74" t="str">
        <f>LEFT(VLOOKUP(A74, Fechas_Estado!A:AE,7,0),10)</f>
        <v/>
      </c>
      <c r="AQ74" t="str">
        <f>MID(VLOOKUP(A74, Fechas_Estado!A:AE,7,0),12,8)</f>
        <v/>
      </c>
      <c r="AR74" t="str">
        <f t="shared" si="34"/>
        <v xml:space="preserve"> </v>
      </c>
      <c r="AS74" t="str">
        <f>LEFT(VLOOKUP(A74, Fechas_Estado!A:AE,10,0),10)</f>
        <v/>
      </c>
      <c r="AT74" t="str">
        <f>MID(VLOOKUP(A74, Fechas_Estado!A:AE,10,0),12,8)</f>
        <v/>
      </c>
      <c r="AU74" t="str">
        <f t="shared" si="35"/>
        <v xml:space="preserve"> </v>
      </c>
      <c r="AV74" t="str">
        <f>LEFT(VLOOKUP(A74, Fechas_Estado!A:AE,17,0),10)</f>
        <v/>
      </c>
      <c r="AW74" t="str">
        <f>MID(VLOOKUP(A74, Fechas_Estado!A:AE,17,0),12,8)</f>
        <v/>
      </c>
      <c r="AX74" t="str">
        <f t="shared" si="36"/>
        <v xml:space="preserve"> </v>
      </c>
      <c r="AY74" t="e">
        <f t="shared" si="37"/>
        <v>#VALUE!</v>
      </c>
      <c r="AZ74" t="str">
        <f>LEFT(VLOOKUP(A74, Fechas_Estado!A:AE,5,0),10)</f>
        <v>2024-12-05</v>
      </c>
      <c r="BA74" t="str">
        <f>MID(VLOOKUP(A74, Fechas_Estado!A:AE,5,0),12,8)</f>
        <v>09:41:36</v>
      </c>
      <c r="BB74" t="str">
        <f t="shared" si="38"/>
        <v>2024-12-05 09:41:36</v>
      </c>
      <c r="BC74" t="e">
        <f t="shared" si="39"/>
        <v>#VALUE!</v>
      </c>
    </row>
    <row r="75" spans="1:55" x14ac:dyDescent="0.25">
      <c r="A75" t="str">
        <f>Fechas_Estado!A74</f>
        <v>ESPC360-13377</v>
      </c>
      <c r="B75" t="str">
        <f>LEFT(VLOOKUP(A75,Fechas_Estado!A:AE,2,0),10)</f>
        <v>2024-11-19</v>
      </c>
      <c r="C75" t="str">
        <f>MID(VLOOKUP(A75, Fechas_Estado!A:AE,2,0),12,8)</f>
        <v>15:41:49</v>
      </c>
      <c r="D75" t="str">
        <f t="shared" si="20"/>
        <v>2024-11-19 15:41:49</v>
      </c>
      <c r="E75" t="str">
        <f>LEFT(VLOOKUP(A75, Fechas_Estado!A:AE,19,0),10)</f>
        <v>2024-11-19</v>
      </c>
      <c r="F75" t="str">
        <f>MID(VLOOKUP(A75, Fechas_Estado!A:AE,19,0),12,8)</f>
        <v>15:45:35</v>
      </c>
      <c r="G75" t="str">
        <f t="shared" si="21"/>
        <v>2024-11-19 15:45:35</v>
      </c>
      <c r="H75" t="str">
        <f>LEFT(VLOOKUP(A75, Fechas_Estado!A:AE,20,0),10)</f>
        <v>2024-11-19</v>
      </c>
      <c r="I75" t="str">
        <f>MID(VLOOKUP(A75, Fechas_Estado!A:AE,20,0),12,8)</f>
        <v>15:45:32</v>
      </c>
      <c r="J75" t="str">
        <f t="shared" si="22"/>
        <v>2024-11-19 15:45:32</v>
      </c>
      <c r="K75" t="str">
        <f>LEFT(VLOOKUP(A75, Fechas_Estado!A:AE,21,0),10)</f>
        <v>2024-11-19</v>
      </c>
      <c r="L75" t="str">
        <f>MID(VLOOKUP(A75, Fechas_Estado!A:AE,21,0),12,8)</f>
        <v>15:45:29</v>
      </c>
      <c r="M75" t="str">
        <f t="shared" si="23"/>
        <v>2024-11-19 15:45:29</v>
      </c>
      <c r="N75" t="str">
        <f>LEFT(VLOOKUP(A75, Fechas_Estado!A:AE,22,0),10)</f>
        <v>2024-11-19</v>
      </c>
      <c r="O75" t="str">
        <f>MID(VLOOKUP(A75, Fechas_Estado!A:AE,22,0),12,8)</f>
        <v>15:45:26</v>
      </c>
      <c r="P75" t="str">
        <f t="shared" si="24"/>
        <v>2024-11-19 15:45:26</v>
      </c>
      <c r="Q75" t="str">
        <f>LEFT(VLOOKUP(A75, Fechas_Estado!A:AE,23,0),10)</f>
        <v>2024-11-19</v>
      </c>
      <c r="R75" t="str">
        <f>MID(VLOOKUP(A75, Fechas_Estado!A:AE,23,0),12,8)</f>
        <v>15:45:23</v>
      </c>
      <c r="S75" t="str">
        <f t="shared" si="25"/>
        <v>2024-11-19 15:45:23</v>
      </c>
      <c r="T75" t="str">
        <f>LEFT(VLOOKUP(A75, Fechas_Estado!A:AE,24,0),10)</f>
        <v>2024-11-19</v>
      </c>
      <c r="U75" t="str">
        <f>MID(VLOOKUP(A75, Fechas_Estado!A:AE,24,0),12,8)</f>
        <v>15:45:20</v>
      </c>
      <c r="V75" t="str">
        <f t="shared" si="26"/>
        <v>2024-11-19 15:45:20</v>
      </c>
      <c r="W75" t="str">
        <f>LEFT(VLOOKUP(A75, Fechas_Estado!A:AE,25,0),10)</f>
        <v>2024-11-19</v>
      </c>
      <c r="X75" t="str">
        <f>MID(VLOOKUP(A75, Fechas_Estado!A:AE,25,0),12,8)</f>
        <v>15:54:03</v>
      </c>
      <c r="Y75" t="str">
        <f t="shared" si="27"/>
        <v>2024-11-19 15:54:03</v>
      </c>
      <c r="Z75" t="str">
        <f>LEFT(VLOOKUP(A75, Fechas_Estado!A:AE,26,0),10)</f>
        <v>2024-11-25</v>
      </c>
      <c r="AA75" t="str">
        <f>MID(VLOOKUP(A75, Fechas_Estado!A:AE,26,0),12,8)</f>
        <v>10:10:22</v>
      </c>
      <c r="AB75" t="str">
        <f t="shared" si="28"/>
        <v>2024-11-25 10:10:22</v>
      </c>
      <c r="AC75" t="str">
        <f>LEFT(VLOOKUP(A75, Fechas_Estado!A:AE,27,0),10)</f>
        <v>2024-11-25</v>
      </c>
      <c r="AD75" t="str">
        <f>MID(VLOOKUP(A75, Fechas_Estado!A:AE,27,0),12,8)</f>
        <v>10:10:28</v>
      </c>
      <c r="AE75" t="str">
        <f t="shared" si="29"/>
        <v>2024-11-25 10:10:28</v>
      </c>
      <c r="AF75" t="str">
        <f>LEFT(VLOOKUP(A75, Fechas_Estado!A:AF,28,0),10)</f>
        <v>2024-11-25</v>
      </c>
      <c r="AG75" t="str">
        <f>MID(VLOOKUP(A75, Fechas_Estado!A:AF,28,0),12,8)</f>
        <v>10:10:51</v>
      </c>
      <c r="AH75" t="str">
        <f t="shared" si="30"/>
        <v>2024-11-25 10:10:51</v>
      </c>
      <c r="AI75" t="str">
        <f>LEFT(VLOOKUP(A75, Fechas_Estado!A:AF,16,0),10)</f>
        <v/>
      </c>
      <c r="AJ75" t="str">
        <f>MID(VLOOKUP(A75, Fechas_Estado!A:AF,16,0),12,8)</f>
        <v/>
      </c>
      <c r="AK75" t="str">
        <f t="shared" si="31"/>
        <v xml:space="preserve"> </v>
      </c>
      <c r="AL75" t="e">
        <f t="shared" si="32"/>
        <v>#VALUE!</v>
      </c>
      <c r="AM75" t="str">
        <f>LEFT(VLOOKUP(A75, Fechas_Estado!A:AE,8,0),10)</f>
        <v/>
      </c>
      <c r="AN75" t="str">
        <f>MID(VLOOKUP(A75, Fechas_Estado!A:AE,8,0),12,8)</f>
        <v/>
      </c>
      <c r="AO75" t="str">
        <f t="shared" si="33"/>
        <v xml:space="preserve"> </v>
      </c>
      <c r="AP75" t="str">
        <f>LEFT(VLOOKUP(A75, Fechas_Estado!A:AE,7,0),10)</f>
        <v/>
      </c>
      <c r="AQ75" t="str">
        <f>MID(VLOOKUP(A75, Fechas_Estado!A:AE,7,0),12,8)</f>
        <v/>
      </c>
      <c r="AR75" t="str">
        <f t="shared" si="34"/>
        <v xml:space="preserve"> </v>
      </c>
      <c r="AS75" t="str">
        <f>LEFT(VLOOKUP(A75, Fechas_Estado!A:AE,10,0),10)</f>
        <v/>
      </c>
      <c r="AT75" t="str">
        <f>MID(VLOOKUP(A75, Fechas_Estado!A:AE,10,0),12,8)</f>
        <v/>
      </c>
      <c r="AU75" t="str">
        <f t="shared" si="35"/>
        <v xml:space="preserve"> </v>
      </c>
      <c r="AV75" t="str">
        <f>LEFT(VLOOKUP(A75, Fechas_Estado!A:AE,17,0),10)</f>
        <v>2024-11-26</v>
      </c>
      <c r="AW75" t="str">
        <f>MID(VLOOKUP(A75, Fechas_Estado!A:AE,17,0),12,8)</f>
        <v>16:22:41</v>
      </c>
      <c r="AX75" t="str">
        <f t="shared" si="36"/>
        <v>2024-11-26 16:22:41</v>
      </c>
      <c r="AY75" t="e">
        <f t="shared" si="37"/>
        <v>#VALUE!</v>
      </c>
      <c r="AZ75" t="str">
        <f>LEFT(VLOOKUP(A75, Fechas_Estado!A:AE,5,0),10)</f>
        <v/>
      </c>
      <c r="BA75" t="str">
        <f>MID(VLOOKUP(A75, Fechas_Estado!A:AE,5,0),12,8)</f>
        <v/>
      </c>
      <c r="BB75" t="str">
        <f t="shared" si="38"/>
        <v xml:space="preserve"> </v>
      </c>
      <c r="BC75" t="e">
        <f t="shared" si="39"/>
        <v>#VALUE!</v>
      </c>
    </row>
    <row r="76" spans="1:55" x14ac:dyDescent="0.25">
      <c r="A76" t="str">
        <f>Fechas_Estado!A75</f>
        <v>ESPC360-13379</v>
      </c>
      <c r="B76" t="str">
        <f>LEFT(VLOOKUP(A76,Fechas_Estado!A:AE,2,0),10)</f>
        <v>2024-11-19</v>
      </c>
      <c r="C76" t="str">
        <f>MID(VLOOKUP(A76, Fechas_Estado!A:AE,2,0),12,8)</f>
        <v>17:42:47</v>
      </c>
      <c r="D76" t="str">
        <f t="shared" si="20"/>
        <v>2024-11-19 17:42:47</v>
      </c>
      <c r="E76" t="str">
        <f>LEFT(VLOOKUP(A76, Fechas_Estado!A:AE,19,0),10)</f>
        <v/>
      </c>
      <c r="F76" t="str">
        <f>MID(VLOOKUP(A76, Fechas_Estado!A:AE,19,0),12,8)</f>
        <v/>
      </c>
      <c r="G76" t="str">
        <f t="shared" si="21"/>
        <v xml:space="preserve"> </v>
      </c>
      <c r="H76" t="str">
        <f>LEFT(VLOOKUP(A76, Fechas_Estado!A:AE,20,0),10)</f>
        <v/>
      </c>
      <c r="I76" t="str">
        <f>MID(VLOOKUP(A76, Fechas_Estado!A:AE,20,0),12,8)</f>
        <v/>
      </c>
      <c r="J76" t="str">
        <f t="shared" si="22"/>
        <v xml:space="preserve"> </v>
      </c>
      <c r="K76" t="str">
        <f>LEFT(VLOOKUP(A76, Fechas_Estado!A:AE,21,0),10)</f>
        <v/>
      </c>
      <c r="L76" t="str">
        <f>MID(VLOOKUP(A76, Fechas_Estado!A:AE,21,0),12,8)</f>
        <v/>
      </c>
      <c r="M76" t="str">
        <f t="shared" si="23"/>
        <v xml:space="preserve"> </v>
      </c>
      <c r="N76" t="str">
        <f>LEFT(VLOOKUP(A76, Fechas_Estado!A:AE,22,0),10)</f>
        <v/>
      </c>
      <c r="O76" t="str">
        <f>MID(VLOOKUP(A76, Fechas_Estado!A:AE,22,0),12,8)</f>
        <v/>
      </c>
      <c r="P76" t="str">
        <f t="shared" si="24"/>
        <v xml:space="preserve"> </v>
      </c>
      <c r="Q76" t="str">
        <f>LEFT(VLOOKUP(A76, Fechas_Estado!A:AE,23,0),10)</f>
        <v/>
      </c>
      <c r="R76" t="str">
        <f>MID(VLOOKUP(A76, Fechas_Estado!A:AE,23,0),12,8)</f>
        <v/>
      </c>
      <c r="S76" t="str">
        <f t="shared" si="25"/>
        <v xml:space="preserve"> </v>
      </c>
      <c r="T76" t="str">
        <f>LEFT(VLOOKUP(A76, Fechas_Estado!A:AE,24,0),10)</f>
        <v/>
      </c>
      <c r="U76" t="str">
        <f>MID(VLOOKUP(A76, Fechas_Estado!A:AE,24,0),12,8)</f>
        <v/>
      </c>
      <c r="V76" t="str">
        <f t="shared" si="26"/>
        <v xml:space="preserve"> </v>
      </c>
      <c r="W76" t="str">
        <f>LEFT(VLOOKUP(A76, Fechas_Estado!A:AE,25,0),10)</f>
        <v>2024-11-20</v>
      </c>
      <c r="X76" t="str">
        <f>MID(VLOOKUP(A76, Fechas_Estado!A:AE,25,0),12,8)</f>
        <v>09:32:20</v>
      </c>
      <c r="Y76" t="str">
        <f t="shared" si="27"/>
        <v>2024-11-20 09:32:20</v>
      </c>
      <c r="Z76" t="str">
        <f>LEFT(VLOOKUP(A76, Fechas_Estado!A:AE,26,0),10)</f>
        <v>2024-11-20</v>
      </c>
      <c r="AA76" t="str">
        <f>MID(VLOOKUP(A76, Fechas_Estado!A:AE,26,0),12,8)</f>
        <v>09:54:33</v>
      </c>
      <c r="AB76" t="str">
        <f t="shared" si="28"/>
        <v>2024-11-20 09:54:33</v>
      </c>
      <c r="AC76" t="str">
        <f>LEFT(VLOOKUP(A76, Fechas_Estado!A:AE,27,0),10)</f>
        <v>2024-11-20</v>
      </c>
      <c r="AD76" t="str">
        <f>MID(VLOOKUP(A76, Fechas_Estado!A:AE,27,0),12,8)</f>
        <v>17:50:29</v>
      </c>
      <c r="AE76" t="str">
        <f t="shared" si="29"/>
        <v>2024-11-20 17:50:29</v>
      </c>
      <c r="AF76" t="str">
        <f>LEFT(VLOOKUP(A76, Fechas_Estado!A:AF,28,0),10)</f>
        <v/>
      </c>
      <c r="AG76" t="str">
        <f>MID(VLOOKUP(A76, Fechas_Estado!A:AF,28,0),12,8)</f>
        <v/>
      </c>
      <c r="AH76" t="str">
        <f t="shared" si="30"/>
        <v xml:space="preserve"> </v>
      </c>
      <c r="AI76" t="str">
        <f>LEFT(VLOOKUP(A76, Fechas_Estado!A:AF,16,0),10)</f>
        <v>2024-11-21</v>
      </c>
      <c r="AJ76" t="str">
        <f>MID(VLOOKUP(A76, Fechas_Estado!A:AF,16,0),12,8)</f>
        <v>15:21:07</v>
      </c>
      <c r="AK76" t="str">
        <f t="shared" si="31"/>
        <v>2024-11-21 15:21:07</v>
      </c>
      <c r="AL76">
        <f t="shared" si="32"/>
        <v>1.9016203703722567</v>
      </c>
      <c r="AM76" t="str">
        <f>LEFT(VLOOKUP(A76, Fechas_Estado!A:AE,8,0),10)</f>
        <v>2024-11-21</v>
      </c>
      <c r="AN76" t="str">
        <f>MID(VLOOKUP(A76, Fechas_Estado!A:AE,8,0),12,8)</f>
        <v>15:21:20</v>
      </c>
      <c r="AO76" t="str">
        <f t="shared" si="33"/>
        <v>2024-11-21 15:21:20</v>
      </c>
      <c r="AP76" t="str">
        <f>LEFT(VLOOKUP(A76, Fechas_Estado!A:AE,7,0),10)</f>
        <v/>
      </c>
      <c r="AQ76" t="str">
        <f>MID(VLOOKUP(A76, Fechas_Estado!A:AE,7,0),12,8)</f>
        <v/>
      </c>
      <c r="AR76" t="str">
        <f t="shared" si="34"/>
        <v xml:space="preserve"> </v>
      </c>
      <c r="AS76" t="str">
        <f>LEFT(VLOOKUP(A76, Fechas_Estado!A:AE,10,0),10)</f>
        <v/>
      </c>
      <c r="AT76" t="str">
        <f>MID(VLOOKUP(A76, Fechas_Estado!A:AE,10,0),12,8)</f>
        <v/>
      </c>
      <c r="AU76" t="str">
        <f t="shared" si="35"/>
        <v xml:space="preserve"> </v>
      </c>
      <c r="AV76" t="str">
        <f>LEFT(VLOOKUP(A76, Fechas_Estado!A:AE,17,0),10)</f>
        <v/>
      </c>
      <c r="AW76" t="str">
        <f>MID(VLOOKUP(A76, Fechas_Estado!A:AE,17,0),12,8)</f>
        <v/>
      </c>
      <c r="AX76" t="str">
        <f t="shared" si="36"/>
        <v xml:space="preserve"> </v>
      </c>
      <c r="AY76" t="e">
        <f t="shared" si="37"/>
        <v>#VALUE!</v>
      </c>
      <c r="AZ76" t="str">
        <f>LEFT(VLOOKUP(A76, Fechas_Estado!A:AE,5,0),10)</f>
        <v>2024-11-28</v>
      </c>
      <c r="BA76" t="str">
        <f>MID(VLOOKUP(A76, Fechas_Estado!A:AE,5,0),12,8)</f>
        <v>15:19:16</v>
      </c>
      <c r="BB76" t="str">
        <f t="shared" si="38"/>
        <v>2024-11-28 15:19:16</v>
      </c>
      <c r="BC76" t="e">
        <f t="shared" si="39"/>
        <v>#VALUE!</v>
      </c>
    </row>
    <row r="77" spans="1:55" x14ac:dyDescent="0.25">
      <c r="A77" t="str">
        <f>Fechas_Estado!A76</f>
        <v>ESPC360-13411</v>
      </c>
      <c r="B77" t="str">
        <f>LEFT(VLOOKUP(A77,Fechas_Estado!A:AE,2,0),10)</f>
        <v>2024-11-21</v>
      </c>
      <c r="C77" t="str">
        <f>MID(VLOOKUP(A77, Fechas_Estado!A:AE,2,0),12,8)</f>
        <v>13:01:45</v>
      </c>
      <c r="D77" t="str">
        <f t="shared" si="20"/>
        <v>2024-11-21 13:01:45</v>
      </c>
      <c r="E77" t="str">
        <f>LEFT(VLOOKUP(A77, Fechas_Estado!A:AE,19,0),10)</f>
        <v/>
      </c>
      <c r="F77" t="str">
        <f>MID(VLOOKUP(A77, Fechas_Estado!A:AE,19,0),12,8)</f>
        <v/>
      </c>
      <c r="G77" t="str">
        <f t="shared" si="21"/>
        <v xml:space="preserve"> </v>
      </c>
      <c r="H77" t="str">
        <f>LEFT(VLOOKUP(A77, Fechas_Estado!A:AE,20,0),10)</f>
        <v/>
      </c>
      <c r="I77" t="str">
        <f>MID(VLOOKUP(A77, Fechas_Estado!A:AE,20,0),12,8)</f>
        <v/>
      </c>
      <c r="J77" t="str">
        <f t="shared" si="22"/>
        <v xml:space="preserve"> </v>
      </c>
      <c r="K77" t="str">
        <f>LEFT(VLOOKUP(A77, Fechas_Estado!A:AE,21,0),10)</f>
        <v/>
      </c>
      <c r="L77" t="str">
        <f>MID(VLOOKUP(A77, Fechas_Estado!A:AE,21,0),12,8)</f>
        <v/>
      </c>
      <c r="M77" t="str">
        <f t="shared" si="23"/>
        <v xml:space="preserve"> </v>
      </c>
      <c r="N77" t="str">
        <f>LEFT(VLOOKUP(A77, Fechas_Estado!A:AE,22,0),10)</f>
        <v/>
      </c>
      <c r="O77" t="str">
        <f>MID(VLOOKUP(A77, Fechas_Estado!A:AE,22,0),12,8)</f>
        <v/>
      </c>
      <c r="P77" t="str">
        <f t="shared" si="24"/>
        <v xml:space="preserve"> </v>
      </c>
      <c r="Q77" t="str">
        <f>LEFT(VLOOKUP(A77, Fechas_Estado!A:AE,23,0),10)</f>
        <v/>
      </c>
      <c r="R77" t="str">
        <f>MID(VLOOKUP(A77, Fechas_Estado!A:AE,23,0),12,8)</f>
        <v/>
      </c>
      <c r="S77" t="str">
        <f t="shared" si="25"/>
        <v xml:space="preserve"> </v>
      </c>
      <c r="T77" t="str">
        <f>LEFT(VLOOKUP(A77, Fechas_Estado!A:AE,24,0),10)</f>
        <v/>
      </c>
      <c r="U77" t="str">
        <f>MID(VLOOKUP(A77, Fechas_Estado!A:AE,24,0),12,8)</f>
        <v/>
      </c>
      <c r="V77" t="str">
        <f t="shared" si="26"/>
        <v xml:space="preserve"> </v>
      </c>
      <c r="W77" t="str">
        <f>LEFT(VLOOKUP(A77, Fechas_Estado!A:AE,25,0),10)</f>
        <v>2024-11-21</v>
      </c>
      <c r="X77" t="str">
        <f>MID(VLOOKUP(A77, Fechas_Estado!A:AE,25,0),12,8)</f>
        <v>13:01:56</v>
      </c>
      <c r="Y77" t="str">
        <f t="shared" si="27"/>
        <v>2024-11-21 13:01:56</v>
      </c>
      <c r="Z77" t="str">
        <f>LEFT(VLOOKUP(A77, Fechas_Estado!A:AE,26,0),10)</f>
        <v>2024-12-04</v>
      </c>
      <c r="AA77" t="str">
        <f>MID(VLOOKUP(A77, Fechas_Estado!A:AE,26,0),12,8)</f>
        <v>12:42:50</v>
      </c>
      <c r="AB77" t="str">
        <f t="shared" si="28"/>
        <v>2024-12-04 12:42:50</v>
      </c>
      <c r="AC77" t="str">
        <f>LEFT(VLOOKUP(A77, Fechas_Estado!A:AE,27,0),10)</f>
        <v>2024-12-04</v>
      </c>
      <c r="AD77" t="str">
        <f>MID(VLOOKUP(A77, Fechas_Estado!A:AE,27,0),12,8)</f>
        <v>17:41:21</v>
      </c>
      <c r="AE77" t="str">
        <f t="shared" si="29"/>
        <v>2024-12-04 17:41:21</v>
      </c>
      <c r="AF77" t="str">
        <f>LEFT(VLOOKUP(A77, Fechas_Estado!A:AF,28,0),10)</f>
        <v>2024-12-04</v>
      </c>
      <c r="AG77" t="str">
        <f>MID(VLOOKUP(A77, Fechas_Estado!A:AF,28,0),12,8)</f>
        <v>17:41:29</v>
      </c>
      <c r="AH77" t="str">
        <f t="shared" si="30"/>
        <v>2024-12-04 17:41:29</v>
      </c>
      <c r="AI77" t="str">
        <f>LEFT(VLOOKUP(A77, Fechas_Estado!A:AF,16,0),10)</f>
        <v/>
      </c>
      <c r="AJ77" t="str">
        <f>MID(VLOOKUP(A77, Fechas_Estado!A:AF,16,0),12,8)</f>
        <v/>
      </c>
      <c r="AK77" t="str">
        <f t="shared" si="31"/>
        <v xml:space="preserve"> </v>
      </c>
      <c r="AL77" t="e">
        <f t="shared" si="32"/>
        <v>#VALUE!</v>
      </c>
      <c r="AM77" t="str">
        <f>LEFT(VLOOKUP(A77, Fechas_Estado!A:AE,8,0),10)</f>
        <v/>
      </c>
      <c r="AN77" t="str">
        <f>MID(VLOOKUP(A77, Fechas_Estado!A:AE,8,0),12,8)</f>
        <v/>
      </c>
      <c r="AO77" t="str">
        <f t="shared" si="33"/>
        <v xml:space="preserve"> </v>
      </c>
      <c r="AP77" t="str">
        <f>LEFT(VLOOKUP(A77, Fechas_Estado!A:AE,7,0),10)</f>
        <v/>
      </c>
      <c r="AQ77" t="str">
        <f>MID(VLOOKUP(A77, Fechas_Estado!A:AE,7,0),12,8)</f>
        <v/>
      </c>
      <c r="AR77" t="str">
        <f t="shared" si="34"/>
        <v xml:space="preserve"> </v>
      </c>
      <c r="AS77" t="str">
        <f>LEFT(VLOOKUP(A77, Fechas_Estado!A:AE,10,0),10)</f>
        <v/>
      </c>
      <c r="AT77" t="str">
        <f>MID(VLOOKUP(A77, Fechas_Estado!A:AE,10,0),12,8)</f>
        <v/>
      </c>
      <c r="AU77" t="str">
        <f t="shared" si="35"/>
        <v xml:space="preserve"> </v>
      </c>
      <c r="AV77" t="str">
        <f>LEFT(VLOOKUP(A77, Fechas_Estado!A:AE,17,0),10)</f>
        <v/>
      </c>
      <c r="AW77" t="str">
        <f>MID(VLOOKUP(A77, Fechas_Estado!A:AE,17,0),12,8)</f>
        <v/>
      </c>
      <c r="AX77" t="str">
        <f t="shared" si="36"/>
        <v xml:space="preserve"> </v>
      </c>
      <c r="AY77" t="e">
        <f t="shared" si="37"/>
        <v>#VALUE!</v>
      </c>
      <c r="AZ77" t="str">
        <f>LEFT(VLOOKUP(A77, Fechas_Estado!A:AE,5,0),10)</f>
        <v>2024-12-05</v>
      </c>
      <c r="BA77" t="str">
        <f>MID(VLOOKUP(A77, Fechas_Estado!A:AE,5,0),12,8)</f>
        <v>09:55:42</v>
      </c>
      <c r="BB77" t="str">
        <f t="shared" si="38"/>
        <v>2024-12-05 09:55:42</v>
      </c>
      <c r="BC77" t="e">
        <f t="shared" si="39"/>
        <v>#VALUE!</v>
      </c>
    </row>
    <row r="78" spans="1:55" x14ac:dyDescent="0.25">
      <c r="A78" t="str">
        <f>Fechas_Estado!A77</f>
        <v>ESPC360-13482</v>
      </c>
      <c r="B78" t="str">
        <f>LEFT(VLOOKUP(A78,Fechas_Estado!A:AE,2,0),10)</f>
        <v>2024-11-21</v>
      </c>
      <c r="C78" t="str">
        <f>MID(VLOOKUP(A78, Fechas_Estado!A:AE,2,0),12,8)</f>
        <v>15:52:49</v>
      </c>
      <c r="D78" t="str">
        <f t="shared" si="20"/>
        <v>2024-11-21 15:52:49</v>
      </c>
      <c r="E78" t="str">
        <f>LEFT(VLOOKUP(A78, Fechas_Estado!A:AE,19,0),10)</f>
        <v/>
      </c>
      <c r="F78" t="str">
        <f>MID(VLOOKUP(A78, Fechas_Estado!A:AE,19,0),12,8)</f>
        <v/>
      </c>
      <c r="G78" t="str">
        <f t="shared" si="21"/>
        <v xml:space="preserve"> </v>
      </c>
      <c r="H78" t="str">
        <f>LEFT(VLOOKUP(A78, Fechas_Estado!A:AE,20,0),10)</f>
        <v/>
      </c>
      <c r="I78" t="str">
        <f>MID(VLOOKUP(A78, Fechas_Estado!A:AE,20,0),12,8)</f>
        <v/>
      </c>
      <c r="J78" t="str">
        <f t="shared" si="22"/>
        <v xml:space="preserve"> </v>
      </c>
      <c r="K78" t="str">
        <f>LEFT(VLOOKUP(A78, Fechas_Estado!A:AE,21,0),10)</f>
        <v/>
      </c>
      <c r="L78" t="str">
        <f>MID(VLOOKUP(A78, Fechas_Estado!A:AE,21,0),12,8)</f>
        <v/>
      </c>
      <c r="M78" t="str">
        <f t="shared" si="23"/>
        <v xml:space="preserve"> </v>
      </c>
      <c r="N78" t="str">
        <f>LEFT(VLOOKUP(A78, Fechas_Estado!A:AE,22,0),10)</f>
        <v/>
      </c>
      <c r="O78" t="str">
        <f>MID(VLOOKUP(A78, Fechas_Estado!A:AE,22,0),12,8)</f>
        <v/>
      </c>
      <c r="P78" t="str">
        <f t="shared" si="24"/>
        <v xml:space="preserve"> </v>
      </c>
      <c r="Q78" t="str">
        <f>LEFT(VLOOKUP(A78, Fechas_Estado!A:AE,23,0),10)</f>
        <v/>
      </c>
      <c r="R78" t="str">
        <f>MID(VLOOKUP(A78, Fechas_Estado!A:AE,23,0),12,8)</f>
        <v/>
      </c>
      <c r="S78" t="str">
        <f t="shared" si="25"/>
        <v xml:space="preserve"> </v>
      </c>
      <c r="T78" t="str">
        <f>LEFT(VLOOKUP(A78, Fechas_Estado!A:AE,24,0),10)</f>
        <v/>
      </c>
      <c r="U78" t="str">
        <f>MID(VLOOKUP(A78, Fechas_Estado!A:AE,24,0),12,8)</f>
        <v/>
      </c>
      <c r="V78" t="str">
        <f t="shared" si="26"/>
        <v xml:space="preserve"> </v>
      </c>
      <c r="W78" t="str">
        <f>LEFT(VLOOKUP(A78, Fechas_Estado!A:AE,25,0),10)</f>
        <v>2024-11-21</v>
      </c>
      <c r="X78" t="str">
        <f>MID(VLOOKUP(A78, Fechas_Estado!A:AE,25,0),12,8)</f>
        <v>15:53:01</v>
      </c>
      <c r="Y78" t="str">
        <f t="shared" si="27"/>
        <v>2024-11-21 15:53:01</v>
      </c>
      <c r="Z78" t="str">
        <f>LEFT(VLOOKUP(A78, Fechas_Estado!A:AE,26,0),10)</f>
        <v>2024-11-28</v>
      </c>
      <c r="AA78" t="str">
        <f>MID(VLOOKUP(A78, Fechas_Estado!A:AE,26,0),12,8)</f>
        <v>10:16:04</v>
      </c>
      <c r="AB78" t="str">
        <f t="shared" si="28"/>
        <v>2024-11-28 10:16:04</v>
      </c>
      <c r="AC78" t="str">
        <f>LEFT(VLOOKUP(A78, Fechas_Estado!A:AE,27,0),10)</f>
        <v>2024-12-04</v>
      </c>
      <c r="AD78" t="str">
        <f>MID(VLOOKUP(A78, Fechas_Estado!A:AE,27,0),12,8)</f>
        <v>17:35:11</v>
      </c>
      <c r="AE78" t="str">
        <f t="shared" si="29"/>
        <v>2024-12-04 17:35:11</v>
      </c>
      <c r="AF78" t="str">
        <f>LEFT(VLOOKUP(A78, Fechas_Estado!A:AF,28,0),10)</f>
        <v/>
      </c>
      <c r="AG78" t="str">
        <f>MID(VLOOKUP(A78, Fechas_Estado!A:AF,28,0),12,8)</f>
        <v/>
      </c>
      <c r="AH78" t="str">
        <f t="shared" si="30"/>
        <v xml:space="preserve"> </v>
      </c>
      <c r="AI78" t="str">
        <f>LEFT(VLOOKUP(A78, Fechas_Estado!A:AF,16,0),10)</f>
        <v>2024-12-12</v>
      </c>
      <c r="AJ78" t="str">
        <f>MID(VLOOKUP(A78, Fechas_Estado!A:AF,16,0),12,8)</f>
        <v>11:57:45</v>
      </c>
      <c r="AK78" t="str">
        <f t="shared" si="31"/>
        <v>2024-12-12 11:57:45</v>
      </c>
      <c r="AL78">
        <f t="shared" si="32"/>
        <v>20.836759259254904</v>
      </c>
      <c r="AM78" t="str">
        <f>LEFT(VLOOKUP(A78, Fechas_Estado!A:AE,8,0),10)</f>
        <v/>
      </c>
      <c r="AN78" t="str">
        <f>MID(VLOOKUP(A78, Fechas_Estado!A:AE,8,0),12,8)</f>
        <v/>
      </c>
      <c r="AO78" t="str">
        <f t="shared" si="33"/>
        <v xml:space="preserve"> </v>
      </c>
      <c r="AP78" t="str">
        <f>LEFT(VLOOKUP(A78, Fechas_Estado!A:AE,7,0),10)</f>
        <v/>
      </c>
      <c r="AQ78" t="str">
        <f>MID(VLOOKUP(A78, Fechas_Estado!A:AE,7,0),12,8)</f>
        <v/>
      </c>
      <c r="AR78" t="str">
        <f t="shared" si="34"/>
        <v xml:space="preserve"> </v>
      </c>
      <c r="AS78" t="str">
        <f>LEFT(VLOOKUP(A78, Fechas_Estado!A:AE,10,0),10)</f>
        <v/>
      </c>
      <c r="AT78" t="str">
        <f>MID(VLOOKUP(A78, Fechas_Estado!A:AE,10,0),12,8)</f>
        <v/>
      </c>
      <c r="AU78" t="str">
        <f t="shared" si="35"/>
        <v xml:space="preserve"> </v>
      </c>
      <c r="AV78" t="str">
        <f>LEFT(VLOOKUP(A78, Fechas_Estado!A:AE,17,0),10)</f>
        <v/>
      </c>
      <c r="AW78" t="str">
        <f>MID(VLOOKUP(A78, Fechas_Estado!A:AE,17,0),12,8)</f>
        <v/>
      </c>
      <c r="AX78" t="str">
        <f t="shared" si="36"/>
        <v xml:space="preserve"> </v>
      </c>
      <c r="AY78" t="e">
        <f t="shared" si="37"/>
        <v>#VALUE!</v>
      </c>
      <c r="AZ78" t="str">
        <f>LEFT(VLOOKUP(A78, Fechas_Estado!A:AE,5,0),10)</f>
        <v/>
      </c>
      <c r="BA78" t="str">
        <f>MID(VLOOKUP(A78, Fechas_Estado!A:AE,5,0),12,8)</f>
        <v/>
      </c>
      <c r="BB78" t="str">
        <f t="shared" si="38"/>
        <v xml:space="preserve"> </v>
      </c>
      <c r="BC78" t="e">
        <f t="shared" si="39"/>
        <v>#VALUE!</v>
      </c>
    </row>
    <row r="79" spans="1:55" x14ac:dyDescent="0.25">
      <c r="A79" t="str">
        <f>Fechas_Estado!A78</f>
        <v>ESPC360-13488</v>
      </c>
      <c r="B79" t="str">
        <f>LEFT(VLOOKUP(A79,Fechas_Estado!A:AE,2,0),10)</f>
        <v>2024-11-21</v>
      </c>
      <c r="C79" t="str">
        <f>MID(VLOOKUP(A79, Fechas_Estado!A:AE,2,0),12,8)</f>
        <v>18:08:32</v>
      </c>
      <c r="D79" t="str">
        <f t="shared" si="20"/>
        <v>2024-11-21 18:08:32</v>
      </c>
      <c r="E79" t="str">
        <f>LEFT(VLOOKUP(A79, Fechas_Estado!A:AE,19,0),10)</f>
        <v/>
      </c>
      <c r="F79" t="str">
        <f>MID(VLOOKUP(A79, Fechas_Estado!A:AE,19,0),12,8)</f>
        <v/>
      </c>
      <c r="G79" t="str">
        <f t="shared" si="21"/>
        <v xml:space="preserve"> </v>
      </c>
      <c r="H79" t="str">
        <f>LEFT(VLOOKUP(A79, Fechas_Estado!A:AE,20,0),10)</f>
        <v/>
      </c>
      <c r="I79" t="str">
        <f>MID(VLOOKUP(A79, Fechas_Estado!A:AE,20,0),12,8)</f>
        <v/>
      </c>
      <c r="J79" t="str">
        <f t="shared" si="22"/>
        <v xml:space="preserve"> </v>
      </c>
      <c r="K79" t="str">
        <f>LEFT(VLOOKUP(A79, Fechas_Estado!A:AE,21,0),10)</f>
        <v/>
      </c>
      <c r="L79" t="str">
        <f>MID(VLOOKUP(A79, Fechas_Estado!A:AE,21,0),12,8)</f>
        <v/>
      </c>
      <c r="M79" t="str">
        <f t="shared" si="23"/>
        <v xml:space="preserve"> </v>
      </c>
      <c r="N79" t="str">
        <f>LEFT(VLOOKUP(A79, Fechas_Estado!A:AE,22,0),10)</f>
        <v/>
      </c>
      <c r="O79" t="str">
        <f>MID(VLOOKUP(A79, Fechas_Estado!A:AE,22,0),12,8)</f>
        <v/>
      </c>
      <c r="P79" t="str">
        <f t="shared" si="24"/>
        <v xml:space="preserve"> </v>
      </c>
      <c r="Q79" t="str">
        <f>LEFT(VLOOKUP(A79, Fechas_Estado!A:AE,23,0),10)</f>
        <v/>
      </c>
      <c r="R79" t="str">
        <f>MID(VLOOKUP(A79, Fechas_Estado!A:AE,23,0),12,8)</f>
        <v/>
      </c>
      <c r="S79" t="str">
        <f t="shared" si="25"/>
        <v xml:space="preserve"> </v>
      </c>
      <c r="T79" t="str">
        <f>LEFT(VLOOKUP(A79, Fechas_Estado!A:AE,24,0),10)</f>
        <v/>
      </c>
      <c r="U79" t="str">
        <f>MID(VLOOKUP(A79, Fechas_Estado!A:AE,24,0),12,8)</f>
        <v/>
      </c>
      <c r="V79" t="str">
        <f t="shared" si="26"/>
        <v xml:space="preserve"> </v>
      </c>
      <c r="W79" t="str">
        <f>LEFT(VLOOKUP(A79, Fechas_Estado!A:AE,25,0),10)</f>
        <v>2024-11-21</v>
      </c>
      <c r="X79" t="str">
        <f>MID(VLOOKUP(A79, Fechas_Estado!A:AE,25,0),12,8)</f>
        <v>18:08:44</v>
      </c>
      <c r="Y79" t="str">
        <f t="shared" si="27"/>
        <v>2024-11-21 18:08:44</v>
      </c>
      <c r="Z79" t="str">
        <f>LEFT(VLOOKUP(A79, Fechas_Estado!A:AE,26,0),10)</f>
        <v>2024-11-27</v>
      </c>
      <c r="AA79" t="str">
        <f>MID(VLOOKUP(A79, Fechas_Estado!A:AE,26,0),12,8)</f>
        <v>13:09:01</v>
      </c>
      <c r="AB79" t="str">
        <f t="shared" si="28"/>
        <v>2024-11-27 13:09:01</v>
      </c>
      <c r="AC79" t="str">
        <f>LEFT(VLOOKUP(A79, Fechas_Estado!A:AE,27,0),10)</f>
        <v>2024-11-27</v>
      </c>
      <c r="AD79" t="str">
        <f>MID(VLOOKUP(A79, Fechas_Estado!A:AE,27,0),12,8)</f>
        <v>13:12:25</v>
      </c>
      <c r="AE79" t="str">
        <f t="shared" si="29"/>
        <v>2024-11-27 13:12:25</v>
      </c>
      <c r="AF79" t="str">
        <f>LEFT(VLOOKUP(A79, Fechas_Estado!A:AF,28,0),10)</f>
        <v>2024-11-27</v>
      </c>
      <c r="AG79" t="str">
        <f>MID(VLOOKUP(A79, Fechas_Estado!A:AF,28,0),12,8)</f>
        <v>13:12:30</v>
      </c>
      <c r="AH79" t="str">
        <f t="shared" si="30"/>
        <v>2024-11-27 13:12:30</v>
      </c>
      <c r="AI79" t="str">
        <f>LEFT(VLOOKUP(A79, Fechas_Estado!A:AF,16,0),10)</f>
        <v/>
      </c>
      <c r="AJ79" t="str">
        <f>MID(VLOOKUP(A79, Fechas_Estado!A:AF,16,0),12,8)</f>
        <v/>
      </c>
      <c r="AK79" t="str">
        <f t="shared" si="31"/>
        <v xml:space="preserve"> </v>
      </c>
      <c r="AL79" t="e">
        <f t="shared" si="32"/>
        <v>#VALUE!</v>
      </c>
      <c r="AM79" t="str">
        <f>LEFT(VLOOKUP(A79, Fechas_Estado!A:AE,8,0),10)</f>
        <v/>
      </c>
      <c r="AN79" t="str">
        <f>MID(VLOOKUP(A79, Fechas_Estado!A:AE,8,0),12,8)</f>
        <v/>
      </c>
      <c r="AO79" t="str">
        <f t="shared" si="33"/>
        <v xml:space="preserve"> </v>
      </c>
      <c r="AP79" t="str">
        <f>LEFT(VLOOKUP(A79, Fechas_Estado!A:AE,7,0),10)</f>
        <v/>
      </c>
      <c r="AQ79" t="str">
        <f>MID(VLOOKUP(A79, Fechas_Estado!A:AE,7,0),12,8)</f>
        <v/>
      </c>
      <c r="AR79" t="str">
        <f t="shared" si="34"/>
        <v xml:space="preserve"> </v>
      </c>
      <c r="AS79" t="str">
        <f>LEFT(VLOOKUP(A79, Fechas_Estado!A:AE,10,0),10)</f>
        <v/>
      </c>
      <c r="AT79" t="str">
        <f>MID(VLOOKUP(A79, Fechas_Estado!A:AE,10,0),12,8)</f>
        <v/>
      </c>
      <c r="AU79" t="str">
        <f t="shared" si="35"/>
        <v xml:space="preserve"> </v>
      </c>
      <c r="AV79" t="str">
        <f>LEFT(VLOOKUP(A79, Fechas_Estado!A:AE,17,0),10)</f>
        <v/>
      </c>
      <c r="AW79" t="str">
        <f>MID(VLOOKUP(A79, Fechas_Estado!A:AE,17,0),12,8)</f>
        <v/>
      </c>
      <c r="AX79" t="str">
        <f t="shared" si="36"/>
        <v xml:space="preserve"> </v>
      </c>
      <c r="AY79" t="e">
        <f t="shared" si="37"/>
        <v>#VALUE!</v>
      </c>
      <c r="AZ79" t="str">
        <f>LEFT(VLOOKUP(A79, Fechas_Estado!A:AE,5,0),10)</f>
        <v>2024-12-05</v>
      </c>
      <c r="BA79" t="str">
        <f>MID(VLOOKUP(A79, Fechas_Estado!A:AE,5,0),12,8)</f>
        <v>09:55:47</v>
      </c>
      <c r="BB79" t="str">
        <f t="shared" si="38"/>
        <v>2024-12-05 09:55:47</v>
      </c>
      <c r="BC79" t="e">
        <f t="shared" si="39"/>
        <v>#VALUE!</v>
      </c>
    </row>
    <row r="80" spans="1:55" x14ac:dyDescent="0.25">
      <c r="A80" t="str">
        <f>Fechas_Estado!A79</f>
        <v>ESPC360-13532</v>
      </c>
      <c r="B80" t="str">
        <f>LEFT(VLOOKUP(A80,Fechas_Estado!A:AE,2,0),10)</f>
        <v>2024-11-26</v>
      </c>
      <c r="C80" t="str">
        <f>MID(VLOOKUP(A80, Fechas_Estado!A:AE,2,0),12,8)</f>
        <v>08:13:47</v>
      </c>
      <c r="D80" t="str">
        <f t="shared" si="20"/>
        <v>2024-11-26 08:13:47</v>
      </c>
      <c r="E80" t="str">
        <f>LEFT(VLOOKUP(A80, Fechas_Estado!A:AE,19,0),10)</f>
        <v/>
      </c>
      <c r="F80" t="str">
        <f>MID(VLOOKUP(A80, Fechas_Estado!A:AE,19,0),12,8)</f>
        <v/>
      </c>
      <c r="G80" t="str">
        <f t="shared" si="21"/>
        <v xml:space="preserve"> </v>
      </c>
      <c r="H80" t="str">
        <f>LEFT(VLOOKUP(A80, Fechas_Estado!A:AE,20,0),10)</f>
        <v/>
      </c>
      <c r="I80" t="str">
        <f>MID(VLOOKUP(A80, Fechas_Estado!A:AE,20,0),12,8)</f>
        <v/>
      </c>
      <c r="J80" t="str">
        <f t="shared" si="22"/>
        <v xml:space="preserve"> </v>
      </c>
      <c r="K80" t="str">
        <f>LEFT(VLOOKUP(A80, Fechas_Estado!A:AE,21,0),10)</f>
        <v/>
      </c>
      <c r="L80" t="str">
        <f>MID(VLOOKUP(A80, Fechas_Estado!A:AE,21,0),12,8)</f>
        <v/>
      </c>
      <c r="M80" t="str">
        <f t="shared" si="23"/>
        <v xml:space="preserve"> </v>
      </c>
      <c r="N80" t="str">
        <f>LEFT(VLOOKUP(A80, Fechas_Estado!A:AE,22,0),10)</f>
        <v/>
      </c>
      <c r="O80" t="str">
        <f>MID(VLOOKUP(A80, Fechas_Estado!A:AE,22,0),12,8)</f>
        <v/>
      </c>
      <c r="P80" t="str">
        <f t="shared" si="24"/>
        <v xml:space="preserve"> </v>
      </c>
      <c r="Q80" t="str">
        <f>LEFT(VLOOKUP(A80, Fechas_Estado!A:AE,23,0),10)</f>
        <v/>
      </c>
      <c r="R80" t="str">
        <f>MID(VLOOKUP(A80, Fechas_Estado!A:AE,23,0),12,8)</f>
        <v/>
      </c>
      <c r="S80" t="str">
        <f t="shared" si="25"/>
        <v xml:space="preserve"> </v>
      </c>
      <c r="T80" t="str">
        <f>LEFT(VLOOKUP(A80, Fechas_Estado!A:AE,24,0),10)</f>
        <v/>
      </c>
      <c r="U80" t="str">
        <f>MID(VLOOKUP(A80, Fechas_Estado!A:AE,24,0),12,8)</f>
        <v/>
      </c>
      <c r="V80" t="str">
        <f t="shared" si="26"/>
        <v xml:space="preserve"> </v>
      </c>
      <c r="W80" t="str">
        <f>LEFT(VLOOKUP(A80, Fechas_Estado!A:AE,25,0),10)</f>
        <v>2024-11-26</v>
      </c>
      <c r="X80" t="str">
        <f>MID(VLOOKUP(A80, Fechas_Estado!A:AE,25,0),12,8)</f>
        <v>08:13:59</v>
      </c>
      <c r="Y80" t="str">
        <f t="shared" si="27"/>
        <v>2024-11-26 08:13:59</v>
      </c>
      <c r="Z80" t="str">
        <f>LEFT(VLOOKUP(A80, Fechas_Estado!A:AE,26,0),10)</f>
        <v>2024-11-26</v>
      </c>
      <c r="AA80" t="str">
        <f>MID(VLOOKUP(A80, Fechas_Estado!A:AE,26,0),12,8)</f>
        <v>08:16:38</v>
      </c>
      <c r="AB80" t="str">
        <f t="shared" si="28"/>
        <v>2024-11-26 08:16:38</v>
      </c>
      <c r="AC80" t="str">
        <f>LEFT(VLOOKUP(A80, Fechas_Estado!A:AE,27,0),10)</f>
        <v>2024-11-26</v>
      </c>
      <c r="AD80" t="str">
        <f>MID(VLOOKUP(A80, Fechas_Estado!A:AE,27,0),12,8)</f>
        <v>16:33:15</v>
      </c>
      <c r="AE80" t="str">
        <f t="shared" si="29"/>
        <v>2024-11-26 16:33:15</v>
      </c>
      <c r="AF80" t="str">
        <f>LEFT(VLOOKUP(A80, Fechas_Estado!A:AF,28,0),10)</f>
        <v>2024-11-26</v>
      </c>
      <c r="AG80" t="str">
        <f>MID(VLOOKUP(A80, Fechas_Estado!A:AF,28,0),12,8)</f>
        <v>16:33:19</v>
      </c>
      <c r="AH80" t="str">
        <f t="shared" si="30"/>
        <v>2024-11-26 16:33:19</v>
      </c>
      <c r="AI80" t="str">
        <f>LEFT(VLOOKUP(A80, Fechas_Estado!A:AF,16,0),10)</f>
        <v/>
      </c>
      <c r="AJ80" t="str">
        <f>MID(VLOOKUP(A80, Fechas_Estado!A:AF,16,0),12,8)</f>
        <v/>
      </c>
      <c r="AK80" t="str">
        <f t="shared" si="31"/>
        <v xml:space="preserve"> </v>
      </c>
      <c r="AL80" t="e">
        <f t="shared" si="32"/>
        <v>#VALUE!</v>
      </c>
      <c r="AM80" t="str">
        <f>LEFT(VLOOKUP(A80, Fechas_Estado!A:AE,8,0),10)</f>
        <v/>
      </c>
      <c r="AN80" t="str">
        <f>MID(VLOOKUP(A80, Fechas_Estado!A:AE,8,0),12,8)</f>
        <v/>
      </c>
      <c r="AO80" t="str">
        <f t="shared" si="33"/>
        <v xml:space="preserve"> </v>
      </c>
      <c r="AP80" t="str">
        <f>LEFT(VLOOKUP(A80, Fechas_Estado!A:AE,7,0),10)</f>
        <v/>
      </c>
      <c r="AQ80" t="str">
        <f>MID(VLOOKUP(A80, Fechas_Estado!A:AE,7,0),12,8)</f>
        <v/>
      </c>
      <c r="AR80" t="str">
        <f t="shared" si="34"/>
        <v xml:space="preserve"> </v>
      </c>
      <c r="AS80" t="str">
        <f>LEFT(VLOOKUP(A80, Fechas_Estado!A:AE,10,0),10)</f>
        <v/>
      </c>
      <c r="AT80" t="str">
        <f>MID(VLOOKUP(A80, Fechas_Estado!A:AE,10,0),12,8)</f>
        <v/>
      </c>
      <c r="AU80" t="str">
        <f t="shared" si="35"/>
        <v xml:space="preserve"> </v>
      </c>
      <c r="AV80" t="str">
        <f>LEFT(VLOOKUP(A80, Fechas_Estado!A:AE,17,0),10)</f>
        <v>2024-11-27</v>
      </c>
      <c r="AW80" t="str">
        <f>MID(VLOOKUP(A80, Fechas_Estado!A:AE,17,0),12,8)</f>
        <v>09:43:32</v>
      </c>
      <c r="AX80" t="str">
        <f t="shared" si="36"/>
        <v>2024-11-27 09:43:32</v>
      </c>
      <c r="AY80" t="e">
        <f t="shared" si="37"/>
        <v>#VALUE!</v>
      </c>
      <c r="AZ80" t="str">
        <f>LEFT(VLOOKUP(A80, Fechas_Estado!A:AE,5,0),10)</f>
        <v>2024-11-28</v>
      </c>
      <c r="BA80" t="str">
        <f>MID(VLOOKUP(A80, Fechas_Estado!A:AE,5,0),12,8)</f>
        <v>15:19:16</v>
      </c>
      <c r="BB80" t="str">
        <f t="shared" si="38"/>
        <v>2024-11-28 15:19:16</v>
      </c>
      <c r="BC80">
        <f t="shared" si="39"/>
        <v>1.2331481481451192</v>
      </c>
    </row>
    <row r="81" spans="1:55" x14ac:dyDescent="0.25">
      <c r="A81" t="str">
        <f>Fechas_Estado!A80</f>
        <v>ESPC360-13534</v>
      </c>
      <c r="B81" t="str">
        <f>LEFT(VLOOKUP(A81,Fechas_Estado!A:AE,2,0),10)</f>
        <v>2024-11-26</v>
      </c>
      <c r="C81" t="str">
        <f>MID(VLOOKUP(A81, Fechas_Estado!A:AE,2,0),12,8)</f>
        <v>10:50:50</v>
      </c>
      <c r="D81" t="str">
        <f t="shared" si="20"/>
        <v>2024-11-26 10:50:50</v>
      </c>
      <c r="E81" t="str">
        <f>LEFT(VLOOKUP(A81, Fechas_Estado!A:AE,19,0),10)</f>
        <v/>
      </c>
      <c r="F81" t="str">
        <f>MID(VLOOKUP(A81, Fechas_Estado!A:AE,19,0),12,8)</f>
        <v/>
      </c>
      <c r="G81" t="str">
        <f t="shared" si="21"/>
        <v xml:space="preserve"> </v>
      </c>
      <c r="H81" t="str">
        <f>LEFT(VLOOKUP(A81, Fechas_Estado!A:AE,20,0),10)</f>
        <v/>
      </c>
      <c r="I81" t="str">
        <f>MID(VLOOKUP(A81, Fechas_Estado!A:AE,20,0),12,8)</f>
        <v/>
      </c>
      <c r="J81" t="str">
        <f t="shared" si="22"/>
        <v xml:space="preserve"> </v>
      </c>
      <c r="K81" t="str">
        <f>LEFT(VLOOKUP(A81, Fechas_Estado!A:AE,21,0),10)</f>
        <v/>
      </c>
      <c r="L81" t="str">
        <f>MID(VLOOKUP(A81, Fechas_Estado!A:AE,21,0),12,8)</f>
        <v/>
      </c>
      <c r="M81" t="str">
        <f t="shared" si="23"/>
        <v xml:space="preserve"> </v>
      </c>
      <c r="N81" t="str">
        <f>LEFT(VLOOKUP(A81, Fechas_Estado!A:AE,22,0),10)</f>
        <v/>
      </c>
      <c r="O81" t="str">
        <f>MID(VLOOKUP(A81, Fechas_Estado!A:AE,22,0),12,8)</f>
        <v/>
      </c>
      <c r="P81" t="str">
        <f t="shared" si="24"/>
        <v xml:space="preserve"> </v>
      </c>
      <c r="Q81" t="str">
        <f>LEFT(VLOOKUP(A81, Fechas_Estado!A:AE,23,0),10)</f>
        <v/>
      </c>
      <c r="R81" t="str">
        <f>MID(VLOOKUP(A81, Fechas_Estado!A:AE,23,0),12,8)</f>
        <v/>
      </c>
      <c r="S81" t="str">
        <f t="shared" si="25"/>
        <v xml:space="preserve"> </v>
      </c>
      <c r="T81" t="str">
        <f>LEFT(VLOOKUP(A81, Fechas_Estado!A:AE,24,0),10)</f>
        <v/>
      </c>
      <c r="U81" t="str">
        <f>MID(VLOOKUP(A81, Fechas_Estado!A:AE,24,0),12,8)</f>
        <v/>
      </c>
      <c r="V81" t="str">
        <f t="shared" si="26"/>
        <v xml:space="preserve"> </v>
      </c>
      <c r="W81" t="str">
        <f>LEFT(VLOOKUP(A81, Fechas_Estado!A:AE,25,0),10)</f>
        <v>2024-11-26</v>
      </c>
      <c r="X81" t="str">
        <f>MID(VLOOKUP(A81, Fechas_Estado!A:AE,25,0),12,8)</f>
        <v>10:51:03</v>
      </c>
      <c r="Y81" t="str">
        <f t="shared" si="27"/>
        <v>2024-11-26 10:51:03</v>
      </c>
      <c r="Z81" t="str">
        <f>LEFT(VLOOKUP(A81, Fechas_Estado!A:AE,26,0),10)</f>
        <v>2024-12-04</v>
      </c>
      <c r="AA81" t="str">
        <f>MID(VLOOKUP(A81, Fechas_Estado!A:AE,26,0),12,8)</f>
        <v>17:41:43</v>
      </c>
      <c r="AB81" t="str">
        <f t="shared" si="28"/>
        <v>2024-12-04 17:41:43</v>
      </c>
      <c r="AC81" t="str">
        <f>LEFT(VLOOKUP(A81, Fechas_Estado!A:AE,27,0),10)</f>
        <v>2024-12-13</v>
      </c>
      <c r="AD81" t="str">
        <f>MID(VLOOKUP(A81, Fechas_Estado!A:AE,27,0),12,8)</f>
        <v>14:51:39</v>
      </c>
      <c r="AE81" t="str">
        <f t="shared" si="29"/>
        <v>2024-12-13 14:51:39</v>
      </c>
      <c r="AF81" t="str">
        <f>LEFT(VLOOKUP(A81, Fechas_Estado!A:AF,28,0),10)</f>
        <v>2024-12-16</v>
      </c>
      <c r="AG81" t="str">
        <f>MID(VLOOKUP(A81, Fechas_Estado!A:AF,28,0),12,8)</f>
        <v>09:44:49</v>
      </c>
      <c r="AH81" t="str">
        <f t="shared" si="30"/>
        <v>2024-12-16 09:44:49</v>
      </c>
      <c r="AI81" t="str">
        <f>LEFT(VLOOKUP(A81, Fechas_Estado!A:AF,16,0),10)</f>
        <v/>
      </c>
      <c r="AJ81" t="str">
        <f>MID(VLOOKUP(A81, Fechas_Estado!A:AF,16,0),12,8)</f>
        <v/>
      </c>
      <c r="AK81" t="str">
        <f t="shared" si="31"/>
        <v xml:space="preserve"> </v>
      </c>
      <c r="AL81" t="e">
        <f t="shared" si="32"/>
        <v>#VALUE!</v>
      </c>
      <c r="AM81" t="str">
        <f>LEFT(VLOOKUP(A81, Fechas_Estado!A:AE,8,0),10)</f>
        <v/>
      </c>
      <c r="AN81" t="str">
        <f>MID(VLOOKUP(A81, Fechas_Estado!A:AE,8,0),12,8)</f>
        <v/>
      </c>
      <c r="AO81" t="str">
        <f t="shared" si="33"/>
        <v xml:space="preserve"> </v>
      </c>
      <c r="AP81" t="str">
        <f>LEFT(VLOOKUP(A81, Fechas_Estado!A:AE,7,0),10)</f>
        <v/>
      </c>
      <c r="AQ81" t="str">
        <f>MID(VLOOKUP(A81, Fechas_Estado!A:AE,7,0),12,8)</f>
        <v/>
      </c>
      <c r="AR81" t="str">
        <f t="shared" si="34"/>
        <v xml:space="preserve"> </v>
      </c>
      <c r="AS81" t="str">
        <f>LEFT(VLOOKUP(A81, Fechas_Estado!A:AE,10,0),10)</f>
        <v/>
      </c>
      <c r="AT81" t="str">
        <f>MID(VLOOKUP(A81, Fechas_Estado!A:AE,10,0),12,8)</f>
        <v/>
      </c>
      <c r="AU81" t="str">
        <f t="shared" si="35"/>
        <v xml:space="preserve"> </v>
      </c>
      <c r="AV81" t="str">
        <f>LEFT(VLOOKUP(A81, Fechas_Estado!A:AE,17,0),10)</f>
        <v/>
      </c>
      <c r="AW81" t="str">
        <f>MID(VLOOKUP(A81, Fechas_Estado!A:AE,17,0),12,8)</f>
        <v/>
      </c>
      <c r="AX81" t="str">
        <f t="shared" si="36"/>
        <v xml:space="preserve"> </v>
      </c>
      <c r="AY81" t="e">
        <f t="shared" si="37"/>
        <v>#VALUE!</v>
      </c>
      <c r="AZ81" t="str">
        <f>LEFT(VLOOKUP(A81, Fechas_Estado!A:AE,5,0),10)</f>
        <v/>
      </c>
      <c r="BA81" t="str">
        <f>MID(VLOOKUP(A81, Fechas_Estado!A:AE,5,0),12,8)</f>
        <v/>
      </c>
      <c r="BB81" t="str">
        <f t="shared" si="38"/>
        <v xml:space="preserve"> </v>
      </c>
      <c r="BC81" t="e">
        <f t="shared" si="39"/>
        <v>#VALUE!</v>
      </c>
    </row>
    <row r="82" spans="1:55" x14ac:dyDescent="0.25">
      <c r="A82" t="str">
        <f>Fechas_Estado!A81</f>
        <v>ESPC360-13535</v>
      </c>
      <c r="B82" t="str">
        <f>LEFT(VLOOKUP(A82,Fechas_Estado!A:AE,2,0),10)</f>
        <v>2024-11-26</v>
      </c>
      <c r="C82" t="str">
        <f>MID(VLOOKUP(A82, Fechas_Estado!A:AE,2,0),12,8)</f>
        <v>11:07:14</v>
      </c>
      <c r="D82" t="str">
        <f t="shared" si="20"/>
        <v>2024-11-26 11:07:14</v>
      </c>
      <c r="E82" t="str">
        <f>LEFT(VLOOKUP(A82, Fechas_Estado!A:AE,19,0),10)</f>
        <v/>
      </c>
      <c r="F82" t="str">
        <f>MID(VLOOKUP(A82, Fechas_Estado!A:AE,19,0),12,8)</f>
        <v/>
      </c>
      <c r="G82" t="str">
        <f t="shared" si="21"/>
        <v xml:space="preserve"> </v>
      </c>
      <c r="H82" t="str">
        <f>LEFT(VLOOKUP(A82, Fechas_Estado!A:AE,20,0),10)</f>
        <v/>
      </c>
      <c r="I82" t="str">
        <f>MID(VLOOKUP(A82, Fechas_Estado!A:AE,20,0),12,8)</f>
        <v/>
      </c>
      <c r="J82" t="str">
        <f t="shared" si="22"/>
        <v xml:space="preserve"> </v>
      </c>
      <c r="K82" t="str">
        <f>LEFT(VLOOKUP(A82, Fechas_Estado!A:AE,21,0),10)</f>
        <v/>
      </c>
      <c r="L82" t="str">
        <f>MID(VLOOKUP(A82, Fechas_Estado!A:AE,21,0),12,8)</f>
        <v/>
      </c>
      <c r="M82" t="str">
        <f t="shared" si="23"/>
        <v xml:space="preserve"> </v>
      </c>
      <c r="N82" t="str">
        <f>LEFT(VLOOKUP(A82, Fechas_Estado!A:AE,22,0),10)</f>
        <v/>
      </c>
      <c r="O82" t="str">
        <f>MID(VLOOKUP(A82, Fechas_Estado!A:AE,22,0),12,8)</f>
        <v/>
      </c>
      <c r="P82" t="str">
        <f t="shared" si="24"/>
        <v xml:space="preserve"> </v>
      </c>
      <c r="Q82" t="str">
        <f>LEFT(VLOOKUP(A82, Fechas_Estado!A:AE,23,0),10)</f>
        <v/>
      </c>
      <c r="R82" t="str">
        <f>MID(VLOOKUP(A82, Fechas_Estado!A:AE,23,0),12,8)</f>
        <v/>
      </c>
      <c r="S82" t="str">
        <f t="shared" si="25"/>
        <v xml:space="preserve"> </v>
      </c>
      <c r="T82" t="str">
        <f>LEFT(VLOOKUP(A82, Fechas_Estado!A:AE,24,0),10)</f>
        <v/>
      </c>
      <c r="U82" t="str">
        <f>MID(VLOOKUP(A82, Fechas_Estado!A:AE,24,0),12,8)</f>
        <v/>
      </c>
      <c r="V82" t="str">
        <f t="shared" si="26"/>
        <v xml:space="preserve"> </v>
      </c>
      <c r="W82" t="str">
        <f>LEFT(VLOOKUP(A82, Fechas_Estado!A:AE,25,0),10)</f>
        <v>2024-11-26</v>
      </c>
      <c r="X82" t="str">
        <f>MID(VLOOKUP(A82, Fechas_Estado!A:AE,25,0),12,8)</f>
        <v>11:07:26</v>
      </c>
      <c r="Y82" t="str">
        <f t="shared" si="27"/>
        <v>2024-11-26 11:07:26</v>
      </c>
      <c r="Z82" t="str">
        <f>LEFT(VLOOKUP(A82, Fechas_Estado!A:AE,26,0),10)</f>
        <v>2024-12-04</v>
      </c>
      <c r="AA82" t="str">
        <f>MID(VLOOKUP(A82, Fechas_Estado!A:AE,26,0),12,8)</f>
        <v>17:41:47</v>
      </c>
      <c r="AB82" t="str">
        <f t="shared" si="28"/>
        <v>2024-12-04 17:41:47</v>
      </c>
      <c r="AC82" t="str">
        <f>LEFT(VLOOKUP(A82, Fechas_Estado!A:AE,27,0),10)</f>
        <v>2024-12-13</v>
      </c>
      <c r="AD82" t="str">
        <f>MID(VLOOKUP(A82, Fechas_Estado!A:AE,27,0),12,8)</f>
        <v>15:05:44</v>
      </c>
      <c r="AE82" t="str">
        <f t="shared" si="29"/>
        <v>2024-12-13 15:05:44</v>
      </c>
      <c r="AF82" t="str">
        <f>LEFT(VLOOKUP(A82, Fechas_Estado!A:AF,28,0),10)</f>
        <v>2024-12-16</v>
      </c>
      <c r="AG82" t="str">
        <f>MID(VLOOKUP(A82, Fechas_Estado!A:AF,28,0),12,8)</f>
        <v>09:44:58</v>
      </c>
      <c r="AH82" t="str">
        <f t="shared" si="30"/>
        <v>2024-12-16 09:44:58</v>
      </c>
      <c r="AI82" t="str">
        <f>LEFT(VLOOKUP(A82, Fechas_Estado!A:AF,16,0),10)</f>
        <v/>
      </c>
      <c r="AJ82" t="str">
        <f>MID(VLOOKUP(A82, Fechas_Estado!A:AF,16,0),12,8)</f>
        <v/>
      </c>
      <c r="AK82" t="str">
        <f t="shared" si="31"/>
        <v xml:space="preserve"> </v>
      </c>
      <c r="AL82" t="e">
        <f t="shared" si="32"/>
        <v>#VALUE!</v>
      </c>
      <c r="AM82" t="str">
        <f>LEFT(VLOOKUP(A82, Fechas_Estado!A:AE,8,0),10)</f>
        <v/>
      </c>
      <c r="AN82" t="str">
        <f>MID(VLOOKUP(A82, Fechas_Estado!A:AE,8,0),12,8)</f>
        <v/>
      </c>
      <c r="AO82" t="str">
        <f t="shared" si="33"/>
        <v xml:space="preserve"> </v>
      </c>
      <c r="AP82" t="str">
        <f>LEFT(VLOOKUP(A82, Fechas_Estado!A:AE,7,0),10)</f>
        <v/>
      </c>
      <c r="AQ82" t="str">
        <f>MID(VLOOKUP(A82, Fechas_Estado!A:AE,7,0),12,8)</f>
        <v/>
      </c>
      <c r="AR82" t="str">
        <f t="shared" si="34"/>
        <v xml:space="preserve"> </v>
      </c>
      <c r="AS82" t="str">
        <f>LEFT(VLOOKUP(A82, Fechas_Estado!A:AE,10,0),10)</f>
        <v/>
      </c>
      <c r="AT82" t="str">
        <f>MID(VLOOKUP(A82, Fechas_Estado!A:AE,10,0),12,8)</f>
        <v/>
      </c>
      <c r="AU82" t="str">
        <f t="shared" si="35"/>
        <v xml:space="preserve"> </v>
      </c>
      <c r="AV82" t="str">
        <f>LEFT(VLOOKUP(A82, Fechas_Estado!A:AE,17,0),10)</f>
        <v/>
      </c>
      <c r="AW82" t="str">
        <f>MID(VLOOKUP(A82, Fechas_Estado!A:AE,17,0),12,8)</f>
        <v/>
      </c>
      <c r="AX82" t="str">
        <f t="shared" si="36"/>
        <v xml:space="preserve"> </v>
      </c>
      <c r="AY82" t="e">
        <f t="shared" si="37"/>
        <v>#VALUE!</v>
      </c>
      <c r="AZ82" t="str">
        <f>LEFT(VLOOKUP(A82, Fechas_Estado!A:AE,5,0),10)</f>
        <v/>
      </c>
      <c r="BA82" t="str">
        <f>MID(VLOOKUP(A82, Fechas_Estado!A:AE,5,0),12,8)</f>
        <v/>
      </c>
      <c r="BB82" t="str">
        <f t="shared" si="38"/>
        <v xml:space="preserve"> </v>
      </c>
      <c r="BC82" t="e">
        <f t="shared" si="39"/>
        <v>#VALUE!</v>
      </c>
    </row>
    <row r="83" spans="1:55" x14ac:dyDescent="0.25">
      <c r="A83" t="str">
        <f>Fechas_Estado!A82</f>
        <v>ESPC360-13540</v>
      </c>
      <c r="B83" t="str">
        <f>LEFT(VLOOKUP(A83,Fechas_Estado!A:AE,2,0),10)</f>
        <v>2024-11-26</v>
      </c>
      <c r="C83" t="str">
        <f>MID(VLOOKUP(A83, Fechas_Estado!A:AE,2,0),12,8)</f>
        <v>15:28:36</v>
      </c>
      <c r="D83" t="str">
        <f t="shared" si="20"/>
        <v>2024-11-26 15:28:36</v>
      </c>
      <c r="E83" t="str">
        <f>LEFT(VLOOKUP(A83, Fechas_Estado!A:AE,19,0),10)</f>
        <v/>
      </c>
      <c r="F83" t="str">
        <f>MID(VLOOKUP(A83, Fechas_Estado!A:AE,19,0),12,8)</f>
        <v/>
      </c>
      <c r="G83" t="str">
        <f t="shared" si="21"/>
        <v xml:space="preserve"> </v>
      </c>
      <c r="H83" t="str">
        <f>LEFT(VLOOKUP(A83, Fechas_Estado!A:AE,20,0),10)</f>
        <v/>
      </c>
      <c r="I83" t="str">
        <f>MID(VLOOKUP(A83, Fechas_Estado!A:AE,20,0),12,8)</f>
        <v/>
      </c>
      <c r="J83" t="str">
        <f t="shared" si="22"/>
        <v xml:space="preserve"> </v>
      </c>
      <c r="K83" t="str">
        <f>LEFT(VLOOKUP(A83, Fechas_Estado!A:AE,21,0),10)</f>
        <v/>
      </c>
      <c r="L83" t="str">
        <f>MID(VLOOKUP(A83, Fechas_Estado!A:AE,21,0),12,8)</f>
        <v/>
      </c>
      <c r="M83" t="str">
        <f t="shared" si="23"/>
        <v xml:space="preserve"> </v>
      </c>
      <c r="N83" t="str">
        <f>LEFT(VLOOKUP(A83, Fechas_Estado!A:AE,22,0),10)</f>
        <v/>
      </c>
      <c r="O83" t="str">
        <f>MID(VLOOKUP(A83, Fechas_Estado!A:AE,22,0),12,8)</f>
        <v/>
      </c>
      <c r="P83" t="str">
        <f t="shared" si="24"/>
        <v xml:space="preserve"> </v>
      </c>
      <c r="Q83" t="str">
        <f>LEFT(VLOOKUP(A83, Fechas_Estado!A:AE,23,0),10)</f>
        <v/>
      </c>
      <c r="R83" t="str">
        <f>MID(VLOOKUP(A83, Fechas_Estado!A:AE,23,0),12,8)</f>
        <v/>
      </c>
      <c r="S83" t="str">
        <f t="shared" si="25"/>
        <v xml:space="preserve"> </v>
      </c>
      <c r="T83" t="str">
        <f>LEFT(VLOOKUP(A83, Fechas_Estado!A:AE,24,0),10)</f>
        <v/>
      </c>
      <c r="U83" t="str">
        <f>MID(VLOOKUP(A83, Fechas_Estado!A:AE,24,0),12,8)</f>
        <v/>
      </c>
      <c r="V83" t="str">
        <f t="shared" si="26"/>
        <v xml:space="preserve"> </v>
      </c>
      <c r="W83" t="str">
        <f>LEFT(VLOOKUP(A83, Fechas_Estado!A:AE,25,0),10)</f>
        <v>2024-11-26</v>
      </c>
      <c r="X83" t="str">
        <f>MID(VLOOKUP(A83, Fechas_Estado!A:AE,25,0),12,8)</f>
        <v>15:28:49</v>
      </c>
      <c r="Y83" t="str">
        <f t="shared" si="27"/>
        <v>2024-11-26 15:28:49</v>
      </c>
      <c r="Z83" t="str">
        <f>LEFT(VLOOKUP(A83, Fechas_Estado!A:AE,26,0),10)</f>
        <v>2024-11-29</v>
      </c>
      <c r="AA83" t="str">
        <f>MID(VLOOKUP(A83, Fechas_Estado!A:AE,26,0),12,8)</f>
        <v>11:18:57</v>
      </c>
      <c r="AB83" t="str">
        <f t="shared" si="28"/>
        <v>2024-11-29 11:18:57</v>
      </c>
      <c r="AC83" t="str">
        <f>LEFT(VLOOKUP(A83, Fechas_Estado!A:AE,27,0),10)</f>
        <v>2024-11-29</v>
      </c>
      <c r="AD83" t="str">
        <f>MID(VLOOKUP(A83, Fechas_Estado!A:AE,27,0),12,8)</f>
        <v>11:39:41</v>
      </c>
      <c r="AE83" t="str">
        <f t="shared" si="29"/>
        <v>2024-11-29 11:39:41</v>
      </c>
      <c r="AF83" t="str">
        <f>LEFT(VLOOKUP(A83, Fechas_Estado!A:AF,28,0),10)</f>
        <v/>
      </c>
      <c r="AG83" t="str">
        <f>MID(VLOOKUP(A83, Fechas_Estado!A:AF,28,0),12,8)</f>
        <v/>
      </c>
      <c r="AH83" t="str">
        <f t="shared" si="30"/>
        <v xml:space="preserve"> </v>
      </c>
      <c r="AI83" t="str">
        <f>LEFT(VLOOKUP(A83, Fechas_Estado!A:AF,16,0),10)</f>
        <v>2024-12-04</v>
      </c>
      <c r="AJ83" t="str">
        <f>MID(VLOOKUP(A83, Fechas_Estado!A:AF,16,0),12,8)</f>
        <v>10:34:48</v>
      </c>
      <c r="AK83" t="str">
        <f t="shared" si="31"/>
        <v>2024-12-04 10:34:48</v>
      </c>
      <c r="AL83">
        <f t="shared" si="32"/>
        <v>7.7959722222221899</v>
      </c>
      <c r="AM83" t="str">
        <f>LEFT(VLOOKUP(A83, Fechas_Estado!A:AE,8,0),10)</f>
        <v/>
      </c>
      <c r="AN83" t="str">
        <f>MID(VLOOKUP(A83, Fechas_Estado!A:AE,8,0),12,8)</f>
        <v/>
      </c>
      <c r="AO83" t="str">
        <f t="shared" si="33"/>
        <v xml:space="preserve"> </v>
      </c>
      <c r="AP83" t="str">
        <f>LEFT(VLOOKUP(A83, Fechas_Estado!A:AE,7,0),10)</f>
        <v/>
      </c>
      <c r="AQ83" t="str">
        <f>MID(VLOOKUP(A83, Fechas_Estado!A:AE,7,0),12,8)</f>
        <v/>
      </c>
      <c r="AR83" t="str">
        <f t="shared" si="34"/>
        <v xml:space="preserve"> </v>
      </c>
      <c r="AS83" t="str">
        <f>LEFT(VLOOKUP(A83, Fechas_Estado!A:AE,10,0),10)</f>
        <v/>
      </c>
      <c r="AT83" t="str">
        <f>MID(VLOOKUP(A83, Fechas_Estado!A:AE,10,0),12,8)</f>
        <v/>
      </c>
      <c r="AU83" t="str">
        <f t="shared" si="35"/>
        <v xml:space="preserve"> </v>
      </c>
      <c r="AV83" t="str">
        <f>LEFT(VLOOKUP(A83, Fechas_Estado!A:AE,17,0),10)</f>
        <v/>
      </c>
      <c r="AW83" t="str">
        <f>MID(VLOOKUP(A83, Fechas_Estado!A:AE,17,0),12,8)</f>
        <v/>
      </c>
      <c r="AX83" t="str">
        <f t="shared" si="36"/>
        <v xml:space="preserve"> </v>
      </c>
      <c r="AY83" t="e">
        <f t="shared" si="37"/>
        <v>#VALUE!</v>
      </c>
      <c r="AZ83" t="str">
        <f>LEFT(VLOOKUP(A83, Fechas_Estado!A:AE,5,0),10)</f>
        <v/>
      </c>
      <c r="BA83" t="str">
        <f>MID(VLOOKUP(A83, Fechas_Estado!A:AE,5,0),12,8)</f>
        <v/>
      </c>
      <c r="BB83" t="str">
        <f t="shared" si="38"/>
        <v xml:space="preserve"> </v>
      </c>
      <c r="BC83" t="e">
        <f t="shared" si="39"/>
        <v>#VALUE!</v>
      </c>
    </row>
    <row r="84" spans="1:55" x14ac:dyDescent="0.25">
      <c r="A84" t="str">
        <f>Fechas_Estado!A83</f>
        <v>ESPC360-13557</v>
      </c>
      <c r="B84" t="str">
        <f>LEFT(VLOOKUP(A84,Fechas_Estado!A:AE,2,0),10)</f>
        <v>2024-11-28</v>
      </c>
      <c r="C84" t="str">
        <f>MID(VLOOKUP(A84, Fechas_Estado!A:AE,2,0),12,8)</f>
        <v>09:23:28</v>
      </c>
      <c r="D84" t="str">
        <f t="shared" si="20"/>
        <v>2024-11-28 09:23:28</v>
      </c>
      <c r="E84" t="str">
        <f>LEFT(VLOOKUP(A84, Fechas_Estado!A:AE,19,0),10)</f>
        <v/>
      </c>
      <c r="F84" t="str">
        <f>MID(VLOOKUP(A84, Fechas_Estado!A:AE,19,0),12,8)</f>
        <v/>
      </c>
      <c r="G84" t="str">
        <f t="shared" si="21"/>
        <v xml:space="preserve"> </v>
      </c>
      <c r="H84" t="str">
        <f>LEFT(VLOOKUP(A84, Fechas_Estado!A:AE,20,0),10)</f>
        <v/>
      </c>
      <c r="I84" t="str">
        <f>MID(VLOOKUP(A84, Fechas_Estado!A:AE,20,0),12,8)</f>
        <v/>
      </c>
      <c r="J84" t="str">
        <f t="shared" si="22"/>
        <v xml:space="preserve"> </v>
      </c>
      <c r="K84" t="str">
        <f>LEFT(VLOOKUP(A84, Fechas_Estado!A:AE,21,0),10)</f>
        <v/>
      </c>
      <c r="L84" t="str">
        <f>MID(VLOOKUP(A84, Fechas_Estado!A:AE,21,0),12,8)</f>
        <v/>
      </c>
      <c r="M84" t="str">
        <f t="shared" si="23"/>
        <v xml:space="preserve"> </v>
      </c>
      <c r="N84" t="str">
        <f>LEFT(VLOOKUP(A84, Fechas_Estado!A:AE,22,0),10)</f>
        <v/>
      </c>
      <c r="O84" t="str">
        <f>MID(VLOOKUP(A84, Fechas_Estado!A:AE,22,0),12,8)</f>
        <v/>
      </c>
      <c r="P84" t="str">
        <f t="shared" si="24"/>
        <v xml:space="preserve"> </v>
      </c>
      <c r="Q84" t="str">
        <f>LEFT(VLOOKUP(A84, Fechas_Estado!A:AE,23,0),10)</f>
        <v/>
      </c>
      <c r="R84" t="str">
        <f>MID(VLOOKUP(A84, Fechas_Estado!A:AE,23,0),12,8)</f>
        <v/>
      </c>
      <c r="S84" t="str">
        <f t="shared" si="25"/>
        <v xml:space="preserve"> </v>
      </c>
      <c r="T84" t="str">
        <f>LEFT(VLOOKUP(A84, Fechas_Estado!A:AE,24,0),10)</f>
        <v/>
      </c>
      <c r="U84" t="str">
        <f>MID(VLOOKUP(A84, Fechas_Estado!A:AE,24,0),12,8)</f>
        <v/>
      </c>
      <c r="V84" t="str">
        <f t="shared" si="26"/>
        <v xml:space="preserve"> </v>
      </c>
      <c r="W84" t="str">
        <f>LEFT(VLOOKUP(A84, Fechas_Estado!A:AE,25,0),10)</f>
        <v>2024-11-28</v>
      </c>
      <c r="X84" t="str">
        <f>MID(VLOOKUP(A84, Fechas_Estado!A:AE,25,0),12,8)</f>
        <v>09:23:40</v>
      </c>
      <c r="Y84" t="str">
        <f t="shared" si="27"/>
        <v>2024-11-28 09:23:40</v>
      </c>
      <c r="Z84" t="str">
        <f>LEFT(VLOOKUP(A84, Fechas_Estado!A:AE,26,0),10)</f>
        <v>2024-12-13</v>
      </c>
      <c r="AA84" t="str">
        <f>MID(VLOOKUP(A84, Fechas_Estado!A:AE,26,0),12,8)</f>
        <v>15:28:12</v>
      </c>
      <c r="AB84" t="str">
        <f t="shared" si="28"/>
        <v>2024-12-13 15:28:12</v>
      </c>
      <c r="AC84" t="str">
        <f>LEFT(VLOOKUP(A84, Fechas_Estado!A:AE,27,0),10)</f>
        <v>2024-12-16</v>
      </c>
      <c r="AD84" t="str">
        <f>MID(VLOOKUP(A84, Fechas_Estado!A:AE,27,0),12,8)</f>
        <v>12:40:32</v>
      </c>
      <c r="AE84" t="str">
        <f t="shared" si="29"/>
        <v>2024-12-16 12:40:32</v>
      </c>
      <c r="AF84" t="str">
        <f>LEFT(VLOOKUP(A84, Fechas_Estado!A:AF,28,0),10)</f>
        <v/>
      </c>
      <c r="AG84" t="str">
        <f>MID(VLOOKUP(A84, Fechas_Estado!A:AF,28,0),12,8)</f>
        <v/>
      </c>
      <c r="AH84" t="str">
        <f t="shared" si="30"/>
        <v xml:space="preserve"> </v>
      </c>
      <c r="AI84" t="str">
        <f>LEFT(VLOOKUP(A84, Fechas_Estado!A:AF,16,0),10)</f>
        <v/>
      </c>
      <c r="AJ84" t="str">
        <f>MID(VLOOKUP(A84, Fechas_Estado!A:AF,16,0),12,8)</f>
        <v/>
      </c>
      <c r="AK84" t="str">
        <f t="shared" si="31"/>
        <v xml:space="preserve"> </v>
      </c>
      <c r="AL84" t="e">
        <f t="shared" si="32"/>
        <v>#VALUE!</v>
      </c>
      <c r="AM84" t="str">
        <f>LEFT(VLOOKUP(A84, Fechas_Estado!A:AE,8,0),10)</f>
        <v/>
      </c>
      <c r="AN84" t="str">
        <f>MID(VLOOKUP(A84, Fechas_Estado!A:AE,8,0),12,8)</f>
        <v/>
      </c>
      <c r="AO84" t="str">
        <f t="shared" si="33"/>
        <v xml:space="preserve"> </v>
      </c>
      <c r="AP84" t="str">
        <f>LEFT(VLOOKUP(A84, Fechas_Estado!A:AE,7,0),10)</f>
        <v/>
      </c>
      <c r="AQ84" t="str">
        <f>MID(VLOOKUP(A84, Fechas_Estado!A:AE,7,0),12,8)</f>
        <v/>
      </c>
      <c r="AR84" t="str">
        <f t="shared" si="34"/>
        <v xml:space="preserve"> </v>
      </c>
      <c r="AS84" t="str">
        <f>LEFT(VLOOKUP(A84, Fechas_Estado!A:AE,10,0),10)</f>
        <v/>
      </c>
      <c r="AT84" t="str">
        <f>MID(VLOOKUP(A84, Fechas_Estado!A:AE,10,0),12,8)</f>
        <v/>
      </c>
      <c r="AU84" t="str">
        <f t="shared" si="35"/>
        <v xml:space="preserve"> </v>
      </c>
      <c r="AV84" t="str">
        <f>LEFT(VLOOKUP(A84, Fechas_Estado!A:AE,17,0),10)</f>
        <v/>
      </c>
      <c r="AW84" t="str">
        <f>MID(VLOOKUP(A84, Fechas_Estado!A:AE,17,0),12,8)</f>
        <v/>
      </c>
      <c r="AX84" t="str">
        <f t="shared" si="36"/>
        <v xml:space="preserve"> </v>
      </c>
      <c r="AY84" t="e">
        <f t="shared" si="37"/>
        <v>#VALUE!</v>
      </c>
      <c r="AZ84" t="str">
        <f>LEFT(VLOOKUP(A84, Fechas_Estado!A:AE,5,0),10)</f>
        <v/>
      </c>
      <c r="BA84" t="str">
        <f>MID(VLOOKUP(A84, Fechas_Estado!A:AE,5,0),12,8)</f>
        <v/>
      </c>
      <c r="BB84" t="str">
        <f t="shared" si="38"/>
        <v xml:space="preserve"> </v>
      </c>
      <c r="BC84" t="e">
        <f t="shared" si="39"/>
        <v>#VALUE!</v>
      </c>
    </row>
    <row r="85" spans="1:55" x14ac:dyDescent="0.25">
      <c r="A85" t="str">
        <f>Fechas_Estado!A84</f>
        <v>ESPC360-13803</v>
      </c>
      <c r="B85" t="str">
        <f>LEFT(VLOOKUP(A85,Fechas_Estado!A:AE,2,0),10)</f>
        <v>2024-12-02</v>
      </c>
      <c r="C85" t="str">
        <f>MID(VLOOKUP(A85, Fechas_Estado!A:AE,2,0),12,8)</f>
        <v>14:59:22</v>
      </c>
      <c r="D85" t="str">
        <f t="shared" si="20"/>
        <v>2024-12-02 14:59:22</v>
      </c>
      <c r="E85" t="str">
        <f>LEFT(VLOOKUP(A85, Fechas_Estado!A:AE,19,0),10)</f>
        <v/>
      </c>
      <c r="F85" t="str">
        <f>MID(VLOOKUP(A85, Fechas_Estado!A:AE,19,0),12,8)</f>
        <v/>
      </c>
      <c r="G85" t="str">
        <f t="shared" si="21"/>
        <v xml:space="preserve"> </v>
      </c>
      <c r="H85" t="str">
        <f>LEFT(VLOOKUP(A85, Fechas_Estado!A:AE,20,0),10)</f>
        <v/>
      </c>
      <c r="I85" t="str">
        <f>MID(VLOOKUP(A85, Fechas_Estado!A:AE,20,0),12,8)</f>
        <v/>
      </c>
      <c r="J85" t="str">
        <f t="shared" si="22"/>
        <v xml:space="preserve"> </v>
      </c>
      <c r="K85" t="str">
        <f>LEFT(VLOOKUP(A85, Fechas_Estado!A:AE,21,0),10)</f>
        <v/>
      </c>
      <c r="L85" t="str">
        <f>MID(VLOOKUP(A85, Fechas_Estado!A:AE,21,0),12,8)</f>
        <v/>
      </c>
      <c r="M85" t="str">
        <f t="shared" si="23"/>
        <v xml:space="preserve"> </v>
      </c>
      <c r="N85" t="str">
        <f>LEFT(VLOOKUP(A85, Fechas_Estado!A:AE,22,0),10)</f>
        <v/>
      </c>
      <c r="O85" t="str">
        <f>MID(VLOOKUP(A85, Fechas_Estado!A:AE,22,0),12,8)</f>
        <v/>
      </c>
      <c r="P85" t="str">
        <f t="shared" si="24"/>
        <v xml:space="preserve"> </v>
      </c>
      <c r="Q85" t="str">
        <f>LEFT(VLOOKUP(A85, Fechas_Estado!A:AE,23,0),10)</f>
        <v/>
      </c>
      <c r="R85" t="str">
        <f>MID(VLOOKUP(A85, Fechas_Estado!A:AE,23,0),12,8)</f>
        <v/>
      </c>
      <c r="S85" t="str">
        <f t="shared" si="25"/>
        <v xml:space="preserve"> </v>
      </c>
      <c r="T85" t="str">
        <f>LEFT(VLOOKUP(A85, Fechas_Estado!A:AE,24,0),10)</f>
        <v/>
      </c>
      <c r="U85" t="str">
        <f>MID(VLOOKUP(A85, Fechas_Estado!A:AE,24,0),12,8)</f>
        <v/>
      </c>
      <c r="V85" t="str">
        <f t="shared" si="26"/>
        <v xml:space="preserve"> </v>
      </c>
      <c r="W85" t="str">
        <f>LEFT(VLOOKUP(A85, Fechas_Estado!A:AE,25,0),10)</f>
        <v>2024-12-02</v>
      </c>
      <c r="X85" t="str">
        <f>MID(VLOOKUP(A85, Fechas_Estado!A:AE,25,0),12,8)</f>
        <v>14:59:35</v>
      </c>
      <c r="Y85" t="str">
        <f t="shared" si="27"/>
        <v>2024-12-02 14:59:35</v>
      </c>
      <c r="Z85" t="str">
        <f>LEFT(VLOOKUP(A85, Fechas_Estado!A:AE,26,0),10)</f>
        <v/>
      </c>
      <c r="AA85" t="str">
        <f>MID(VLOOKUP(A85, Fechas_Estado!A:AE,26,0),12,8)</f>
        <v/>
      </c>
      <c r="AB85" t="str">
        <f t="shared" si="28"/>
        <v xml:space="preserve"> </v>
      </c>
      <c r="AC85" t="str">
        <f>LEFT(VLOOKUP(A85, Fechas_Estado!A:AE,27,0),10)</f>
        <v/>
      </c>
      <c r="AD85" t="str">
        <f>MID(VLOOKUP(A85, Fechas_Estado!A:AE,27,0),12,8)</f>
        <v/>
      </c>
      <c r="AE85" t="str">
        <f t="shared" si="29"/>
        <v xml:space="preserve"> </v>
      </c>
      <c r="AF85" t="str">
        <f>LEFT(VLOOKUP(A85, Fechas_Estado!A:AF,28,0),10)</f>
        <v/>
      </c>
      <c r="AG85" t="str">
        <f>MID(VLOOKUP(A85, Fechas_Estado!A:AF,28,0),12,8)</f>
        <v/>
      </c>
      <c r="AH85" t="str">
        <f t="shared" si="30"/>
        <v xml:space="preserve"> </v>
      </c>
      <c r="AI85" t="str">
        <f>LEFT(VLOOKUP(A85, Fechas_Estado!A:AF,16,0),10)</f>
        <v/>
      </c>
      <c r="AJ85" t="str">
        <f>MID(VLOOKUP(A85, Fechas_Estado!A:AF,16,0),12,8)</f>
        <v/>
      </c>
      <c r="AK85" t="str">
        <f t="shared" si="31"/>
        <v xml:space="preserve"> </v>
      </c>
      <c r="AL85" t="e">
        <f t="shared" si="32"/>
        <v>#VALUE!</v>
      </c>
      <c r="AM85" t="str">
        <f>LEFT(VLOOKUP(A85, Fechas_Estado!A:AE,8,0),10)</f>
        <v/>
      </c>
      <c r="AN85" t="str">
        <f>MID(VLOOKUP(A85, Fechas_Estado!A:AE,8,0),12,8)</f>
        <v/>
      </c>
      <c r="AO85" t="str">
        <f t="shared" si="33"/>
        <v xml:space="preserve"> </v>
      </c>
      <c r="AP85" t="str">
        <f>LEFT(VLOOKUP(A85, Fechas_Estado!A:AE,7,0),10)</f>
        <v/>
      </c>
      <c r="AQ85" t="str">
        <f>MID(VLOOKUP(A85, Fechas_Estado!A:AE,7,0),12,8)</f>
        <v/>
      </c>
      <c r="AR85" t="str">
        <f t="shared" si="34"/>
        <v xml:space="preserve"> </v>
      </c>
      <c r="AS85" t="str">
        <f>LEFT(VLOOKUP(A85, Fechas_Estado!A:AE,10,0),10)</f>
        <v/>
      </c>
      <c r="AT85" t="str">
        <f>MID(VLOOKUP(A85, Fechas_Estado!A:AE,10,0),12,8)</f>
        <v/>
      </c>
      <c r="AU85" t="str">
        <f t="shared" si="35"/>
        <v xml:space="preserve"> </v>
      </c>
      <c r="AV85" t="str">
        <f>LEFT(VLOOKUP(A85, Fechas_Estado!A:AE,17,0),10)</f>
        <v/>
      </c>
      <c r="AW85" t="str">
        <f>MID(VLOOKUP(A85, Fechas_Estado!A:AE,17,0),12,8)</f>
        <v/>
      </c>
      <c r="AX85" t="str">
        <f t="shared" si="36"/>
        <v xml:space="preserve"> </v>
      </c>
      <c r="AY85" t="e">
        <f t="shared" si="37"/>
        <v>#VALUE!</v>
      </c>
      <c r="AZ85" t="str">
        <f>LEFT(VLOOKUP(A85, Fechas_Estado!A:AE,5,0),10)</f>
        <v/>
      </c>
      <c r="BA85" t="str">
        <f>MID(VLOOKUP(A85, Fechas_Estado!A:AE,5,0),12,8)</f>
        <v/>
      </c>
      <c r="BB85" t="str">
        <f t="shared" si="38"/>
        <v xml:space="preserve"> </v>
      </c>
      <c r="BC85" t="e">
        <f t="shared" si="39"/>
        <v>#VALUE!</v>
      </c>
    </row>
    <row r="86" spans="1:55" x14ac:dyDescent="0.25">
      <c r="A86" t="str">
        <f>Fechas_Estado!A85</f>
        <v>ESPC360-13804</v>
      </c>
      <c r="B86" t="str">
        <f>LEFT(VLOOKUP(A86,Fechas_Estado!A:AE,2,0),10)</f>
        <v>2024-12-02</v>
      </c>
      <c r="C86" t="str">
        <f>MID(VLOOKUP(A86, Fechas_Estado!A:AE,2,0),12,8)</f>
        <v>15:06:15</v>
      </c>
      <c r="D86" t="str">
        <f t="shared" si="20"/>
        <v>2024-12-02 15:06:15</v>
      </c>
      <c r="E86" t="str">
        <f>LEFT(VLOOKUP(A86, Fechas_Estado!A:AE,19,0),10)</f>
        <v/>
      </c>
      <c r="F86" t="str">
        <f>MID(VLOOKUP(A86, Fechas_Estado!A:AE,19,0),12,8)</f>
        <v/>
      </c>
      <c r="G86" t="str">
        <f t="shared" si="21"/>
        <v xml:space="preserve"> </v>
      </c>
      <c r="H86" t="str">
        <f>LEFT(VLOOKUP(A86, Fechas_Estado!A:AE,20,0),10)</f>
        <v/>
      </c>
      <c r="I86" t="str">
        <f>MID(VLOOKUP(A86, Fechas_Estado!A:AE,20,0),12,8)</f>
        <v/>
      </c>
      <c r="J86" t="str">
        <f t="shared" si="22"/>
        <v xml:space="preserve"> </v>
      </c>
      <c r="K86" t="str">
        <f>LEFT(VLOOKUP(A86, Fechas_Estado!A:AE,21,0),10)</f>
        <v/>
      </c>
      <c r="L86" t="str">
        <f>MID(VLOOKUP(A86, Fechas_Estado!A:AE,21,0),12,8)</f>
        <v/>
      </c>
      <c r="M86" t="str">
        <f t="shared" si="23"/>
        <v xml:space="preserve"> </v>
      </c>
      <c r="N86" t="str">
        <f>LEFT(VLOOKUP(A86, Fechas_Estado!A:AE,22,0),10)</f>
        <v/>
      </c>
      <c r="O86" t="str">
        <f>MID(VLOOKUP(A86, Fechas_Estado!A:AE,22,0),12,8)</f>
        <v/>
      </c>
      <c r="P86" t="str">
        <f t="shared" si="24"/>
        <v xml:space="preserve"> </v>
      </c>
      <c r="Q86" t="str">
        <f>LEFT(VLOOKUP(A86, Fechas_Estado!A:AE,23,0),10)</f>
        <v/>
      </c>
      <c r="R86" t="str">
        <f>MID(VLOOKUP(A86, Fechas_Estado!A:AE,23,0),12,8)</f>
        <v/>
      </c>
      <c r="S86" t="str">
        <f t="shared" si="25"/>
        <v xml:space="preserve"> </v>
      </c>
      <c r="T86" t="str">
        <f>LEFT(VLOOKUP(A86, Fechas_Estado!A:AE,24,0),10)</f>
        <v/>
      </c>
      <c r="U86" t="str">
        <f>MID(VLOOKUP(A86, Fechas_Estado!A:AE,24,0),12,8)</f>
        <v/>
      </c>
      <c r="V86" t="str">
        <f t="shared" si="26"/>
        <v xml:space="preserve"> </v>
      </c>
      <c r="W86" t="str">
        <f>LEFT(VLOOKUP(A86, Fechas_Estado!A:AE,25,0),10)</f>
        <v>2024-12-02</v>
      </c>
      <c r="X86" t="str">
        <f>MID(VLOOKUP(A86, Fechas_Estado!A:AE,25,0),12,8)</f>
        <v>15:06:30</v>
      </c>
      <c r="Y86" t="str">
        <f t="shared" si="27"/>
        <v>2024-12-02 15:06:30</v>
      </c>
      <c r="Z86" t="str">
        <f>LEFT(VLOOKUP(A86, Fechas_Estado!A:AE,26,0),10)</f>
        <v/>
      </c>
      <c r="AA86" t="str">
        <f>MID(VLOOKUP(A86, Fechas_Estado!A:AE,26,0),12,8)</f>
        <v/>
      </c>
      <c r="AB86" t="str">
        <f t="shared" si="28"/>
        <v xml:space="preserve"> </v>
      </c>
      <c r="AC86" t="str">
        <f>LEFT(VLOOKUP(A86, Fechas_Estado!A:AE,27,0),10)</f>
        <v/>
      </c>
      <c r="AD86" t="str">
        <f>MID(VLOOKUP(A86, Fechas_Estado!A:AE,27,0),12,8)</f>
        <v/>
      </c>
      <c r="AE86" t="str">
        <f t="shared" si="29"/>
        <v xml:space="preserve"> </v>
      </c>
      <c r="AF86" t="str">
        <f>LEFT(VLOOKUP(A86, Fechas_Estado!A:AF,28,0),10)</f>
        <v/>
      </c>
      <c r="AG86" t="str">
        <f>MID(VLOOKUP(A86, Fechas_Estado!A:AF,28,0),12,8)</f>
        <v/>
      </c>
      <c r="AH86" t="str">
        <f t="shared" si="30"/>
        <v xml:space="preserve"> </v>
      </c>
      <c r="AI86" t="str">
        <f>LEFT(VLOOKUP(A86, Fechas_Estado!A:AF,16,0),10)</f>
        <v/>
      </c>
      <c r="AJ86" t="str">
        <f>MID(VLOOKUP(A86, Fechas_Estado!A:AF,16,0),12,8)</f>
        <v/>
      </c>
      <c r="AK86" t="str">
        <f t="shared" si="31"/>
        <v xml:space="preserve"> </v>
      </c>
      <c r="AL86" t="e">
        <f t="shared" si="32"/>
        <v>#VALUE!</v>
      </c>
      <c r="AM86" t="str">
        <f>LEFT(VLOOKUP(A86, Fechas_Estado!A:AE,8,0),10)</f>
        <v/>
      </c>
      <c r="AN86" t="str">
        <f>MID(VLOOKUP(A86, Fechas_Estado!A:AE,8,0),12,8)</f>
        <v/>
      </c>
      <c r="AO86" t="str">
        <f t="shared" si="33"/>
        <v xml:space="preserve"> </v>
      </c>
      <c r="AP86" t="str">
        <f>LEFT(VLOOKUP(A86, Fechas_Estado!A:AE,7,0),10)</f>
        <v/>
      </c>
      <c r="AQ86" t="str">
        <f>MID(VLOOKUP(A86, Fechas_Estado!A:AE,7,0),12,8)</f>
        <v/>
      </c>
      <c r="AR86" t="str">
        <f t="shared" si="34"/>
        <v xml:space="preserve"> </v>
      </c>
      <c r="AS86" t="str">
        <f>LEFT(VLOOKUP(A86, Fechas_Estado!A:AE,10,0),10)</f>
        <v/>
      </c>
      <c r="AT86" t="str">
        <f>MID(VLOOKUP(A86, Fechas_Estado!A:AE,10,0),12,8)</f>
        <v/>
      </c>
      <c r="AU86" t="str">
        <f t="shared" si="35"/>
        <v xml:space="preserve"> </v>
      </c>
      <c r="AV86" t="str">
        <f>LEFT(VLOOKUP(A86, Fechas_Estado!A:AE,17,0),10)</f>
        <v/>
      </c>
      <c r="AW86" t="str">
        <f>MID(VLOOKUP(A86, Fechas_Estado!A:AE,17,0),12,8)</f>
        <v/>
      </c>
      <c r="AX86" t="str">
        <f t="shared" si="36"/>
        <v xml:space="preserve"> </v>
      </c>
      <c r="AY86" t="e">
        <f t="shared" si="37"/>
        <v>#VALUE!</v>
      </c>
      <c r="AZ86" t="str">
        <f>LEFT(VLOOKUP(A86, Fechas_Estado!A:AE,5,0),10)</f>
        <v/>
      </c>
      <c r="BA86" t="str">
        <f>MID(VLOOKUP(A86, Fechas_Estado!A:AE,5,0),12,8)</f>
        <v/>
      </c>
      <c r="BB86" t="str">
        <f t="shared" si="38"/>
        <v xml:space="preserve"> </v>
      </c>
      <c r="BC86" t="e">
        <f t="shared" si="39"/>
        <v>#VALUE!</v>
      </c>
    </row>
    <row r="87" spans="1:55" x14ac:dyDescent="0.25">
      <c r="A87" t="str">
        <f>Fechas_Estado!A86</f>
        <v>ESPC360-13805</v>
      </c>
      <c r="B87" t="str">
        <f>LEFT(VLOOKUP(A87,Fechas_Estado!A:AE,2,0),10)</f>
        <v>2024-12-02</v>
      </c>
      <c r="C87" t="str">
        <f>MID(VLOOKUP(A87, Fechas_Estado!A:AE,2,0),12,8)</f>
        <v>15:13:51</v>
      </c>
      <c r="D87" t="str">
        <f t="shared" si="20"/>
        <v>2024-12-02 15:13:51</v>
      </c>
      <c r="E87" t="str">
        <f>LEFT(VLOOKUP(A87, Fechas_Estado!A:AE,19,0),10)</f>
        <v/>
      </c>
      <c r="F87" t="str">
        <f>MID(VLOOKUP(A87, Fechas_Estado!A:AE,19,0),12,8)</f>
        <v/>
      </c>
      <c r="G87" t="str">
        <f t="shared" si="21"/>
        <v xml:space="preserve"> </v>
      </c>
      <c r="H87" t="str">
        <f>LEFT(VLOOKUP(A87, Fechas_Estado!A:AE,20,0),10)</f>
        <v/>
      </c>
      <c r="I87" t="str">
        <f>MID(VLOOKUP(A87, Fechas_Estado!A:AE,20,0),12,8)</f>
        <v/>
      </c>
      <c r="J87" t="str">
        <f t="shared" si="22"/>
        <v xml:space="preserve"> </v>
      </c>
      <c r="K87" t="str">
        <f>LEFT(VLOOKUP(A87, Fechas_Estado!A:AE,21,0),10)</f>
        <v/>
      </c>
      <c r="L87" t="str">
        <f>MID(VLOOKUP(A87, Fechas_Estado!A:AE,21,0),12,8)</f>
        <v/>
      </c>
      <c r="M87" t="str">
        <f t="shared" si="23"/>
        <v xml:space="preserve"> </v>
      </c>
      <c r="N87" t="str">
        <f>LEFT(VLOOKUP(A87, Fechas_Estado!A:AE,22,0),10)</f>
        <v/>
      </c>
      <c r="O87" t="str">
        <f>MID(VLOOKUP(A87, Fechas_Estado!A:AE,22,0),12,8)</f>
        <v/>
      </c>
      <c r="P87" t="str">
        <f t="shared" si="24"/>
        <v xml:space="preserve"> </v>
      </c>
      <c r="Q87" t="str">
        <f>LEFT(VLOOKUP(A87, Fechas_Estado!A:AE,23,0),10)</f>
        <v/>
      </c>
      <c r="R87" t="str">
        <f>MID(VLOOKUP(A87, Fechas_Estado!A:AE,23,0),12,8)</f>
        <v/>
      </c>
      <c r="S87" t="str">
        <f t="shared" si="25"/>
        <v xml:space="preserve"> </v>
      </c>
      <c r="T87" t="str">
        <f>LEFT(VLOOKUP(A87, Fechas_Estado!A:AE,24,0),10)</f>
        <v/>
      </c>
      <c r="U87" t="str">
        <f>MID(VLOOKUP(A87, Fechas_Estado!A:AE,24,0),12,8)</f>
        <v/>
      </c>
      <c r="V87" t="str">
        <f t="shared" si="26"/>
        <v xml:space="preserve"> </v>
      </c>
      <c r="W87" t="str">
        <f>LEFT(VLOOKUP(A87, Fechas_Estado!A:AE,25,0),10)</f>
        <v>2024-12-02</v>
      </c>
      <c r="X87" t="str">
        <f>MID(VLOOKUP(A87, Fechas_Estado!A:AE,25,0),12,8)</f>
        <v>15:14:06</v>
      </c>
      <c r="Y87" t="str">
        <f t="shared" si="27"/>
        <v>2024-12-02 15:14:06</v>
      </c>
      <c r="Z87" t="str">
        <f>LEFT(VLOOKUP(A87, Fechas_Estado!A:AE,26,0),10)</f>
        <v/>
      </c>
      <c r="AA87" t="str">
        <f>MID(VLOOKUP(A87, Fechas_Estado!A:AE,26,0),12,8)</f>
        <v/>
      </c>
      <c r="AB87" t="str">
        <f t="shared" si="28"/>
        <v xml:space="preserve"> </v>
      </c>
      <c r="AC87" t="str">
        <f>LEFT(VLOOKUP(A87, Fechas_Estado!A:AE,27,0),10)</f>
        <v/>
      </c>
      <c r="AD87" t="str">
        <f>MID(VLOOKUP(A87, Fechas_Estado!A:AE,27,0),12,8)</f>
        <v/>
      </c>
      <c r="AE87" t="str">
        <f t="shared" si="29"/>
        <v xml:space="preserve"> </v>
      </c>
      <c r="AF87" t="str">
        <f>LEFT(VLOOKUP(A87, Fechas_Estado!A:AF,28,0),10)</f>
        <v/>
      </c>
      <c r="AG87" t="str">
        <f>MID(VLOOKUP(A87, Fechas_Estado!A:AF,28,0),12,8)</f>
        <v/>
      </c>
      <c r="AH87" t="str">
        <f t="shared" si="30"/>
        <v xml:space="preserve"> </v>
      </c>
      <c r="AI87" t="str">
        <f>LEFT(VLOOKUP(A87, Fechas_Estado!A:AF,16,0),10)</f>
        <v/>
      </c>
      <c r="AJ87" t="str">
        <f>MID(VLOOKUP(A87, Fechas_Estado!A:AF,16,0),12,8)</f>
        <v/>
      </c>
      <c r="AK87" t="str">
        <f t="shared" si="31"/>
        <v xml:space="preserve"> </v>
      </c>
      <c r="AL87" t="e">
        <f t="shared" si="32"/>
        <v>#VALUE!</v>
      </c>
      <c r="AM87" t="str">
        <f>LEFT(VLOOKUP(A87, Fechas_Estado!A:AE,8,0),10)</f>
        <v/>
      </c>
      <c r="AN87" t="str">
        <f>MID(VLOOKUP(A87, Fechas_Estado!A:AE,8,0),12,8)</f>
        <v/>
      </c>
      <c r="AO87" t="str">
        <f t="shared" si="33"/>
        <v xml:space="preserve"> </v>
      </c>
      <c r="AP87" t="str">
        <f>LEFT(VLOOKUP(A87, Fechas_Estado!A:AE,7,0),10)</f>
        <v/>
      </c>
      <c r="AQ87" t="str">
        <f>MID(VLOOKUP(A87, Fechas_Estado!A:AE,7,0),12,8)</f>
        <v/>
      </c>
      <c r="AR87" t="str">
        <f t="shared" si="34"/>
        <v xml:space="preserve"> </v>
      </c>
      <c r="AS87" t="str">
        <f>LEFT(VLOOKUP(A87, Fechas_Estado!A:AE,10,0),10)</f>
        <v/>
      </c>
      <c r="AT87" t="str">
        <f>MID(VLOOKUP(A87, Fechas_Estado!A:AE,10,0),12,8)</f>
        <v/>
      </c>
      <c r="AU87" t="str">
        <f t="shared" si="35"/>
        <v xml:space="preserve"> </v>
      </c>
      <c r="AV87" t="str">
        <f>LEFT(VLOOKUP(A87, Fechas_Estado!A:AE,17,0),10)</f>
        <v/>
      </c>
      <c r="AW87" t="str">
        <f>MID(VLOOKUP(A87, Fechas_Estado!A:AE,17,0),12,8)</f>
        <v/>
      </c>
      <c r="AX87" t="str">
        <f t="shared" si="36"/>
        <v xml:space="preserve"> </v>
      </c>
      <c r="AY87" t="e">
        <f t="shared" si="37"/>
        <v>#VALUE!</v>
      </c>
      <c r="AZ87" t="str">
        <f>LEFT(VLOOKUP(A87, Fechas_Estado!A:AE,5,0),10)</f>
        <v/>
      </c>
      <c r="BA87" t="str">
        <f>MID(VLOOKUP(A87, Fechas_Estado!A:AE,5,0),12,8)</f>
        <v/>
      </c>
      <c r="BB87" t="str">
        <f t="shared" si="38"/>
        <v xml:space="preserve"> </v>
      </c>
      <c r="BC87" t="e">
        <f t="shared" si="39"/>
        <v>#VALUE!</v>
      </c>
    </row>
    <row r="88" spans="1:55" x14ac:dyDescent="0.25">
      <c r="A88" t="str">
        <f>Fechas_Estado!A87</f>
        <v>ESPC360-13825</v>
      </c>
      <c r="B88" t="str">
        <f>LEFT(VLOOKUP(A88,Fechas_Estado!A:AE,2,0),10)</f>
        <v>2024-12-04</v>
      </c>
      <c r="C88" t="str">
        <f>MID(VLOOKUP(A88, Fechas_Estado!A:AE,2,0),12,8)</f>
        <v>13:06:28</v>
      </c>
      <c r="D88" t="str">
        <f t="shared" si="20"/>
        <v>2024-12-04 13:06:28</v>
      </c>
      <c r="E88" t="str">
        <f>LEFT(VLOOKUP(A88, Fechas_Estado!A:AE,19,0),10)</f>
        <v/>
      </c>
      <c r="F88" t="str">
        <f>MID(VLOOKUP(A88, Fechas_Estado!A:AE,19,0),12,8)</f>
        <v/>
      </c>
      <c r="G88" t="str">
        <f t="shared" si="21"/>
        <v xml:space="preserve"> </v>
      </c>
      <c r="H88" t="str">
        <f>LEFT(VLOOKUP(A88, Fechas_Estado!A:AE,20,0),10)</f>
        <v/>
      </c>
      <c r="I88" t="str">
        <f>MID(VLOOKUP(A88, Fechas_Estado!A:AE,20,0),12,8)</f>
        <v/>
      </c>
      <c r="J88" t="str">
        <f t="shared" si="22"/>
        <v xml:space="preserve"> </v>
      </c>
      <c r="K88" t="str">
        <f>LEFT(VLOOKUP(A88, Fechas_Estado!A:AE,21,0),10)</f>
        <v/>
      </c>
      <c r="L88" t="str">
        <f>MID(VLOOKUP(A88, Fechas_Estado!A:AE,21,0),12,8)</f>
        <v/>
      </c>
      <c r="M88" t="str">
        <f t="shared" si="23"/>
        <v xml:space="preserve"> </v>
      </c>
      <c r="N88" t="str">
        <f>LEFT(VLOOKUP(A88, Fechas_Estado!A:AE,22,0),10)</f>
        <v/>
      </c>
      <c r="O88" t="str">
        <f>MID(VLOOKUP(A88, Fechas_Estado!A:AE,22,0),12,8)</f>
        <v/>
      </c>
      <c r="P88" t="str">
        <f t="shared" si="24"/>
        <v xml:space="preserve"> </v>
      </c>
      <c r="Q88" t="str">
        <f>LEFT(VLOOKUP(A88, Fechas_Estado!A:AE,23,0),10)</f>
        <v/>
      </c>
      <c r="R88" t="str">
        <f>MID(VLOOKUP(A88, Fechas_Estado!A:AE,23,0),12,8)</f>
        <v/>
      </c>
      <c r="S88" t="str">
        <f t="shared" si="25"/>
        <v xml:space="preserve"> </v>
      </c>
      <c r="T88" t="str">
        <f>LEFT(VLOOKUP(A88, Fechas_Estado!A:AE,24,0),10)</f>
        <v/>
      </c>
      <c r="U88" t="str">
        <f>MID(VLOOKUP(A88, Fechas_Estado!A:AE,24,0),12,8)</f>
        <v/>
      </c>
      <c r="V88" t="str">
        <f t="shared" si="26"/>
        <v xml:space="preserve"> </v>
      </c>
      <c r="W88" t="str">
        <f>LEFT(VLOOKUP(A88, Fechas_Estado!A:AE,25,0),10)</f>
        <v>2024-12-04</v>
      </c>
      <c r="X88" t="str">
        <f>MID(VLOOKUP(A88, Fechas_Estado!A:AE,25,0),12,8)</f>
        <v>16:12:09</v>
      </c>
      <c r="Y88" t="str">
        <f t="shared" si="27"/>
        <v>2024-12-04 16:12:09</v>
      </c>
      <c r="Z88" t="str">
        <f>LEFT(VLOOKUP(A88, Fechas_Estado!A:AE,26,0),10)</f>
        <v/>
      </c>
      <c r="AA88" t="str">
        <f>MID(VLOOKUP(A88, Fechas_Estado!A:AE,26,0),12,8)</f>
        <v/>
      </c>
      <c r="AB88" t="str">
        <f t="shared" si="28"/>
        <v xml:space="preserve"> </v>
      </c>
      <c r="AC88" t="str">
        <f>LEFT(VLOOKUP(A88, Fechas_Estado!A:AE,27,0),10)</f>
        <v/>
      </c>
      <c r="AD88" t="str">
        <f>MID(VLOOKUP(A88, Fechas_Estado!A:AE,27,0),12,8)</f>
        <v/>
      </c>
      <c r="AE88" t="str">
        <f t="shared" si="29"/>
        <v xml:space="preserve"> </v>
      </c>
      <c r="AF88" t="str">
        <f>LEFT(VLOOKUP(A88, Fechas_Estado!A:AF,28,0),10)</f>
        <v/>
      </c>
      <c r="AG88" t="str">
        <f>MID(VLOOKUP(A88, Fechas_Estado!A:AF,28,0),12,8)</f>
        <v/>
      </c>
      <c r="AH88" t="str">
        <f t="shared" si="30"/>
        <v xml:space="preserve"> </v>
      </c>
      <c r="AI88" t="str">
        <f>LEFT(VLOOKUP(A88, Fechas_Estado!A:AF,16,0),10)</f>
        <v/>
      </c>
      <c r="AJ88" t="str">
        <f>MID(VLOOKUP(A88, Fechas_Estado!A:AF,16,0),12,8)</f>
        <v/>
      </c>
      <c r="AK88" t="str">
        <f t="shared" si="31"/>
        <v xml:space="preserve"> </v>
      </c>
      <c r="AL88" t="e">
        <f t="shared" si="32"/>
        <v>#VALUE!</v>
      </c>
      <c r="AM88" t="str">
        <f>LEFT(VLOOKUP(A88, Fechas_Estado!A:AE,8,0),10)</f>
        <v/>
      </c>
      <c r="AN88" t="str">
        <f>MID(VLOOKUP(A88, Fechas_Estado!A:AE,8,0),12,8)</f>
        <v/>
      </c>
      <c r="AO88" t="str">
        <f t="shared" si="33"/>
        <v xml:space="preserve"> </v>
      </c>
      <c r="AP88" t="str">
        <f>LEFT(VLOOKUP(A88, Fechas_Estado!A:AE,7,0),10)</f>
        <v/>
      </c>
      <c r="AQ88" t="str">
        <f>MID(VLOOKUP(A88, Fechas_Estado!A:AE,7,0),12,8)</f>
        <v/>
      </c>
      <c r="AR88" t="str">
        <f t="shared" si="34"/>
        <v xml:space="preserve"> </v>
      </c>
      <c r="AS88" t="str">
        <f>LEFT(VLOOKUP(A88, Fechas_Estado!A:AE,10,0),10)</f>
        <v/>
      </c>
      <c r="AT88" t="str">
        <f>MID(VLOOKUP(A88, Fechas_Estado!A:AE,10,0),12,8)</f>
        <v/>
      </c>
      <c r="AU88" t="str">
        <f t="shared" si="35"/>
        <v xml:space="preserve"> </v>
      </c>
      <c r="AV88" t="str">
        <f>LEFT(VLOOKUP(A88, Fechas_Estado!A:AE,17,0),10)</f>
        <v/>
      </c>
      <c r="AW88" t="str">
        <f>MID(VLOOKUP(A88, Fechas_Estado!A:AE,17,0),12,8)</f>
        <v/>
      </c>
      <c r="AX88" t="str">
        <f t="shared" si="36"/>
        <v xml:space="preserve"> </v>
      </c>
      <c r="AY88" t="e">
        <f t="shared" si="37"/>
        <v>#VALUE!</v>
      </c>
      <c r="AZ88" t="str">
        <f>LEFT(VLOOKUP(A88, Fechas_Estado!A:AE,5,0),10)</f>
        <v/>
      </c>
      <c r="BA88" t="str">
        <f>MID(VLOOKUP(A88, Fechas_Estado!A:AE,5,0),12,8)</f>
        <v/>
      </c>
      <c r="BB88" t="str">
        <f t="shared" si="38"/>
        <v xml:space="preserve"> </v>
      </c>
      <c r="BC88" t="e">
        <f t="shared" si="39"/>
        <v>#VALUE!</v>
      </c>
    </row>
    <row r="89" spans="1:55" x14ac:dyDescent="0.25">
      <c r="A89" t="str">
        <f>Fechas_Estado!A88</f>
        <v>ESPC360-13831</v>
      </c>
      <c r="B89" t="str">
        <f>LEFT(VLOOKUP(A89,Fechas_Estado!A:AE,2,0),10)</f>
        <v>2024-12-04</v>
      </c>
      <c r="C89" t="str">
        <f>MID(VLOOKUP(A89, Fechas_Estado!A:AE,2,0),12,8)</f>
        <v>14:48:17</v>
      </c>
      <c r="D89" t="str">
        <f t="shared" si="20"/>
        <v>2024-12-04 14:48:17</v>
      </c>
      <c r="E89" t="str">
        <f>LEFT(VLOOKUP(A89, Fechas_Estado!A:AE,19,0),10)</f>
        <v/>
      </c>
      <c r="F89" t="str">
        <f>MID(VLOOKUP(A89, Fechas_Estado!A:AE,19,0),12,8)</f>
        <v/>
      </c>
      <c r="G89" t="str">
        <f t="shared" si="21"/>
        <v xml:space="preserve"> </v>
      </c>
      <c r="H89" t="str">
        <f>LEFT(VLOOKUP(A89, Fechas_Estado!A:AE,20,0),10)</f>
        <v/>
      </c>
      <c r="I89" t="str">
        <f>MID(VLOOKUP(A89, Fechas_Estado!A:AE,20,0),12,8)</f>
        <v/>
      </c>
      <c r="J89" t="str">
        <f t="shared" si="22"/>
        <v xml:space="preserve"> </v>
      </c>
      <c r="K89" t="str">
        <f>LEFT(VLOOKUP(A89, Fechas_Estado!A:AE,21,0),10)</f>
        <v/>
      </c>
      <c r="L89" t="str">
        <f>MID(VLOOKUP(A89, Fechas_Estado!A:AE,21,0),12,8)</f>
        <v/>
      </c>
      <c r="M89" t="str">
        <f t="shared" si="23"/>
        <v xml:space="preserve"> </v>
      </c>
      <c r="N89" t="str">
        <f>LEFT(VLOOKUP(A89, Fechas_Estado!A:AE,22,0),10)</f>
        <v/>
      </c>
      <c r="O89" t="str">
        <f>MID(VLOOKUP(A89, Fechas_Estado!A:AE,22,0),12,8)</f>
        <v/>
      </c>
      <c r="P89" t="str">
        <f t="shared" si="24"/>
        <v xml:space="preserve"> </v>
      </c>
      <c r="Q89" t="str">
        <f>LEFT(VLOOKUP(A89, Fechas_Estado!A:AE,23,0),10)</f>
        <v/>
      </c>
      <c r="R89" t="str">
        <f>MID(VLOOKUP(A89, Fechas_Estado!A:AE,23,0),12,8)</f>
        <v/>
      </c>
      <c r="S89" t="str">
        <f t="shared" si="25"/>
        <v xml:space="preserve"> </v>
      </c>
      <c r="T89" t="str">
        <f>LEFT(VLOOKUP(A89, Fechas_Estado!A:AE,24,0),10)</f>
        <v/>
      </c>
      <c r="U89" t="str">
        <f>MID(VLOOKUP(A89, Fechas_Estado!A:AE,24,0),12,8)</f>
        <v/>
      </c>
      <c r="V89" t="str">
        <f t="shared" si="26"/>
        <v xml:space="preserve"> </v>
      </c>
      <c r="W89" t="str">
        <f>LEFT(VLOOKUP(A89, Fechas_Estado!A:AE,25,0),10)</f>
        <v>2024-12-04</v>
      </c>
      <c r="X89" t="str">
        <f>MID(VLOOKUP(A89, Fechas_Estado!A:AE,25,0),12,8)</f>
        <v>14:48:29</v>
      </c>
      <c r="Y89" t="str">
        <f t="shared" si="27"/>
        <v>2024-12-04 14:48:29</v>
      </c>
      <c r="Z89" t="str">
        <f>LEFT(VLOOKUP(A89, Fechas_Estado!A:AE,26,0),10)</f>
        <v>2024-12-16</v>
      </c>
      <c r="AA89" t="str">
        <f>MID(VLOOKUP(A89, Fechas_Estado!A:AE,26,0),12,8)</f>
        <v>12:40:48</v>
      </c>
      <c r="AB89" t="str">
        <f t="shared" si="28"/>
        <v>2024-12-16 12:40:48</v>
      </c>
      <c r="AC89" t="str">
        <f>LEFT(VLOOKUP(A89, Fechas_Estado!A:AE,27,0),10)</f>
        <v>2024-12-16</v>
      </c>
      <c r="AD89" t="str">
        <f>MID(VLOOKUP(A89, Fechas_Estado!A:AE,27,0),12,8)</f>
        <v>13:02:21</v>
      </c>
      <c r="AE89" t="str">
        <f t="shared" si="29"/>
        <v>2024-12-16 13:02:21</v>
      </c>
      <c r="AF89" t="str">
        <f>LEFT(VLOOKUP(A89, Fechas_Estado!A:AF,28,0),10)</f>
        <v/>
      </c>
      <c r="AG89" t="str">
        <f>MID(VLOOKUP(A89, Fechas_Estado!A:AF,28,0),12,8)</f>
        <v/>
      </c>
      <c r="AH89" t="str">
        <f t="shared" si="30"/>
        <v xml:space="preserve"> </v>
      </c>
      <c r="AI89" t="str">
        <f>LEFT(VLOOKUP(A89, Fechas_Estado!A:AF,16,0),10)</f>
        <v/>
      </c>
      <c r="AJ89" t="str">
        <f>MID(VLOOKUP(A89, Fechas_Estado!A:AF,16,0),12,8)</f>
        <v/>
      </c>
      <c r="AK89" t="str">
        <f t="shared" si="31"/>
        <v xml:space="preserve"> </v>
      </c>
      <c r="AL89" t="e">
        <f t="shared" si="32"/>
        <v>#VALUE!</v>
      </c>
      <c r="AM89" t="str">
        <f>LEFT(VLOOKUP(A89, Fechas_Estado!A:AE,8,0),10)</f>
        <v/>
      </c>
      <c r="AN89" t="str">
        <f>MID(VLOOKUP(A89, Fechas_Estado!A:AE,8,0),12,8)</f>
        <v/>
      </c>
      <c r="AO89" t="str">
        <f t="shared" si="33"/>
        <v xml:space="preserve"> </v>
      </c>
      <c r="AP89" t="str">
        <f>LEFT(VLOOKUP(A89, Fechas_Estado!A:AE,7,0),10)</f>
        <v/>
      </c>
      <c r="AQ89" t="str">
        <f>MID(VLOOKUP(A89, Fechas_Estado!A:AE,7,0),12,8)</f>
        <v/>
      </c>
      <c r="AR89" t="str">
        <f t="shared" si="34"/>
        <v xml:space="preserve"> </v>
      </c>
      <c r="AS89" t="str">
        <f>LEFT(VLOOKUP(A89, Fechas_Estado!A:AE,10,0),10)</f>
        <v/>
      </c>
      <c r="AT89" t="str">
        <f>MID(VLOOKUP(A89, Fechas_Estado!A:AE,10,0),12,8)</f>
        <v/>
      </c>
      <c r="AU89" t="str">
        <f t="shared" si="35"/>
        <v xml:space="preserve"> </v>
      </c>
      <c r="AV89" t="str">
        <f>LEFT(VLOOKUP(A89, Fechas_Estado!A:AE,17,0),10)</f>
        <v/>
      </c>
      <c r="AW89" t="str">
        <f>MID(VLOOKUP(A89, Fechas_Estado!A:AE,17,0),12,8)</f>
        <v/>
      </c>
      <c r="AX89" t="str">
        <f t="shared" si="36"/>
        <v xml:space="preserve"> </v>
      </c>
      <c r="AY89" t="e">
        <f t="shared" si="37"/>
        <v>#VALUE!</v>
      </c>
      <c r="AZ89" t="str">
        <f>LEFT(VLOOKUP(A89, Fechas_Estado!A:AE,5,0),10)</f>
        <v/>
      </c>
      <c r="BA89" t="str">
        <f>MID(VLOOKUP(A89, Fechas_Estado!A:AE,5,0),12,8)</f>
        <v/>
      </c>
      <c r="BB89" t="str">
        <f t="shared" si="38"/>
        <v xml:space="preserve"> </v>
      </c>
      <c r="BC89" t="e">
        <f t="shared" si="39"/>
        <v>#VALUE!</v>
      </c>
    </row>
    <row r="90" spans="1:55" x14ac:dyDescent="0.25">
      <c r="A90" t="str">
        <f>Fechas_Estado!A89</f>
        <v>ESPC360-13835</v>
      </c>
      <c r="B90" t="str">
        <f>LEFT(VLOOKUP(A90,Fechas_Estado!A:AE,2,0),10)</f>
        <v>2024-12-04</v>
      </c>
      <c r="C90" t="str">
        <f>MID(VLOOKUP(A90, Fechas_Estado!A:AE,2,0),12,8)</f>
        <v>16:30:21</v>
      </c>
      <c r="D90" t="str">
        <f t="shared" si="20"/>
        <v>2024-12-04 16:30:21</v>
      </c>
      <c r="E90" t="str">
        <f>LEFT(VLOOKUP(A90, Fechas_Estado!A:AE,19,0),10)</f>
        <v/>
      </c>
      <c r="F90" t="str">
        <f>MID(VLOOKUP(A90, Fechas_Estado!A:AE,19,0),12,8)</f>
        <v/>
      </c>
      <c r="G90" t="str">
        <f t="shared" si="21"/>
        <v xml:space="preserve"> </v>
      </c>
      <c r="H90" t="str">
        <f>LEFT(VLOOKUP(A90, Fechas_Estado!A:AE,20,0),10)</f>
        <v/>
      </c>
      <c r="I90" t="str">
        <f>MID(VLOOKUP(A90, Fechas_Estado!A:AE,20,0),12,8)</f>
        <v/>
      </c>
      <c r="J90" t="str">
        <f t="shared" si="22"/>
        <v xml:space="preserve"> </v>
      </c>
      <c r="K90" t="str">
        <f>LEFT(VLOOKUP(A90, Fechas_Estado!A:AE,21,0),10)</f>
        <v/>
      </c>
      <c r="L90" t="str">
        <f>MID(VLOOKUP(A90, Fechas_Estado!A:AE,21,0),12,8)</f>
        <v/>
      </c>
      <c r="M90" t="str">
        <f t="shared" si="23"/>
        <v xml:space="preserve"> </v>
      </c>
      <c r="N90" t="str">
        <f>LEFT(VLOOKUP(A90, Fechas_Estado!A:AE,22,0),10)</f>
        <v/>
      </c>
      <c r="O90" t="str">
        <f>MID(VLOOKUP(A90, Fechas_Estado!A:AE,22,0),12,8)</f>
        <v/>
      </c>
      <c r="P90" t="str">
        <f t="shared" si="24"/>
        <v xml:space="preserve"> </v>
      </c>
      <c r="Q90" t="str">
        <f>LEFT(VLOOKUP(A90, Fechas_Estado!A:AE,23,0),10)</f>
        <v/>
      </c>
      <c r="R90" t="str">
        <f>MID(VLOOKUP(A90, Fechas_Estado!A:AE,23,0),12,8)</f>
        <v/>
      </c>
      <c r="S90" t="str">
        <f t="shared" si="25"/>
        <v xml:space="preserve"> </v>
      </c>
      <c r="T90" t="str">
        <f>LEFT(VLOOKUP(A90, Fechas_Estado!A:AE,24,0),10)</f>
        <v/>
      </c>
      <c r="U90" t="str">
        <f>MID(VLOOKUP(A90, Fechas_Estado!A:AE,24,0),12,8)</f>
        <v/>
      </c>
      <c r="V90" t="str">
        <f t="shared" si="26"/>
        <v xml:space="preserve"> </v>
      </c>
      <c r="W90" t="str">
        <f>LEFT(VLOOKUP(A90, Fechas_Estado!A:AE,25,0),10)</f>
        <v>2024-12-04</v>
      </c>
      <c r="X90" t="str">
        <f>MID(VLOOKUP(A90, Fechas_Estado!A:AE,25,0),12,8)</f>
        <v>16:30:33</v>
      </c>
      <c r="Y90" t="str">
        <f t="shared" si="27"/>
        <v>2024-12-04 16:30:33</v>
      </c>
      <c r="Z90" t="str">
        <f>LEFT(VLOOKUP(A90, Fechas_Estado!A:AE,26,0),10)</f>
        <v>2024-12-05</v>
      </c>
      <c r="AA90" t="str">
        <f>MID(VLOOKUP(A90, Fechas_Estado!A:AE,26,0),12,8)</f>
        <v>11:38:21</v>
      </c>
      <c r="AB90" t="str">
        <f t="shared" si="28"/>
        <v>2024-12-05 11:38:21</v>
      </c>
      <c r="AC90" t="str">
        <f>LEFT(VLOOKUP(A90, Fechas_Estado!A:AE,27,0),10)</f>
        <v>2024-12-11</v>
      </c>
      <c r="AD90" t="str">
        <f>MID(VLOOKUP(A90, Fechas_Estado!A:AE,27,0),12,8)</f>
        <v>16:40:28</v>
      </c>
      <c r="AE90" t="str">
        <f t="shared" si="29"/>
        <v>2024-12-11 16:40:28</v>
      </c>
      <c r="AF90" t="str">
        <f>LEFT(VLOOKUP(A90, Fechas_Estado!A:AF,28,0),10)</f>
        <v>2024-12-12</v>
      </c>
      <c r="AG90" t="str">
        <f>MID(VLOOKUP(A90, Fechas_Estado!A:AF,28,0),12,8)</f>
        <v>10:51:00</v>
      </c>
      <c r="AH90" t="str">
        <f t="shared" si="30"/>
        <v>2024-12-12 10:51:00</v>
      </c>
      <c r="AI90" t="str">
        <f>LEFT(VLOOKUP(A90, Fechas_Estado!A:AF,16,0),10)</f>
        <v/>
      </c>
      <c r="AJ90" t="str">
        <f>MID(VLOOKUP(A90, Fechas_Estado!A:AF,16,0),12,8)</f>
        <v/>
      </c>
      <c r="AK90" t="str">
        <f t="shared" si="31"/>
        <v xml:space="preserve"> </v>
      </c>
      <c r="AL90" t="e">
        <f t="shared" si="32"/>
        <v>#VALUE!</v>
      </c>
      <c r="AM90" t="str">
        <f>LEFT(VLOOKUP(A90, Fechas_Estado!A:AE,8,0),10)</f>
        <v/>
      </c>
      <c r="AN90" t="str">
        <f>MID(VLOOKUP(A90, Fechas_Estado!A:AE,8,0),12,8)</f>
        <v/>
      </c>
      <c r="AO90" t="str">
        <f t="shared" si="33"/>
        <v xml:space="preserve"> </v>
      </c>
      <c r="AP90" t="str">
        <f>LEFT(VLOOKUP(A90, Fechas_Estado!A:AE,7,0),10)</f>
        <v/>
      </c>
      <c r="AQ90" t="str">
        <f>MID(VLOOKUP(A90, Fechas_Estado!A:AE,7,0),12,8)</f>
        <v/>
      </c>
      <c r="AR90" t="str">
        <f t="shared" si="34"/>
        <v xml:space="preserve"> </v>
      </c>
      <c r="AS90" t="str">
        <f>LEFT(VLOOKUP(A90, Fechas_Estado!A:AE,10,0),10)</f>
        <v/>
      </c>
      <c r="AT90" t="str">
        <f>MID(VLOOKUP(A90, Fechas_Estado!A:AE,10,0),12,8)</f>
        <v/>
      </c>
      <c r="AU90" t="str">
        <f t="shared" si="35"/>
        <v xml:space="preserve"> </v>
      </c>
      <c r="AV90" t="str">
        <f>LEFT(VLOOKUP(A90, Fechas_Estado!A:AE,17,0),10)</f>
        <v/>
      </c>
      <c r="AW90" t="str">
        <f>MID(VLOOKUP(A90, Fechas_Estado!A:AE,17,0),12,8)</f>
        <v/>
      </c>
      <c r="AX90" t="str">
        <f t="shared" si="36"/>
        <v xml:space="preserve"> </v>
      </c>
      <c r="AY90" t="e">
        <f t="shared" si="37"/>
        <v>#VALUE!</v>
      </c>
      <c r="AZ90" t="str">
        <f>LEFT(VLOOKUP(A90, Fechas_Estado!A:AE,5,0),10)</f>
        <v/>
      </c>
      <c r="BA90" t="str">
        <f>MID(VLOOKUP(A90, Fechas_Estado!A:AE,5,0),12,8)</f>
        <v/>
      </c>
      <c r="BB90" t="str">
        <f t="shared" si="38"/>
        <v xml:space="preserve"> </v>
      </c>
      <c r="BC90" t="e">
        <f t="shared" si="39"/>
        <v>#VALUE!</v>
      </c>
    </row>
    <row r="91" spans="1:55" x14ac:dyDescent="0.25">
      <c r="A91" t="str">
        <f>Fechas_Estado!A90</f>
        <v>ESPC360-13836</v>
      </c>
      <c r="B91" t="str">
        <f>LEFT(VLOOKUP(A91,Fechas_Estado!A:AE,2,0),10)</f>
        <v>2024-12-04</v>
      </c>
      <c r="C91" t="str">
        <f>MID(VLOOKUP(A91, Fechas_Estado!A:AE,2,0),12,8)</f>
        <v>16:37:33</v>
      </c>
      <c r="D91" t="str">
        <f t="shared" si="20"/>
        <v>2024-12-04 16:37:33</v>
      </c>
      <c r="E91" t="str">
        <f>LEFT(VLOOKUP(A91, Fechas_Estado!A:AE,19,0),10)</f>
        <v/>
      </c>
      <c r="F91" t="str">
        <f>MID(VLOOKUP(A91, Fechas_Estado!A:AE,19,0),12,8)</f>
        <v/>
      </c>
      <c r="G91" t="str">
        <f t="shared" si="21"/>
        <v xml:space="preserve"> </v>
      </c>
      <c r="H91" t="str">
        <f>LEFT(VLOOKUP(A91, Fechas_Estado!A:AE,20,0),10)</f>
        <v/>
      </c>
      <c r="I91" t="str">
        <f>MID(VLOOKUP(A91, Fechas_Estado!A:AE,20,0),12,8)</f>
        <v/>
      </c>
      <c r="J91" t="str">
        <f t="shared" si="22"/>
        <v xml:space="preserve"> </v>
      </c>
      <c r="K91" t="str">
        <f>LEFT(VLOOKUP(A91, Fechas_Estado!A:AE,21,0),10)</f>
        <v/>
      </c>
      <c r="L91" t="str">
        <f>MID(VLOOKUP(A91, Fechas_Estado!A:AE,21,0),12,8)</f>
        <v/>
      </c>
      <c r="M91" t="str">
        <f t="shared" si="23"/>
        <v xml:space="preserve"> </v>
      </c>
      <c r="N91" t="str">
        <f>LEFT(VLOOKUP(A91, Fechas_Estado!A:AE,22,0),10)</f>
        <v/>
      </c>
      <c r="O91" t="str">
        <f>MID(VLOOKUP(A91, Fechas_Estado!A:AE,22,0),12,8)</f>
        <v/>
      </c>
      <c r="P91" t="str">
        <f t="shared" si="24"/>
        <v xml:space="preserve"> </v>
      </c>
      <c r="Q91" t="str">
        <f>LEFT(VLOOKUP(A91, Fechas_Estado!A:AE,23,0),10)</f>
        <v/>
      </c>
      <c r="R91" t="str">
        <f>MID(VLOOKUP(A91, Fechas_Estado!A:AE,23,0),12,8)</f>
        <v/>
      </c>
      <c r="S91" t="str">
        <f t="shared" si="25"/>
        <v xml:space="preserve"> </v>
      </c>
      <c r="T91" t="str">
        <f>LEFT(VLOOKUP(A91, Fechas_Estado!A:AE,24,0),10)</f>
        <v/>
      </c>
      <c r="U91" t="str">
        <f>MID(VLOOKUP(A91, Fechas_Estado!A:AE,24,0),12,8)</f>
        <v/>
      </c>
      <c r="V91" t="str">
        <f t="shared" si="26"/>
        <v xml:space="preserve"> </v>
      </c>
      <c r="W91" t="str">
        <f>LEFT(VLOOKUP(A91, Fechas_Estado!A:AE,25,0),10)</f>
        <v>2024-12-04</v>
      </c>
      <c r="X91" t="str">
        <f>MID(VLOOKUP(A91, Fechas_Estado!A:AE,25,0),12,8)</f>
        <v>16:37:45</v>
      </c>
      <c r="Y91" t="str">
        <f t="shared" si="27"/>
        <v>2024-12-04 16:37:45</v>
      </c>
      <c r="Z91" t="str">
        <f>LEFT(VLOOKUP(A91, Fechas_Estado!A:AE,26,0),10)</f>
        <v>2024-12-05</v>
      </c>
      <c r="AA91" t="str">
        <f>MID(VLOOKUP(A91, Fechas_Estado!A:AE,26,0),12,8)</f>
        <v>11:38:14</v>
      </c>
      <c r="AB91" t="str">
        <f t="shared" si="28"/>
        <v>2024-12-05 11:38:14</v>
      </c>
      <c r="AC91" t="str">
        <f>LEFT(VLOOKUP(A91, Fechas_Estado!A:AE,27,0),10)</f>
        <v>2024-12-11</v>
      </c>
      <c r="AD91" t="str">
        <f>MID(VLOOKUP(A91, Fechas_Estado!A:AE,27,0),12,8)</f>
        <v>09:26:29</v>
      </c>
      <c r="AE91" t="str">
        <f t="shared" si="29"/>
        <v>2024-12-11 09:26:29</v>
      </c>
      <c r="AF91" t="str">
        <f>LEFT(VLOOKUP(A91, Fechas_Estado!A:AF,28,0),10)</f>
        <v>2024-12-11</v>
      </c>
      <c r="AG91" t="str">
        <f>MID(VLOOKUP(A91, Fechas_Estado!A:AF,28,0),12,8)</f>
        <v>09:32:42</v>
      </c>
      <c r="AH91" t="str">
        <f t="shared" si="30"/>
        <v>2024-12-11 09:32:42</v>
      </c>
      <c r="AI91" t="str">
        <f>LEFT(VLOOKUP(A91, Fechas_Estado!A:AF,16,0),10)</f>
        <v/>
      </c>
      <c r="AJ91" t="str">
        <f>MID(VLOOKUP(A91, Fechas_Estado!A:AF,16,0),12,8)</f>
        <v/>
      </c>
      <c r="AK91" t="str">
        <f t="shared" si="31"/>
        <v xml:space="preserve"> </v>
      </c>
      <c r="AL91" t="e">
        <f t="shared" si="32"/>
        <v>#VALUE!</v>
      </c>
      <c r="AM91" t="str">
        <f>LEFT(VLOOKUP(A91, Fechas_Estado!A:AE,8,0),10)</f>
        <v/>
      </c>
      <c r="AN91" t="str">
        <f>MID(VLOOKUP(A91, Fechas_Estado!A:AE,8,0),12,8)</f>
        <v/>
      </c>
      <c r="AO91" t="str">
        <f t="shared" si="33"/>
        <v xml:space="preserve"> </v>
      </c>
      <c r="AP91" t="str">
        <f>LEFT(VLOOKUP(A91, Fechas_Estado!A:AE,7,0),10)</f>
        <v/>
      </c>
      <c r="AQ91" t="str">
        <f>MID(VLOOKUP(A91, Fechas_Estado!A:AE,7,0),12,8)</f>
        <v/>
      </c>
      <c r="AR91" t="str">
        <f t="shared" si="34"/>
        <v xml:space="preserve"> </v>
      </c>
      <c r="AS91" t="str">
        <f>LEFT(VLOOKUP(A91, Fechas_Estado!A:AE,10,0),10)</f>
        <v/>
      </c>
      <c r="AT91" t="str">
        <f>MID(VLOOKUP(A91, Fechas_Estado!A:AE,10,0),12,8)</f>
        <v/>
      </c>
      <c r="AU91" t="str">
        <f t="shared" si="35"/>
        <v xml:space="preserve"> </v>
      </c>
      <c r="AV91" t="str">
        <f>LEFT(VLOOKUP(A91, Fechas_Estado!A:AE,17,0),10)</f>
        <v/>
      </c>
      <c r="AW91" t="str">
        <f>MID(VLOOKUP(A91, Fechas_Estado!A:AE,17,0),12,8)</f>
        <v/>
      </c>
      <c r="AX91" t="str">
        <f t="shared" si="36"/>
        <v xml:space="preserve"> </v>
      </c>
      <c r="AY91" t="e">
        <f t="shared" si="37"/>
        <v>#VALUE!</v>
      </c>
      <c r="AZ91" t="str">
        <f>LEFT(VLOOKUP(A91, Fechas_Estado!A:AE,5,0),10)</f>
        <v/>
      </c>
      <c r="BA91" t="str">
        <f>MID(VLOOKUP(A91, Fechas_Estado!A:AE,5,0),12,8)</f>
        <v/>
      </c>
      <c r="BB91" t="str">
        <f t="shared" si="38"/>
        <v xml:space="preserve"> </v>
      </c>
      <c r="BC91" t="e">
        <f t="shared" si="39"/>
        <v>#VALUE!</v>
      </c>
    </row>
    <row r="92" spans="1:55" x14ac:dyDescent="0.25">
      <c r="A92" t="str">
        <f>Fechas_Estado!A91</f>
        <v>ESPC360-13948</v>
      </c>
      <c r="B92" t="str">
        <f>LEFT(VLOOKUP(A92,Fechas_Estado!A:AE,2,0),10)</f>
        <v>2024-12-10</v>
      </c>
      <c r="C92" t="str">
        <f>MID(VLOOKUP(A92, Fechas_Estado!A:AE,2,0),12,8)</f>
        <v>16:29:11</v>
      </c>
      <c r="D92" t="str">
        <f t="shared" si="20"/>
        <v>2024-12-10 16:29:11</v>
      </c>
      <c r="E92" t="str">
        <f>LEFT(VLOOKUP(A92, Fechas_Estado!A:AE,19,0),10)</f>
        <v/>
      </c>
      <c r="F92" t="str">
        <f>MID(VLOOKUP(A92, Fechas_Estado!A:AE,19,0),12,8)</f>
        <v/>
      </c>
      <c r="G92" t="str">
        <f t="shared" si="21"/>
        <v xml:space="preserve"> </v>
      </c>
      <c r="H92" t="str">
        <f>LEFT(VLOOKUP(A92, Fechas_Estado!A:AE,20,0),10)</f>
        <v/>
      </c>
      <c r="I92" t="str">
        <f>MID(VLOOKUP(A92, Fechas_Estado!A:AE,20,0),12,8)</f>
        <v/>
      </c>
      <c r="J92" t="str">
        <f t="shared" si="22"/>
        <v xml:space="preserve"> </v>
      </c>
      <c r="K92" t="str">
        <f>LEFT(VLOOKUP(A92, Fechas_Estado!A:AE,21,0),10)</f>
        <v/>
      </c>
      <c r="L92" t="str">
        <f>MID(VLOOKUP(A92, Fechas_Estado!A:AE,21,0),12,8)</f>
        <v/>
      </c>
      <c r="M92" t="str">
        <f t="shared" si="23"/>
        <v xml:space="preserve"> </v>
      </c>
      <c r="N92" t="str">
        <f>LEFT(VLOOKUP(A92, Fechas_Estado!A:AE,22,0),10)</f>
        <v/>
      </c>
      <c r="O92" t="str">
        <f>MID(VLOOKUP(A92, Fechas_Estado!A:AE,22,0),12,8)</f>
        <v/>
      </c>
      <c r="P92" t="str">
        <f t="shared" si="24"/>
        <v xml:space="preserve"> </v>
      </c>
      <c r="Q92" t="str">
        <f>LEFT(VLOOKUP(A92, Fechas_Estado!A:AE,23,0),10)</f>
        <v/>
      </c>
      <c r="R92" t="str">
        <f>MID(VLOOKUP(A92, Fechas_Estado!A:AE,23,0),12,8)</f>
        <v/>
      </c>
      <c r="S92" t="str">
        <f t="shared" si="25"/>
        <v xml:space="preserve"> </v>
      </c>
      <c r="T92" t="str">
        <f>LEFT(VLOOKUP(A92, Fechas_Estado!A:AE,24,0),10)</f>
        <v/>
      </c>
      <c r="U92" t="str">
        <f>MID(VLOOKUP(A92, Fechas_Estado!A:AE,24,0),12,8)</f>
        <v/>
      </c>
      <c r="V92" t="str">
        <f t="shared" si="26"/>
        <v xml:space="preserve"> </v>
      </c>
      <c r="W92" t="str">
        <f>LEFT(VLOOKUP(A92, Fechas_Estado!A:AE,25,0),10)</f>
        <v>2024-12-10</v>
      </c>
      <c r="X92" t="str">
        <f>MID(VLOOKUP(A92, Fechas_Estado!A:AE,25,0),12,8)</f>
        <v>16:29:23</v>
      </c>
      <c r="Y92" t="str">
        <f t="shared" si="27"/>
        <v>2024-12-10 16:29:23</v>
      </c>
      <c r="Z92" t="str">
        <f>LEFT(VLOOKUP(A92, Fechas_Estado!A:AE,26,0),10)</f>
        <v>2024-12-10</v>
      </c>
      <c r="AA92" t="str">
        <f>MID(VLOOKUP(A92, Fechas_Estado!A:AE,26,0),12,8)</f>
        <v>16:34:36</v>
      </c>
      <c r="AB92" t="str">
        <f t="shared" si="28"/>
        <v>2024-12-10 16:34:36</v>
      </c>
      <c r="AC92" t="str">
        <f>LEFT(VLOOKUP(A92, Fechas_Estado!A:AE,27,0),10)</f>
        <v/>
      </c>
      <c r="AD92" t="str">
        <f>MID(VLOOKUP(A92, Fechas_Estado!A:AE,27,0),12,8)</f>
        <v/>
      </c>
      <c r="AE92" t="str">
        <f t="shared" si="29"/>
        <v xml:space="preserve"> </v>
      </c>
      <c r="AF92" t="str">
        <f>LEFT(VLOOKUP(A92, Fechas_Estado!A:AF,28,0),10)</f>
        <v/>
      </c>
      <c r="AG92" t="str">
        <f>MID(VLOOKUP(A92, Fechas_Estado!A:AF,28,0),12,8)</f>
        <v/>
      </c>
      <c r="AH92" t="str">
        <f t="shared" si="30"/>
        <v xml:space="preserve"> </v>
      </c>
      <c r="AI92" t="str">
        <f>LEFT(VLOOKUP(A92, Fechas_Estado!A:AF,16,0),10)</f>
        <v/>
      </c>
      <c r="AJ92" t="str">
        <f>MID(VLOOKUP(A92, Fechas_Estado!A:AF,16,0),12,8)</f>
        <v/>
      </c>
      <c r="AK92" t="str">
        <f t="shared" si="31"/>
        <v xml:space="preserve"> </v>
      </c>
      <c r="AL92" t="e">
        <f t="shared" si="32"/>
        <v>#VALUE!</v>
      </c>
      <c r="AM92" t="str">
        <f>LEFT(VLOOKUP(A92, Fechas_Estado!A:AE,8,0),10)</f>
        <v/>
      </c>
      <c r="AN92" t="str">
        <f>MID(VLOOKUP(A92, Fechas_Estado!A:AE,8,0),12,8)</f>
        <v/>
      </c>
      <c r="AO92" t="str">
        <f t="shared" si="33"/>
        <v xml:space="preserve"> </v>
      </c>
      <c r="AP92" t="str">
        <f>LEFT(VLOOKUP(A92, Fechas_Estado!A:AE,7,0),10)</f>
        <v/>
      </c>
      <c r="AQ92" t="str">
        <f>MID(VLOOKUP(A92, Fechas_Estado!A:AE,7,0),12,8)</f>
        <v/>
      </c>
      <c r="AR92" t="str">
        <f t="shared" si="34"/>
        <v xml:space="preserve"> </v>
      </c>
      <c r="AS92" t="str">
        <f>LEFT(VLOOKUP(A92, Fechas_Estado!A:AE,10,0),10)</f>
        <v/>
      </c>
      <c r="AT92" t="str">
        <f>MID(VLOOKUP(A92, Fechas_Estado!A:AE,10,0),12,8)</f>
        <v/>
      </c>
      <c r="AU92" t="str">
        <f t="shared" si="35"/>
        <v xml:space="preserve"> </v>
      </c>
      <c r="AV92" t="str">
        <f>LEFT(VLOOKUP(A92, Fechas_Estado!A:AE,17,0),10)</f>
        <v/>
      </c>
      <c r="AW92" t="str">
        <f>MID(VLOOKUP(A92, Fechas_Estado!A:AE,17,0),12,8)</f>
        <v/>
      </c>
      <c r="AX92" t="str">
        <f t="shared" si="36"/>
        <v xml:space="preserve"> </v>
      </c>
      <c r="AY92" t="e">
        <f t="shared" si="37"/>
        <v>#VALUE!</v>
      </c>
      <c r="AZ92" t="str">
        <f>LEFT(VLOOKUP(A92, Fechas_Estado!A:AE,5,0),10)</f>
        <v/>
      </c>
      <c r="BA92" t="str">
        <f>MID(VLOOKUP(A92, Fechas_Estado!A:AE,5,0),12,8)</f>
        <v/>
      </c>
      <c r="BB92" t="str">
        <f t="shared" si="38"/>
        <v xml:space="preserve"> </v>
      </c>
      <c r="BC92" t="e">
        <f t="shared" si="39"/>
        <v>#VALUE!</v>
      </c>
    </row>
    <row r="93" spans="1:55" x14ac:dyDescent="0.25">
      <c r="A93" t="str">
        <f>Fechas_Estado!A92</f>
        <v>ESPC360-13965</v>
      </c>
      <c r="B93" t="str">
        <f>LEFT(VLOOKUP(A93,Fechas_Estado!A:AE,2,0),10)</f>
        <v>2024-12-11</v>
      </c>
      <c r="C93" t="str">
        <f>MID(VLOOKUP(A93, Fechas_Estado!A:AE,2,0),12,8)</f>
        <v>16:54:52</v>
      </c>
      <c r="D93" t="str">
        <f t="shared" si="20"/>
        <v>2024-12-11 16:54:52</v>
      </c>
      <c r="E93" t="str">
        <f>LEFT(VLOOKUP(A93, Fechas_Estado!A:AE,19,0),10)</f>
        <v/>
      </c>
      <c r="F93" t="str">
        <f>MID(VLOOKUP(A93, Fechas_Estado!A:AE,19,0),12,8)</f>
        <v/>
      </c>
      <c r="G93" t="str">
        <f t="shared" si="21"/>
        <v xml:space="preserve"> </v>
      </c>
      <c r="H93" t="str">
        <f>LEFT(VLOOKUP(A93, Fechas_Estado!A:AE,20,0),10)</f>
        <v/>
      </c>
      <c r="I93" t="str">
        <f>MID(VLOOKUP(A93, Fechas_Estado!A:AE,20,0),12,8)</f>
        <v/>
      </c>
      <c r="J93" t="str">
        <f t="shared" si="22"/>
        <v xml:space="preserve"> </v>
      </c>
      <c r="K93" t="str">
        <f>LEFT(VLOOKUP(A93, Fechas_Estado!A:AE,21,0),10)</f>
        <v/>
      </c>
      <c r="L93" t="str">
        <f>MID(VLOOKUP(A93, Fechas_Estado!A:AE,21,0),12,8)</f>
        <v/>
      </c>
      <c r="M93" t="str">
        <f t="shared" si="23"/>
        <v xml:space="preserve"> </v>
      </c>
      <c r="N93" t="str">
        <f>LEFT(VLOOKUP(A93, Fechas_Estado!A:AE,22,0),10)</f>
        <v/>
      </c>
      <c r="O93" t="str">
        <f>MID(VLOOKUP(A93, Fechas_Estado!A:AE,22,0),12,8)</f>
        <v/>
      </c>
      <c r="P93" t="str">
        <f t="shared" si="24"/>
        <v xml:space="preserve"> </v>
      </c>
      <c r="Q93" t="str">
        <f>LEFT(VLOOKUP(A93, Fechas_Estado!A:AE,23,0),10)</f>
        <v/>
      </c>
      <c r="R93" t="str">
        <f>MID(VLOOKUP(A93, Fechas_Estado!A:AE,23,0),12,8)</f>
        <v/>
      </c>
      <c r="S93" t="str">
        <f t="shared" si="25"/>
        <v xml:space="preserve"> </v>
      </c>
      <c r="T93" t="str">
        <f>LEFT(VLOOKUP(A93, Fechas_Estado!A:AE,24,0),10)</f>
        <v/>
      </c>
      <c r="U93" t="str">
        <f>MID(VLOOKUP(A93, Fechas_Estado!A:AE,24,0),12,8)</f>
        <v/>
      </c>
      <c r="V93" t="str">
        <f t="shared" si="26"/>
        <v xml:space="preserve"> </v>
      </c>
      <c r="W93" t="str">
        <f>LEFT(VLOOKUP(A93, Fechas_Estado!A:AE,25,0),10)</f>
        <v>2024-12-12</v>
      </c>
      <c r="X93" t="str">
        <f>MID(VLOOKUP(A93, Fechas_Estado!A:AE,25,0),12,8)</f>
        <v>09:36:13</v>
      </c>
      <c r="Y93" t="str">
        <f t="shared" si="27"/>
        <v>2024-12-12 09:36:13</v>
      </c>
      <c r="Z93" t="str">
        <f>LEFT(VLOOKUP(A93, Fechas_Estado!A:AE,26,0),10)</f>
        <v/>
      </c>
      <c r="AA93" t="str">
        <f>MID(VLOOKUP(A93, Fechas_Estado!A:AE,26,0),12,8)</f>
        <v/>
      </c>
      <c r="AB93" t="str">
        <f t="shared" si="28"/>
        <v xml:space="preserve"> </v>
      </c>
      <c r="AC93" t="str">
        <f>LEFT(VLOOKUP(A93, Fechas_Estado!A:AE,27,0),10)</f>
        <v/>
      </c>
      <c r="AD93" t="str">
        <f>MID(VLOOKUP(A93, Fechas_Estado!A:AE,27,0),12,8)</f>
        <v/>
      </c>
      <c r="AE93" t="str">
        <f t="shared" si="29"/>
        <v xml:space="preserve"> </v>
      </c>
      <c r="AF93" t="str">
        <f>LEFT(VLOOKUP(A93, Fechas_Estado!A:AF,28,0),10)</f>
        <v/>
      </c>
      <c r="AG93" t="str">
        <f>MID(VLOOKUP(A93, Fechas_Estado!A:AF,28,0),12,8)</f>
        <v/>
      </c>
      <c r="AH93" t="str">
        <f t="shared" si="30"/>
        <v xml:space="preserve"> </v>
      </c>
      <c r="AI93" t="str">
        <f>LEFT(VLOOKUP(A93, Fechas_Estado!A:AF,16,0),10)</f>
        <v>2024-12-12</v>
      </c>
      <c r="AJ93" t="str">
        <f>MID(VLOOKUP(A93, Fechas_Estado!A:AF,16,0),12,8)</f>
        <v>11:05:34</v>
      </c>
      <c r="AK93" t="str">
        <f t="shared" si="31"/>
        <v>2024-12-12 11:05:34</v>
      </c>
      <c r="AL93">
        <f t="shared" si="32"/>
        <v>0.75743055555358296</v>
      </c>
      <c r="AM93" t="str">
        <f>LEFT(VLOOKUP(A93, Fechas_Estado!A:AE,8,0),10)</f>
        <v>2024-12-13</v>
      </c>
      <c r="AN93" t="str">
        <f>MID(VLOOKUP(A93, Fechas_Estado!A:AE,8,0),12,8)</f>
        <v>09:32:30</v>
      </c>
      <c r="AO93" t="str">
        <f t="shared" si="33"/>
        <v>2024-12-13 09:32:30</v>
      </c>
      <c r="AP93" t="str">
        <f>LEFT(VLOOKUP(A93, Fechas_Estado!A:AE,7,0),10)</f>
        <v/>
      </c>
      <c r="AQ93" t="str">
        <f>MID(VLOOKUP(A93, Fechas_Estado!A:AE,7,0),12,8)</f>
        <v/>
      </c>
      <c r="AR93" t="str">
        <f t="shared" si="34"/>
        <v xml:space="preserve"> </v>
      </c>
      <c r="AS93" t="str">
        <f>LEFT(VLOOKUP(A93, Fechas_Estado!A:AE,10,0),10)</f>
        <v/>
      </c>
      <c r="AT93" t="str">
        <f>MID(VLOOKUP(A93, Fechas_Estado!A:AE,10,0),12,8)</f>
        <v/>
      </c>
      <c r="AU93" t="str">
        <f t="shared" si="35"/>
        <v xml:space="preserve"> </v>
      </c>
      <c r="AV93" t="str">
        <f>LEFT(VLOOKUP(A93, Fechas_Estado!A:AE,17,0),10)</f>
        <v/>
      </c>
      <c r="AW93" t="str">
        <f>MID(VLOOKUP(A93, Fechas_Estado!A:AE,17,0),12,8)</f>
        <v/>
      </c>
      <c r="AX93" t="str">
        <f t="shared" si="36"/>
        <v xml:space="preserve"> </v>
      </c>
      <c r="AY93" t="e">
        <f t="shared" si="37"/>
        <v>#VALUE!</v>
      </c>
      <c r="AZ93" t="str">
        <f>LEFT(VLOOKUP(A93, Fechas_Estado!A:AE,5,0),10)</f>
        <v/>
      </c>
      <c r="BA93" t="str">
        <f>MID(VLOOKUP(A93, Fechas_Estado!A:AE,5,0),12,8)</f>
        <v/>
      </c>
      <c r="BB93" t="str">
        <f t="shared" si="38"/>
        <v xml:space="preserve"> </v>
      </c>
      <c r="BC93" t="e">
        <f t="shared" si="39"/>
        <v>#VALUE!</v>
      </c>
    </row>
    <row r="94" spans="1:55" x14ac:dyDescent="0.25">
      <c r="A94" t="str">
        <f>Fechas_Estado!A93</f>
        <v>ESPC360-14082</v>
      </c>
      <c r="B94" t="str">
        <f>LEFT(VLOOKUP(A94,Fechas_Estado!A:AE,2,0),10)</f>
        <v>2024-12-12</v>
      </c>
      <c r="C94" t="str">
        <f>MID(VLOOKUP(A94, Fechas_Estado!A:AE,2,0),12,8)</f>
        <v>16:53:09</v>
      </c>
      <c r="D94" t="str">
        <f t="shared" si="20"/>
        <v>2024-12-12 16:53:09</v>
      </c>
      <c r="E94" t="str">
        <f>LEFT(VLOOKUP(A94, Fechas_Estado!A:AE,19,0),10)</f>
        <v/>
      </c>
      <c r="F94" t="str">
        <f>MID(VLOOKUP(A94, Fechas_Estado!A:AE,19,0),12,8)</f>
        <v/>
      </c>
      <c r="G94" t="str">
        <f t="shared" si="21"/>
        <v xml:space="preserve"> </v>
      </c>
      <c r="H94" t="str">
        <f>LEFT(VLOOKUP(A94, Fechas_Estado!A:AE,20,0),10)</f>
        <v/>
      </c>
      <c r="I94" t="str">
        <f>MID(VLOOKUP(A94, Fechas_Estado!A:AE,20,0),12,8)</f>
        <v/>
      </c>
      <c r="J94" t="str">
        <f t="shared" si="22"/>
        <v xml:space="preserve"> </v>
      </c>
      <c r="K94" t="str">
        <f>LEFT(VLOOKUP(A94, Fechas_Estado!A:AE,21,0),10)</f>
        <v/>
      </c>
      <c r="L94" t="str">
        <f>MID(VLOOKUP(A94, Fechas_Estado!A:AE,21,0),12,8)</f>
        <v/>
      </c>
      <c r="M94" t="str">
        <f t="shared" si="23"/>
        <v xml:space="preserve"> </v>
      </c>
      <c r="N94" t="str">
        <f>LEFT(VLOOKUP(A94, Fechas_Estado!A:AE,22,0),10)</f>
        <v/>
      </c>
      <c r="O94" t="str">
        <f>MID(VLOOKUP(A94, Fechas_Estado!A:AE,22,0),12,8)</f>
        <v/>
      </c>
      <c r="P94" t="str">
        <f t="shared" si="24"/>
        <v xml:space="preserve"> </v>
      </c>
      <c r="Q94" t="str">
        <f>LEFT(VLOOKUP(A94, Fechas_Estado!A:AE,23,0),10)</f>
        <v/>
      </c>
      <c r="R94" t="str">
        <f>MID(VLOOKUP(A94, Fechas_Estado!A:AE,23,0),12,8)</f>
        <v/>
      </c>
      <c r="S94" t="str">
        <f t="shared" si="25"/>
        <v xml:space="preserve"> </v>
      </c>
      <c r="T94" t="str">
        <f>LEFT(VLOOKUP(A94, Fechas_Estado!A:AE,24,0),10)</f>
        <v/>
      </c>
      <c r="U94" t="str">
        <f>MID(VLOOKUP(A94, Fechas_Estado!A:AE,24,0),12,8)</f>
        <v/>
      </c>
      <c r="V94" t="str">
        <f t="shared" si="26"/>
        <v xml:space="preserve"> </v>
      </c>
      <c r="W94" t="str">
        <f>LEFT(VLOOKUP(A94, Fechas_Estado!A:AE,25,0),10)</f>
        <v/>
      </c>
      <c r="X94" t="str">
        <f>MID(VLOOKUP(A94, Fechas_Estado!A:AE,25,0),12,8)</f>
        <v/>
      </c>
      <c r="Y94" t="str">
        <f t="shared" si="27"/>
        <v xml:space="preserve"> </v>
      </c>
      <c r="Z94" t="str">
        <f>LEFT(VLOOKUP(A94, Fechas_Estado!A:AE,26,0),10)</f>
        <v/>
      </c>
      <c r="AA94" t="str">
        <f>MID(VLOOKUP(A94, Fechas_Estado!A:AE,26,0),12,8)</f>
        <v/>
      </c>
      <c r="AB94" t="str">
        <f t="shared" si="28"/>
        <v xml:space="preserve"> </v>
      </c>
      <c r="AC94" t="str">
        <f>LEFT(VLOOKUP(A94, Fechas_Estado!A:AE,27,0),10)</f>
        <v/>
      </c>
      <c r="AD94" t="str">
        <f>MID(VLOOKUP(A94, Fechas_Estado!A:AE,27,0),12,8)</f>
        <v/>
      </c>
      <c r="AE94" t="str">
        <f t="shared" si="29"/>
        <v xml:space="preserve"> </v>
      </c>
      <c r="AF94" t="str">
        <f>LEFT(VLOOKUP(A94, Fechas_Estado!A:AF,28,0),10)</f>
        <v/>
      </c>
      <c r="AG94" t="str">
        <f>MID(VLOOKUP(A94, Fechas_Estado!A:AF,28,0),12,8)</f>
        <v/>
      </c>
      <c r="AH94" t="str">
        <f t="shared" si="30"/>
        <v xml:space="preserve"> </v>
      </c>
      <c r="AI94" t="str">
        <f>LEFT(VLOOKUP(A94, Fechas_Estado!A:AF,16,0),10)</f>
        <v/>
      </c>
      <c r="AJ94" t="str">
        <f>MID(VLOOKUP(A94, Fechas_Estado!A:AF,16,0),12,8)</f>
        <v/>
      </c>
      <c r="AK94" t="str">
        <f t="shared" si="31"/>
        <v xml:space="preserve"> </v>
      </c>
      <c r="AL94" t="e">
        <f t="shared" si="32"/>
        <v>#VALUE!</v>
      </c>
      <c r="AM94" t="str">
        <f>LEFT(VLOOKUP(A94, Fechas_Estado!A:AE,8,0),10)</f>
        <v/>
      </c>
      <c r="AN94" t="str">
        <f>MID(VLOOKUP(A94, Fechas_Estado!A:AE,8,0),12,8)</f>
        <v/>
      </c>
      <c r="AO94" t="str">
        <f t="shared" si="33"/>
        <v xml:space="preserve"> </v>
      </c>
      <c r="AP94" t="str">
        <f>LEFT(VLOOKUP(A94, Fechas_Estado!A:AE,7,0),10)</f>
        <v/>
      </c>
      <c r="AQ94" t="str">
        <f>MID(VLOOKUP(A94, Fechas_Estado!A:AE,7,0),12,8)</f>
        <v/>
      </c>
      <c r="AR94" t="str">
        <f t="shared" si="34"/>
        <v xml:space="preserve"> </v>
      </c>
      <c r="AS94" t="str">
        <f>LEFT(VLOOKUP(A94, Fechas_Estado!A:AE,10,0),10)</f>
        <v/>
      </c>
      <c r="AT94" t="str">
        <f>MID(VLOOKUP(A94, Fechas_Estado!A:AE,10,0),12,8)</f>
        <v/>
      </c>
      <c r="AU94" t="str">
        <f t="shared" si="35"/>
        <v xml:space="preserve"> </v>
      </c>
      <c r="AV94" t="str">
        <f>LEFT(VLOOKUP(A94, Fechas_Estado!A:AE,17,0),10)</f>
        <v/>
      </c>
      <c r="AW94" t="str">
        <f>MID(VLOOKUP(A94, Fechas_Estado!A:AE,17,0),12,8)</f>
        <v/>
      </c>
      <c r="AX94" t="str">
        <f t="shared" si="36"/>
        <v xml:space="preserve"> </v>
      </c>
      <c r="AY94" t="e">
        <f t="shared" si="37"/>
        <v>#VALUE!</v>
      </c>
      <c r="AZ94" t="str">
        <f>LEFT(VLOOKUP(A94, Fechas_Estado!A:AE,5,0),10)</f>
        <v/>
      </c>
      <c r="BA94" t="str">
        <f>MID(VLOOKUP(A94, Fechas_Estado!A:AE,5,0),12,8)</f>
        <v/>
      </c>
      <c r="BB94" t="str">
        <f t="shared" si="38"/>
        <v xml:space="preserve"> </v>
      </c>
      <c r="BC94" t="e">
        <f t="shared" si="39"/>
        <v>#VALUE!</v>
      </c>
    </row>
    <row r="95" spans="1:55" x14ac:dyDescent="0.25">
      <c r="A95" t="str">
        <f>Fechas_Estado!A94</f>
        <v>ESPC360-3890</v>
      </c>
      <c r="B95" t="str">
        <f>LEFT(VLOOKUP(A95,Fechas_Estado!A:AE,2,0),10)</f>
        <v>2024-01-08</v>
      </c>
      <c r="C95" t="str">
        <f>MID(VLOOKUP(A95, Fechas_Estado!A:AE,2,0),12,8)</f>
        <v>11:45:55</v>
      </c>
      <c r="D95" t="str">
        <f t="shared" si="20"/>
        <v>2024-01-08 11:45:55</v>
      </c>
      <c r="E95" t="str">
        <f>LEFT(VLOOKUP(A95, Fechas_Estado!A:AE,19,0),10)</f>
        <v/>
      </c>
      <c r="F95" t="str">
        <f>MID(VLOOKUP(A95, Fechas_Estado!A:AE,19,0),12,8)</f>
        <v/>
      </c>
      <c r="G95" t="str">
        <f t="shared" si="21"/>
        <v xml:space="preserve"> </v>
      </c>
      <c r="H95" t="str">
        <f>LEFT(VLOOKUP(A95, Fechas_Estado!A:AE,20,0),10)</f>
        <v/>
      </c>
      <c r="I95" t="str">
        <f>MID(VLOOKUP(A95, Fechas_Estado!A:AE,20,0),12,8)</f>
        <v/>
      </c>
      <c r="J95" t="str">
        <f t="shared" si="22"/>
        <v xml:space="preserve"> </v>
      </c>
      <c r="K95" t="str">
        <f>LEFT(VLOOKUP(A95, Fechas_Estado!A:AE,21,0),10)</f>
        <v/>
      </c>
      <c r="L95" t="str">
        <f>MID(VLOOKUP(A95, Fechas_Estado!A:AE,21,0),12,8)</f>
        <v/>
      </c>
      <c r="M95" t="str">
        <f t="shared" si="23"/>
        <v xml:space="preserve"> </v>
      </c>
      <c r="N95" t="str">
        <f>LEFT(VLOOKUP(A95, Fechas_Estado!A:AE,22,0),10)</f>
        <v/>
      </c>
      <c r="O95" t="str">
        <f>MID(VLOOKUP(A95, Fechas_Estado!A:AE,22,0),12,8)</f>
        <v/>
      </c>
      <c r="P95" t="str">
        <f t="shared" si="24"/>
        <v xml:space="preserve"> </v>
      </c>
      <c r="Q95" t="str">
        <f>LEFT(VLOOKUP(A95, Fechas_Estado!A:AE,23,0),10)</f>
        <v/>
      </c>
      <c r="R95" t="str">
        <f>MID(VLOOKUP(A95, Fechas_Estado!A:AE,23,0),12,8)</f>
        <v/>
      </c>
      <c r="S95" t="str">
        <f t="shared" si="25"/>
        <v xml:space="preserve"> </v>
      </c>
      <c r="T95" t="str">
        <f>LEFT(VLOOKUP(A95, Fechas_Estado!A:AE,24,0),10)</f>
        <v>2024-01-16</v>
      </c>
      <c r="U95" t="str">
        <f>MID(VLOOKUP(A95, Fechas_Estado!A:AE,24,0),12,8)</f>
        <v>10:52:18</v>
      </c>
      <c r="V95" t="str">
        <f t="shared" si="26"/>
        <v>2024-01-16 10:52:18</v>
      </c>
      <c r="W95" t="str">
        <f>LEFT(VLOOKUP(A95, Fechas_Estado!A:AE,25,0),10)</f>
        <v>2024-01-19</v>
      </c>
      <c r="X95" t="str">
        <f>MID(VLOOKUP(A95, Fechas_Estado!A:AE,25,0),12,8)</f>
        <v>09:36:10</v>
      </c>
      <c r="Y95" t="str">
        <f t="shared" si="27"/>
        <v>2024-01-19 09:36:10</v>
      </c>
      <c r="Z95" t="str">
        <f>LEFT(VLOOKUP(A95, Fechas_Estado!A:AE,26,0),10)</f>
        <v/>
      </c>
      <c r="AA95" t="str">
        <f>MID(VLOOKUP(A95, Fechas_Estado!A:AE,26,0),12,8)</f>
        <v/>
      </c>
      <c r="AB95" t="str">
        <f t="shared" si="28"/>
        <v xml:space="preserve"> </v>
      </c>
      <c r="AC95" t="str">
        <f>LEFT(VLOOKUP(A95, Fechas_Estado!A:AE,27,0),10)</f>
        <v/>
      </c>
      <c r="AD95" t="str">
        <f>MID(VLOOKUP(A95, Fechas_Estado!A:AE,27,0),12,8)</f>
        <v/>
      </c>
      <c r="AE95" t="str">
        <f t="shared" si="29"/>
        <v xml:space="preserve"> </v>
      </c>
      <c r="AF95" t="str">
        <f>LEFT(VLOOKUP(A95, Fechas_Estado!A:AF,28,0),10)</f>
        <v/>
      </c>
      <c r="AG95" t="str">
        <f>MID(VLOOKUP(A95, Fechas_Estado!A:AF,28,0),12,8)</f>
        <v/>
      </c>
      <c r="AH95" t="str">
        <f t="shared" si="30"/>
        <v xml:space="preserve"> </v>
      </c>
      <c r="AI95" t="str">
        <f>LEFT(VLOOKUP(A95, Fechas_Estado!A:AF,16,0),10)</f>
        <v/>
      </c>
      <c r="AJ95" t="str">
        <f>MID(VLOOKUP(A95, Fechas_Estado!A:AF,16,0),12,8)</f>
        <v/>
      </c>
      <c r="AK95" t="str">
        <f t="shared" si="31"/>
        <v xml:space="preserve"> </v>
      </c>
      <c r="AL95" t="e">
        <f t="shared" si="32"/>
        <v>#VALUE!</v>
      </c>
      <c r="AM95" t="str">
        <f>LEFT(VLOOKUP(A95, Fechas_Estado!A:AE,8,0),10)</f>
        <v>2024-01-19</v>
      </c>
      <c r="AN95" t="str">
        <f>MID(VLOOKUP(A95, Fechas_Estado!A:AE,8,0),12,8)</f>
        <v>09:37:03</v>
      </c>
      <c r="AO95" t="str">
        <f t="shared" si="33"/>
        <v>2024-01-19 09:37:03</v>
      </c>
      <c r="AP95" t="str">
        <f>LEFT(VLOOKUP(A95, Fechas_Estado!A:AE,7,0),10)</f>
        <v>2024-01-25</v>
      </c>
      <c r="AQ95" t="str">
        <f>MID(VLOOKUP(A95, Fechas_Estado!A:AE,7,0),12,8)</f>
        <v>13:44:29</v>
      </c>
      <c r="AR95" t="str">
        <f t="shared" si="34"/>
        <v>2024-01-25 13:44:29</v>
      </c>
      <c r="AS95" t="str">
        <f>LEFT(VLOOKUP(A95, Fechas_Estado!A:AE,10,0),10)</f>
        <v>2024-01-25</v>
      </c>
      <c r="AT95" t="str">
        <f>MID(VLOOKUP(A95, Fechas_Estado!A:AE,10,0),12,8)</f>
        <v>13:44:42</v>
      </c>
      <c r="AU95" t="str">
        <f t="shared" si="35"/>
        <v>2024-01-25 13:44:42</v>
      </c>
      <c r="AV95" t="str">
        <f>LEFT(VLOOKUP(A95, Fechas_Estado!A:AE,17,0),10)</f>
        <v>2024-01-25</v>
      </c>
      <c r="AW95" t="str">
        <f>MID(VLOOKUP(A95, Fechas_Estado!A:AE,17,0),12,8)</f>
        <v>13:44:50</v>
      </c>
      <c r="AX95" t="str">
        <f t="shared" si="36"/>
        <v>2024-01-25 13:44:50</v>
      </c>
      <c r="AY95">
        <f t="shared" si="37"/>
        <v>6.1720717592615983</v>
      </c>
      <c r="AZ95" t="str">
        <f>LEFT(VLOOKUP(A95, Fechas_Estado!A:AE,5,0),10)</f>
        <v>2024-01-25</v>
      </c>
      <c r="BA95" t="str">
        <f>MID(VLOOKUP(A95, Fechas_Estado!A:AE,5,0),12,8)</f>
        <v>17:05:36</v>
      </c>
      <c r="BB95" t="str">
        <f t="shared" si="38"/>
        <v>2024-01-25 17:05:36</v>
      </c>
      <c r="BC95">
        <f t="shared" si="39"/>
        <v>0.1394212962986785</v>
      </c>
    </row>
    <row r="96" spans="1:55" x14ac:dyDescent="0.25">
      <c r="A96" t="str">
        <f>Fechas_Estado!A95</f>
        <v>ESPC360-3979</v>
      </c>
      <c r="B96" t="str">
        <f>LEFT(VLOOKUP(A96,Fechas_Estado!A:AE,2,0),10)</f>
        <v>2024-01-09</v>
      </c>
      <c r="C96" t="str">
        <f>MID(VLOOKUP(A96, Fechas_Estado!A:AE,2,0),12,8)</f>
        <v>15:48:19</v>
      </c>
      <c r="D96" t="str">
        <f t="shared" si="20"/>
        <v>2024-01-09 15:48:19</v>
      </c>
      <c r="E96" t="str">
        <f>LEFT(VLOOKUP(A96, Fechas_Estado!A:AE,19,0),10)</f>
        <v/>
      </c>
      <c r="F96" t="str">
        <f>MID(VLOOKUP(A96, Fechas_Estado!A:AE,19,0),12,8)</f>
        <v/>
      </c>
      <c r="G96" t="str">
        <f t="shared" si="21"/>
        <v xml:space="preserve"> </v>
      </c>
      <c r="H96" t="str">
        <f>LEFT(VLOOKUP(A96, Fechas_Estado!A:AE,20,0),10)</f>
        <v/>
      </c>
      <c r="I96" t="str">
        <f>MID(VLOOKUP(A96, Fechas_Estado!A:AE,20,0),12,8)</f>
        <v/>
      </c>
      <c r="J96" t="str">
        <f t="shared" si="22"/>
        <v xml:space="preserve"> </v>
      </c>
      <c r="K96" t="str">
        <f>LEFT(VLOOKUP(A96, Fechas_Estado!A:AE,21,0),10)</f>
        <v/>
      </c>
      <c r="L96" t="str">
        <f>MID(VLOOKUP(A96, Fechas_Estado!A:AE,21,0),12,8)</f>
        <v/>
      </c>
      <c r="M96" t="str">
        <f t="shared" si="23"/>
        <v xml:space="preserve"> </v>
      </c>
      <c r="N96" t="str">
        <f>LEFT(VLOOKUP(A96, Fechas_Estado!A:AE,22,0),10)</f>
        <v/>
      </c>
      <c r="O96" t="str">
        <f>MID(VLOOKUP(A96, Fechas_Estado!A:AE,22,0),12,8)</f>
        <v/>
      </c>
      <c r="P96" t="str">
        <f t="shared" si="24"/>
        <v xml:space="preserve"> </v>
      </c>
      <c r="Q96" t="str">
        <f>LEFT(VLOOKUP(A96, Fechas_Estado!A:AE,23,0),10)</f>
        <v/>
      </c>
      <c r="R96" t="str">
        <f>MID(VLOOKUP(A96, Fechas_Estado!A:AE,23,0),12,8)</f>
        <v/>
      </c>
      <c r="S96" t="str">
        <f t="shared" si="25"/>
        <v xml:space="preserve"> </v>
      </c>
      <c r="T96" t="str">
        <f>LEFT(VLOOKUP(A96, Fechas_Estado!A:AE,24,0),10)</f>
        <v/>
      </c>
      <c r="U96" t="str">
        <f>MID(VLOOKUP(A96, Fechas_Estado!A:AE,24,0),12,8)</f>
        <v/>
      </c>
      <c r="V96" t="str">
        <f t="shared" si="26"/>
        <v xml:space="preserve"> </v>
      </c>
      <c r="W96" t="str">
        <f>LEFT(VLOOKUP(A96, Fechas_Estado!A:AE,25,0),10)</f>
        <v>2024-01-09</v>
      </c>
      <c r="X96" t="str">
        <f>MID(VLOOKUP(A96, Fechas_Estado!A:AE,25,0),12,8)</f>
        <v>15:48:28</v>
      </c>
      <c r="Y96" t="str">
        <f t="shared" si="27"/>
        <v>2024-01-09 15:48:28</v>
      </c>
      <c r="Z96" t="str">
        <f>LEFT(VLOOKUP(A96, Fechas_Estado!A:AE,26,0),10)</f>
        <v>2024-01-10</v>
      </c>
      <c r="AA96" t="str">
        <f>MID(VLOOKUP(A96, Fechas_Estado!A:AE,26,0),12,8)</f>
        <v>10:40:43</v>
      </c>
      <c r="AB96" t="str">
        <f t="shared" si="28"/>
        <v>2024-01-10 10:40:43</v>
      </c>
      <c r="AC96" t="str">
        <f>LEFT(VLOOKUP(A96, Fechas_Estado!A:AE,27,0),10)</f>
        <v/>
      </c>
      <c r="AD96" t="str">
        <f>MID(VLOOKUP(A96, Fechas_Estado!A:AE,27,0),12,8)</f>
        <v/>
      </c>
      <c r="AE96" t="str">
        <f t="shared" si="29"/>
        <v xml:space="preserve"> </v>
      </c>
      <c r="AF96" t="str">
        <f>LEFT(VLOOKUP(A96, Fechas_Estado!A:AF,28,0),10)</f>
        <v/>
      </c>
      <c r="AG96" t="str">
        <f>MID(VLOOKUP(A96, Fechas_Estado!A:AF,28,0),12,8)</f>
        <v/>
      </c>
      <c r="AH96" t="str">
        <f t="shared" si="30"/>
        <v xml:space="preserve"> </v>
      </c>
      <c r="AI96" t="str">
        <f>LEFT(VLOOKUP(A96, Fechas_Estado!A:AF,16,0),10)</f>
        <v/>
      </c>
      <c r="AJ96" t="str">
        <f>MID(VLOOKUP(A96, Fechas_Estado!A:AF,16,0),12,8)</f>
        <v/>
      </c>
      <c r="AK96" t="str">
        <f t="shared" si="31"/>
        <v xml:space="preserve"> </v>
      </c>
      <c r="AL96" t="e">
        <f t="shared" si="32"/>
        <v>#VALUE!</v>
      </c>
      <c r="AM96" t="str">
        <f>LEFT(VLOOKUP(A96, Fechas_Estado!A:AE,8,0),10)</f>
        <v/>
      </c>
      <c r="AN96" t="str">
        <f>MID(VLOOKUP(A96, Fechas_Estado!A:AE,8,0),12,8)</f>
        <v/>
      </c>
      <c r="AO96" t="str">
        <f t="shared" si="33"/>
        <v xml:space="preserve"> </v>
      </c>
      <c r="AP96" t="str">
        <f>LEFT(VLOOKUP(A96, Fechas_Estado!A:AE,7,0),10)</f>
        <v/>
      </c>
      <c r="AQ96" t="str">
        <f>MID(VLOOKUP(A96, Fechas_Estado!A:AE,7,0),12,8)</f>
        <v/>
      </c>
      <c r="AR96" t="str">
        <f t="shared" si="34"/>
        <v xml:space="preserve"> </v>
      </c>
      <c r="AS96" t="str">
        <f>LEFT(VLOOKUP(A96, Fechas_Estado!A:AE,10,0),10)</f>
        <v/>
      </c>
      <c r="AT96" t="str">
        <f>MID(VLOOKUP(A96, Fechas_Estado!A:AE,10,0),12,8)</f>
        <v/>
      </c>
      <c r="AU96" t="str">
        <f t="shared" si="35"/>
        <v xml:space="preserve"> </v>
      </c>
      <c r="AV96" t="str">
        <f>LEFT(VLOOKUP(A96, Fechas_Estado!A:AE,17,0),10)</f>
        <v/>
      </c>
      <c r="AW96" t="str">
        <f>MID(VLOOKUP(A96, Fechas_Estado!A:AE,17,0),12,8)</f>
        <v/>
      </c>
      <c r="AX96" t="str">
        <f t="shared" si="36"/>
        <v xml:space="preserve"> </v>
      </c>
      <c r="AY96" t="e">
        <f t="shared" si="37"/>
        <v>#VALUE!</v>
      </c>
      <c r="AZ96" t="str">
        <f>LEFT(VLOOKUP(A96, Fechas_Estado!A:AE,5,0),10)</f>
        <v>2024-01-10</v>
      </c>
      <c r="BA96" t="str">
        <f>MID(VLOOKUP(A96, Fechas_Estado!A:AE,5,0),12,8)</f>
        <v>16:49:49</v>
      </c>
      <c r="BB96" t="str">
        <f t="shared" si="38"/>
        <v>2024-01-10 16:49:49</v>
      </c>
      <c r="BC96" t="e">
        <f t="shared" si="39"/>
        <v>#VALUE!</v>
      </c>
    </row>
    <row r="97" spans="1:55" x14ac:dyDescent="0.25">
      <c r="A97" t="str">
        <f>Fechas_Estado!A96</f>
        <v>ESPC360-3997</v>
      </c>
      <c r="B97" t="str">
        <f>LEFT(VLOOKUP(A97,Fechas_Estado!A:AE,2,0),10)</f>
        <v>2024-01-10</v>
      </c>
      <c r="C97" t="str">
        <f>MID(VLOOKUP(A97, Fechas_Estado!A:AE,2,0),12,8)</f>
        <v>16:09:46</v>
      </c>
      <c r="D97" t="str">
        <f t="shared" si="20"/>
        <v>2024-01-10 16:09:46</v>
      </c>
      <c r="E97" t="str">
        <f>LEFT(VLOOKUP(A97, Fechas_Estado!A:AE,19,0),10)</f>
        <v/>
      </c>
      <c r="F97" t="str">
        <f>MID(VLOOKUP(A97, Fechas_Estado!A:AE,19,0),12,8)</f>
        <v/>
      </c>
      <c r="G97" t="str">
        <f t="shared" si="21"/>
        <v xml:space="preserve"> </v>
      </c>
      <c r="H97" t="str">
        <f>LEFT(VLOOKUP(A97, Fechas_Estado!A:AE,20,0),10)</f>
        <v/>
      </c>
      <c r="I97" t="str">
        <f>MID(VLOOKUP(A97, Fechas_Estado!A:AE,20,0),12,8)</f>
        <v/>
      </c>
      <c r="J97" t="str">
        <f t="shared" si="22"/>
        <v xml:space="preserve"> </v>
      </c>
      <c r="K97" t="str">
        <f>LEFT(VLOOKUP(A97, Fechas_Estado!A:AE,21,0),10)</f>
        <v/>
      </c>
      <c r="L97" t="str">
        <f>MID(VLOOKUP(A97, Fechas_Estado!A:AE,21,0),12,8)</f>
        <v/>
      </c>
      <c r="M97" t="str">
        <f t="shared" si="23"/>
        <v xml:space="preserve"> </v>
      </c>
      <c r="N97" t="str">
        <f>LEFT(VLOOKUP(A97, Fechas_Estado!A:AE,22,0),10)</f>
        <v/>
      </c>
      <c r="O97" t="str">
        <f>MID(VLOOKUP(A97, Fechas_Estado!A:AE,22,0),12,8)</f>
        <v/>
      </c>
      <c r="P97" t="str">
        <f t="shared" si="24"/>
        <v xml:space="preserve"> </v>
      </c>
      <c r="Q97" t="str">
        <f>LEFT(VLOOKUP(A97, Fechas_Estado!A:AE,23,0),10)</f>
        <v/>
      </c>
      <c r="R97" t="str">
        <f>MID(VLOOKUP(A97, Fechas_Estado!A:AE,23,0),12,8)</f>
        <v/>
      </c>
      <c r="S97" t="str">
        <f t="shared" si="25"/>
        <v xml:space="preserve"> </v>
      </c>
      <c r="T97" t="str">
        <f>LEFT(VLOOKUP(A97, Fechas_Estado!A:AE,24,0),10)</f>
        <v/>
      </c>
      <c r="U97" t="str">
        <f>MID(VLOOKUP(A97, Fechas_Estado!A:AE,24,0),12,8)</f>
        <v/>
      </c>
      <c r="V97" t="str">
        <f t="shared" si="26"/>
        <v xml:space="preserve"> </v>
      </c>
      <c r="W97" t="str">
        <f>LEFT(VLOOKUP(A97, Fechas_Estado!A:AE,25,0),10)</f>
        <v>2024-01-10</v>
      </c>
      <c r="X97" t="str">
        <f>MID(VLOOKUP(A97, Fechas_Estado!A:AE,25,0),12,8)</f>
        <v>16:12:55</v>
      </c>
      <c r="Y97" t="str">
        <f t="shared" si="27"/>
        <v>2024-01-10 16:12:55</v>
      </c>
      <c r="Z97" t="str">
        <f>LEFT(VLOOKUP(A97, Fechas_Estado!A:AE,26,0),10)</f>
        <v>2024-01-10</v>
      </c>
      <c r="AA97" t="str">
        <f>MID(VLOOKUP(A97, Fechas_Estado!A:AE,26,0),12,8)</f>
        <v>16:47:41</v>
      </c>
      <c r="AB97" t="str">
        <f t="shared" si="28"/>
        <v>2024-01-10 16:47:41</v>
      </c>
      <c r="AC97" t="str">
        <f>LEFT(VLOOKUP(A97, Fechas_Estado!A:AE,27,0),10)</f>
        <v>2024-01-10</v>
      </c>
      <c r="AD97" t="str">
        <f>MID(VLOOKUP(A97, Fechas_Estado!A:AE,27,0),12,8)</f>
        <v>16:58:27</v>
      </c>
      <c r="AE97" t="str">
        <f t="shared" si="29"/>
        <v>2024-01-10 16:58:27</v>
      </c>
      <c r="AF97" t="str">
        <f>LEFT(VLOOKUP(A97, Fechas_Estado!A:AF,28,0),10)</f>
        <v/>
      </c>
      <c r="AG97" t="str">
        <f>MID(VLOOKUP(A97, Fechas_Estado!A:AF,28,0),12,8)</f>
        <v/>
      </c>
      <c r="AH97" t="str">
        <f t="shared" si="30"/>
        <v xml:space="preserve"> </v>
      </c>
      <c r="AI97" t="str">
        <f>LEFT(VLOOKUP(A97, Fechas_Estado!A:AF,16,0),10)</f>
        <v>2024-01-11</v>
      </c>
      <c r="AJ97" t="str">
        <f>MID(VLOOKUP(A97, Fechas_Estado!A:AF,16,0),12,8)</f>
        <v>16:08:17</v>
      </c>
      <c r="AK97" t="str">
        <f t="shared" si="31"/>
        <v>2024-01-11 16:08:17</v>
      </c>
      <c r="AL97">
        <f t="shared" si="32"/>
        <v>0.9989699074139935</v>
      </c>
      <c r="AM97" t="str">
        <f>LEFT(VLOOKUP(A97, Fechas_Estado!A:AE,8,0),10)</f>
        <v>2024-01-12</v>
      </c>
      <c r="AN97" t="str">
        <f>MID(VLOOKUP(A97, Fechas_Estado!A:AE,8,0),12,8)</f>
        <v>10:34:48</v>
      </c>
      <c r="AO97" t="str">
        <f t="shared" si="33"/>
        <v>2024-01-12 10:34:48</v>
      </c>
      <c r="AP97" t="str">
        <f>LEFT(VLOOKUP(A97, Fechas_Estado!A:AE,7,0),10)</f>
        <v>2024-01-15</v>
      </c>
      <c r="AQ97" t="str">
        <f>MID(VLOOKUP(A97, Fechas_Estado!A:AE,7,0),12,8)</f>
        <v>10:47:00</v>
      </c>
      <c r="AR97" t="str">
        <f t="shared" si="34"/>
        <v>2024-01-15 10:47:00</v>
      </c>
      <c r="AS97" t="str">
        <f>LEFT(VLOOKUP(A97, Fechas_Estado!A:AE,10,0),10)</f>
        <v>2024-01-17</v>
      </c>
      <c r="AT97" t="str">
        <f>MID(VLOOKUP(A97, Fechas_Estado!A:AE,10,0),12,8)</f>
        <v>11:32:46</v>
      </c>
      <c r="AU97" t="str">
        <f t="shared" si="35"/>
        <v>2024-01-17 11:32:46</v>
      </c>
      <c r="AV97" t="str">
        <f>LEFT(VLOOKUP(A97, Fechas_Estado!A:AE,17,0),10)</f>
        <v>2024-01-18</v>
      </c>
      <c r="AW97" t="str">
        <f>MID(VLOOKUP(A97, Fechas_Estado!A:AE,17,0),12,8)</f>
        <v>11:07:52</v>
      </c>
      <c r="AX97" t="str">
        <f t="shared" si="36"/>
        <v>2024-01-18 11:07:52</v>
      </c>
      <c r="AY97">
        <f t="shared" si="37"/>
        <v>6.0229629629611736</v>
      </c>
      <c r="AZ97" t="str">
        <f>LEFT(VLOOKUP(A97, Fechas_Estado!A:AE,5,0),10)</f>
        <v>2024-02-02</v>
      </c>
      <c r="BA97" t="str">
        <f>MID(VLOOKUP(A97, Fechas_Estado!A:AE,5,0),12,8)</f>
        <v>09:57:57</v>
      </c>
      <c r="BB97" t="str">
        <f t="shared" si="38"/>
        <v>2024-02-02 09:57:57</v>
      </c>
      <c r="BC97">
        <f t="shared" si="39"/>
        <v>14.951446759259852</v>
      </c>
    </row>
    <row r="98" spans="1:55" x14ac:dyDescent="0.25">
      <c r="A98" t="str">
        <f>Fechas_Estado!A97</f>
        <v>ESPC360-4326</v>
      </c>
      <c r="B98" t="str">
        <f>LEFT(VLOOKUP(A98,Fechas_Estado!A:AE,2,0),10)</f>
        <v>2024-01-15</v>
      </c>
      <c r="C98" t="str">
        <f>MID(VLOOKUP(A98, Fechas_Estado!A:AE,2,0),12,8)</f>
        <v>13:10:17</v>
      </c>
      <c r="D98" t="str">
        <f t="shared" si="20"/>
        <v>2024-01-15 13:10:17</v>
      </c>
      <c r="E98" t="str">
        <f>LEFT(VLOOKUP(A98, Fechas_Estado!A:AE,19,0),10)</f>
        <v>2024-01-15</v>
      </c>
      <c r="F98" t="str">
        <f>MID(VLOOKUP(A98, Fechas_Estado!A:AE,19,0),12,8)</f>
        <v>13:17:22</v>
      </c>
      <c r="G98" t="str">
        <f t="shared" si="21"/>
        <v>2024-01-15 13:17:22</v>
      </c>
      <c r="H98" t="str">
        <f>LEFT(VLOOKUP(A98, Fechas_Estado!A:AE,20,0),10)</f>
        <v>2024-01-15</v>
      </c>
      <c r="I98" t="str">
        <f>MID(VLOOKUP(A98, Fechas_Estado!A:AE,20,0),12,8)</f>
        <v>13:17:35</v>
      </c>
      <c r="J98" t="str">
        <f t="shared" si="22"/>
        <v>2024-01-15 13:17:35</v>
      </c>
      <c r="K98" t="str">
        <f>LEFT(VLOOKUP(A98, Fechas_Estado!A:AE,21,0),10)</f>
        <v/>
      </c>
      <c r="L98" t="str">
        <f>MID(VLOOKUP(A98, Fechas_Estado!A:AE,21,0),12,8)</f>
        <v/>
      </c>
      <c r="M98" t="str">
        <f t="shared" si="23"/>
        <v xml:space="preserve"> </v>
      </c>
      <c r="N98" t="str">
        <f>LEFT(VLOOKUP(A98, Fechas_Estado!A:AE,22,0),10)</f>
        <v/>
      </c>
      <c r="O98" t="str">
        <f>MID(VLOOKUP(A98, Fechas_Estado!A:AE,22,0),12,8)</f>
        <v/>
      </c>
      <c r="P98" t="str">
        <f t="shared" si="24"/>
        <v xml:space="preserve"> </v>
      </c>
      <c r="Q98" t="str">
        <f>LEFT(VLOOKUP(A98, Fechas_Estado!A:AE,23,0),10)</f>
        <v/>
      </c>
      <c r="R98" t="str">
        <f>MID(VLOOKUP(A98, Fechas_Estado!A:AE,23,0),12,8)</f>
        <v/>
      </c>
      <c r="S98" t="str">
        <f t="shared" si="25"/>
        <v xml:space="preserve"> </v>
      </c>
      <c r="T98" t="str">
        <f>LEFT(VLOOKUP(A98, Fechas_Estado!A:AE,24,0),10)</f>
        <v/>
      </c>
      <c r="U98" t="str">
        <f>MID(VLOOKUP(A98, Fechas_Estado!A:AE,24,0),12,8)</f>
        <v/>
      </c>
      <c r="V98" t="str">
        <f t="shared" si="26"/>
        <v xml:space="preserve"> </v>
      </c>
      <c r="W98" t="str">
        <f>LEFT(VLOOKUP(A98, Fechas_Estado!A:AE,25,0),10)</f>
        <v>2024-01-15</v>
      </c>
      <c r="X98" t="str">
        <f>MID(VLOOKUP(A98, Fechas_Estado!A:AE,25,0),12,8)</f>
        <v>14:44:18</v>
      </c>
      <c r="Y98" t="str">
        <f t="shared" si="27"/>
        <v>2024-01-15 14:44:18</v>
      </c>
      <c r="Z98" t="str">
        <f>LEFT(VLOOKUP(A98, Fechas_Estado!A:AE,26,0),10)</f>
        <v>2024-01-16</v>
      </c>
      <c r="AA98" t="str">
        <f>MID(VLOOKUP(A98, Fechas_Estado!A:AE,26,0),12,8)</f>
        <v>10:50:16</v>
      </c>
      <c r="AB98" t="str">
        <f t="shared" si="28"/>
        <v>2024-01-16 10:50:16</v>
      </c>
      <c r="AC98" t="str">
        <f>LEFT(VLOOKUP(A98, Fechas_Estado!A:AE,27,0),10)</f>
        <v>2024-01-22</v>
      </c>
      <c r="AD98" t="str">
        <f>MID(VLOOKUP(A98, Fechas_Estado!A:AE,27,0),12,8)</f>
        <v>08:07:16</v>
      </c>
      <c r="AE98" t="str">
        <f t="shared" si="29"/>
        <v>2024-01-22 08:07:16</v>
      </c>
      <c r="AF98" t="str">
        <f>LEFT(VLOOKUP(A98, Fechas_Estado!A:AF,28,0),10)</f>
        <v/>
      </c>
      <c r="AG98" t="str">
        <f>MID(VLOOKUP(A98, Fechas_Estado!A:AF,28,0),12,8)</f>
        <v/>
      </c>
      <c r="AH98" t="str">
        <f t="shared" si="30"/>
        <v xml:space="preserve"> </v>
      </c>
      <c r="AI98" t="str">
        <f>LEFT(VLOOKUP(A98, Fechas_Estado!A:AF,16,0),10)</f>
        <v>2024-01-22</v>
      </c>
      <c r="AJ98" t="str">
        <f>MID(VLOOKUP(A98, Fechas_Estado!A:AF,16,0),12,8)</f>
        <v>12:23:12</v>
      </c>
      <c r="AK98" t="str">
        <f t="shared" si="31"/>
        <v>2024-01-22 12:23:12</v>
      </c>
      <c r="AL98">
        <f t="shared" si="32"/>
        <v>6.9673032407372375</v>
      </c>
      <c r="AM98" t="str">
        <f>LEFT(VLOOKUP(A98, Fechas_Estado!A:AE,8,0),10)</f>
        <v>2024-02-08</v>
      </c>
      <c r="AN98" t="str">
        <f>MID(VLOOKUP(A98, Fechas_Estado!A:AE,8,0),12,8)</f>
        <v>16:40:28</v>
      </c>
      <c r="AO98" t="str">
        <f t="shared" si="33"/>
        <v>2024-02-08 16:40:28</v>
      </c>
      <c r="AP98" t="str">
        <f>LEFT(VLOOKUP(A98, Fechas_Estado!A:AE,7,0),10)</f>
        <v>2024-02-13</v>
      </c>
      <c r="AQ98" t="str">
        <f>MID(VLOOKUP(A98, Fechas_Estado!A:AE,7,0),12,8)</f>
        <v>11:39:41</v>
      </c>
      <c r="AR98" t="str">
        <f t="shared" si="34"/>
        <v>2024-02-13 11:39:41</v>
      </c>
      <c r="AS98" t="str">
        <f>LEFT(VLOOKUP(A98, Fechas_Estado!A:AE,10,0),10)</f>
        <v>2024-02-13</v>
      </c>
      <c r="AT98" t="str">
        <f>MID(VLOOKUP(A98, Fechas_Estado!A:AE,10,0),12,8)</f>
        <v>11:39:51</v>
      </c>
      <c r="AU98" t="str">
        <f t="shared" si="35"/>
        <v>2024-02-13 11:39:51</v>
      </c>
      <c r="AV98" t="str">
        <f>LEFT(VLOOKUP(A98, Fechas_Estado!A:AE,17,0),10)</f>
        <v>2024-02-13</v>
      </c>
      <c r="AW98" t="str">
        <f>MID(VLOOKUP(A98, Fechas_Estado!A:AE,17,0),12,8)</f>
        <v>11:39:55</v>
      </c>
      <c r="AX98" t="str">
        <f t="shared" si="36"/>
        <v>2024-02-13 11:39:55</v>
      </c>
      <c r="AY98">
        <f t="shared" si="37"/>
        <v>4.7912847222251003</v>
      </c>
      <c r="AZ98" t="str">
        <f>LEFT(VLOOKUP(A98, Fechas_Estado!A:AE,5,0),10)</f>
        <v>2024-03-18</v>
      </c>
      <c r="BA98" t="str">
        <f>MID(VLOOKUP(A98, Fechas_Estado!A:AE,5,0),12,8)</f>
        <v>16:51:24</v>
      </c>
      <c r="BB98" t="str">
        <f t="shared" si="38"/>
        <v>2024-03-18 16:51:24</v>
      </c>
      <c r="BC98">
        <f t="shared" si="39"/>
        <v>34.216307870374294</v>
      </c>
    </row>
    <row r="99" spans="1:55" x14ac:dyDescent="0.25">
      <c r="A99" t="str">
        <f>Fechas_Estado!A98</f>
        <v>ESPC360-4462</v>
      </c>
      <c r="B99" t="str">
        <f>LEFT(VLOOKUP(A99,Fechas_Estado!A:AE,2,0),10)</f>
        <v>2024-01-18</v>
      </c>
      <c r="C99" t="str">
        <f>MID(VLOOKUP(A99, Fechas_Estado!A:AE,2,0),12,8)</f>
        <v>16:56:35</v>
      </c>
      <c r="D99" t="str">
        <f t="shared" si="20"/>
        <v>2024-01-18 16:56:35</v>
      </c>
      <c r="E99" t="str">
        <f>LEFT(VLOOKUP(A99, Fechas_Estado!A:AE,19,0),10)</f>
        <v>2024-01-18</v>
      </c>
      <c r="F99" t="str">
        <f>MID(VLOOKUP(A99, Fechas_Estado!A:AE,19,0),12,8)</f>
        <v>16:59:12</v>
      </c>
      <c r="G99" t="str">
        <f t="shared" si="21"/>
        <v>2024-01-18 16:59:12</v>
      </c>
      <c r="H99" t="str">
        <f>LEFT(VLOOKUP(A99, Fechas_Estado!A:AE,20,0),10)</f>
        <v>2024-01-18</v>
      </c>
      <c r="I99" t="str">
        <f>MID(VLOOKUP(A99, Fechas_Estado!A:AE,20,0),12,8)</f>
        <v>16:59:16</v>
      </c>
      <c r="J99" t="str">
        <f t="shared" si="22"/>
        <v>2024-01-18 16:59:16</v>
      </c>
      <c r="K99" t="str">
        <f>LEFT(VLOOKUP(A99, Fechas_Estado!A:AE,21,0),10)</f>
        <v>2024-01-18</v>
      </c>
      <c r="L99" t="str">
        <f>MID(VLOOKUP(A99, Fechas_Estado!A:AE,21,0),12,8)</f>
        <v>17:01:30</v>
      </c>
      <c r="M99" t="str">
        <f t="shared" si="23"/>
        <v>2024-01-18 17:01:30</v>
      </c>
      <c r="N99" t="str">
        <f>LEFT(VLOOKUP(A99, Fechas_Estado!A:AE,22,0),10)</f>
        <v>2024-01-18</v>
      </c>
      <c r="O99" t="str">
        <f>MID(VLOOKUP(A99, Fechas_Estado!A:AE,22,0),12,8)</f>
        <v>17:48:17</v>
      </c>
      <c r="P99" t="str">
        <f t="shared" si="24"/>
        <v>2024-01-18 17:48:17</v>
      </c>
      <c r="Q99" t="str">
        <f>LEFT(VLOOKUP(A99, Fechas_Estado!A:AE,23,0),10)</f>
        <v>2024-01-23</v>
      </c>
      <c r="R99" t="str">
        <f>MID(VLOOKUP(A99, Fechas_Estado!A:AE,23,0),12,8)</f>
        <v>14:31:13</v>
      </c>
      <c r="S99" t="str">
        <f t="shared" si="25"/>
        <v>2024-01-23 14:31:13</v>
      </c>
      <c r="T99" t="str">
        <f>LEFT(VLOOKUP(A99, Fechas_Estado!A:AE,24,0),10)</f>
        <v>2024-01-23</v>
      </c>
      <c r="U99" t="str">
        <f>MID(VLOOKUP(A99, Fechas_Estado!A:AE,24,0),12,8)</f>
        <v>16:19:47</v>
      </c>
      <c r="V99" t="str">
        <f t="shared" si="26"/>
        <v>2024-01-23 16:19:47</v>
      </c>
      <c r="W99" t="str">
        <f>LEFT(VLOOKUP(A99, Fechas_Estado!A:AE,25,0),10)</f>
        <v>2024-01-23</v>
      </c>
      <c r="X99" t="str">
        <f>MID(VLOOKUP(A99, Fechas_Estado!A:AE,25,0),12,8)</f>
        <v>16:19:49</v>
      </c>
      <c r="Y99" t="str">
        <f t="shared" si="27"/>
        <v>2024-01-23 16:19:49</v>
      </c>
      <c r="Z99" t="str">
        <f>LEFT(VLOOKUP(A99, Fechas_Estado!A:AE,26,0),10)</f>
        <v>2024-01-24</v>
      </c>
      <c r="AA99" t="str">
        <f>MID(VLOOKUP(A99, Fechas_Estado!A:AE,26,0),12,8)</f>
        <v>15:32:28</v>
      </c>
      <c r="AB99" t="str">
        <f t="shared" si="28"/>
        <v>2024-01-24 15:32:28</v>
      </c>
      <c r="AC99" t="str">
        <f>LEFT(VLOOKUP(A99, Fechas_Estado!A:AE,27,0),10)</f>
        <v/>
      </c>
      <c r="AD99" t="str">
        <f>MID(VLOOKUP(A99, Fechas_Estado!A:AE,27,0),12,8)</f>
        <v/>
      </c>
      <c r="AE99" t="str">
        <f t="shared" si="29"/>
        <v xml:space="preserve"> </v>
      </c>
      <c r="AF99" t="str">
        <f>LEFT(VLOOKUP(A99, Fechas_Estado!A:AF,28,0),10)</f>
        <v/>
      </c>
      <c r="AG99" t="str">
        <f>MID(VLOOKUP(A99, Fechas_Estado!A:AF,28,0),12,8)</f>
        <v/>
      </c>
      <c r="AH99" t="str">
        <f t="shared" si="30"/>
        <v xml:space="preserve"> </v>
      </c>
      <c r="AI99" t="str">
        <f>LEFT(VLOOKUP(A99, Fechas_Estado!A:AF,16,0),10)</f>
        <v>2024-01-25</v>
      </c>
      <c r="AJ99" t="str">
        <f>MID(VLOOKUP(A99, Fechas_Estado!A:AF,16,0),12,8)</f>
        <v>17:03:21</v>
      </c>
      <c r="AK99" t="str">
        <f t="shared" si="31"/>
        <v>2024-01-25 17:03:21</v>
      </c>
      <c r="AL99">
        <f t="shared" si="32"/>
        <v>7.0046990740738693</v>
      </c>
      <c r="AM99" t="str">
        <f>LEFT(VLOOKUP(A99, Fechas_Estado!A:AE,8,0),10)</f>
        <v>2024-01-25</v>
      </c>
      <c r="AN99" t="str">
        <f>MID(VLOOKUP(A99, Fechas_Estado!A:AE,8,0),12,8)</f>
        <v>17:03:28</v>
      </c>
      <c r="AO99" t="str">
        <f t="shared" si="33"/>
        <v>2024-01-25 17:03:28</v>
      </c>
      <c r="AP99" t="str">
        <f>LEFT(VLOOKUP(A99, Fechas_Estado!A:AE,7,0),10)</f>
        <v>2024-01-25</v>
      </c>
      <c r="AQ99" t="str">
        <f>MID(VLOOKUP(A99, Fechas_Estado!A:AE,7,0),12,8)</f>
        <v>17:03:32</v>
      </c>
      <c r="AR99" t="str">
        <f t="shared" si="34"/>
        <v>2024-01-25 17:03:32</v>
      </c>
      <c r="AS99" t="str">
        <f>LEFT(VLOOKUP(A99, Fechas_Estado!A:AE,10,0),10)</f>
        <v>2024-01-25</v>
      </c>
      <c r="AT99" t="str">
        <f>MID(VLOOKUP(A99, Fechas_Estado!A:AE,10,0),12,8)</f>
        <v>17:03:41</v>
      </c>
      <c r="AU99" t="str">
        <f t="shared" si="35"/>
        <v>2024-01-25 17:03:41</v>
      </c>
      <c r="AV99" t="str">
        <f>LEFT(VLOOKUP(A99, Fechas_Estado!A:AE,17,0),10)</f>
        <v>2024-01-25</v>
      </c>
      <c r="AW99" t="str">
        <f>MID(VLOOKUP(A99, Fechas_Estado!A:AE,17,0),12,8)</f>
        <v>17:03:47</v>
      </c>
      <c r="AX99" t="str">
        <f t="shared" si="36"/>
        <v>2024-01-25 17:03:47</v>
      </c>
      <c r="AY99">
        <f t="shared" si="37"/>
        <v>2.1990740788169205E-4</v>
      </c>
      <c r="AZ99" t="str">
        <f>LEFT(VLOOKUP(A99, Fechas_Estado!A:AE,5,0),10)</f>
        <v>2024-01-25</v>
      </c>
      <c r="BA99" t="str">
        <f>MID(VLOOKUP(A99, Fechas_Estado!A:AE,5,0),12,8)</f>
        <v>17:03:51</v>
      </c>
      <c r="BB99" t="str">
        <f t="shared" si="38"/>
        <v>2024-01-25 17:03:51</v>
      </c>
      <c r="BC99">
        <f t="shared" si="39"/>
        <v>4.6296299842651933E-5</v>
      </c>
    </row>
    <row r="100" spans="1:55" x14ac:dyDescent="0.25">
      <c r="A100" t="str">
        <f>Fechas_Estado!A99</f>
        <v>ESPC360-4604</v>
      </c>
      <c r="B100" t="str">
        <f>LEFT(VLOOKUP(A100,Fechas_Estado!A:AE,2,0),10)</f>
        <v>2024-01-24</v>
      </c>
      <c r="C100" t="str">
        <f>MID(VLOOKUP(A100, Fechas_Estado!A:AE,2,0),12,8)</f>
        <v>10:22:10</v>
      </c>
      <c r="D100" t="str">
        <f t="shared" si="20"/>
        <v>2024-01-24 10:22:10</v>
      </c>
      <c r="E100" t="str">
        <f>LEFT(VLOOKUP(A100, Fechas_Estado!A:AE,19,0),10)</f>
        <v/>
      </c>
      <c r="F100" t="str">
        <f>MID(VLOOKUP(A100, Fechas_Estado!A:AE,19,0),12,8)</f>
        <v/>
      </c>
      <c r="G100" t="str">
        <f t="shared" si="21"/>
        <v xml:space="preserve"> </v>
      </c>
      <c r="H100" t="str">
        <f>LEFT(VLOOKUP(A100, Fechas_Estado!A:AE,20,0),10)</f>
        <v/>
      </c>
      <c r="I100" t="str">
        <f>MID(VLOOKUP(A100, Fechas_Estado!A:AE,20,0),12,8)</f>
        <v/>
      </c>
      <c r="J100" t="str">
        <f t="shared" si="22"/>
        <v xml:space="preserve"> </v>
      </c>
      <c r="K100" t="str">
        <f>LEFT(VLOOKUP(A100, Fechas_Estado!A:AE,21,0),10)</f>
        <v/>
      </c>
      <c r="L100" t="str">
        <f>MID(VLOOKUP(A100, Fechas_Estado!A:AE,21,0),12,8)</f>
        <v/>
      </c>
      <c r="M100" t="str">
        <f t="shared" si="23"/>
        <v xml:space="preserve"> </v>
      </c>
      <c r="N100" t="str">
        <f>LEFT(VLOOKUP(A100, Fechas_Estado!A:AE,22,0),10)</f>
        <v/>
      </c>
      <c r="O100" t="str">
        <f>MID(VLOOKUP(A100, Fechas_Estado!A:AE,22,0),12,8)</f>
        <v/>
      </c>
      <c r="P100" t="str">
        <f t="shared" si="24"/>
        <v xml:space="preserve"> </v>
      </c>
      <c r="Q100" t="str">
        <f>LEFT(VLOOKUP(A100, Fechas_Estado!A:AE,23,0),10)</f>
        <v/>
      </c>
      <c r="R100" t="str">
        <f>MID(VLOOKUP(A100, Fechas_Estado!A:AE,23,0),12,8)</f>
        <v/>
      </c>
      <c r="S100" t="str">
        <f t="shared" si="25"/>
        <v xml:space="preserve"> </v>
      </c>
      <c r="T100" t="str">
        <f>LEFT(VLOOKUP(A100, Fechas_Estado!A:AE,24,0),10)</f>
        <v>2024-01-29</v>
      </c>
      <c r="U100" t="str">
        <f>MID(VLOOKUP(A100, Fechas_Estado!A:AE,24,0),12,8)</f>
        <v>15:53:59</v>
      </c>
      <c r="V100" t="str">
        <f t="shared" si="26"/>
        <v>2024-01-29 15:53:59</v>
      </c>
      <c r="W100" t="str">
        <f>LEFT(VLOOKUP(A100, Fechas_Estado!A:AE,25,0),10)</f>
        <v>2024-02-29</v>
      </c>
      <c r="X100" t="str">
        <f>MID(VLOOKUP(A100, Fechas_Estado!A:AE,25,0),12,8)</f>
        <v>16:25:53</v>
      </c>
      <c r="Y100" t="str">
        <f t="shared" si="27"/>
        <v>2024-02-29 16:25:53</v>
      </c>
      <c r="Z100" t="str">
        <f>LEFT(VLOOKUP(A100, Fechas_Estado!A:AE,26,0),10)</f>
        <v>2024-01-25</v>
      </c>
      <c r="AA100" t="str">
        <f>MID(VLOOKUP(A100, Fechas_Estado!A:AE,26,0),12,8)</f>
        <v>17:04:07</v>
      </c>
      <c r="AB100" t="str">
        <f t="shared" si="28"/>
        <v>2024-01-25 17:04:07</v>
      </c>
      <c r="AC100" t="str">
        <f>LEFT(VLOOKUP(A100, Fechas_Estado!A:AE,27,0),10)</f>
        <v/>
      </c>
      <c r="AD100" t="str">
        <f>MID(VLOOKUP(A100, Fechas_Estado!A:AE,27,0),12,8)</f>
        <v/>
      </c>
      <c r="AE100" t="str">
        <f t="shared" si="29"/>
        <v xml:space="preserve"> </v>
      </c>
      <c r="AF100" t="str">
        <f>LEFT(VLOOKUP(A100, Fechas_Estado!A:AF,28,0),10)</f>
        <v/>
      </c>
      <c r="AG100" t="str">
        <f>MID(VLOOKUP(A100, Fechas_Estado!A:AF,28,0),12,8)</f>
        <v/>
      </c>
      <c r="AH100" t="str">
        <f t="shared" si="30"/>
        <v xml:space="preserve"> </v>
      </c>
      <c r="AI100" t="str">
        <f>LEFT(VLOOKUP(A100, Fechas_Estado!A:AF,16,0),10)</f>
        <v/>
      </c>
      <c r="AJ100" t="str">
        <f>MID(VLOOKUP(A100, Fechas_Estado!A:AF,16,0),12,8)</f>
        <v/>
      </c>
      <c r="AK100" t="str">
        <f t="shared" si="31"/>
        <v xml:space="preserve"> </v>
      </c>
      <c r="AL100" t="e">
        <f t="shared" si="32"/>
        <v>#VALUE!</v>
      </c>
      <c r="AM100" t="str">
        <f>LEFT(VLOOKUP(A100, Fechas_Estado!A:AE,8,0),10)</f>
        <v/>
      </c>
      <c r="AN100" t="str">
        <f>MID(VLOOKUP(A100, Fechas_Estado!A:AE,8,0),12,8)</f>
        <v/>
      </c>
      <c r="AO100" t="str">
        <f t="shared" si="33"/>
        <v xml:space="preserve"> </v>
      </c>
      <c r="AP100" t="str">
        <f>LEFT(VLOOKUP(A100, Fechas_Estado!A:AE,7,0),10)</f>
        <v/>
      </c>
      <c r="AQ100" t="str">
        <f>MID(VLOOKUP(A100, Fechas_Estado!A:AE,7,0),12,8)</f>
        <v/>
      </c>
      <c r="AR100" t="str">
        <f t="shared" si="34"/>
        <v xml:space="preserve"> </v>
      </c>
      <c r="AS100" t="str">
        <f>LEFT(VLOOKUP(A100, Fechas_Estado!A:AE,10,0),10)</f>
        <v/>
      </c>
      <c r="AT100" t="str">
        <f>MID(VLOOKUP(A100, Fechas_Estado!A:AE,10,0),12,8)</f>
        <v/>
      </c>
      <c r="AU100" t="str">
        <f t="shared" si="35"/>
        <v xml:space="preserve"> </v>
      </c>
      <c r="AV100" t="str">
        <f>LEFT(VLOOKUP(A100, Fechas_Estado!A:AE,17,0),10)</f>
        <v/>
      </c>
      <c r="AW100" t="str">
        <f>MID(VLOOKUP(A100, Fechas_Estado!A:AE,17,0),12,8)</f>
        <v/>
      </c>
      <c r="AX100" t="str">
        <f t="shared" si="36"/>
        <v xml:space="preserve"> </v>
      </c>
      <c r="AY100" t="e">
        <f t="shared" si="37"/>
        <v>#VALUE!</v>
      </c>
      <c r="AZ100" t="str">
        <f>LEFT(VLOOKUP(A100, Fechas_Estado!A:AE,5,0),10)</f>
        <v>2024-03-01</v>
      </c>
      <c r="BA100" t="str">
        <f>MID(VLOOKUP(A100, Fechas_Estado!A:AE,5,0),12,8)</f>
        <v>09:47:30</v>
      </c>
      <c r="BB100" t="str">
        <f t="shared" si="38"/>
        <v>2024-03-01 09:47:30</v>
      </c>
      <c r="BC100" t="e">
        <f t="shared" si="39"/>
        <v>#VALUE!</v>
      </c>
    </row>
    <row r="101" spans="1:55" x14ac:dyDescent="0.25">
      <c r="A101" t="str">
        <f>Fechas_Estado!A100</f>
        <v>ESPC360-4906</v>
      </c>
      <c r="B101" t="str">
        <f>LEFT(VLOOKUP(A101,Fechas_Estado!A:AE,2,0),10)</f>
        <v>2024-01-26</v>
      </c>
      <c r="C101" t="str">
        <f>MID(VLOOKUP(A101, Fechas_Estado!A:AE,2,0),12,8)</f>
        <v>10:53:25</v>
      </c>
      <c r="D101" t="str">
        <f t="shared" si="20"/>
        <v>2024-01-26 10:53:25</v>
      </c>
      <c r="E101" t="str">
        <f>LEFT(VLOOKUP(A101, Fechas_Estado!A:AE,19,0),10)</f>
        <v/>
      </c>
      <c r="F101" t="str">
        <f>MID(VLOOKUP(A101, Fechas_Estado!A:AE,19,0),12,8)</f>
        <v/>
      </c>
      <c r="G101" t="str">
        <f t="shared" si="21"/>
        <v xml:space="preserve"> </v>
      </c>
      <c r="H101" t="str">
        <f>LEFT(VLOOKUP(A101, Fechas_Estado!A:AE,20,0),10)</f>
        <v/>
      </c>
      <c r="I101" t="str">
        <f>MID(VLOOKUP(A101, Fechas_Estado!A:AE,20,0),12,8)</f>
        <v/>
      </c>
      <c r="J101" t="str">
        <f t="shared" si="22"/>
        <v xml:space="preserve"> </v>
      </c>
      <c r="K101" t="str">
        <f>LEFT(VLOOKUP(A101, Fechas_Estado!A:AE,21,0),10)</f>
        <v/>
      </c>
      <c r="L101" t="str">
        <f>MID(VLOOKUP(A101, Fechas_Estado!A:AE,21,0),12,8)</f>
        <v/>
      </c>
      <c r="M101" t="str">
        <f t="shared" si="23"/>
        <v xml:space="preserve"> </v>
      </c>
      <c r="N101" t="str">
        <f>LEFT(VLOOKUP(A101, Fechas_Estado!A:AE,22,0),10)</f>
        <v/>
      </c>
      <c r="O101" t="str">
        <f>MID(VLOOKUP(A101, Fechas_Estado!A:AE,22,0),12,8)</f>
        <v/>
      </c>
      <c r="P101" t="str">
        <f t="shared" si="24"/>
        <v xml:space="preserve"> </v>
      </c>
      <c r="Q101" t="str">
        <f>LEFT(VLOOKUP(A101, Fechas_Estado!A:AE,23,0),10)</f>
        <v/>
      </c>
      <c r="R101" t="str">
        <f>MID(VLOOKUP(A101, Fechas_Estado!A:AE,23,0),12,8)</f>
        <v/>
      </c>
      <c r="S101" t="str">
        <f t="shared" si="25"/>
        <v xml:space="preserve"> </v>
      </c>
      <c r="T101" t="str">
        <f>LEFT(VLOOKUP(A101, Fechas_Estado!A:AE,24,0),10)</f>
        <v/>
      </c>
      <c r="U101" t="str">
        <f>MID(VLOOKUP(A101, Fechas_Estado!A:AE,24,0),12,8)</f>
        <v/>
      </c>
      <c r="V101" t="str">
        <f t="shared" si="26"/>
        <v xml:space="preserve"> </v>
      </c>
      <c r="W101" t="str">
        <f>LEFT(VLOOKUP(A101, Fechas_Estado!A:AE,25,0),10)</f>
        <v>2024-01-30</v>
      </c>
      <c r="X101" t="str">
        <f>MID(VLOOKUP(A101, Fechas_Estado!A:AE,25,0),12,8)</f>
        <v>09:25:06</v>
      </c>
      <c r="Y101" t="str">
        <f t="shared" si="27"/>
        <v>2024-01-30 09:25:06</v>
      </c>
      <c r="Z101" t="str">
        <f>LEFT(VLOOKUP(A101, Fechas_Estado!A:AE,26,0),10)</f>
        <v>2024-01-29</v>
      </c>
      <c r="AA101" t="str">
        <f>MID(VLOOKUP(A101, Fechas_Estado!A:AE,26,0),12,8)</f>
        <v>15:54:21</v>
      </c>
      <c r="AB101" t="str">
        <f t="shared" si="28"/>
        <v>2024-01-29 15:54:21</v>
      </c>
      <c r="AC101" t="str">
        <f>LEFT(VLOOKUP(A101, Fechas_Estado!A:AE,27,0),10)</f>
        <v/>
      </c>
      <c r="AD101" t="str">
        <f>MID(VLOOKUP(A101, Fechas_Estado!A:AE,27,0),12,8)</f>
        <v/>
      </c>
      <c r="AE101" t="str">
        <f t="shared" si="29"/>
        <v xml:space="preserve"> </v>
      </c>
      <c r="AF101" t="str">
        <f>LEFT(VLOOKUP(A101, Fechas_Estado!A:AF,28,0),10)</f>
        <v/>
      </c>
      <c r="AG101" t="str">
        <f>MID(VLOOKUP(A101, Fechas_Estado!A:AF,28,0),12,8)</f>
        <v/>
      </c>
      <c r="AH101" t="str">
        <f t="shared" si="30"/>
        <v xml:space="preserve"> </v>
      </c>
      <c r="AI101" t="str">
        <f>LEFT(VLOOKUP(A101, Fechas_Estado!A:AF,16,0),10)</f>
        <v/>
      </c>
      <c r="AJ101" t="str">
        <f>MID(VLOOKUP(A101, Fechas_Estado!A:AF,16,0),12,8)</f>
        <v/>
      </c>
      <c r="AK101" t="str">
        <f t="shared" si="31"/>
        <v xml:space="preserve"> </v>
      </c>
      <c r="AL101" t="e">
        <f t="shared" si="32"/>
        <v>#VALUE!</v>
      </c>
      <c r="AM101" t="str">
        <f>LEFT(VLOOKUP(A101, Fechas_Estado!A:AE,8,0),10)</f>
        <v/>
      </c>
      <c r="AN101" t="str">
        <f>MID(VLOOKUP(A101, Fechas_Estado!A:AE,8,0),12,8)</f>
        <v/>
      </c>
      <c r="AO101" t="str">
        <f t="shared" si="33"/>
        <v xml:space="preserve"> </v>
      </c>
      <c r="AP101" t="str">
        <f>LEFT(VLOOKUP(A101, Fechas_Estado!A:AE,7,0),10)</f>
        <v/>
      </c>
      <c r="AQ101" t="str">
        <f>MID(VLOOKUP(A101, Fechas_Estado!A:AE,7,0),12,8)</f>
        <v/>
      </c>
      <c r="AR101" t="str">
        <f t="shared" si="34"/>
        <v xml:space="preserve"> </v>
      </c>
      <c r="AS101" t="str">
        <f>LEFT(VLOOKUP(A101, Fechas_Estado!A:AE,10,0),10)</f>
        <v/>
      </c>
      <c r="AT101" t="str">
        <f>MID(VLOOKUP(A101, Fechas_Estado!A:AE,10,0),12,8)</f>
        <v/>
      </c>
      <c r="AU101" t="str">
        <f t="shared" si="35"/>
        <v xml:space="preserve"> </v>
      </c>
      <c r="AV101" t="str">
        <f>LEFT(VLOOKUP(A101, Fechas_Estado!A:AE,17,0),10)</f>
        <v/>
      </c>
      <c r="AW101" t="str">
        <f>MID(VLOOKUP(A101, Fechas_Estado!A:AE,17,0),12,8)</f>
        <v/>
      </c>
      <c r="AX101" t="str">
        <f t="shared" si="36"/>
        <v xml:space="preserve"> </v>
      </c>
      <c r="AY101" t="e">
        <f t="shared" si="37"/>
        <v>#VALUE!</v>
      </c>
      <c r="AZ101" t="str">
        <f>LEFT(VLOOKUP(A101, Fechas_Estado!A:AE,5,0),10)</f>
        <v>2024-01-30</v>
      </c>
      <c r="BA101" t="str">
        <f>MID(VLOOKUP(A101, Fechas_Estado!A:AE,5,0),12,8)</f>
        <v>09:47:36</v>
      </c>
      <c r="BB101" t="str">
        <f t="shared" si="38"/>
        <v>2024-01-30 09:47:36</v>
      </c>
      <c r="BC101" t="e">
        <f t="shared" si="39"/>
        <v>#VALUE!</v>
      </c>
    </row>
    <row r="102" spans="1:55" x14ac:dyDescent="0.25">
      <c r="A102" t="str">
        <f>Fechas_Estado!A101</f>
        <v>ESPC360-4907</v>
      </c>
      <c r="B102" t="str">
        <f>LEFT(VLOOKUP(A102,Fechas_Estado!A:AE,2,0),10)</f>
        <v>2024-01-26</v>
      </c>
      <c r="C102" t="str">
        <f>MID(VLOOKUP(A102, Fechas_Estado!A:AE,2,0),12,8)</f>
        <v>10:59:23</v>
      </c>
      <c r="D102" t="str">
        <f t="shared" si="20"/>
        <v>2024-01-26 10:59:23</v>
      </c>
      <c r="E102" t="str">
        <f>LEFT(VLOOKUP(A102, Fechas_Estado!A:AE,19,0),10)</f>
        <v/>
      </c>
      <c r="F102" t="str">
        <f>MID(VLOOKUP(A102, Fechas_Estado!A:AE,19,0),12,8)</f>
        <v/>
      </c>
      <c r="G102" t="str">
        <f t="shared" si="21"/>
        <v xml:space="preserve"> </v>
      </c>
      <c r="H102" t="str">
        <f>LEFT(VLOOKUP(A102, Fechas_Estado!A:AE,20,0),10)</f>
        <v/>
      </c>
      <c r="I102" t="str">
        <f>MID(VLOOKUP(A102, Fechas_Estado!A:AE,20,0),12,8)</f>
        <v/>
      </c>
      <c r="J102" t="str">
        <f t="shared" si="22"/>
        <v xml:space="preserve"> </v>
      </c>
      <c r="K102" t="str">
        <f>LEFT(VLOOKUP(A102, Fechas_Estado!A:AE,21,0),10)</f>
        <v/>
      </c>
      <c r="L102" t="str">
        <f>MID(VLOOKUP(A102, Fechas_Estado!A:AE,21,0),12,8)</f>
        <v/>
      </c>
      <c r="M102" t="str">
        <f t="shared" si="23"/>
        <v xml:space="preserve"> </v>
      </c>
      <c r="N102" t="str">
        <f>LEFT(VLOOKUP(A102, Fechas_Estado!A:AE,22,0),10)</f>
        <v/>
      </c>
      <c r="O102" t="str">
        <f>MID(VLOOKUP(A102, Fechas_Estado!A:AE,22,0),12,8)</f>
        <v/>
      </c>
      <c r="P102" t="str">
        <f t="shared" si="24"/>
        <v xml:space="preserve"> </v>
      </c>
      <c r="Q102" t="str">
        <f>LEFT(VLOOKUP(A102, Fechas_Estado!A:AE,23,0),10)</f>
        <v/>
      </c>
      <c r="R102" t="str">
        <f>MID(VLOOKUP(A102, Fechas_Estado!A:AE,23,0),12,8)</f>
        <v/>
      </c>
      <c r="S102" t="str">
        <f t="shared" si="25"/>
        <v xml:space="preserve"> </v>
      </c>
      <c r="T102" t="str">
        <f>LEFT(VLOOKUP(A102, Fechas_Estado!A:AE,24,0),10)</f>
        <v/>
      </c>
      <c r="U102" t="str">
        <f>MID(VLOOKUP(A102, Fechas_Estado!A:AE,24,0),12,8)</f>
        <v/>
      </c>
      <c r="V102" t="str">
        <f t="shared" si="26"/>
        <v xml:space="preserve"> </v>
      </c>
      <c r="W102" t="str">
        <f>LEFT(VLOOKUP(A102, Fechas_Estado!A:AE,25,0),10)</f>
        <v>2024-01-26</v>
      </c>
      <c r="X102" t="str">
        <f>MID(VLOOKUP(A102, Fechas_Estado!A:AE,25,0),12,8)</f>
        <v>11:13:20</v>
      </c>
      <c r="Y102" t="str">
        <f t="shared" si="27"/>
        <v>2024-01-26 11:13:20</v>
      </c>
      <c r="Z102" t="str">
        <f>LEFT(VLOOKUP(A102, Fechas_Estado!A:AE,26,0),10)</f>
        <v/>
      </c>
      <c r="AA102" t="str">
        <f>MID(VLOOKUP(A102, Fechas_Estado!A:AE,26,0),12,8)</f>
        <v/>
      </c>
      <c r="AB102" t="str">
        <f t="shared" si="28"/>
        <v xml:space="preserve"> </v>
      </c>
      <c r="AC102" t="str">
        <f>LEFT(VLOOKUP(A102, Fechas_Estado!A:AE,27,0),10)</f>
        <v/>
      </c>
      <c r="AD102" t="str">
        <f>MID(VLOOKUP(A102, Fechas_Estado!A:AE,27,0),12,8)</f>
        <v/>
      </c>
      <c r="AE102" t="str">
        <f t="shared" si="29"/>
        <v xml:space="preserve"> </v>
      </c>
      <c r="AF102" t="str">
        <f>LEFT(VLOOKUP(A102, Fechas_Estado!A:AF,28,0),10)</f>
        <v/>
      </c>
      <c r="AG102" t="str">
        <f>MID(VLOOKUP(A102, Fechas_Estado!A:AF,28,0),12,8)</f>
        <v/>
      </c>
      <c r="AH102" t="str">
        <f t="shared" si="30"/>
        <v xml:space="preserve"> </v>
      </c>
      <c r="AI102" t="str">
        <f>LEFT(VLOOKUP(A102, Fechas_Estado!A:AF,16,0),10)</f>
        <v/>
      </c>
      <c r="AJ102" t="str">
        <f>MID(VLOOKUP(A102, Fechas_Estado!A:AF,16,0),12,8)</f>
        <v/>
      </c>
      <c r="AK102" t="str">
        <f t="shared" si="31"/>
        <v xml:space="preserve"> </v>
      </c>
      <c r="AL102" t="e">
        <f t="shared" si="32"/>
        <v>#VALUE!</v>
      </c>
      <c r="AM102" t="str">
        <f>LEFT(VLOOKUP(A102, Fechas_Estado!A:AE,8,0),10)</f>
        <v/>
      </c>
      <c r="AN102" t="str">
        <f>MID(VLOOKUP(A102, Fechas_Estado!A:AE,8,0),12,8)</f>
        <v/>
      </c>
      <c r="AO102" t="str">
        <f t="shared" si="33"/>
        <v xml:space="preserve"> </v>
      </c>
      <c r="AP102" t="str">
        <f>LEFT(VLOOKUP(A102, Fechas_Estado!A:AE,7,0),10)</f>
        <v/>
      </c>
      <c r="AQ102" t="str">
        <f>MID(VLOOKUP(A102, Fechas_Estado!A:AE,7,0),12,8)</f>
        <v/>
      </c>
      <c r="AR102" t="str">
        <f t="shared" si="34"/>
        <v xml:space="preserve"> </v>
      </c>
      <c r="AS102" t="str">
        <f>LEFT(VLOOKUP(A102, Fechas_Estado!A:AE,10,0),10)</f>
        <v/>
      </c>
      <c r="AT102" t="str">
        <f>MID(VLOOKUP(A102, Fechas_Estado!A:AE,10,0),12,8)</f>
        <v/>
      </c>
      <c r="AU102" t="str">
        <f t="shared" si="35"/>
        <v xml:space="preserve"> </v>
      </c>
      <c r="AV102" t="str">
        <f>LEFT(VLOOKUP(A102, Fechas_Estado!A:AE,17,0),10)</f>
        <v>2024-01-30</v>
      </c>
      <c r="AW102" t="str">
        <f>MID(VLOOKUP(A102, Fechas_Estado!A:AE,17,0),12,8)</f>
        <v>16:06:37</v>
      </c>
      <c r="AX102" t="str">
        <f t="shared" si="36"/>
        <v>2024-01-30 16:06:37</v>
      </c>
      <c r="AY102" t="e">
        <f t="shared" si="37"/>
        <v>#VALUE!</v>
      </c>
      <c r="AZ102" t="str">
        <f>LEFT(VLOOKUP(A102, Fechas_Estado!A:AE,5,0),10)</f>
        <v>2024-02-02</v>
      </c>
      <c r="BA102" t="str">
        <f>MID(VLOOKUP(A102, Fechas_Estado!A:AE,5,0),12,8)</f>
        <v>09:58:04</v>
      </c>
      <c r="BB102" t="str">
        <f t="shared" si="38"/>
        <v>2024-02-02 09:58:04</v>
      </c>
      <c r="BC102">
        <f t="shared" si="39"/>
        <v>2.7440624999944703</v>
      </c>
    </row>
    <row r="103" spans="1:55" x14ac:dyDescent="0.25">
      <c r="A103" t="str">
        <f>Fechas_Estado!A102</f>
        <v>ESPC360-4933</v>
      </c>
      <c r="B103" t="str">
        <f>LEFT(VLOOKUP(A103,Fechas_Estado!A:AE,2,0),10)</f>
        <v>2024-01-30</v>
      </c>
      <c r="C103" t="str">
        <f>MID(VLOOKUP(A103, Fechas_Estado!A:AE,2,0),12,8)</f>
        <v>12:17:12</v>
      </c>
      <c r="D103" t="str">
        <f t="shared" si="20"/>
        <v>2024-01-30 12:17:12</v>
      </c>
      <c r="E103" t="str">
        <f>LEFT(VLOOKUP(A103, Fechas_Estado!A:AE,19,0),10)</f>
        <v>2024-01-30</v>
      </c>
      <c r="F103" t="str">
        <f>MID(VLOOKUP(A103, Fechas_Estado!A:AE,19,0),12,8)</f>
        <v>12:19:09</v>
      </c>
      <c r="G103" t="str">
        <f t="shared" si="21"/>
        <v>2024-01-30 12:19:09</v>
      </c>
      <c r="H103" t="str">
        <f>LEFT(VLOOKUP(A103, Fechas_Estado!A:AE,20,0),10)</f>
        <v>2024-01-30</v>
      </c>
      <c r="I103" t="str">
        <f>MID(VLOOKUP(A103, Fechas_Estado!A:AE,20,0),12,8)</f>
        <v>12:19:11</v>
      </c>
      <c r="J103" t="str">
        <f t="shared" si="22"/>
        <v>2024-01-30 12:19:11</v>
      </c>
      <c r="K103" t="str">
        <f>LEFT(VLOOKUP(A103, Fechas_Estado!A:AE,21,0),10)</f>
        <v>2024-01-30</v>
      </c>
      <c r="L103" t="str">
        <f>MID(VLOOKUP(A103, Fechas_Estado!A:AE,21,0),12,8)</f>
        <v>12:19:14</v>
      </c>
      <c r="M103" t="str">
        <f t="shared" si="23"/>
        <v>2024-01-30 12:19:14</v>
      </c>
      <c r="N103" t="str">
        <f>LEFT(VLOOKUP(A103, Fechas_Estado!A:AE,22,0),10)</f>
        <v>2024-01-30</v>
      </c>
      <c r="O103" t="str">
        <f>MID(VLOOKUP(A103, Fechas_Estado!A:AE,22,0),12,8)</f>
        <v>13:16:22</v>
      </c>
      <c r="P103" t="str">
        <f t="shared" si="24"/>
        <v>2024-01-30 13:16:22</v>
      </c>
      <c r="Q103" t="str">
        <f>LEFT(VLOOKUP(A103, Fechas_Estado!A:AE,23,0),10)</f>
        <v>2024-01-31</v>
      </c>
      <c r="R103" t="str">
        <f>MID(VLOOKUP(A103, Fechas_Estado!A:AE,23,0),12,8)</f>
        <v>09:37:20</v>
      </c>
      <c r="S103" t="str">
        <f t="shared" si="25"/>
        <v>2024-01-31 09:37:20</v>
      </c>
      <c r="T103" t="str">
        <f>LEFT(VLOOKUP(A103, Fechas_Estado!A:AE,24,0),10)</f>
        <v>2024-01-31</v>
      </c>
      <c r="U103" t="str">
        <f>MID(VLOOKUP(A103, Fechas_Estado!A:AE,24,0),12,8)</f>
        <v>09:37:32</v>
      </c>
      <c r="V103" t="str">
        <f t="shared" si="26"/>
        <v>2024-01-31 09:37:32</v>
      </c>
      <c r="W103" t="str">
        <f>LEFT(VLOOKUP(A103, Fechas_Estado!A:AE,25,0),10)</f>
        <v/>
      </c>
      <c r="X103" t="str">
        <f>MID(VLOOKUP(A103, Fechas_Estado!A:AE,25,0),12,8)</f>
        <v/>
      </c>
      <c r="Y103" t="str">
        <f t="shared" si="27"/>
        <v xml:space="preserve"> </v>
      </c>
      <c r="Z103" t="str">
        <f>LEFT(VLOOKUP(A103, Fechas_Estado!A:AE,26,0),10)</f>
        <v/>
      </c>
      <c r="AA103" t="str">
        <f>MID(VLOOKUP(A103, Fechas_Estado!A:AE,26,0),12,8)</f>
        <v/>
      </c>
      <c r="AB103" t="str">
        <f t="shared" si="28"/>
        <v xml:space="preserve"> </v>
      </c>
      <c r="AC103" t="str">
        <f>LEFT(VLOOKUP(A103, Fechas_Estado!A:AE,27,0),10)</f>
        <v/>
      </c>
      <c r="AD103" t="str">
        <f>MID(VLOOKUP(A103, Fechas_Estado!A:AE,27,0),12,8)</f>
        <v/>
      </c>
      <c r="AE103" t="str">
        <f t="shared" si="29"/>
        <v xml:space="preserve"> </v>
      </c>
      <c r="AF103" t="str">
        <f>LEFT(VLOOKUP(A103, Fechas_Estado!A:AF,28,0),10)</f>
        <v/>
      </c>
      <c r="AG103" t="str">
        <f>MID(VLOOKUP(A103, Fechas_Estado!A:AF,28,0),12,8)</f>
        <v/>
      </c>
      <c r="AH103" t="str">
        <f t="shared" si="30"/>
        <v xml:space="preserve"> </v>
      </c>
      <c r="AI103" t="str">
        <f>LEFT(VLOOKUP(A103, Fechas_Estado!A:AF,16,0),10)</f>
        <v/>
      </c>
      <c r="AJ103" t="str">
        <f>MID(VLOOKUP(A103, Fechas_Estado!A:AF,16,0),12,8)</f>
        <v/>
      </c>
      <c r="AK103" t="str">
        <f t="shared" si="31"/>
        <v xml:space="preserve"> </v>
      </c>
      <c r="AL103" t="e">
        <f t="shared" si="32"/>
        <v>#VALUE!</v>
      </c>
      <c r="AM103" t="str">
        <f>LEFT(VLOOKUP(A103, Fechas_Estado!A:AE,8,0),10)</f>
        <v/>
      </c>
      <c r="AN103" t="str">
        <f>MID(VLOOKUP(A103, Fechas_Estado!A:AE,8,0),12,8)</f>
        <v/>
      </c>
      <c r="AO103" t="str">
        <f t="shared" si="33"/>
        <v xml:space="preserve"> </v>
      </c>
      <c r="AP103" t="str">
        <f>LEFT(VLOOKUP(A103, Fechas_Estado!A:AE,7,0),10)</f>
        <v/>
      </c>
      <c r="AQ103" t="str">
        <f>MID(VLOOKUP(A103, Fechas_Estado!A:AE,7,0),12,8)</f>
        <v/>
      </c>
      <c r="AR103" t="str">
        <f t="shared" si="34"/>
        <v xml:space="preserve"> </v>
      </c>
      <c r="AS103" t="str">
        <f>LEFT(VLOOKUP(A103, Fechas_Estado!A:AE,10,0),10)</f>
        <v/>
      </c>
      <c r="AT103" t="str">
        <f>MID(VLOOKUP(A103, Fechas_Estado!A:AE,10,0),12,8)</f>
        <v/>
      </c>
      <c r="AU103" t="str">
        <f t="shared" si="35"/>
        <v xml:space="preserve"> </v>
      </c>
      <c r="AV103" t="str">
        <f>LEFT(VLOOKUP(A103, Fechas_Estado!A:AE,17,0),10)</f>
        <v/>
      </c>
      <c r="AW103" t="str">
        <f>MID(VLOOKUP(A103, Fechas_Estado!A:AE,17,0),12,8)</f>
        <v/>
      </c>
      <c r="AX103" t="str">
        <f t="shared" si="36"/>
        <v xml:space="preserve"> </v>
      </c>
      <c r="AY103" t="e">
        <f t="shared" si="37"/>
        <v>#VALUE!</v>
      </c>
      <c r="AZ103" t="str">
        <f>LEFT(VLOOKUP(A103, Fechas_Estado!A:AE,5,0),10)</f>
        <v>2024-02-05</v>
      </c>
      <c r="BA103" t="str">
        <f>MID(VLOOKUP(A103, Fechas_Estado!A:AE,5,0),12,8)</f>
        <v>09:52:43</v>
      </c>
      <c r="BB103" t="str">
        <f t="shared" si="38"/>
        <v>2024-02-05 09:52:43</v>
      </c>
      <c r="BC103" t="e">
        <f t="shared" si="39"/>
        <v>#VALUE!</v>
      </c>
    </row>
    <row r="104" spans="1:55" x14ac:dyDescent="0.25">
      <c r="A104" t="str">
        <f>Fechas_Estado!A103</f>
        <v>ESPC360-4953</v>
      </c>
      <c r="B104" t="str">
        <f>LEFT(VLOOKUP(A104,Fechas_Estado!A:AE,2,0),10)</f>
        <v>2024-01-31</v>
      </c>
      <c r="C104" t="str">
        <f>MID(VLOOKUP(A104, Fechas_Estado!A:AE,2,0),12,8)</f>
        <v>09:39:22</v>
      </c>
      <c r="D104" t="str">
        <f t="shared" si="20"/>
        <v>2024-01-31 09:39:22</v>
      </c>
      <c r="E104" t="str">
        <f>LEFT(VLOOKUP(A104, Fechas_Estado!A:AE,19,0),10)</f>
        <v>2024-01-31</v>
      </c>
      <c r="F104" t="str">
        <f>MID(VLOOKUP(A104, Fechas_Estado!A:AE,19,0),12,8)</f>
        <v>09:43:58</v>
      </c>
      <c r="G104" t="str">
        <f t="shared" si="21"/>
        <v>2024-01-31 09:43:58</v>
      </c>
      <c r="H104" t="str">
        <f>LEFT(VLOOKUP(A104, Fechas_Estado!A:AE,20,0),10)</f>
        <v/>
      </c>
      <c r="I104" t="str">
        <f>MID(VLOOKUP(A104, Fechas_Estado!A:AE,20,0),12,8)</f>
        <v/>
      </c>
      <c r="J104" t="str">
        <f t="shared" si="22"/>
        <v xml:space="preserve"> </v>
      </c>
      <c r="K104" t="str">
        <f>LEFT(VLOOKUP(A104, Fechas_Estado!A:AE,21,0),10)</f>
        <v/>
      </c>
      <c r="L104" t="str">
        <f>MID(VLOOKUP(A104, Fechas_Estado!A:AE,21,0),12,8)</f>
        <v/>
      </c>
      <c r="M104" t="str">
        <f t="shared" si="23"/>
        <v xml:space="preserve"> </v>
      </c>
      <c r="N104" t="str">
        <f>LEFT(VLOOKUP(A104, Fechas_Estado!A:AE,22,0),10)</f>
        <v/>
      </c>
      <c r="O104" t="str">
        <f>MID(VLOOKUP(A104, Fechas_Estado!A:AE,22,0),12,8)</f>
        <v/>
      </c>
      <c r="P104" t="str">
        <f t="shared" si="24"/>
        <v xml:space="preserve"> </v>
      </c>
      <c r="Q104" t="str">
        <f>LEFT(VLOOKUP(A104, Fechas_Estado!A:AE,23,0),10)</f>
        <v/>
      </c>
      <c r="R104" t="str">
        <f>MID(VLOOKUP(A104, Fechas_Estado!A:AE,23,0),12,8)</f>
        <v/>
      </c>
      <c r="S104" t="str">
        <f t="shared" si="25"/>
        <v xml:space="preserve"> </v>
      </c>
      <c r="T104" t="str">
        <f>LEFT(VLOOKUP(A104, Fechas_Estado!A:AE,24,0),10)</f>
        <v/>
      </c>
      <c r="U104" t="str">
        <f>MID(VLOOKUP(A104, Fechas_Estado!A:AE,24,0),12,8)</f>
        <v/>
      </c>
      <c r="V104" t="str">
        <f t="shared" si="26"/>
        <v xml:space="preserve"> </v>
      </c>
      <c r="W104" t="str">
        <f>LEFT(VLOOKUP(A104, Fechas_Estado!A:AE,25,0),10)</f>
        <v>2024-01-31</v>
      </c>
      <c r="X104" t="str">
        <f>MID(VLOOKUP(A104, Fechas_Estado!A:AE,25,0),12,8)</f>
        <v>10:07:59</v>
      </c>
      <c r="Y104" t="str">
        <f t="shared" si="27"/>
        <v>2024-01-31 10:07:59</v>
      </c>
      <c r="Z104" t="str">
        <f>LEFT(VLOOKUP(A104, Fechas_Estado!A:AE,26,0),10)</f>
        <v/>
      </c>
      <c r="AA104" t="str">
        <f>MID(VLOOKUP(A104, Fechas_Estado!A:AE,26,0),12,8)</f>
        <v/>
      </c>
      <c r="AB104" t="str">
        <f t="shared" si="28"/>
        <v xml:space="preserve"> </v>
      </c>
      <c r="AC104" t="str">
        <f>LEFT(VLOOKUP(A104, Fechas_Estado!A:AE,27,0),10)</f>
        <v/>
      </c>
      <c r="AD104" t="str">
        <f>MID(VLOOKUP(A104, Fechas_Estado!A:AE,27,0),12,8)</f>
        <v/>
      </c>
      <c r="AE104" t="str">
        <f t="shared" si="29"/>
        <v xml:space="preserve"> </v>
      </c>
      <c r="AF104" t="str">
        <f>LEFT(VLOOKUP(A104, Fechas_Estado!A:AF,28,0),10)</f>
        <v/>
      </c>
      <c r="AG104" t="str">
        <f>MID(VLOOKUP(A104, Fechas_Estado!A:AF,28,0),12,8)</f>
        <v/>
      </c>
      <c r="AH104" t="str">
        <f t="shared" si="30"/>
        <v xml:space="preserve"> </v>
      </c>
      <c r="AI104" t="str">
        <f>LEFT(VLOOKUP(A104, Fechas_Estado!A:AF,16,0),10)</f>
        <v/>
      </c>
      <c r="AJ104" t="str">
        <f>MID(VLOOKUP(A104, Fechas_Estado!A:AF,16,0),12,8)</f>
        <v/>
      </c>
      <c r="AK104" t="str">
        <f t="shared" si="31"/>
        <v xml:space="preserve"> </v>
      </c>
      <c r="AL104" t="e">
        <f t="shared" si="32"/>
        <v>#VALUE!</v>
      </c>
      <c r="AM104" t="str">
        <f>LEFT(VLOOKUP(A104, Fechas_Estado!A:AE,8,0),10)</f>
        <v/>
      </c>
      <c r="AN104" t="str">
        <f>MID(VLOOKUP(A104, Fechas_Estado!A:AE,8,0),12,8)</f>
        <v/>
      </c>
      <c r="AO104" t="str">
        <f t="shared" si="33"/>
        <v xml:space="preserve"> </v>
      </c>
      <c r="AP104" t="str">
        <f>LEFT(VLOOKUP(A104, Fechas_Estado!A:AE,7,0),10)</f>
        <v/>
      </c>
      <c r="AQ104" t="str">
        <f>MID(VLOOKUP(A104, Fechas_Estado!A:AE,7,0),12,8)</f>
        <v/>
      </c>
      <c r="AR104" t="str">
        <f t="shared" si="34"/>
        <v xml:space="preserve"> </v>
      </c>
      <c r="AS104" t="str">
        <f>LEFT(VLOOKUP(A104, Fechas_Estado!A:AE,10,0),10)</f>
        <v/>
      </c>
      <c r="AT104" t="str">
        <f>MID(VLOOKUP(A104, Fechas_Estado!A:AE,10,0),12,8)</f>
        <v/>
      </c>
      <c r="AU104" t="str">
        <f t="shared" si="35"/>
        <v xml:space="preserve"> </v>
      </c>
      <c r="AV104" t="str">
        <f>LEFT(VLOOKUP(A104, Fechas_Estado!A:AE,17,0),10)</f>
        <v/>
      </c>
      <c r="AW104" t="str">
        <f>MID(VLOOKUP(A104, Fechas_Estado!A:AE,17,0),12,8)</f>
        <v/>
      </c>
      <c r="AX104" t="str">
        <f t="shared" si="36"/>
        <v xml:space="preserve"> </v>
      </c>
      <c r="AY104" t="e">
        <f t="shared" si="37"/>
        <v>#VALUE!</v>
      </c>
      <c r="AZ104" t="str">
        <f>LEFT(VLOOKUP(A104, Fechas_Estado!A:AE,5,0),10)</f>
        <v>2024-02-01</v>
      </c>
      <c r="BA104" t="str">
        <f>MID(VLOOKUP(A104, Fechas_Estado!A:AE,5,0),12,8)</f>
        <v>14:23:30</v>
      </c>
      <c r="BB104" t="str">
        <f t="shared" si="38"/>
        <v>2024-02-01 14:23:30</v>
      </c>
      <c r="BC104" t="e">
        <f t="shared" si="39"/>
        <v>#VALUE!</v>
      </c>
    </row>
    <row r="105" spans="1:55" x14ac:dyDescent="0.25">
      <c r="A105" t="str">
        <f>Fechas_Estado!A104</f>
        <v>ESPC360-4995</v>
      </c>
      <c r="B105" t="str">
        <f>LEFT(VLOOKUP(A105,Fechas_Estado!A:AE,2,0),10)</f>
        <v>2024-02-01</v>
      </c>
      <c r="C105" t="str">
        <f>MID(VLOOKUP(A105, Fechas_Estado!A:AE,2,0),12,8)</f>
        <v>09:46:16</v>
      </c>
      <c r="D105" t="str">
        <f t="shared" si="20"/>
        <v>2024-02-01 09:46:16</v>
      </c>
      <c r="E105" t="str">
        <f>LEFT(VLOOKUP(A105, Fechas_Estado!A:AE,19,0),10)</f>
        <v/>
      </c>
      <c r="F105" t="str">
        <f>MID(VLOOKUP(A105, Fechas_Estado!A:AE,19,0),12,8)</f>
        <v/>
      </c>
      <c r="G105" t="str">
        <f t="shared" si="21"/>
        <v xml:space="preserve"> </v>
      </c>
      <c r="H105" t="str">
        <f>LEFT(VLOOKUP(A105, Fechas_Estado!A:AE,20,0),10)</f>
        <v/>
      </c>
      <c r="I105" t="str">
        <f>MID(VLOOKUP(A105, Fechas_Estado!A:AE,20,0),12,8)</f>
        <v/>
      </c>
      <c r="J105" t="str">
        <f t="shared" si="22"/>
        <v xml:space="preserve"> </v>
      </c>
      <c r="K105" t="str">
        <f>LEFT(VLOOKUP(A105, Fechas_Estado!A:AE,21,0),10)</f>
        <v/>
      </c>
      <c r="L105" t="str">
        <f>MID(VLOOKUP(A105, Fechas_Estado!A:AE,21,0),12,8)</f>
        <v/>
      </c>
      <c r="M105" t="str">
        <f t="shared" si="23"/>
        <v xml:space="preserve"> </v>
      </c>
      <c r="N105" t="str">
        <f>LEFT(VLOOKUP(A105, Fechas_Estado!A:AE,22,0),10)</f>
        <v/>
      </c>
      <c r="O105" t="str">
        <f>MID(VLOOKUP(A105, Fechas_Estado!A:AE,22,0),12,8)</f>
        <v/>
      </c>
      <c r="P105" t="str">
        <f t="shared" si="24"/>
        <v xml:space="preserve"> </v>
      </c>
      <c r="Q105" t="str">
        <f>LEFT(VLOOKUP(A105, Fechas_Estado!A:AE,23,0),10)</f>
        <v/>
      </c>
      <c r="R105" t="str">
        <f>MID(VLOOKUP(A105, Fechas_Estado!A:AE,23,0),12,8)</f>
        <v/>
      </c>
      <c r="S105" t="str">
        <f t="shared" si="25"/>
        <v xml:space="preserve"> </v>
      </c>
      <c r="T105" t="str">
        <f>LEFT(VLOOKUP(A105, Fechas_Estado!A:AE,24,0),10)</f>
        <v/>
      </c>
      <c r="U105" t="str">
        <f>MID(VLOOKUP(A105, Fechas_Estado!A:AE,24,0),12,8)</f>
        <v/>
      </c>
      <c r="V105" t="str">
        <f t="shared" si="26"/>
        <v xml:space="preserve"> </v>
      </c>
      <c r="W105" t="str">
        <f>LEFT(VLOOKUP(A105, Fechas_Estado!A:AE,25,0),10)</f>
        <v>2024-02-01</v>
      </c>
      <c r="X105" t="str">
        <f>MID(VLOOKUP(A105, Fechas_Estado!A:AE,25,0),12,8)</f>
        <v>09:47:04</v>
      </c>
      <c r="Y105" t="str">
        <f t="shared" si="27"/>
        <v>2024-02-01 09:47:04</v>
      </c>
      <c r="Z105" t="str">
        <f>LEFT(VLOOKUP(A105, Fechas_Estado!A:AE,26,0),10)</f>
        <v>2024-02-01</v>
      </c>
      <c r="AA105" t="str">
        <f>MID(VLOOKUP(A105, Fechas_Estado!A:AE,26,0),12,8)</f>
        <v>09:48:09</v>
      </c>
      <c r="AB105" t="str">
        <f t="shared" si="28"/>
        <v>2024-02-01 09:48:09</v>
      </c>
      <c r="AC105" t="str">
        <f>LEFT(VLOOKUP(A105, Fechas_Estado!A:AE,27,0),10)</f>
        <v/>
      </c>
      <c r="AD105" t="str">
        <f>MID(VLOOKUP(A105, Fechas_Estado!A:AE,27,0),12,8)</f>
        <v/>
      </c>
      <c r="AE105" t="str">
        <f t="shared" si="29"/>
        <v xml:space="preserve"> </v>
      </c>
      <c r="AF105" t="str">
        <f>LEFT(VLOOKUP(A105, Fechas_Estado!A:AF,28,0),10)</f>
        <v/>
      </c>
      <c r="AG105" t="str">
        <f>MID(VLOOKUP(A105, Fechas_Estado!A:AF,28,0),12,8)</f>
        <v/>
      </c>
      <c r="AH105" t="str">
        <f t="shared" si="30"/>
        <v xml:space="preserve"> </v>
      </c>
      <c r="AI105" t="str">
        <f>LEFT(VLOOKUP(A105, Fechas_Estado!A:AF,16,0),10)</f>
        <v/>
      </c>
      <c r="AJ105" t="str">
        <f>MID(VLOOKUP(A105, Fechas_Estado!A:AF,16,0),12,8)</f>
        <v/>
      </c>
      <c r="AK105" t="str">
        <f t="shared" si="31"/>
        <v xml:space="preserve"> </v>
      </c>
      <c r="AL105" t="e">
        <f t="shared" si="32"/>
        <v>#VALUE!</v>
      </c>
      <c r="AM105" t="str">
        <f>LEFT(VLOOKUP(A105, Fechas_Estado!A:AE,8,0),10)</f>
        <v/>
      </c>
      <c r="AN105" t="str">
        <f>MID(VLOOKUP(A105, Fechas_Estado!A:AE,8,0),12,8)</f>
        <v/>
      </c>
      <c r="AO105" t="str">
        <f t="shared" si="33"/>
        <v xml:space="preserve"> </v>
      </c>
      <c r="AP105" t="str">
        <f>LEFT(VLOOKUP(A105, Fechas_Estado!A:AE,7,0),10)</f>
        <v/>
      </c>
      <c r="AQ105" t="str">
        <f>MID(VLOOKUP(A105, Fechas_Estado!A:AE,7,0),12,8)</f>
        <v/>
      </c>
      <c r="AR105" t="str">
        <f t="shared" si="34"/>
        <v xml:space="preserve"> </v>
      </c>
      <c r="AS105" t="str">
        <f>LEFT(VLOOKUP(A105, Fechas_Estado!A:AE,10,0),10)</f>
        <v/>
      </c>
      <c r="AT105" t="str">
        <f>MID(VLOOKUP(A105, Fechas_Estado!A:AE,10,0),12,8)</f>
        <v/>
      </c>
      <c r="AU105" t="str">
        <f t="shared" si="35"/>
        <v xml:space="preserve"> </v>
      </c>
      <c r="AV105" t="str">
        <f>LEFT(VLOOKUP(A105, Fechas_Estado!A:AE,17,0),10)</f>
        <v/>
      </c>
      <c r="AW105" t="str">
        <f>MID(VLOOKUP(A105, Fechas_Estado!A:AE,17,0),12,8)</f>
        <v/>
      </c>
      <c r="AX105" t="str">
        <f t="shared" si="36"/>
        <v xml:space="preserve"> </v>
      </c>
      <c r="AY105" t="e">
        <f t="shared" si="37"/>
        <v>#VALUE!</v>
      </c>
      <c r="AZ105" t="str">
        <f>LEFT(VLOOKUP(A105, Fechas_Estado!A:AE,5,0),10)</f>
        <v>2024-02-02</v>
      </c>
      <c r="BA105" t="str">
        <f>MID(VLOOKUP(A105, Fechas_Estado!A:AE,5,0),12,8)</f>
        <v>11:49:11</v>
      </c>
      <c r="BB105" t="str">
        <f t="shared" si="38"/>
        <v>2024-02-02 11:49:11</v>
      </c>
      <c r="BC105" t="e">
        <f t="shared" si="39"/>
        <v>#VALUE!</v>
      </c>
    </row>
    <row r="106" spans="1:55" x14ac:dyDescent="0.25">
      <c r="A106" t="str">
        <f>Fechas_Estado!A105</f>
        <v>ESPC360-4996</v>
      </c>
      <c r="B106" t="str">
        <f>LEFT(VLOOKUP(A106,Fechas_Estado!A:AE,2,0),10)</f>
        <v>2024-02-01</v>
      </c>
      <c r="C106" t="str">
        <f>MID(VLOOKUP(A106, Fechas_Estado!A:AE,2,0),12,8)</f>
        <v>09:50:19</v>
      </c>
      <c r="D106" t="str">
        <f t="shared" si="20"/>
        <v>2024-02-01 09:50:19</v>
      </c>
      <c r="E106" t="str">
        <f>LEFT(VLOOKUP(A106, Fechas_Estado!A:AE,19,0),10)</f>
        <v/>
      </c>
      <c r="F106" t="str">
        <f>MID(VLOOKUP(A106, Fechas_Estado!A:AE,19,0),12,8)</f>
        <v/>
      </c>
      <c r="G106" t="str">
        <f t="shared" si="21"/>
        <v xml:space="preserve"> </v>
      </c>
      <c r="H106" t="str">
        <f>LEFT(VLOOKUP(A106, Fechas_Estado!A:AE,20,0),10)</f>
        <v/>
      </c>
      <c r="I106" t="str">
        <f>MID(VLOOKUP(A106, Fechas_Estado!A:AE,20,0),12,8)</f>
        <v/>
      </c>
      <c r="J106" t="str">
        <f t="shared" si="22"/>
        <v xml:space="preserve"> </v>
      </c>
      <c r="K106" t="str">
        <f>LEFT(VLOOKUP(A106, Fechas_Estado!A:AE,21,0),10)</f>
        <v/>
      </c>
      <c r="L106" t="str">
        <f>MID(VLOOKUP(A106, Fechas_Estado!A:AE,21,0),12,8)</f>
        <v/>
      </c>
      <c r="M106" t="str">
        <f t="shared" si="23"/>
        <v xml:space="preserve"> </v>
      </c>
      <c r="N106" t="str">
        <f>LEFT(VLOOKUP(A106, Fechas_Estado!A:AE,22,0),10)</f>
        <v/>
      </c>
      <c r="O106" t="str">
        <f>MID(VLOOKUP(A106, Fechas_Estado!A:AE,22,0),12,8)</f>
        <v/>
      </c>
      <c r="P106" t="str">
        <f t="shared" si="24"/>
        <v xml:space="preserve"> </v>
      </c>
      <c r="Q106" t="str">
        <f>LEFT(VLOOKUP(A106, Fechas_Estado!A:AE,23,0),10)</f>
        <v/>
      </c>
      <c r="R106" t="str">
        <f>MID(VLOOKUP(A106, Fechas_Estado!A:AE,23,0),12,8)</f>
        <v/>
      </c>
      <c r="S106" t="str">
        <f t="shared" si="25"/>
        <v xml:space="preserve"> </v>
      </c>
      <c r="T106" t="str">
        <f>LEFT(VLOOKUP(A106, Fechas_Estado!A:AE,24,0),10)</f>
        <v/>
      </c>
      <c r="U106" t="str">
        <f>MID(VLOOKUP(A106, Fechas_Estado!A:AE,24,0),12,8)</f>
        <v/>
      </c>
      <c r="V106" t="str">
        <f t="shared" si="26"/>
        <v xml:space="preserve"> </v>
      </c>
      <c r="W106" t="str">
        <f>LEFT(VLOOKUP(A106, Fechas_Estado!A:AE,25,0),10)</f>
        <v>2024-02-01</v>
      </c>
      <c r="X106" t="str">
        <f>MID(VLOOKUP(A106, Fechas_Estado!A:AE,25,0),12,8)</f>
        <v>09:51:52</v>
      </c>
      <c r="Y106" t="str">
        <f t="shared" si="27"/>
        <v>2024-02-01 09:51:52</v>
      </c>
      <c r="Z106" t="str">
        <f>LEFT(VLOOKUP(A106, Fechas_Estado!A:AE,26,0),10)</f>
        <v>2024-02-01</v>
      </c>
      <c r="AA106" t="str">
        <f>MID(VLOOKUP(A106, Fechas_Estado!A:AE,26,0),12,8)</f>
        <v>10:03:04</v>
      </c>
      <c r="AB106" t="str">
        <f t="shared" si="28"/>
        <v>2024-02-01 10:03:04</v>
      </c>
      <c r="AC106" t="str">
        <f>LEFT(VLOOKUP(A106, Fechas_Estado!A:AE,27,0),10)</f>
        <v/>
      </c>
      <c r="AD106" t="str">
        <f>MID(VLOOKUP(A106, Fechas_Estado!A:AE,27,0),12,8)</f>
        <v/>
      </c>
      <c r="AE106" t="str">
        <f t="shared" si="29"/>
        <v xml:space="preserve"> </v>
      </c>
      <c r="AF106" t="str">
        <f>LEFT(VLOOKUP(A106, Fechas_Estado!A:AF,28,0),10)</f>
        <v/>
      </c>
      <c r="AG106" t="str">
        <f>MID(VLOOKUP(A106, Fechas_Estado!A:AF,28,0),12,8)</f>
        <v/>
      </c>
      <c r="AH106" t="str">
        <f t="shared" si="30"/>
        <v xml:space="preserve"> </v>
      </c>
      <c r="AI106" t="str">
        <f>LEFT(VLOOKUP(A106, Fechas_Estado!A:AF,16,0),10)</f>
        <v>2024-02-01</v>
      </c>
      <c r="AJ106" t="str">
        <f>MID(VLOOKUP(A106, Fechas_Estado!A:AF,16,0),12,8)</f>
        <v>10:15:02</v>
      </c>
      <c r="AK106" t="str">
        <f t="shared" si="31"/>
        <v>2024-02-01 10:15:02</v>
      </c>
      <c r="AL106">
        <f t="shared" si="32"/>
        <v>1.7164351855171844E-2</v>
      </c>
      <c r="AM106" t="str">
        <f>LEFT(VLOOKUP(A106, Fechas_Estado!A:AE,8,0),10)</f>
        <v>2024-02-01</v>
      </c>
      <c r="AN106" t="str">
        <f>MID(VLOOKUP(A106, Fechas_Estado!A:AE,8,0),12,8)</f>
        <v>10:15:09</v>
      </c>
      <c r="AO106" t="str">
        <f t="shared" si="33"/>
        <v>2024-02-01 10:15:09</v>
      </c>
      <c r="AP106" t="str">
        <f>LEFT(VLOOKUP(A106, Fechas_Estado!A:AE,7,0),10)</f>
        <v/>
      </c>
      <c r="AQ106" t="str">
        <f>MID(VLOOKUP(A106, Fechas_Estado!A:AE,7,0),12,8)</f>
        <v/>
      </c>
      <c r="AR106" t="str">
        <f t="shared" si="34"/>
        <v xml:space="preserve"> </v>
      </c>
      <c r="AS106" t="str">
        <f>LEFT(VLOOKUP(A106, Fechas_Estado!A:AE,10,0),10)</f>
        <v/>
      </c>
      <c r="AT106" t="str">
        <f>MID(VLOOKUP(A106, Fechas_Estado!A:AE,10,0),12,8)</f>
        <v/>
      </c>
      <c r="AU106" t="str">
        <f t="shared" si="35"/>
        <v xml:space="preserve"> </v>
      </c>
      <c r="AV106" t="str">
        <f>LEFT(VLOOKUP(A106, Fechas_Estado!A:AE,17,0),10)</f>
        <v/>
      </c>
      <c r="AW106" t="str">
        <f>MID(VLOOKUP(A106, Fechas_Estado!A:AE,17,0),12,8)</f>
        <v/>
      </c>
      <c r="AX106" t="str">
        <f t="shared" si="36"/>
        <v xml:space="preserve"> </v>
      </c>
      <c r="AY106" t="e">
        <f t="shared" si="37"/>
        <v>#VALUE!</v>
      </c>
      <c r="AZ106" t="str">
        <f>LEFT(VLOOKUP(A106, Fechas_Estado!A:AE,5,0),10)</f>
        <v>2024-02-20</v>
      </c>
      <c r="BA106" t="str">
        <f>MID(VLOOKUP(A106, Fechas_Estado!A:AE,5,0),12,8)</f>
        <v>13:58:45</v>
      </c>
      <c r="BB106" t="str">
        <f t="shared" si="38"/>
        <v>2024-02-20 13:58:45</v>
      </c>
      <c r="BC106" t="e">
        <f t="shared" si="39"/>
        <v>#VALUE!</v>
      </c>
    </row>
    <row r="107" spans="1:55" x14ac:dyDescent="0.25">
      <c r="A107" t="str">
        <f>Fechas_Estado!A106</f>
        <v>ESPC360-5083</v>
      </c>
      <c r="B107" t="str">
        <f>LEFT(VLOOKUP(A107,Fechas_Estado!A:AE,2,0),10)</f>
        <v>2024-02-02</v>
      </c>
      <c r="C107" t="str">
        <f>MID(VLOOKUP(A107, Fechas_Estado!A:AE,2,0),12,8)</f>
        <v>11:26:03</v>
      </c>
      <c r="D107" t="str">
        <f t="shared" si="20"/>
        <v>2024-02-02 11:26:03</v>
      </c>
      <c r="E107" t="str">
        <f>LEFT(VLOOKUP(A107, Fechas_Estado!A:AE,19,0),10)</f>
        <v>2024-02-02</v>
      </c>
      <c r="F107" t="str">
        <f>MID(VLOOKUP(A107, Fechas_Estado!A:AE,19,0),12,8)</f>
        <v>11:34:08</v>
      </c>
      <c r="G107" t="str">
        <f t="shared" si="21"/>
        <v>2024-02-02 11:34:08</v>
      </c>
      <c r="H107" t="str">
        <f>LEFT(VLOOKUP(A107, Fechas_Estado!A:AE,20,0),10)</f>
        <v>2024-02-02</v>
      </c>
      <c r="I107" t="str">
        <f>MID(VLOOKUP(A107, Fechas_Estado!A:AE,20,0),12,8)</f>
        <v>11:34:09</v>
      </c>
      <c r="J107" t="str">
        <f t="shared" si="22"/>
        <v>2024-02-02 11:34:09</v>
      </c>
      <c r="K107" t="str">
        <f>LEFT(VLOOKUP(A107, Fechas_Estado!A:AE,21,0),10)</f>
        <v>2024-02-02</v>
      </c>
      <c r="L107" t="str">
        <f>MID(VLOOKUP(A107, Fechas_Estado!A:AE,21,0),12,8)</f>
        <v>11:35:45</v>
      </c>
      <c r="M107" t="str">
        <f t="shared" si="23"/>
        <v>2024-02-02 11:35:45</v>
      </c>
      <c r="N107" t="str">
        <f>LEFT(VLOOKUP(A107, Fechas_Estado!A:AE,22,0),10)</f>
        <v>2024-02-02</v>
      </c>
      <c r="O107" t="str">
        <f>MID(VLOOKUP(A107, Fechas_Estado!A:AE,22,0),12,8)</f>
        <v>11:36:29</v>
      </c>
      <c r="P107" t="str">
        <f t="shared" si="24"/>
        <v>2024-02-02 11:36:29</v>
      </c>
      <c r="Q107" t="str">
        <f>LEFT(VLOOKUP(A107, Fechas_Estado!A:AE,23,0),10)</f>
        <v>2024-02-12</v>
      </c>
      <c r="R107" t="str">
        <f>MID(VLOOKUP(A107, Fechas_Estado!A:AE,23,0),12,8)</f>
        <v>16:31:28</v>
      </c>
      <c r="S107" t="str">
        <f t="shared" si="25"/>
        <v>2024-02-12 16:31:28</v>
      </c>
      <c r="T107" t="str">
        <f>LEFT(VLOOKUP(A107, Fechas_Estado!A:AE,24,0),10)</f>
        <v>2024-02-12</v>
      </c>
      <c r="U107" t="str">
        <f>MID(VLOOKUP(A107, Fechas_Estado!A:AE,24,0),12,8)</f>
        <v>16:31:32</v>
      </c>
      <c r="V107" t="str">
        <f t="shared" si="26"/>
        <v>2024-02-12 16:31:32</v>
      </c>
      <c r="W107" t="str">
        <f>LEFT(VLOOKUP(A107, Fechas_Estado!A:AE,25,0),10)</f>
        <v>2024-02-12</v>
      </c>
      <c r="X107" t="str">
        <f>MID(VLOOKUP(A107, Fechas_Estado!A:AE,25,0),12,8)</f>
        <v>16:31:51</v>
      </c>
      <c r="Y107" t="str">
        <f t="shared" si="27"/>
        <v>2024-02-12 16:31:51</v>
      </c>
      <c r="Z107" t="str">
        <f>LEFT(VLOOKUP(A107, Fechas_Estado!A:AE,26,0),10)</f>
        <v>2024-02-21</v>
      </c>
      <c r="AA107" t="str">
        <f>MID(VLOOKUP(A107, Fechas_Estado!A:AE,26,0),12,8)</f>
        <v>15:45:01</v>
      </c>
      <c r="AB107" t="str">
        <f t="shared" si="28"/>
        <v>2024-02-21 15:45:01</v>
      </c>
      <c r="AC107" t="str">
        <f>LEFT(VLOOKUP(A107, Fechas_Estado!A:AE,27,0),10)</f>
        <v>2024-02-26</v>
      </c>
      <c r="AD107" t="str">
        <f>MID(VLOOKUP(A107, Fechas_Estado!A:AE,27,0),12,8)</f>
        <v>13:56:17</v>
      </c>
      <c r="AE107" t="str">
        <f t="shared" si="29"/>
        <v>2024-02-26 13:56:17</v>
      </c>
      <c r="AF107" t="str">
        <f>LEFT(VLOOKUP(A107, Fechas_Estado!A:AF,28,0),10)</f>
        <v/>
      </c>
      <c r="AG107" t="str">
        <f>MID(VLOOKUP(A107, Fechas_Estado!A:AF,28,0),12,8)</f>
        <v/>
      </c>
      <c r="AH107" t="str">
        <f t="shared" si="30"/>
        <v xml:space="preserve"> </v>
      </c>
      <c r="AI107" t="str">
        <f>LEFT(VLOOKUP(A107, Fechas_Estado!A:AF,16,0),10)</f>
        <v>2024-03-04</v>
      </c>
      <c r="AJ107" t="str">
        <f>MID(VLOOKUP(A107, Fechas_Estado!A:AF,16,0),12,8)</f>
        <v>12:51:48</v>
      </c>
      <c r="AK107" t="str">
        <f t="shared" si="31"/>
        <v>2024-03-04 12:51:48</v>
      </c>
      <c r="AL107">
        <f t="shared" si="32"/>
        <v>31.059548611112405</v>
      </c>
      <c r="AM107" t="str">
        <f>LEFT(VLOOKUP(A107, Fechas_Estado!A:AE,8,0),10)</f>
        <v>2024-03-08</v>
      </c>
      <c r="AN107" t="str">
        <f>MID(VLOOKUP(A107, Fechas_Estado!A:AE,8,0),12,8)</f>
        <v>13:18:05</v>
      </c>
      <c r="AO107" t="str">
        <f t="shared" si="33"/>
        <v>2024-03-08 13:18:05</v>
      </c>
      <c r="AP107" t="str">
        <f>LEFT(VLOOKUP(A107, Fechas_Estado!A:AE,7,0),10)</f>
        <v>2024-03-11</v>
      </c>
      <c r="AQ107" t="str">
        <f>MID(VLOOKUP(A107, Fechas_Estado!A:AE,7,0),12,8)</f>
        <v>13:54:11</v>
      </c>
      <c r="AR107" t="str">
        <f t="shared" si="34"/>
        <v>2024-03-11 13:54:11</v>
      </c>
      <c r="AS107" t="str">
        <f>LEFT(VLOOKUP(A107, Fechas_Estado!A:AE,10,0),10)</f>
        <v>2024-03-11</v>
      </c>
      <c r="AT107" t="str">
        <f>MID(VLOOKUP(A107, Fechas_Estado!A:AE,10,0),12,8)</f>
        <v>16:24:47</v>
      </c>
      <c r="AU107" t="str">
        <f t="shared" si="35"/>
        <v>2024-03-11 16:24:47</v>
      </c>
      <c r="AV107" t="str">
        <f>LEFT(VLOOKUP(A107, Fechas_Estado!A:AE,17,0),10)</f>
        <v>2024-03-11</v>
      </c>
      <c r="AW107" t="str">
        <f>MID(VLOOKUP(A107, Fechas_Estado!A:AE,17,0),12,8)</f>
        <v>17:04:05</v>
      </c>
      <c r="AX107" t="str">
        <f t="shared" si="36"/>
        <v>2024-03-11 17:04:05</v>
      </c>
      <c r="AY107">
        <f t="shared" si="37"/>
        <v>3.1569444444467081</v>
      </c>
      <c r="AZ107" t="str">
        <f>LEFT(VLOOKUP(A107, Fechas_Estado!A:AE,5,0),10)</f>
        <v>2024-04-09</v>
      </c>
      <c r="BA107" t="str">
        <f>MID(VLOOKUP(A107, Fechas_Estado!A:AE,5,0),12,8)</f>
        <v>15:27:47</v>
      </c>
      <c r="BB107" t="str">
        <f t="shared" si="38"/>
        <v>2024-04-09 15:27:47</v>
      </c>
      <c r="BC107">
        <f t="shared" si="39"/>
        <v>28.933124999995925</v>
      </c>
    </row>
    <row r="108" spans="1:55" x14ac:dyDescent="0.25">
      <c r="A108" t="str">
        <f>Fechas_Estado!A107</f>
        <v>ESPC360-5145</v>
      </c>
      <c r="B108" t="str">
        <f>LEFT(VLOOKUP(A108,Fechas_Estado!A:AE,2,0),10)</f>
        <v>2024-02-05</v>
      </c>
      <c r="C108" t="str">
        <f>MID(VLOOKUP(A108, Fechas_Estado!A:AE,2,0),12,8)</f>
        <v>12:16:46</v>
      </c>
      <c r="D108" t="str">
        <f t="shared" si="20"/>
        <v>2024-02-05 12:16:46</v>
      </c>
      <c r="E108" t="str">
        <f>LEFT(VLOOKUP(A108, Fechas_Estado!A:AE,19,0),10)</f>
        <v/>
      </c>
      <c r="F108" t="str">
        <f>MID(VLOOKUP(A108, Fechas_Estado!A:AE,19,0),12,8)</f>
        <v/>
      </c>
      <c r="G108" t="str">
        <f t="shared" si="21"/>
        <v xml:space="preserve"> </v>
      </c>
      <c r="H108" t="str">
        <f>LEFT(VLOOKUP(A108, Fechas_Estado!A:AE,20,0),10)</f>
        <v/>
      </c>
      <c r="I108" t="str">
        <f>MID(VLOOKUP(A108, Fechas_Estado!A:AE,20,0),12,8)</f>
        <v/>
      </c>
      <c r="J108" t="str">
        <f t="shared" si="22"/>
        <v xml:space="preserve"> </v>
      </c>
      <c r="K108" t="str">
        <f>LEFT(VLOOKUP(A108, Fechas_Estado!A:AE,21,0),10)</f>
        <v/>
      </c>
      <c r="L108" t="str">
        <f>MID(VLOOKUP(A108, Fechas_Estado!A:AE,21,0),12,8)</f>
        <v/>
      </c>
      <c r="M108" t="str">
        <f t="shared" si="23"/>
        <v xml:space="preserve"> </v>
      </c>
      <c r="N108" t="str">
        <f>LEFT(VLOOKUP(A108, Fechas_Estado!A:AE,22,0),10)</f>
        <v/>
      </c>
      <c r="O108" t="str">
        <f>MID(VLOOKUP(A108, Fechas_Estado!A:AE,22,0),12,8)</f>
        <v/>
      </c>
      <c r="P108" t="str">
        <f t="shared" si="24"/>
        <v xml:space="preserve"> </v>
      </c>
      <c r="Q108" t="str">
        <f>LEFT(VLOOKUP(A108, Fechas_Estado!A:AE,23,0),10)</f>
        <v/>
      </c>
      <c r="R108" t="str">
        <f>MID(VLOOKUP(A108, Fechas_Estado!A:AE,23,0),12,8)</f>
        <v/>
      </c>
      <c r="S108" t="str">
        <f t="shared" si="25"/>
        <v xml:space="preserve"> </v>
      </c>
      <c r="T108" t="str">
        <f>LEFT(VLOOKUP(A108, Fechas_Estado!A:AE,24,0),10)</f>
        <v/>
      </c>
      <c r="U108" t="str">
        <f>MID(VLOOKUP(A108, Fechas_Estado!A:AE,24,0),12,8)</f>
        <v/>
      </c>
      <c r="V108" t="str">
        <f t="shared" si="26"/>
        <v xml:space="preserve"> </v>
      </c>
      <c r="W108" t="str">
        <f>LEFT(VLOOKUP(A108, Fechas_Estado!A:AE,25,0),10)</f>
        <v>2024-02-05</v>
      </c>
      <c r="X108" t="str">
        <f>MID(VLOOKUP(A108, Fechas_Estado!A:AE,25,0),12,8)</f>
        <v>12:21:42</v>
      </c>
      <c r="Y108" t="str">
        <f t="shared" si="27"/>
        <v>2024-02-05 12:21:42</v>
      </c>
      <c r="Z108" t="str">
        <f>LEFT(VLOOKUP(A108, Fechas_Estado!A:AE,26,0),10)</f>
        <v>2024-02-08</v>
      </c>
      <c r="AA108" t="str">
        <f>MID(VLOOKUP(A108, Fechas_Estado!A:AE,26,0),12,8)</f>
        <v>18:07:06</v>
      </c>
      <c r="AB108" t="str">
        <f t="shared" si="28"/>
        <v>2024-02-08 18:07:06</v>
      </c>
      <c r="AC108" t="str">
        <f>LEFT(VLOOKUP(A108, Fechas_Estado!A:AE,27,0),10)</f>
        <v>2024-02-12</v>
      </c>
      <c r="AD108" t="str">
        <f>MID(VLOOKUP(A108, Fechas_Estado!A:AE,27,0),12,8)</f>
        <v>13:46:52</v>
      </c>
      <c r="AE108" t="str">
        <f t="shared" si="29"/>
        <v>2024-02-12 13:46:52</v>
      </c>
      <c r="AF108" t="str">
        <f>LEFT(VLOOKUP(A108, Fechas_Estado!A:AF,28,0),10)</f>
        <v/>
      </c>
      <c r="AG108" t="str">
        <f>MID(VLOOKUP(A108, Fechas_Estado!A:AF,28,0),12,8)</f>
        <v/>
      </c>
      <c r="AH108" t="str">
        <f t="shared" si="30"/>
        <v xml:space="preserve"> </v>
      </c>
      <c r="AI108" t="str">
        <f>LEFT(VLOOKUP(A108, Fechas_Estado!A:AF,16,0),10)</f>
        <v>2024-02-13</v>
      </c>
      <c r="AJ108" t="str">
        <f>MID(VLOOKUP(A108, Fechas_Estado!A:AF,16,0),12,8)</f>
        <v>10:04:42</v>
      </c>
      <c r="AK108" t="str">
        <f t="shared" si="31"/>
        <v>2024-02-13 10:04:42</v>
      </c>
      <c r="AL108">
        <f t="shared" si="32"/>
        <v>7.9082870370330056</v>
      </c>
      <c r="AM108" t="str">
        <f>LEFT(VLOOKUP(A108, Fechas_Estado!A:AE,8,0),10)</f>
        <v>2024-02-15</v>
      </c>
      <c r="AN108" t="str">
        <f>MID(VLOOKUP(A108, Fechas_Estado!A:AE,8,0),12,8)</f>
        <v>10:12:09</v>
      </c>
      <c r="AO108" t="str">
        <f t="shared" si="33"/>
        <v>2024-02-15 10:12:09</v>
      </c>
      <c r="AP108" t="str">
        <f>LEFT(VLOOKUP(A108, Fechas_Estado!A:AE,7,0),10)</f>
        <v>2024-02-15</v>
      </c>
      <c r="AQ108" t="str">
        <f>MID(VLOOKUP(A108, Fechas_Estado!A:AE,7,0),12,8)</f>
        <v>15:49:53</v>
      </c>
      <c r="AR108" t="str">
        <f t="shared" si="34"/>
        <v>2024-02-15 15:49:53</v>
      </c>
      <c r="AS108" t="str">
        <f>LEFT(VLOOKUP(A108, Fechas_Estado!A:AE,10,0),10)</f>
        <v>2024-02-15</v>
      </c>
      <c r="AT108" t="str">
        <f>MID(VLOOKUP(A108, Fechas_Estado!A:AE,10,0),12,8)</f>
        <v>15:49:58</v>
      </c>
      <c r="AU108" t="str">
        <f t="shared" si="35"/>
        <v>2024-02-15 15:49:58</v>
      </c>
      <c r="AV108" t="str">
        <f>LEFT(VLOOKUP(A108, Fechas_Estado!A:AE,17,0),10)</f>
        <v>2024-02-21</v>
      </c>
      <c r="AW108" t="str">
        <f>MID(VLOOKUP(A108, Fechas_Estado!A:AE,17,0),12,8)</f>
        <v>10:35:17</v>
      </c>
      <c r="AX108" t="str">
        <f t="shared" si="36"/>
        <v>2024-02-21 10:35:17</v>
      </c>
      <c r="AY108">
        <f t="shared" si="37"/>
        <v>6.0160648148157634</v>
      </c>
      <c r="AZ108" t="str">
        <f>LEFT(VLOOKUP(A108, Fechas_Estado!A:AE,5,0),10)</f>
        <v>2024-03-18</v>
      </c>
      <c r="BA108" t="str">
        <f>MID(VLOOKUP(A108, Fechas_Estado!A:AE,5,0),12,8)</f>
        <v>16:51:22</v>
      </c>
      <c r="BB108" t="str">
        <f t="shared" si="38"/>
        <v>2024-03-18 16:51:22</v>
      </c>
      <c r="BC108">
        <f t="shared" si="39"/>
        <v>26.261168981480296</v>
      </c>
    </row>
    <row r="109" spans="1:55" x14ac:dyDescent="0.25">
      <c r="A109" t="str">
        <f>Fechas_Estado!A108</f>
        <v>ESPC360-5152</v>
      </c>
      <c r="B109" t="str">
        <f>LEFT(VLOOKUP(A109,Fechas_Estado!A:AE,2,0),10)</f>
        <v>2024-02-06</v>
      </c>
      <c r="C109" t="str">
        <f>MID(VLOOKUP(A109, Fechas_Estado!A:AE,2,0),12,8)</f>
        <v>09:06:35</v>
      </c>
      <c r="D109" t="str">
        <f t="shared" si="20"/>
        <v>2024-02-06 09:06:35</v>
      </c>
      <c r="E109" t="str">
        <f>LEFT(VLOOKUP(A109, Fechas_Estado!A:AE,19,0),10)</f>
        <v/>
      </c>
      <c r="F109" t="str">
        <f>MID(VLOOKUP(A109, Fechas_Estado!A:AE,19,0),12,8)</f>
        <v/>
      </c>
      <c r="G109" t="str">
        <f t="shared" si="21"/>
        <v xml:space="preserve"> </v>
      </c>
      <c r="H109" t="str">
        <f>LEFT(VLOOKUP(A109, Fechas_Estado!A:AE,20,0),10)</f>
        <v/>
      </c>
      <c r="I109" t="str">
        <f>MID(VLOOKUP(A109, Fechas_Estado!A:AE,20,0),12,8)</f>
        <v/>
      </c>
      <c r="J109" t="str">
        <f t="shared" si="22"/>
        <v xml:space="preserve"> </v>
      </c>
      <c r="K109" t="str">
        <f>LEFT(VLOOKUP(A109, Fechas_Estado!A:AE,21,0),10)</f>
        <v/>
      </c>
      <c r="L109" t="str">
        <f>MID(VLOOKUP(A109, Fechas_Estado!A:AE,21,0),12,8)</f>
        <v/>
      </c>
      <c r="M109" t="str">
        <f t="shared" si="23"/>
        <v xml:space="preserve"> </v>
      </c>
      <c r="N109" t="str">
        <f>LEFT(VLOOKUP(A109, Fechas_Estado!A:AE,22,0),10)</f>
        <v/>
      </c>
      <c r="O109" t="str">
        <f>MID(VLOOKUP(A109, Fechas_Estado!A:AE,22,0),12,8)</f>
        <v/>
      </c>
      <c r="P109" t="str">
        <f t="shared" si="24"/>
        <v xml:space="preserve"> </v>
      </c>
      <c r="Q109" t="str">
        <f>LEFT(VLOOKUP(A109, Fechas_Estado!A:AE,23,0),10)</f>
        <v/>
      </c>
      <c r="R109" t="str">
        <f>MID(VLOOKUP(A109, Fechas_Estado!A:AE,23,0),12,8)</f>
        <v/>
      </c>
      <c r="S109" t="str">
        <f t="shared" si="25"/>
        <v xml:space="preserve"> </v>
      </c>
      <c r="T109" t="str">
        <f>LEFT(VLOOKUP(A109, Fechas_Estado!A:AE,24,0),10)</f>
        <v/>
      </c>
      <c r="U109" t="str">
        <f>MID(VLOOKUP(A109, Fechas_Estado!A:AE,24,0),12,8)</f>
        <v/>
      </c>
      <c r="V109" t="str">
        <f t="shared" si="26"/>
        <v xml:space="preserve"> </v>
      </c>
      <c r="W109" t="str">
        <f>LEFT(VLOOKUP(A109, Fechas_Estado!A:AE,25,0),10)</f>
        <v>2024-02-06</v>
      </c>
      <c r="X109" t="str">
        <f>MID(VLOOKUP(A109, Fechas_Estado!A:AE,25,0),12,8)</f>
        <v>09:07:45</v>
      </c>
      <c r="Y109" t="str">
        <f t="shared" si="27"/>
        <v>2024-02-06 09:07:45</v>
      </c>
      <c r="Z109" t="str">
        <f>LEFT(VLOOKUP(A109, Fechas_Estado!A:AE,26,0),10)</f>
        <v>2024-02-06</v>
      </c>
      <c r="AA109" t="str">
        <f>MID(VLOOKUP(A109, Fechas_Estado!A:AE,26,0),12,8)</f>
        <v>10:04:19</v>
      </c>
      <c r="AB109" t="str">
        <f t="shared" si="28"/>
        <v>2024-02-06 10:04:19</v>
      </c>
      <c r="AC109" t="str">
        <f>LEFT(VLOOKUP(A109, Fechas_Estado!A:AE,27,0),10)</f>
        <v/>
      </c>
      <c r="AD109" t="str">
        <f>MID(VLOOKUP(A109, Fechas_Estado!A:AE,27,0),12,8)</f>
        <v/>
      </c>
      <c r="AE109" t="str">
        <f t="shared" si="29"/>
        <v xml:space="preserve"> </v>
      </c>
      <c r="AF109" t="str">
        <f>LEFT(VLOOKUP(A109, Fechas_Estado!A:AF,28,0),10)</f>
        <v/>
      </c>
      <c r="AG109" t="str">
        <f>MID(VLOOKUP(A109, Fechas_Estado!A:AF,28,0),12,8)</f>
        <v/>
      </c>
      <c r="AH109" t="str">
        <f t="shared" si="30"/>
        <v xml:space="preserve"> </v>
      </c>
      <c r="AI109" t="str">
        <f>LEFT(VLOOKUP(A109, Fechas_Estado!A:AF,16,0),10)</f>
        <v>2024-02-09</v>
      </c>
      <c r="AJ109" t="str">
        <f>MID(VLOOKUP(A109, Fechas_Estado!A:AF,16,0),12,8)</f>
        <v>14:02:31</v>
      </c>
      <c r="AK109" t="str">
        <f t="shared" si="31"/>
        <v>2024-02-09 14:02:31</v>
      </c>
      <c r="AL109">
        <f t="shared" si="32"/>
        <v>3.2055092592636356</v>
      </c>
      <c r="AM109" t="str">
        <f>LEFT(VLOOKUP(A109, Fechas_Estado!A:AE,8,0),10)</f>
        <v/>
      </c>
      <c r="AN109" t="str">
        <f>MID(VLOOKUP(A109, Fechas_Estado!A:AE,8,0),12,8)</f>
        <v/>
      </c>
      <c r="AO109" t="str">
        <f t="shared" si="33"/>
        <v xml:space="preserve"> </v>
      </c>
      <c r="AP109" t="str">
        <f>LEFT(VLOOKUP(A109, Fechas_Estado!A:AE,7,0),10)</f>
        <v/>
      </c>
      <c r="AQ109" t="str">
        <f>MID(VLOOKUP(A109, Fechas_Estado!A:AE,7,0),12,8)</f>
        <v/>
      </c>
      <c r="AR109" t="str">
        <f t="shared" si="34"/>
        <v xml:space="preserve"> </v>
      </c>
      <c r="AS109" t="str">
        <f>LEFT(VLOOKUP(A109, Fechas_Estado!A:AE,10,0),10)</f>
        <v/>
      </c>
      <c r="AT109" t="str">
        <f>MID(VLOOKUP(A109, Fechas_Estado!A:AE,10,0),12,8)</f>
        <v/>
      </c>
      <c r="AU109" t="str">
        <f t="shared" si="35"/>
        <v xml:space="preserve"> </v>
      </c>
      <c r="AV109" t="str">
        <f>LEFT(VLOOKUP(A109, Fechas_Estado!A:AE,17,0),10)</f>
        <v/>
      </c>
      <c r="AW109" t="str">
        <f>MID(VLOOKUP(A109, Fechas_Estado!A:AE,17,0),12,8)</f>
        <v/>
      </c>
      <c r="AX109" t="str">
        <f t="shared" si="36"/>
        <v xml:space="preserve"> </v>
      </c>
      <c r="AY109" t="e">
        <f t="shared" si="37"/>
        <v>#VALUE!</v>
      </c>
      <c r="AZ109" t="str">
        <f>LEFT(VLOOKUP(A109, Fechas_Estado!A:AE,5,0),10)</f>
        <v>2024-02-12</v>
      </c>
      <c r="BA109" t="str">
        <f>MID(VLOOKUP(A109, Fechas_Estado!A:AE,5,0),12,8)</f>
        <v>13:47:37</v>
      </c>
      <c r="BB109" t="str">
        <f t="shared" si="38"/>
        <v>2024-02-12 13:47:37</v>
      </c>
      <c r="BC109" t="e">
        <f t="shared" si="39"/>
        <v>#VALUE!</v>
      </c>
    </row>
    <row r="110" spans="1:55" x14ac:dyDescent="0.25">
      <c r="A110" t="str">
        <f>Fechas_Estado!A109</f>
        <v>ESPC360-5188</v>
      </c>
      <c r="B110" t="str">
        <f>LEFT(VLOOKUP(A110,Fechas_Estado!A:AE,2,0),10)</f>
        <v>2024-02-06</v>
      </c>
      <c r="C110" t="str">
        <f>MID(VLOOKUP(A110, Fechas_Estado!A:AE,2,0),12,8)</f>
        <v>17:57:08</v>
      </c>
      <c r="D110" t="str">
        <f t="shared" si="20"/>
        <v>2024-02-06 17:57:08</v>
      </c>
      <c r="E110" t="str">
        <f>LEFT(VLOOKUP(A110, Fechas_Estado!A:AE,19,0),10)</f>
        <v>2024-02-06</v>
      </c>
      <c r="F110" t="str">
        <f>MID(VLOOKUP(A110, Fechas_Estado!A:AE,19,0),12,8)</f>
        <v>18:00:37</v>
      </c>
      <c r="G110" t="str">
        <f t="shared" si="21"/>
        <v>2024-02-06 18:00:37</v>
      </c>
      <c r="H110" t="str">
        <f>LEFT(VLOOKUP(A110, Fechas_Estado!A:AE,20,0),10)</f>
        <v>2024-02-06</v>
      </c>
      <c r="I110" t="str">
        <f>MID(VLOOKUP(A110, Fechas_Estado!A:AE,20,0),12,8)</f>
        <v>18:00:39</v>
      </c>
      <c r="J110" t="str">
        <f t="shared" si="22"/>
        <v>2024-02-06 18:00:39</v>
      </c>
      <c r="K110" t="str">
        <f>LEFT(VLOOKUP(A110, Fechas_Estado!A:AE,21,0),10)</f>
        <v>2024-02-06</v>
      </c>
      <c r="L110" t="str">
        <f>MID(VLOOKUP(A110, Fechas_Estado!A:AE,21,0),12,8)</f>
        <v>18:00:40</v>
      </c>
      <c r="M110" t="str">
        <f t="shared" si="23"/>
        <v>2024-02-06 18:00:40</v>
      </c>
      <c r="N110" t="str">
        <f>LEFT(VLOOKUP(A110, Fechas_Estado!A:AE,22,0),10)</f>
        <v>2024-02-07</v>
      </c>
      <c r="O110" t="str">
        <f>MID(VLOOKUP(A110, Fechas_Estado!A:AE,22,0),12,8)</f>
        <v>08:21:25</v>
      </c>
      <c r="P110" t="str">
        <f t="shared" si="24"/>
        <v>2024-02-07 08:21:25</v>
      </c>
      <c r="Q110" t="str">
        <f>LEFT(VLOOKUP(A110, Fechas_Estado!A:AE,23,0),10)</f>
        <v>2024-02-07</v>
      </c>
      <c r="R110" t="str">
        <f>MID(VLOOKUP(A110, Fechas_Estado!A:AE,23,0),12,8)</f>
        <v>08:21:36</v>
      </c>
      <c r="S110" t="str">
        <f t="shared" si="25"/>
        <v>2024-02-07 08:21:36</v>
      </c>
      <c r="T110" t="str">
        <f>LEFT(VLOOKUP(A110, Fechas_Estado!A:AE,24,0),10)</f>
        <v>2024-02-07</v>
      </c>
      <c r="U110" t="str">
        <f>MID(VLOOKUP(A110, Fechas_Estado!A:AE,24,0),12,8)</f>
        <v>08:21:39</v>
      </c>
      <c r="V110" t="str">
        <f t="shared" si="26"/>
        <v>2024-02-07 08:21:39</v>
      </c>
      <c r="W110" t="str">
        <f>LEFT(VLOOKUP(A110, Fechas_Estado!A:AE,25,0),10)</f>
        <v>2024-02-07</v>
      </c>
      <c r="X110" t="str">
        <f>MID(VLOOKUP(A110, Fechas_Estado!A:AE,25,0),12,8)</f>
        <v>08:22:08</v>
      </c>
      <c r="Y110" t="str">
        <f t="shared" si="27"/>
        <v>2024-02-07 08:22:08</v>
      </c>
      <c r="Z110" t="str">
        <f>LEFT(VLOOKUP(A110, Fechas_Estado!A:AE,26,0),10)</f>
        <v>2024-02-14</v>
      </c>
      <c r="AA110" t="str">
        <f>MID(VLOOKUP(A110, Fechas_Estado!A:AE,26,0),12,8)</f>
        <v>09:42:12</v>
      </c>
      <c r="AB110" t="str">
        <f t="shared" si="28"/>
        <v>2024-02-14 09:42:12</v>
      </c>
      <c r="AC110" t="str">
        <f>LEFT(VLOOKUP(A110, Fechas_Estado!A:AE,27,0),10)</f>
        <v/>
      </c>
      <c r="AD110" t="str">
        <f>MID(VLOOKUP(A110, Fechas_Estado!A:AE,27,0),12,8)</f>
        <v/>
      </c>
      <c r="AE110" t="str">
        <f t="shared" si="29"/>
        <v xml:space="preserve"> </v>
      </c>
      <c r="AF110" t="str">
        <f>LEFT(VLOOKUP(A110, Fechas_Estado!A:AF,28,0),10)</f>
        <v/>
      </c>
      <c r="AG110" t="str">
        <f>MID(VLOOKUP(A110, Fechas_Estado!A:AF,28,0),12,8)</f>
        <v/>
      </c>
      <c r="AH110" t="str">
        <f t="shared" si="30"/>
        <v xml:space="preserve"> </v>
      </c>
      <c r="AI110" t="str">
        <f>LEFT(VLOOKUP(A110, Fechas_Estado!A:AF,16,0),10)</f>
        <v/>
      </c>
      <c r="AJ110" t="str">
        <f>MID(VLOOKUP(A110, Fechas_Estado!A:AF,16,0),12,8)</f>
        <v/>
      </c>
      <c r="AK110" t="str">
        <f t="shared" si="31"/>
        <v xml:space="preserve"> </v>
      </c>
      <c r="AL110" t="e">
        <f t="shared" si="32"/>
        <v>#VALUE!</v>
      </c>
      <c r="AM110" t="str">
        <f>LEFT(VLOOKUP(A110, Fechas_Estado!A:AE,8,0),10)</f>
        <v/>
      </c>
      <c r="AN110" t="str">
        <f>MID(VLOOKUP(A110, Fechas_Estado!A:AE,8,0),12,8)</f>
        <v/>
      </c>
      <c r="AO110" t="str">
        <f t="shared" si="33"/>
        <v xml:space="preserve"> </v>
      </c>
      <c r="AP110" t="str">
        <f>LEFT(VLOOKUP(A110, Fechas_Estado!A:AE,7,0),10)</f>
        <v/>
      </c>
      <c r="AQ110" t="str">
        <f>MID(VLOOKUP(A110, Fechas_Estado!A:AE,7,0),12,8)</f>
        <v/>
      </c>
      <c r="AR110" t="str">
        <f t="shared" si="34"/>
        <v xml:space="preserve"> </v>
      </c>
      <c r="AS110" t="str">
        <f>LEFT(VLOOKUP(A110, Fechas_Estado!A:AE,10,0),10)</f>
        <v/>
      </c>
      <c r="AT110" t="str">
        <f>MID(VLOOKUP(A110, Fechas_Estado!A:AE,10,0),12,8)</f>
        <v/>
      </c>
      <c r="AU110" t="str">
        <f t="shared" si="35"/>
        <v xml:space="preserve"> </v>
      </c>
      <c r="AV110" t="str">
        <f>LEFT(VLOOKUP(A110, Fechas_Estado!A:AE,17,0),10)</f>
        <v/>
      </c>
      <c r="AW110" t="str">
        <f>MID(VLOOKUP(A110, Fechas_Estado!A:AE,17,0),12,8)</f>
        <v/>
      </c>
      <c r="AX110" t="str">
        <f t="shared" si="36"/>
        <v xml:space="preserve"> </v>
      </c>
      <c r="AY110" t="e">
        <f t="shared" si="37"/>
        <v>#VALUE!</v>
      </c>
      <c r="AZ110" t="str">
        <f>LEFT(VLOOKUP(A110, Fechas_Estado!A:AE,5,0),10)</f>
        <v>2024-02-22</v>
      </c>
      <c r="BA110" t="str">
        <f>MID(VLOOKUP(A110, Fechas_Estado!A:AE,5,0),12,8)</f>
        <v>08:37:11</v>
      </c>
      <c r="BB110" t="str">
        <f t="shared" si="38"/>
        <v>2024-02-22 08:37:11</v>
      </c>
      <c r="BC110" t="e">
        <f t="shared" si="39"/>
        <v>#VALUE!</v>
      </c>
    </row>
    <row r="111" spans="1:55" x14ac:dyDescent="0.25">
      <c r="A111" t="str">
        <f>Fechas_Estado!A110</f>
        <v>ESPC360-5191</v>
      </c>
      <c r="B111" t="str">
        <f>LEFT(VLOOKUP(A111,Fechas_Estado!A:AE,2,0),10)</f>
        <v>2024-02-06</v>
      </c>
      <c r="C111" t="str">
        <f>MID(VLOOKUP(A111, Fechas_Estado!A:AE,2,0),12,8)</f>
        <v>18:15:11</v>
      </c>
      <c r="D111" t="str">
        <f t="shared" si="20"/>
        <v>2024-02-06 18:15:11</v>
      </c>
      <c r="E111" t="str">
        <f>LEFT(VLOOKUP(A111, Fechas_Estado!A:AE,19,0),10)</f>
        <v/>
      </c>
      <c r="F111" t="str">
        <f>MID(VLOOKUP(A111, Fechas_Estado!A:AE,19,0),12,8)</f>
        <v/>
      </c>
      <c r="G111" t="str">
        <f t="shared" si="21"/>
        <v xml:space="preserve"> </v>
      </c>
      <c r="H111" t="str">
        <f>LEFT(VLOOKUP(A111, Fechas_Estado!A:AE,20,0),10)</f>
        <v/>
      </c>
      <c r="I111" t="str">
        <f>MID(VLOOKUP(A111, Fechas_Estado!A:AE,20,0),12,8)</f>
        <v/>
      </c>
      <c r="J111" t="str">
        <f t="shared" si="22"/>
        <v xml:space="preserve"> </v>
      </c>
      <c r="K111" t="str">
        <f>LEFT(VLOOKUP(A111, Fechas_Estado!A:AE,21,0),10)</f>
        <v/>
      </c>
      <c r="L111" t="str">
        <f>MID(VLOOKUP(A111, Fechas_Estado!A:AE,21,0),12,8)</f>
        <v/>
      </c>
      <c r="M111" t="str">
        <f t="shared" si="23"/>
        <v xml:space="preserve"> </v>
      </c>
      <c r="N111" t="str">
        <f>LEFT(VLOOKUP(A111, Fechas_Estado!A:AE,22,0),10)</f>
        <v/>
      </c>
      <c r="O111" t="str">
        <f>MID(VLOOKUP(A111, Fechas_Estado!A:AE,22,0),12,8)</f>
        <v/>
      </c>
      <c r="P111" t="str">
        <f t="shared" si="24"/>
        <v xml:space="preserve"> </v>
      </c>
      <c r="Q111" t="str">
        <f>LEFT(VLOOKUP(A111, Fechas_Estado!A:AE,23,0),10)</f>
        <v/>
      </c>
      <c r="R111" t="str">
        <f>MID(VLOOKUP(A111, Fechas_Estado!A:AE,23,0),12,8)</f>
        <v/>
      </c>
      <c r="S111" t="str">
        <f t="shared" si="25"/>
        <v xml:space="preserve"> </v>
      </c>
      <c r="T111" t="str">
        <f>LEFT(VLOOKUP(A111, Fechas_Estado!A:AE,24,0),10)</f>
        <v/>
      </c>
      <c r="U111" t="str">
        <f>MID(VLOOKUP(A111, Fechas_Estado!A:AE,24,0),12,8)</f>
        <v/>
      </c>
      <c r="V111" t="str">
        <f t="shared" si="26"/>
        <v xml:space="preserve"> </v>
      </c>
      <c r="W111" t="str">
        <f>LEFT(VLOOKUP(A111, Fechas_Estado!A:AE,25,0),10)</f>
        <v>2024-02-06</v>
      </c>
      <c r="X111" t="str">
        <f>MID(VLOOKUP(A111, Fechas_Estado!A:AE,25,0),12,8)</f>
        <v>18:16:17</v>
      </c>
      <c r="Y111" t="str">
        <f t="shared" si="27"/>
        <v>2024-02-06 18:16:17</v>
      </c>
      <c r="Z111" t="str">
        <f>LEFT(VLOOKUP(A111, Fechas_Estado!A:AE,26,0),10)</f>
        <v/>
      </c>
      <c r="AA111" t="str">
        <f>MID(VLOOKUP(A111, Fechas_Estado!A:AE,26,0),12,8)</f>
        <v/>
      </c>
      <c r="AB111" t="str">
        <f t="shared" si="28"/>
        <v xml:space="preserve"> </v>
      </c>
      <c r="AC111" t="str">
        <f>LEFT(VLOOKUP(A111, Fechas_Estado!A:AE,27,0),10)</f>
        <v/>
      </c>
      <c r="AD111" t="str">
        <f>MID(VLOOKUP(A111, Fechas_Estado!A:AE,27,0),12,8)</f>
        <v/>
      </c>
      <c r="AE111" t="str">
        <f t="shared" si="29"/>
        <v xml:space="preserve"> </v>
      </c>
      <c r="AF111" t="str">
        <f>LEFT(VLOOKUP(A111, Fechas_Estado!A:AF,28,0),10)</f>
        <v/>
      </c>
      <c r="AG111" t="str">
        <f>MID(VLOOKUP(A111, Fechas_Estado!A:AF,28,0),12,8)</f>
        <v/>
      </c>
      <c r="AH111" t="str">
        <f t="shared" si="30"/>
        <v xml:space="preserve"> </v>
      </c>
      <c r="AI111" t="str">
        <f>LEFT(VLOOKUP(A111, Fechas_Estado!A:AF,16,0),10)</f>
        <v>2024-02-07</v>
      </c>
      <c r="AJ111" t="str">
        <f>MID(VLOOKUP(A111, Fechas_Estado!A:AF,16,0),12,8)</f>
        <v>17:34:46</v>
      </c>
      <c r="AK111" t="str">
        <f t="shared" si="31"/>
        <v>2024-02-07 17:34:46</v>
      </c>
      <c r="AL111">
        <f t="shared" si="32"/>
        <v>0.97193287037225673</v>
      </c>
      <c r="AM111" t="str">
        <f>LEFT(VLOOKUP(A111, Fechas_Estado!A:AE,8,0),10)</f>
        <v>2024-02-07</v>
      </c>
      <c r="AN111" t="str">
        <f>MID(VLOOKUP(A111, Fechas_Estado!A:AE,8,0),12,8)</f>
        <v>17:34:51</v>
      </c>
      <c r="AO111" t="str">
        <f t="shared" si="33"/>
        <v>2024-02-07 17:34:51</v>
      </c>
      <c r="AP111" t="str">
        <f>LEFT(VLOOKUP(A111, Fechas_Estado!A:AE,7,0),10)</f>
        <v/>
      </c>
      <c r="AQ111" t="str">
        <f>MID(VLOOKUP(A111, Fechas_Estado!A:AE,7,0),12,8)</f>
        <v/>
      </c>
      <c r="AR111" t="str">
        <f t="shared" si="34"/>
        <v xml:space="preserve"> </v>
      </c>
      <c r="AS111" t="str">
        <f>LEFT(VLOOKUP(A111, Fechas_Estado!A:AE,10,0),10)</f>
        <v/>
      </c>
      <c r="AT111" t="str">
        <f>MID(VLOOKUP(A111, Fechas_Estado!A:AE,10,0),12,8)</f>
        <v/>
      </c>
      <c r="AU111" t="str">
        <f t="shared" si="35"/>
        <v xml:space="preserve"> </v>
      </c>
      <c r="AV111" t="str">
        <f>LEFT(VLOOKUP(A111, Fechas_Estado!A:AE,17,0),10)</f>
        <v/>
      </c>
      <c r="AW111" t="str">
        <f>MID(VLOOKUP(A111, Fechas_Estado!A:AE,17,0),12,8)</f>
        <v/>
      </c>
      <c r="AX111" t="str">
        <f t="shared" si="36"/>
        <v xml:space="preserve"> </v>
      </c>
      <c r="AY111" t="e">
        <f t="shared" si="37"/>
        <v>#VALUE!</v>
      </c>
      <c r="AZ111" t="str">
        <f>LEFT(VLOOKUP(A111, Fechas_Estado!A:AE,5,0),10)</f>
        <v>2024-02-16</v>
      </c>
      <c r="BA111" t="str">
        <f>MID(VLOOKUP(A111, Fechas_Estado!A:AE,5,0),12,8)</f>
        <v>14:08:11</v>
      </c>
      <c r="BB111" t="str">
        <f t="shared" si="38"/>
        <v>2024-02-16 14:08:11</v>
      </c>
      <c r="BC111" t="e">
        <f t="shared" si="39"/>
        <v>#VALUE!</v>
      </c>
    </row>
    <row r="112" spans="1:55" x14ac:dyDescent="0.25">
      <c r="A112" t="str">
        <f>Fechas_Estado!A111</f>
        <v>ESPC360-5193</v>
      </c>
      <c r="B112" t="str">
        <f>LEFT(VLOOKUP(A112,Fechas_Estado!A:AE,2,0),10)</f>
        <v>2024-02-07</v>
      </c>
      <c r="C112" t="str">
        <f>MID(VLOOKUP(A112, Fechas_Estado!A:AE,2,0),12,8)</f>
        <v>09:13:35</v>
      </c>
      <c r="D112" t="str">
        <f t="shared" si="20"/>
        <v>2024-02-07 09:13:35</v>
      </c>
      <c r="E112" t="str">
        <f>LEFT(VLOOKUP(A112, Fechas_Estado!A:AE,19,0),10)</f>
        <v/>
      </c>
      <c r="F112" t="str">
        <f>MID(VLOOKUP(A112, Fechas_Estado!A:AE,19,0),12,8)</f>
        <v/>
      </c>
      <c r="G112" t="str">
        <f t="shared" si="21"/>
        <v xml:space="preserve"> </v>
      </c>
      <c r="H112" t="str">
        <f>LEFT(VLOOKUP(A112, Fechas_Estado!A:AE,20,0),10)</f>
        <v/>
      </c>
      <c r="I112" t="str">
        <f>MID(VLOOKUP(A112, Fechas_Estado!A:AE,20,0),12,8)</f>
        <v/>
      </c>
      <c r="J112" t="str">
        <f t="shared" si="22"/>
        <v xml:space="preserve"> </v>
      </c>
      <c r="K112" t="str">
        <f>LEFT(VLOOKUP(A112, Fechas_Estado!A:AE,21,0),10)</f>
        <v/>
      </c>
      <c r="L112" t="str">
        <f>MID(VLOOKUP(A112, Fechas_Estado!A:AE,21,0),12,8)</f>
        <v/>
      </c>
      <c r="M112" t="str">
        <f t="shared" si="23"/>
        <v xml:space="preserve"> </v>
      </c>
      <c r="N112" t="str">
        <f>LEFT(VLOOKUP(A112, Fechas_Estado!A:AE,22,0),10)</f>
        <v/>
      </c>
      <c r="O112" t="str">
        <f>MID(VLOOKUP(A112, Fechas_Estado!A:AE,22,0),12,8)</f>
        <v/>
      </c>
      <c r="P112" t="str">
        <f t="shared" si="24"/>
        <v xml:space="preserve"> </v>
      </c>
      <c r="Q112" t="str">
        <f>LEFT(VLOOKUP(A112, Fechas_Estado!A:AE,23,0),10)</f>
        <v/>
      </c>
      <c r="R112" t="str">
        <f>MID(VLOOKUP(A112, Fechas_Estado!A:AE,23,0),12,8)</f>
        <v/>
      </c>
      <c r="S112" t="str">
        <f t="shared" si="25"/>
        <v xml:space="preserve"> </v>
      </c>
      <c r="T112" t="str">
        <f>LEFT(VLOOKUP(A112, Fechas_Estado!A:AE,24,0),10)</f>
        <v/>
      </c>
      <c r="U112" t="str">
        <f>MID(VLOOKUP(A112, Fechas_Estado!A:AE,24,0),12,8)</f>
        <v/>
      </c>
      <c r="V112" t="str">
        <f t="shared" si="26"/>
        <v xml:space="preserve"> </v>
      </c>
      <c r="W112" t="str">
        <f>LEFT(VLOOKUP(A112, Fechas_Estado!A:AE,25,0),10)</f>
        <v>2024-02-07</v>
      </c>
      <c r="X112" t="str">
        <f>MID(VLOOKUP(A112, Fechas_Estado!A:AE,25,0),12,8)</f>
        <v>09:14:28</v>
      </c>
      <c r="Y112" t="str">
        <f t="shared" si="27"/>
        <v>2024-02-07 09:14:28</v>
      </c>
      <c r="Z112" t="str">
        <f>LEFT(VLOOKUP(A112, Fechas_Estado!A:AE,26,0),10)</f>
        <v>2024-02-07</v>
      </c>
      <c r="AA112" t="str">
        <f>MID(VLOOKUP(A112, Fechas_Estado!A:AE,26,0),12,8)</f>
        <v>09:28:12</v>
      </c>
      <c r="AB112" t="str">
        <f t="shared" si="28"/>
        <v>2024-02-07 09:28:12</v>
      </c>
      <c r="AC112" t="str">
        <f>LEFT(VLOOKUP(A112, Fechas_Estado!A:AE,27,0),10)</f>
        <v>2024-02-07</v>
      </c>
      <c r="AD112" t="str">
        <f>MID(VLOOKUP(A112, Fechas_Estado!A:AE,27,0),12,8)</f>
        <v>12:04:35</v>
      </c>
      <c r="AE112" t="str">
        <f t="shared" si="29"/>
        <v>2024-02-07 12:04:35</v>
      </c>
      <c r="AF112" t="str">
        <f>LEFT(VLOOKUP(A112, Fechas_Estado!A:AF,28,0),10)</f>
        <v/>
      </c>
      <c r="AG112" t="str">
        <f>MID(VLOOKUP(A112, Fechas_Estado!A:AF,28,0),12,8)</f>
        <v/>
      </c>
      <c r="AH112" t="str">
        <f t="shared" si="30"/>
        <v xml:space="preserve"> </v>
      </c>
      <c r="AI112" t="str">
        <f>LEFT(VLOOKUP(A112, Fechas_Estado!A:AF,16,0),10)</f>
        <v>2024-02-08</v>
      </c>
      <c r="AJ112" t="str">
        <f>MID(VLOOKUP(A112, Fechas_Estado!A:AF,16,0),12,8)</f>
        <v>11:20:55</v>
      </c>
      <c r="AK112" t="str">
        <f t="shared" si="31"/>
        <v>2024-02-08 11:20:55</v>
      </c>
      <c r="AL112">
        <f t="shared" si="32"/>
        <v>1.0884259259255487</v>
      </c>
      <c r="AM112" t="str">
        <f>LEFT(VLOOKUP(A112, Fechas_Estado!A:AE,8,0),10)</f>
        <v>2024-02-08</v>
      </c>
      <c r="AN112" t="str">
        <f>MID(VLOOKUP(A112, Fechas_Estado!A:AE,8,0),12,8)</f>
        <v>16:42:17</v>
      </c>
      <c r="AO112" t="str">
        <f t="shared" si="33"/>
        <v>2024-02-08 16:42:17</v>
      </c>
      <c r="AP112" t="str">
        <f>LEFT(VLOOKUP(A112, Fechas_Estado!A:AE,7,0),10)</f>
        <v>2024-02-09</v>
      </c>
      <c r="AQ112" t="str">
        <f>MID(VLOOKUP(A112, Fechas_Estado!A:AE,7,0),12,8)</f>
        <v>07:21:43</v>
      </c>
      <c r="AR112" t="str">
        <f t="shared" si="34"/>
        <v>2024-02-09 07:21:43</v>
      </c>
      <c r="AS112" t="str">
        <f>LEFT(VLOOKUP(A112, Fechas_Estado!A:AE,10,0),10)</f>
        <v>2024-02-09</v>
      </c>
      <c r="AT112" t="str">
        <f>MID(VLOOKUP(A112, Fechas_Estado!A:AE,10,0),12,8)</f>
        <v>11:14:02</v>
      </c>
      <c r="AU112" t="str">
        <f t="shared" si="35"/>
        <v>2024-02-09 11:14:02</v>
      </c>
      <c r="AV112" t="str">
        <f>LEFT(VLOOKUP(A112, Fechas_Estado!A:AE,17,0),10)</f>
        <v>2024-02-09</v>
      </c>
      <c r="AW112" t="str">
        <f>MID(VLOOKUP(A112, Fechas_Estado!A:AE,17,0),12,8)</f>
        <v>11:14:14</v>
      </c>
      <c r="AX112" t="str">
        <f t="shared" si="36"/>
        <v>2024-02-09 11:14:14</v>
      </c>
      <c r="AY112">
        <f t="shared" si="37"/>
        <v>0.77218749999883585</v>
      </c>
      <c r="AZ112" t="str">
        <f>LEFT(VLOOKUP(A112, Fechas_Estado!A:AE,5,0),10)</f>
        <v>2024-02-13</v>
      </c>
      <c r="BA112" t="str">
        <f>MID(VLOOKUP(A112, Fechas_Estado!A:AE,5,0),12,8)</f>
        <v>08:44:00</v>
      </c>
      <c r="BB112" t="str">
        <f t="shared" si="38"/>
        <v>2024-02-13 08:44:00</v>
      </c>
      <c r="BC112">
        <f t="shared" si="39"/>
        <v>3.8956712962972233</v>
      </c>
    </row>
    <row r="113" spans="1:55" x14ac:dyDescent="0.25">
      <c r="A113" t="str">
        <f>Fechas_Estado!A112</f>
        <v>ESPC360-5210</v>
      </c>
      <c r="B113" t="str">
        <f>LEFT(VLOOKUP(A113,Fechas_Estado!A:AE,2,0),10)</f>
        <v>2024-02-07</v>
      </c>
      <c r="C113" t="str">
        <f>MID(VLOOKUP(A113, Fechas_Estado!A:AE,2,0),12,8)</f>
        <v>17:10:04</v>
      </c>
      <c r="D113" t="str">
        <f t="shared" si="20"/>
        <v>2024-02-07 17:10:04</v>
      </c>
      <c r="E113" t="str">
        <f>LEFT(VLOOKUP(A113, Fechas_Estado!A:AE,19,0),10)</f>
        <v/>
      </c>
      <c r="F113" t="str">
        <f>MID(VLOOKUP(A113, Fechas_Estado!A:AE,19,0),12,8)</f>
        <v/>
      </c>
      <c r="G113" t="str">
        <f t="shared" si="21"/>
        <v xml:space="preserve"> </v>
      </c>
      <c r="H113" t="str">
        <f>LEFT(VLOOKUP(A113, Fechas_Estado!A:AE,20,0),10)</f>
        <v/>
      </c>
      <c r="I113" t="str">
        <f>MID(VLOOKUP(A113, Fechas_Estado!A:AE,20,0),12,8)</f>
        <v/>
      </c>
      <c r="J113" t="str">
        <f t="shared" si="22"/>
        <v xml:space="preserve"> </v>
      </c>
      <c r="K113" t="str">
        <f>LEFT(VLOOKUP(A113, Fechas_Estado!A:AE,21,0),10)</f>
        <v/>
      </c>
      <c r="L113" t="str">
        <f>MID(VLOOKUP(A113, Fechas_Estado!A:AE,21,0),12,8)</f>
        <v/>
      </c>
      <c r="M113" t="str">
        <f t="shared" si="23"/>
        <v xml:space="preserve"> </v>
      </c>
      <c r="N113" t="str">
        <f>LEFT(VLOOKUP(A113, Fechas_Estado!A:AE,22,0),10)</f>
        <v/>
      </c>
      <c r="O113" t="str">
        <f>MID(VLOOKUP(A113, Fechas_Estado!A:AE,22,0),12,8)</f>
        <v/>
      </c>
      <c r="P113" t="str">
        <f t="shared" si="24"/>
        <v xml:space="preserve"> </v>
      </c>
      <c r="Q113" t="str">
        <f>LEFT(VLOOKUP(A113, Fechas_Estado!A:AE,23,0),10)</f>
        <v/>
      </c>
      <c r="R113" t="str">
        <f>MID(VLOOKUP(A113, Fechas_Estado!A:AE,23,0),12,8)</f>
        <v/>
      </c>
      <c r="S113" t="str">
        <f t="shared" si="25"/>
        <v xml:space="preserve"> </v>
      </c>
      <c r="T113" t="str">
        <f>LEFT(VLOOKUP(A113, Fechas_Estado!A:AE,24,0),10)</f>
        <v/>
      </c>
      <c r="U113" t="str">
        <f>MID(VLOOKUP(A113, Fechas_Estado!A:AE,24,0),12,8)</f>
        <v/>
      </c>
      <c r="V113" t="str">
        <f t="shared" si="26"/>
        <v xml:space="preserve"> </v>
      </c>
      <c r="W113" t="str">
        <f>LEFT(VLOOKUP(A113, Fechas_Estado!A:AE,25,0),10)</f>
        <v>2024-02-07</v>
      </c>
      <c r="X113" t="str">
        <f>MID(VLOOKUP(A113, Fechas_Estado!A:AE,25,0),12,8)</f>
        <v>17:10:52</v>
      </c>
      <c r="Y113" t="str">
        <f t="shared" si="27"/>
        <v>2024-02-07 17:10:52</v>
      </c>
      <c r="Z113" t="str">
        <f>LEFT(VLOOKUP(A113, Fechas_Estado!A:AE,26,0),10)</f>
        <v>2024-02-15</v>
      </c>
      <c r="AA113" t="str">
        <f>MID(VLOOKUP(A113, Fechas_Estado!A:AE,26,0),12,8)</f>
        <v>18:37:08</v>
      </c>
      <c r="AB113" t="str">
        <f t="shared" si="28"/>
        <v>2024-02-15 18:37:08</v>
      </c>
      <c r="AC113" t="str">
        <f>LEFT(VLOOKUP(A113, Fechas_Estado!A:AE,27,0),10)</f>
        <v/>
      </c>
      <c r="AD113" t="str">
        <f>MID(VLOOKUP(A113, Fechas_Estado!A:AE,27,0),12,8)</f>
        <v/>
      </c>
      <c r="AE113" t="str">
        <f t="shared" si="29"/>
        <v xml:space="preserve"> </v>
      </c>
      <c r="AF113" t="str">
        <f>LEFT(VLOOKUP(A113, Fechas_Estado!A:AF,28,0),10)</f>
        <v/>
      </c>
      <c r="AG113" t="str">
        <f>MID(VLOOKUP(A113, Fechas_Estado!A:AF,28,0),12,8)</f>
        <v/>
      </c>
      <c r="AH113" t="str">
        <f t="shared" si="30"/>
        <v xml:space="preserve"> </v>
      </c>
      <c r="AI113" t="str">
        <f>LEFT(VLOOKUP(A113, Fechas_Estado!A:AF,16,0),10)</f>
        <v>2024-02-19</v>
      </c>
      <c r="AJ113" t="str">
        <f>MID(VLOOKUP(A113, Fechas_Estado!A:AF,16,0),12,8)</f>
        <v>13:48:57</v>
      </c>
      <c r="AK113" t="str">
        <f t="shared" si="31"/>
        <v>2024-02-19 13:48:57</v>
      </c>
      <c r="AL113">
        <f t="shared" si="32"/>
        <v>11.860335648147156</v>
      </c>
      <c r="AM113" t="str">
        <f>LEFT(VLOOKUP(A113, Fechas_Estado!A:AE,8,0),10)</f>
        <v>2024-02-19</v>
      </c>
      <c r="AN113" t="str">
        <f>MID(VLOOKUP(A113, Fechas_Estado!A:AE,8,0),12,8)</f>
        <v>13:49:03</v>
      </c>
      <c r="AO113" t="str">
        <f t="shared" si="33"/>
        <v>2024-02-19 13:49:03</v>
      </c>
      <c r="AP113" t="str">
        <f>LEFT(VLOOKUP(A113, Fechas_Estado!A:AE,7,0),10)</f>
        <v/>
      </c>
      <c r="AQ113" t="str">
        <f>MID(VLOOKUP(A113, Fechas_Estado!A:AE,7,0),12,8)</f>
        <v/>
      </c>
      <c r="AR113" t="str">
        <f t="shared" si="34"/>
        <v xml:space="preserve"> </v>
      </c>
      <c r="AS113" t="str">
        <f>LEFT(VLOOKUP(A113, Fechas_Estado!A:AE,10,0),10)</f>
        <v/>
      </c>
      <c r="AT113" t="str">
        <f>MID(VLOOKUP(A113, Fechas_Estado!A:AE,10,0),12,8)</f>
        <v/>
      </c>
      <c r="AU113" t="str">
        <f t="shared" si="35"/>
        <v xml:space="preserve"> </v>
      </c>
      <c r="AV113" t="str">
        <f>LEFT(VLOOKUP(A113, Fechas_Estado!A:AE,17,0),10)</f>
        <v/>
      </c>
      <c r="AW113" t="str">
        <f>MID(VLOOKUP(A113, Fechas_Estado!A:AE,17,0),12,8)</f>
        <v/>
      </c>
      <c r="AX113" t="str">
        <f t="shared" si="36"/>
        <v xml:space="preserve"> </v>
      </c>
      <c r="AY113" t="e">
        <f t="shared" si="37"/>
        <v>#VALUE!</v>
      </c>
      <c r="AZ113" t="str">
        <f>LEFT(VLOOKUP(A113, Fechas_Estado!A:AE,5,0),10)</f>
        <v>2024-02-20</v>
      </c>
      <c r="BA113" t="str">
        <f>MID(VLOOKUP(A113, Fechas_Estado!A:AE,5,0),12,8)</f>
        <v>13:59:57</v>
      </c>
      <c r="BB113" t="str">
        <f t="shared" si="38"/>
        <v>2024-02-20 13:59:57</v>
      </c>
      <c r="BC113" t="e">
        <f t="shared" si="39"/>
        <v>#VALUE!</v>
      </c>
    </row>
    <row r="114" spans="1:55" x14ac:dyDescent="0.25">
      <c r="A114" t="str">
        <f>Fechas_Estado!A113</f>
        <v>ESPC360-5534</v>
      </c>
      <c r="B114" t="str">
        <f>LEFT(VLOOKUP(A114,Fechas_Estado!A:AE,2,0),10)</f>
        <v>2024-02-09</v>
      </c>
      <c r="C114" t="str">
        <f>MID(VLOOKUP(A114, Fechas_Estado!A:AE,2,0),12,8)</f>
        <v>09:25:52</v>
      </c>
      <c r="D114" t="str">
        <f t="shared" si="20"/>
        <v>2024-02-09 09:25:52</v>
      </c>
      <c r="E114" t="str">
        <f>LEFT(VLOOKUP(A114, Fechas_Estado!A:AE,19,0),10)</f>
        <v/>
      </c>
      <c r="F114" t="str">
        <f>MID(VLOOKUP(A114, Fechas_Estado!A:AE,19,0),12,8)</f>
        <v/>
      </c>
      <c r="G114" t="str">
        <f t="shared" si="21"/>
        <v xml:space="preserve"> </v>
      </c>
      <c r="H114" t="str">
        <f>LEFT(VLOOKUP(A114, Fechas_Estado!A:AE,20,0),10)</f>
        <v/>
      </c>
      <c r="I114" t="str">
        <f>MID(VLOOKUP(A114, Fechas_Estado!A:AE,20,0),12,8)</f>
        <v/>
      </c>
      <c r="J114" t="str">
        <f t="shared" si="22"/>
        <v xml:space="preserve"> </v>
      </c>
      <c r="K114" t="str">
        <f>LEFT(VLOOKUP(A114, Fechas_Estado!A:AE,21,0),10)</f>
        <v/>
      </c>
      <c r="L114" t="str">
        <f>MID(VLOOKUP(A114, Fechas_Estado!A:AE,21,0),12,8)</f>
        <v/>
      </c>
      <c r="M114" t="str">
        <f t="shared" si="23"/>
        <v xml:space="preserve"> </v>
      </c>
      <c r="N114" t="str">
        <f>LEFT(VLOOKUP(A114, Fechas_Estado!A:AE,22,0),10)</f>
        <v>2024-02-09</v>
      </c>
      <c r="O114" t="str">
        <f>MID(VLOOKUP(A114, Fechas_Estado!A:AE,22,0),12,8)</f>
        <v>09:27:16</v>
      </c>
      <c r="P114" t="str">
        <f t="shared" si="24"/>
        <v>2024-02-09 09:27:16</v>
      </c>
      <c r="Q114" t="str">
        <f>LEFT(VLOOKUP(A114, Fechas_Estado!A:AE,23,0),10)</f>
        <v>2024-02-09</v>
      </c>
      <c r="R114" t="str">
        <f>MID(VLOOKUP(A114, Fechas_Estado!A:AE,23,0),12,8)</f>
        <v>09:41:35</v>
      </c>
      <c r="S114" t="str">
        <f t="shared" si="25"/>
        <v>2024-02-09 09:41:35</v>
      </c>
      <c r="T114" t="str">
        <f>LEFT(VLOOKUP(A114, Fechas_Estado!A:AE,24,0),10)</f>
        <v>2024-02-09</v>
      </c>
      <c r="U114" t="str">
        <f>MID(VLOOKUP(A114, Fechas_Estado!A:AE,24,0),12,8)</f>
        <v>09:41:40</v>
      </c>
      <c r="V114" t="str">
        <f t="shared" si="26"/>
        <v>2024-02-09 09:41:40</v>
      </c>
      <c r="W114" t="str">
        <f>LEFT(VLOOKUP(A114, Fechas_Estado!A:AE,25,0),10)</f>
        <v>2024-02-09</v>
      </c>
      <c r="X114" t="str">
        <f>MID(VLOOKUP(A114, Fechas_Estado!A:AE,25,0),12,8)</f>
        <v>09:41:46</v>
      </c>
      <c r="Y114" t="str">
        <f t="shared" si="27"/>
        <v>2024-02-09 09:41:46</v>
      </c>
      <c r="Z114" t="str">
        <f>LEFT(VLOOKUP(A114, Fechas_Estado!A:AE,26,0),10)</f>
        <v>2024-02-12</v>
      </c>
      <c r="AA114" t="str">
        <f>MID(VLOOKUP(A114, Fechas_Estado!A:AE,26,0),12,8)</f>
        <v>09:50:02</v>
      </c>
      <c r="AB114" t="str">
        <f t="shared" si="28"/>
        <v>2024-02-12 09:50:02</v>
      </c>
      <c r="AC114" t="str">
        <f>LEFT(VLOOKUP(A114, Fechas_Estado!A:AE,27,0),10)</f>
        <v>2024-02-13</v>
      </c>
      <c r="AD114" t="str">
        <f>MID(VLOOKUP(A114, Fechas_Estado!A:AE,27,0),12,8)</f>
        <v>16:27:37</v>
      </c>
      <c r="AE114" t="str">
        <f t="shared" si="29"/>
        <v>2024-02-13 16:27:37</v>
      </c>
      <c r="AF114" t="str">
        <f>LEFT(VLOOKUP(A114, Fechas_Estado!A:AF,28,0),10)</f>
        <v/>
      </c>
      <c r="AG114" t="str">
        <f>MID(VLOOKUP(A114, Fechas_Estado!A:AF,28,0),12,8)</f>
        <v/>
      </c>
      <c r="AH114" t="str">
        <f t="shared" si="30"/>
        <v xml:space="preserve"> </v>
      </c>
      <c r="AI114" t="str">
        <f>LEFT(VLOOKUP(A114, Fechas_Estado!A:AF,16,0),10)</f>
        <v>2024-02-14</v>
      </c>
      <c r="AJ114" t="str">
        <f>MID(VLOOKUP(A114, Fechas_Estado!A:AF,16,0),12,8)</f>
        <v>11:35:04</v>
      </c>
      <c r="AK114" t="str">
        <f t="shared" si="31"/>
        <v>2024-02-14 11:35:04</v>
      </c>
      <c r="AL114">
        <f t="shared" si="32"/>
        <v>5.0897222222192795</v>
      </c>
      <c r="AM114" t="str">
        <f>LEFT(VLOOKUP(A114, Fechas_Estado!A:AE,8,0),10)</f>
        <v>2024-02-14</v>
      </c>
      <c r="AN114" t="str">
        <f>MID(VLOOKUP(A114, Fechas_Estado!A:AE,8,0),12,8)</f>
        <v>11:38:16</v>
      </c>
      <c r="AO114" t="str">
        <f t="shared" si="33"/>
        <v>2024-02-14 11:38:16</v>
      </c>
      <c r="AP114" t="str">
        <f>LEFT(VLOOKUP(A114, Fechas_Estado!A:AE,7,0),10)</f>
        <v>2024-02-14</v>
      </c>
      <c r="AQ114" t="str">
        <f>MID(VLOOKUP(A114, Fechas_Estado!A:AE,7,0),12,8)</f>
        <v>11:38:20</v>
      </c>
      <c r="AR114" t="str">
        <f t="shared" si="34"/>
        <v>2024-02-14 11:38:20</v>
      </c>
      <c r="AS114" t="str">
        <f>LEFT(VLOOKUP(A114, Fechas_Estado!A:AE,10,0),10)</f>
        <v>2024-02-14</v>
      </c>
      <c r="AT114" t="str">
        <f>MID(VLOOKUP(A114, Fechas_Estado!A:AE,10,0),12,8)</f>
        <v>11:38:26</v>
      </c>
      <c r="AU114" t="str">
        <f t="shared" si="35"/>
        <v>2024-02-14 11:38:26</v>
      </c>
      <c r="AV114" t="str">
        <f>LEFT(VLOOKUP(A114, Fechas_Estado!A:AE,17,0),10)</f>
        <v>2024-02-20</v>
      </c>
      <c r="AW114" t="str">
        <f>MID(VLOOKUP(A114, Fechas_Estado!A:AE,17,0),12,8)</f>
        <v>09:31:36</v>
      </c>
      <c r="AX114" t="str">
        <f t="shared" si="36"/>
        <v>2024-02-20 09:31:36</v>
      </c>
      <c r="AY114">
        <f t="shared" si="37"/>
        <v>5.9120370370364981</v>
      </c>
      <c r="AZ114" t="str">
        <f>LEFT(VLOOKUP(A114, Fechas_Estado!A:AE,5,0),10)</f>
        <v>2024-03-13</v>
      </c>
      <c r="BA114" t="str">
        <f>MID(VLOOKUP(A114, Fechas_Estado!A:AE,5,0),12,8)</f>
        <v>12:25:45</v>
      </c>
      <c r="BB114" t="str">
        <f t="shared" si="38"/>
        <v>2024-03-13 12:25:45</v>
      </c>
      <c r="BC114">
        <f t="shared" si="39"/>
        <v>22.120937499996217</v>
      </c>
    </row>
    <row r="115" spans="1:55" x14ac:dyDescent="0.25">
      <c r="A115" t="str">
        <f>Fechas_Estado!A114</f>
        <v>ESPC360-5573</v>
      </c>
      <c r="B115" t="str">
        <f>LEFT(VLOOKUP(A115,Fechas_Estado!A:AE,2,0),10)</f>
        <v>2024-02-14</v>
      </c>
      <c r="C115" t="str">
        <f>MID(VLOOKUP(A115, Fechas_Estado!A:AE,2,0),12,8)</f>
        <v>08:51:35</v>
      </c>
      <c r="D115" t="str">
        <f t="shared" si="20"/>
        <v>2024-02-14 08:51:35</v>
      </c>
      <c r="E115" t="str">
        <f>LEFT(VLOOKUP(A115, Fechas_Estado!A:AE,19,0),10)</f>
        <v>2024-02-14</v>
      </c>
      <c r="F115" t="str">
        <f>MID(VLOOKUP(A115, Fechas_Estado!A:AE,19,0),12,8)</f>
        <v>08:55:58</v>
      </c>
      <c r="G115" t="str">
        <f t="shared" si="21"/>
        <v>2024-02-14 08:55:58</v>
      </c>
      <c r="H115" t="str">
        <f>LEFT(VLOOKUP(A115, Fechas_Estado!A:AE,20,0),10)</f>
        <v>2024-02-14</v>
      </c>
      <c r="I115" t="str">
        <f>MID(VLOOKUP(A115, Fechas_Estado!A:AE,20,0),12,8)</f>
        <v>08:56:00</v>
      </c>
      <c r="J115" t="str">
        <f t="shared" si="22"/>
        <v>2024-02-14 08:56:00</v>
      </c>
      <c r="K115" t="str">
        <f>LEFT(VLOOKUP(A115, Fechas_Estado!A:AE,21,0),10)</f>
        <v>2024-02-14</v>
      </c>
      <c r="L115" t="str">
        <f>MID(VLOOKUP(A115, Fechas_Estado!A:AE,21,0),12,8)</f>
        <v>08:56:02</v>
      </c>
      <c r="M115" t="str">
        <f t="shared" si="23"/>
        <v>2024-02-14 08:56:02</v>
      </c>
      <c r="N115" t="str">
        <f>LEFT(VLOOKUP(A115, Fechas_Estado!A:AE,22,0),10)</f>
        <v>2024-02-14</v>
      </c>
      <c r="O115" t="str">
        <f>MID(VLOOKUP(A115, Fechas_Estado!A:AE,22,0),12,8)</f>
        <v>09:14:21</v>
      </c>
      <c r="P115" t="str">
        <f t="shared" si="24"/>
        <v>2024-02-14 09:14:21</v>
      </c>
      <c r="Q115" t="str">
        <f>LEFT(VLOOKUP(A115, Fechas_Estado!A:AE,23,0),10)</f>
        <v>2024-02-15</v>
      </c>
      <c r="R115" t="str">
        <f>MID(VLOOKUP(A115, Fechas_Estado!A:AE,23,0),12,8)</f>
        <v>11:18:05</v>
      </c>
      <c r="S115" t="str">
        <f t="shared" si="25"/>
        <v>2024-02-15 11:18:05</v>
      </c>
      <c r="T115" t="str">
        <f>LEFT(VLOOKUP(A115, Fechas_Estado!A:AE,24,0),10)</f>
        <v>2024-02-15</v>
      </c>
      <c r="U115" t="str">
        <f>MID(VLOOKUP(A115, Fechas_Estado!A:AE,24,0),12,8)</f>
        <v>11:18:11</v>
      </c>
      <c r="V115" t="str">
        <f t="shared" si="26"/>
        <v>2024-02-15 11:18:11</v>
      </c>
      <c r="W115" t="str">
        <f>LEFT(VLOOKUP(A115, Fechas_Estado!A:AE,25,0),10)</f>
        <v>2024-02-15</v>
      </c>
      <c r="X115" t="str">
        <f>MID(VLOOKUP(A115, Fechas_Estado!A:AE,25,0),12,8)</f>
        <v>11:18:23</v>
      </c>
      <c r="Y115" t="str">
        <f t="shared" si="27"/>
        <v>2024-02-15 11:18:23</v>
      </c>
      <c r="Z115" t="str">
        <f>LEFT(VLOOKUP(A115, Fechas_Estado!A:AE,26,0),10)</f>
        <v>2024-02-27</v>
      </c>
      <c r="AA115" t="str">
        <f>MID(VLOOKUP(A115, Fechas_Estado!A:AE,26,0),12,8)</f>
        <v>09:23:01</v>
      </c>
      <c r="AB115" t="str">
        <f t="shared" si="28"/>
        <v>2024-02-27 09:23:01</v>
      </c>
      <c r="AC115" t="str">
        <f>LEFT(VLOOKUP(A115, Fechas_Estado!A:AE,27,0),10)</f>
        <v>2024-02-29</v>
      </c>
      <c r="AD115" t="str">
        <f>MID(VLOOKUP(A115, Fechas_Estado!A:AE,27,0),12,8)</f>
        <v>16:25:38</v>
      </c>
      <c r="AE115" t="str">
        <f t="shared" si="29"/>
        <v>2024-02-29 16:25:38</v>
      </c>
      <c r="AF115" t="str">
        <f>LEFT(VLOOKUP(A115, Fechas_Estado!A:AF,28,0),10)</f>
        <v/>
      </c>
      <c r="AG115" t="str">
        <f>MID(VLOOKUP(A115, Fechas_Estado!A:AF,28,0),12,8)</f>
        <v/>
      </c>
      <c r="AH115" t="str">
        <f t="shared" si="30"/>
        <v xml:space="preserve"> </v>
      </c>
      <c r="AI115" t="str">
        <f>LEFT(VLOOKUP(A115, Fechas_Estado!A:AF,16,0),10)</f>
        <v>2024-03-04</v>
      </c>
      <c r="AJ115" t="str">
        <f>MID(VLOOKUP(A115, Fechas_Estado!A:AF,16,0),12,8)</f>
        <v>12:53:58</v>
      </c>
      <c r="AK115" t="str">
        <f t="shared" si="31"/>
        <v>2024-03-04 12:53:58</v>
      </c>
      <c r="AL115">
        <f t="shared" si="32"/>
        <v>19.168321759258106</v>
      </c>
      <c r="AM115" t="str">
        <f>LEFT(VLOOKUP(A115, Fechas_Estado!A:AE,8,0),10)</f>
        <v>2024-03-07</v>
      </c>
      <c r="AN115" t="str">
        <f>MID(VLOOKUP(A115, Fechas_Estado!A:AE,8,0),12,8)</f>
        <v>13:20:57</v>
      </c>
      <c r="AO115" t="str">
        <f t="shared" si="33"/>
        <v>2024-03-07 13:20:57</v>
      </c>
      <c r="AP115" t="str">
        <f>LEFT(VLOOKUP(A115, Fechas_Estado!A:AE,7,0),10)</f>
        <v>2024-03-07</v>
      </c>
      <c r="AQ115" t="str">
        <f>MID(VLOOKUP(A115, Fechas_Estado!A:AE,7,0),12,8)</f>
        <v>13:42:24</v>
      </c>
      <c r="AR115" t="str">
        <f t="shared" si="34"/>
        <v>2024-03-07 13:42:24</v>
      </c>
      <c r="AS115" t="str">
        <f>LEFT(VLOOKUP(A115, Fechas_Estado!A:AE,10,0),10)</f>
        <v>2024-03-07</v>
      </c>
      <c r="AT115" t="str">
        <f>MID(VLOOKUP(A115, Fechas_Estado!A:AE,10,0),12,8)</f>
        <v>13:42:30</v>
      </c>
      <c r="AU115" t="str">
        <f t="shared" si="35"/>
        <v>2024-03-07 13:42:30</v>
      </c>
      <c r="AV115" t="str">
        <f>LEFT(VLOOKUP(A115, Fechas_Estado!A:AE,17,0),10)</f>
        <v>2024-03-08</v>
      </c>
      <c r="AW115" t="str">
        <f>MID(VLOOKUP(A115, Fechas_Estado!A:AE,17,0),12,8)</f>
        <v>11:18:58</v>
      </c>
      <c r="AX115" t="str">
        <f t="shared" si="36"/>
        <v>2024-03-08 11:18:58</v>
      </c>
      <c r="AY115">
        <f t="shared" si="37"/>
        <v>0.91528935184760485</v>
      </c>
      <c r="AZ115" t="str">
        <f>LEFT(VLOOKUP(A115, Fechas_Estado!A:AE,5,0),10)</f>
        <v>2024-04-09</v>
      </c>
      <c r="BA115" t="str">
        <f>MID(VLOOKUP(A115, Fechas_Estado!A:AE,5,0),12,8)</f>
        <v>15:27:47</v>
      </c>
      <c r="BB115" t="str">
        <f t="shared" si="38"/>
        <v>2024-04-09 15:27:47</v>
      </c>
      <c r="BC115">
        <f t="shared" si="39"/>
        <v>32.17278935185459</v>
      </c>
    </row>
    <row r="116" spans="1:55" x14ac:dyDescent="0.25">
      <c r="A116" t="str">
        <f>Fechas_Estado!A115</f>
        <v>ESPC360-5585</v>
      </c>
      <c r="B116" t="str">
        <f>LEFT(VLOOKUP(A116,Fechas_Estado!A:AE,2,0),10)</f>
        <v>2024-02-14</v>
      </c>
      <c r="C116" t="str">
        <f>MID(VLOOKUP(A116, Fechas_Estado!A:AE,2,0),12,8)</f>
        <v>16:45:18</v>
      </c>
      <c r="D116" t="str">
        <f t="shared" si="20"/>
        <v>2024-02-14 16:45:18</v>
      </c>
      <c r="E116" t="str">
        <f>LEFT(VLOOKUP(A116, Fechas_Estado!A:AE,19,0),10)</f>
        <v/>
      </c>
      <c r="F116" t="str">
        <f>MID(VLOOKUP(A116, Fechas_Estado!A:AE,19,0),12,8)</f>
        <v/>
      </c>
      <c r="G116" t="str">
        <f t="shared" si="21"/>
        <v xml:space="preserve"> </v>
      </c>
      <c r="H116" t="str">
        <f>LEFT(VLOOKUP(A116, Fechas_Estado!A:AE,20,0),10)</f>
        <v/>
      </c>
      <c r="I116" t="str">
        <f>MID(VLOOKUP(A116, Fechas_Estado!A:AE,20,0),12,8)</f>
        <v/>
      </c>
      <c r="J116" t="str">
        <f t="shared" si="22"/>
        <v xml:space="preserve"> </v>
      </c>
      <c r="K116" t="str">
        <f>LEFT(VLOOKUP(A116, Fechas_Estado!A:AE,21,0),10)</f>
        <v/>
      </c>
      <c r="L116" t="str">
        <f>MID(VLOOKUP(A116, Fechas_Estado!A:AE,21,0),12,8)</f>
        <v/>
      </c>
      <c r="M116" t="str">
        <f t="shared" si="23"/>
        <v xml:space="preserve"> </v>
      </c>
      <c r="N116" t="str">
        <f>LEFT(VLOOKUP(A116, Fechas_Estado!A:AE,22,0),10)</f>
        <v/>
      </c>
      <c r="O116" t="str">
        <f>MID(VLOOKUP(A116, Fechas_Estado!A:AE,22,0),12,8)</f>
        <v/>
      </c>
      <c r="P116" t="str">
        <f t="shared" si="24"/>
        <v xml:space="preserve"> </v>
      </c>
      <c r="Q116" t="str">
        <f>LEFT(VLOOKUP(A116, Fechas_Estado!A:AE,23,0),10)</f>
        <v/>
      </c>
      <c r="R116" t="str">
        <f>MID(VLOOKUP(A116, Fechas_Estado!A:AE,23,0),12,8)</f>
        <v/>
      </c>
      <c r="S116" t="str">
        <f t="shared" si="25"/>
        <v xml:space="preserve"> </v>
      </c>
      <c r="T116" t="str">
        <f>LEFT(VLOOKUP(A116, Fechas_Estado!A:AE,24,0),10)</f>
        <v/>
      </c>
      <c r="U116" t="str">
        <f>MID(VLOOKUP(A116, Fechas_Estado!A:AE,24,0),12,8)</f>
        <v/>
      </c>
      <c r="V116" t="str">
        <f t="shared" si="26"/>
        <v xml:space="preserve"> </v>
      </c>
      <c r="W116" t="str">
        <f>LEFT(VLOOKUP(A116, Fechas_Estado!A:AE,25,0),10)</f>
        <v>2024-02-14</v>
      </c>
      <c r="X116" t="str">
        <f>MID(VLOOKUP(A116, Fechas_Estado!A:AE,25,0),12,8)</f>
        <v>16:45:55</v>
      </c>
      <c r="Y116" t="str">
        <f t="shared" si="27"/>
        <v>2024-02-14 16:45:55</v>
      </c>
      <c r="Z116" t="str">
        <f>LEFT(VLOOKUP(A116, Fechas_Estado!A:AE,26,0),10)</f>
        <v>2024-02-20</v>
      </c>
      <c r="AA116" t="str">
        <f>MID(VLOOKUP(A116, Fechas_Estado!A:AE,26,0),12,8)</f>
        <v>09:30:58</v>
      </c>
      <c r="AB116" t="str">
        <f t="shared" si="28"/>
        <v>2024-02-20 09:30:58</v>
      </c>
      <c r="AC116" t="str">
        <f>LEFT(VLOOKUP(A116, Fechas_Estado!A:AE,27,0),10)</f>
        <v>2024-02-21</v>
      </c>
      <c r="AD116" t="str">
        <f>MID(VLOOKUP(A116, Fechas_Estado!A:AE,27,0),12,8)</f>
        <v>09:32:26</v>
      </c>
      <c r="AE116" t="str">
        <f t="shared" si="29"/>
        <v>2024-02-21 09:32:26</v>
      </c>
      <c r="AF116" t="str">
        <f>LEFT(VLOOKUP(A116, Fechas_Estado!A:AF,28,0),10)</f>
        <v/>
      </c>
      <c r="AG116" t="str">
        <f>MID(VLOOKUP(A116, Fechas_Estado!A:AF,28,0),12,8)</f>
        <v/>
      </c>
      <c r="AH116" t="str">
        <f t="shared" si="30"/>
        <v xml:space="preserve"> </v>
      </c>
      <c r="AI116" t="str">
        <f>LEFT(VLOOKUP(A116, Fechas_Estado!A:AF,16,0),10)</f>
        <v>2024-02-21</v>
      </c>
      <c r="AJ116" t="str">
        <f>MID(VLOOKUP(A116, Fechas_Estado!A:AF,16,0),12,8)</f>
        <v>18:41:52</v>
      </c>
      <c r="AK116" t="str">
        <f t="shared" si="31"/>
        <v>2024-02-21 18:41:52</v>
      </c>
      <c r="AL116">
        <f t="shared" si="32"/>
        <v>7.080949074072123</v>
      </c>
      <c r="AM116" t="str">
        <f>LEFT(VLOOKUP(A116, Fechas_Estado!A:AE,8,0),10)</f>
        <v>2024-02-21</v>
      </c>
      <c r="AN116" t="str">
        <f>MID(VLOOKUP(A116, Fechas_Estado!A:AE,8,0),12,8)</f>
        <v>18:41:57</v>
      </c>
      <c r="AO116" t="str">
        <f t="shared" si="33"/>
        <v>2024-02-21 18:41:57</v>
      </c>
      <c r="AP116" t="str">
        <f>LEFT(VLOOKUP(A116, Fechas_Estado!A:AE,7,0),10)</f>
        <v/>
      </c>
      <c r="AQ116" t="str">
        <f>MID(VLOOKUP(A116, Fechas_Estado!A:AE,7,0),12,8)</f>
        <v/>
      </c>
      <c r="AR116" t="str">
        <f t="shared" si="34"/>
        <v xml:space="preserve"> </v>
      </c>
      <c r="AS116" t="str">
        <f>LEFT(VLOOKUP(A116, Fechas_Estado!A:AE,10,0),10)</f>
        <v/>
      </c>
      <c r="AT116" t="str">
        <f>MID(VLOOKUP(A116, Fechas_Estado!A:AE,10,0),12,8)</f>
        <v/>
      </c>
      <c r="AU116" t="str">
        <f t="shared" si="35"/>
        <v xml:space="preserve"> </v>
      </c>
      <c r="AV116" t="str">
        <f>LEFT(VLOOKUP(A116, Fechas_Estado!A:AE,17,0),10)</f>
        <v/>
      </c>
      <c r="AW116" t="str">
        <f>MID(VLOOKUP(A116, Fechas_Estado!A:AE,17,0),12,8)</f>
        <v/>
      </c>
      <c r="AX116" t="str">
        <f t="shared" si="36"/>
        <v xml:space="preserve"> </v>
      </c>
      <c r="AY116" t="e">
        <f t="shared" si="37"/>
        <v>#VALUE!</v>
      </c>
      <c r="AZ116" t="str">
        <f>LEFT(VLOOKUP(A116, Fechas_Estado!A:AE,5,0),10)</f>
        <v>2024-02-22</v>
      </c>
      <c r="BA116" t="str">
        <f>MID(VLOOKUP(A116, Fechas_Estado!A:AE,5,0),12,8)</f>
        <v>11:39:49</v>
      </c>
      <c r="BB116" t="str">
        <f t="shared" si="38"/>
        <v>2024-02-22 11:39:49</v>
      </c>
      <c r="BC116" t="e">
        <f t="shared" si="39"/>
        <v>#VALUE!</v>
      </c>
    </row>
    <row r="117" spans="1:55" x14ac:dyDescent="0.25">
      <c r="A117" t="str">
        <f>Fechas_Estado!A116</f>
        <v>ESPC360-5633</v>
      </c>
      <c r="B117" t="str">
        <f>LEFT(VLOOKUP(A117,Fechas_Estado!A:AE,2,0),10)</f>
        <v>2024-02-15</v>
      </c>
      <c r="C117" t="str">
        <f>MID(VLOOKUP(A117, Fechas_Estado!A:AE,2,0),12,8)</f>
        <v>18:14:52</v>
      </c>
      <c r="D117" t="str">
        <f t="shared" si="20"/>
        <v>2024-02-15 18:14:52</v>
      </c>
      <c r="E117" t="str">
        <f>LEFT(VLOOKUP(A117, Fechas_Estado!A:AE,19,0),10)</f>
        <v/>
      </c>
      <c r="F117" t="str">
        <f>MID(VLOOKUP(A117, Fechas_Estado!A:AE,19,0),12,8)</f>
        <v/>
      </c>
      <c r="G117" t="str">
        <f t="shared" si="21"/>
        <v xml:space="preserve"> </v>
      </c>
      <c r="H117" t="str">
        <f>LEFT(VLOOKUP(A117, Fechas_Estado!A:AE,20,0),10)</f>
        <v/>
      </c>
      <c r="I117" t="str">
        <f>MID(VLOOKUP(A117, Fechas_Estado!A:AE,20,0),12,8)</f>
        <v/>
      </c>
      <c r="J117" t="str">
        <f t="shared" si="22"/>
        <v xml:space="preserve"> </v>
      </c>
      <c r="K117" t="str">
        <f>LEFT(VLOOKUP(A117, Fechas_Estado!A:AE,21,0),10)</f>
        <v/>
      </c>
      <c r="L117" t="str">
        <f>MID(VLOOKUP(A117, Fechas_Estado!A:AE,21,0),12,8)</f>
        <v/>
      </c>
      <c r="M117" t="str">
        <f t="shared" si="23"/>
        <v xml:space="preserve"> </v>
      </c>
      <c r="N117" t="str">
        <f>LEFT(VLOOKUP(A117, Fechas_Estado!A:AE,22,0),10)</f>
        <v/>
      </c>
      <c r="O117" t="str">
        <f>MID(VLOOKUP(A117, Fechas_Estado!A:AE,22,0),12,8)</f>
        <v/>
      </c>
      <c r="P117" t="str">
        <f t="shared" si="24"/>
        <v xml:space="preserve"> </v>
      </c>
      <c r="Q117" t="str">
        <f>LEFT(VLOOKUP(A117, Fechas_Estado!A:AE,23,0),10)</f>
        <v/>
      </c>
      <c r="R117" t="str">
        <f>MID(VLOOKUP(A117, Fechas_Estado!A:AE,23,0),12,8)</f>
        <v/>
      </c>
      <c r="S117" t="str">
        <f t="shared" si="25"/>
        <v xml:space="preserve"> </v>
      </c>
      <c r="T117" t="str">
        <f>LEFT(VLOOKUP(A117, Fechas_Estado!A:AE,24,0),10)</f>
        <v/>
      </c>
      <c r="U117" t="str">
        <f>MID(VLOOKUP(A117, Fechas_Estado!A:AE,24,0),12,8)</f>
        <v/>
      </c>
      <c r="V117" t="str">
        <f t="shared" si="26"/>
        <v xml:space="preserve"> </v>
      </c>
      <c r="W117" t="str">
        <f>LEFT(VLOOKUP(A117, Fechas_Estado!A:AE,25,0),10)</f>
        <v>2024-02-15</v>
      </c>
      <c r="X117" t="str">
        <f>MID(VLOOKUP(A117, Fechas_Estado!A:AE,25,0),12,8)</f>
        <v>18:15:34</v>
      </c>
      <c r="Y117" t="str">
        <f t="shared" si="27"/>
        <v>2024-02-15 18:15:34</v>
      </c>
      <c r="Z117" t="str">
        <f>LEFT(VLOOKUP(A117, Fechas_Estado!A:AE,26,0),10)</f>
        <v>2024-02-26</v>
      </c>
      <c r="AA117" t="str">
        <f>MID(VLOOKUP(A117, Fechas_Estado!A:AE,26,0),12,8)</f>
        <v>09:29:42</v>
      </c>
      <c r="AB117" t="str">
        <f t="shared" si="28"/>
        <v>2024-02-26 09:29:42</v>
      </c>
      <c r="AC117" t="str">
        <f>LEFT(VLOOKUP(A117, Fechas_Estado!A:AE,27,0),10)</f>
        <v/>
      </c>
      <c r="AD117" t="str">
        <f>MID(VLOOKUP(A117, Fechas_Estado!A:AE,27,0),12,8)</f>
        <v/>
      </c>
      <c r="AE117" t="str">
        <f t="shared" si="29"/>
        <v xml:space="preserve"> </v>
      </c>
      <c r="AF117" t="str">
        <f>LEFT(VLOOKUP(A117, Fechas_Estado!A:AF,28,0),10)</f>
        <v/>
      </c>
      <c r="AG117" t="str">
        <f>MID(VLOOKUP(A117, Fechas_Estado!A:AF,28,0),12,8)</f>
        <v/>
      </c>
      <c r="AH117" t="str">
        <f t="shared" si="30"/>
        <v xml:space="preserve"> </v>
      </c>
      <c r="AI117" t="str">
        <f>LEFT(VLOOKUP(A117, Fechas_Estado!A:AF,16,0),10)</f>
        <v>2024-02-27</v>
      </c>
      <c r="AJ117" t="str">
        <f>MID(VLOOKUP(A117, Fechas_Estado!A:AF,16,0),12,8)</f>
        <v>10:06:15</v>
      </c>
      <c r="AK117" t="str">
        <f t="shared" si="31"/>
        <v>2024-02-27 10:06:15</v>
      </c>
      <c r="AL117">
        <f t="shared" si="32"/>
        <v>11.660682870373421</v>
      </c>
      <c r="AM117" t="str">
        <f>LEFT(VLOOKUP(A117, Fechas_Estado!A:AE,8,0),10)</f>
        <v>2024-02-27</v>
      </c>
      <c r="AN117" t="str">
        <f>MID(VLOOKUP(A117, Fechas_Estado!A:AE,8,0),12,8)</f>
        <v>10:06:21</v>
      </c>
      <c r="AO117" t="str">
        <f t="shared" si="33"/>
        <v>2024-02-27 10:06:21</v>
      </c>
      <c r="AP117" t="str">
        <f>LEFT(VLOOKUP(A117, Fechas_Estado!A:AE,7,0),10)</f>
        <v/>
      </c>
      <c r="AQ117" t="str">
        <f>MID(VLOOKUP(A117, Fechas_Estado!A:AE,7,0),12,8)</f>
        <v/>
      </c>
      <c r="AR117" t="str">
        <f t="shared" si="34"/>
        <v xml:space="preserve"> </v>
      </c>
      <c r="AS117" t="str">
        <f>LEFT(VLOOKUP(A117, Fechas_Estado!A:AE,10,0),10)</f>
        <v/>
      </c>
      <c r="AT117" t="str">
        <f>MID(VLOOKUP(A117, Fechas_Estado!A:AE,10,0),12,8)</f>
        <v/>
      </c>
      <c r="AU117" t="str">
        <f t="shared" si="35"/>
        <v xml:space="preserve"> </v>
      </c>
      <c r="AV117" t="str">
        <f>LEFT(VLOOKUP(A117, Fechas_Estado!A:AE,17,0),10)</f>
        <v/>
      </c>
      <c r="AW117" t="str">
        <f>MID(VLOOKUP(A117, Fechas_Estado!A:AE,17,0),12,8)</f>
        <v/>
      </c>
      <c r="AX117" t="str">
        <f t="shared" si="36"/>
        <v xml:space="preserve"> </v>
      </c>
      <c r="AY117" t="e">
        <f t="shared" si="37"/>
        <v>#VALUE!</v>
      </c>
      <c r="AZ117" t="str">
        <f>LEFT(VLOOKUP(A117, Fechas_Estado!A:AE,5,0),10)</f>
        <v/>
      </c>
      <c r="BA117" t="str">
        <f>MID(VLOOKUP(A117, Fechas_Estado!A:AE,5,0),12,8)</f>
        <v/>
      </c>
      <c r="BB117" t="str">
        <f t="shared" si="38"/>
        <v xml:space="preserve"> </v>
      </c>
      <c r="BC117" t="e">
        <f t="shared" si="39"/>
        <v>#VALUE!</v>
      </c>
    </row>
    <row r="118" spans="1:55" x14ac:dyDescent="0.25">
      <c r="A118" t="str">
        <f>Fechas_Estado!A117</f>
        <v>ESPC360-5634</v>
      </c>
      <c r="B118" t="str">
        <f>LEFT(VLOOKUP(A118,Fechas_Estado!A:AE,2,0),10)</f>
        <v>2024-02-15</v>
      </c>
      <c r="C118" t="str">
        <f>MID(VLOOKUP(A118, Fechas_Estado!A:AE,2,0),12,8)</f>
        <v>18:18:59</v>
      </c>
      <c r="D118" t="str">
        <f t="shared" si="20"/>
        <v>2024-02-15 18:18:59</v>
      </c>
      <c r="E118" t="str">
        <f>LEFT(VLOOKUP(A118, Fechas_Estado!A:AE,19,0),10)</f>
        <v/>
      </c>
      <c r="F118" t="str">
        <f>MID(VLOOKUP(A118, Fechas_Estado!A:AE,19,0),12,8)</f>
        <v/>
      </c>
      <c r="G118" t="str">
        <f t="shared" si="21"/>
        <v xml:space="preserve"> </v>
      </c>
      <c r="H118" t="str">
        <f>LEFT(VLOOKUP(A118, Fechas_Estado!A:AE,20,0),10)</f>
        <v/>
      </c>
      <c r="I118" t="str">
        <f>MID(VLOOKUP(A118, Fechas_Estado!A:AE,20,0),12,8)</f>
        <v/>
      </c>
      <c r="J118" t="str">
        <f t="shared" si="22"/>
        <v xml:space="preserve"> </v>
      </c>
      <c r="K118" t="str">
        <f>LEFT(VLOOKUP(A118, Fechas_Estado!A:AE,21,0),10)</f>
        <v/>
      </c>
      <c r="L118" t="str">
        <f>MID(VLOOKUP(A118, Fechas_Estado!A:AE,21,0),12,8)</f>
        <v/>
      </c>
      <c r="M118" t="str">
        <f t="shared" si="23"/>
        <v xml:space="preserve"> </v>
      </c>
      <c r="N118" t="str">
        <f>LEFT(VLOOKUP(A118, Fechas_Estado!A:AE,22,0),10)</f>
        <v/>
      </c>
      <c r="O118" t="str">
        <f>MID(VLOOKUP(A118, Fechas_Estado!A:AE,22,0),12,8)</f>
        <v/>
      </c>
      <c r="P118" t="str">
        <f t="shared" si="24"/>
        <v xml:space="preserve"> </v>
      </c>
      <c r="Q118" t="str">
        <f>LEFT(VLOOKUP(A118, Fechas_Estado!A:AE,23,0),10)</f>
        <v/>
      </c>
      <c r="R118" t="str">
        <f>MID(VLOOKUP(A118, Fechas_Estado!A:AE,23,0),12,8)</f>
        <v/>
      </c>
      <c r="S118" t="str">
        <f t="shared" si="25"/>
        <v xml:space="preserve"> </v>
      </c>
      <c r="T118" t="str">
        <f>LEFT(VLOOKUP(A118, Fechas_Estado!A:AE,24,0),10)</f>
        <v/>
      </c>
      <c r="U118" t="str">
        <f>MID(VLOOKUP(A118, Fechas_Estado!A:AE,24,0),12,8)</f>
        <v/>
      </c>
      <c r="V118" t="str">
        <f t="shared" si="26"/>
        <v xml:space="preserve"> </v>
      </c>
      <c r="W118" t="str">
        <f>LEFT(VLOOKUP(A118, Fechas_Estado!A:AE,25,0),10)</f>
        <v>2024-02-15</v>
      </c>
      <c r="X118" t="str">
        <f>MID(VLOOKUP(A118, Fechas_Estado!A:AE,25,0),12,8)</f>
        <v>18:19:42</v>
      </c>
      <c r="Y118" t="str">
        <f t="shared" si="27"/>
        <v>2024-02-15 18:19:42</v>
      </c>
      <c r="Z118" t="str">
        <f>LEFT(VLOOKUP(A118, Fechas_Estado!A:AE,26,0),10)</f>
        <v/>
      </c>
      <c r="AA118" t="str">
        <f>MID(VLOOKUP(A118, Fechas_Estado!A:AE,26,0),12,8)</f>
        <v/>
      </c>
      <c r="AB118" t="str">
        <f t="shared" si="28"/>
        <v xml:space="preserve"> </v>
      </c>
      <c r="AC118" t="str">
        <f>LEFT(VLOOKUP(A118, Fechas_Estado!A:AE,27,0),10)</f>
        <v/>
      </c>
      <c r="AD118" t="str">
        <f>MID(VLOOKUP(A118, Fechas_Estado!A:AE,27,0),12,8)</f>
        <v/>
      </c>
      <c r="AE118" t="str">
        <f t="shared" si="29"/>
        <v xml:space="preserve"> </v>
      </c>
      <c r="AF118" t="str">
        <f>LEFT(VLOOKUP(A118, Fechas_Estado!A:AF,28,0),10)</f>
        <v/>
      </c>
      <c r="AG118" t="str">
        <f>MID(VLOOKUP(A118, Fechas_Estado!A:AF,28,0),12,8)</f>
        <v/>
      </c>
      <c r="AH118" t="str">
        <f t="shared" si="30"/>
        <v xml:space="preserve"> </v>
      </c>
      <c r="AI118" t="str">
        <f>LEFT(VLOOKUP(A118, Fechas_Estado!A:AF,16,0),10)</f>
        <v/>
      </c>
      <c r="AJ118" t="str">
        <f>MID(VLOOKUP(A118, Fechas_Estado!A:AF,16,0),12,8)</f>
        <v/>
      </c>
      <c r="AK118" t="str">
        <f t="shared" si="31"/>
        <v xml:space="preserve"> </v>
      </c>
      <c r="AL118" t="e">
        <f t="shared" si="32"/>
        <v>#VALUE!</v>
      </c>
      <c r="AM118" t="str">
        <f>LEFT(VLOOKUP(A118, Fechas_Estado!A:AE,8,0),10)</f>
        <v/>
      </c>
      <c r="AN118" t="str">
        <f>MID(VLOOKUP(A118, Fechas_Estado!A:AE,8,0),12,8)</f>
        <v/>
      </c>
      <c r="AO118" t="str">
        <f t="shared" si="33"/>
        <v xml:space="preserve"> </v>
      </c>
      <c r="AP118" t="str">
        <f>LEFT(VLOOKUP(A118, Fechas_Estado!A:AE,7,0),10)</f>
        <v/>
      </c>
      <c r="AQ118" t="str">
        <f>MID(VLOOKUP(A118, Fechas_Estado!A:AE,7,0),12,8)</f>
        <v/>
      </c>
      <c r="AR118" t="str">
        <f t="shared" si="34"/>
        <v xml:space="preserve"> </v>
      </c>
      <c r="AS118" t="str">
        <f>LEFT(VLOOKUP(A118, Fechas_Estado!A:AE,10,0),10)</f>
        <v/>
      </c>
      <c r="AT118" t="str">
        <f>MID(VLOOKUP(A118, Fechas_Estado!A:AE,10,0),12,8)</f>
        <v/>
      </c>
      <c r="AU118" t="str">
        <f t="shared" si="35"/>
        <v xml:space="preserve"> </v>
      </c>
      <c r="AV118" t="str">
        <f>LEFT(VLOOKUP(A118, Fechas_Estado!A:AE,17,0),10)</f>
        <v/>
      </c>
      <c r="AW118" t="str">
        <f>MID(VLOOKUP(A118, Fechas_Estado!A:AE,17,0),12,8)</f>
        <v/>
      </c>
      <c r="AX118" t="str">
        <f t="shared" si="36"/>
        <v xml:space="preserve"> </v>
      </c>
      <c r="AY118" t="e">
        <f t="shared" si="37"/>
        <v>#VALUE!</v>
      </c>
      <c r="AZ118" t="str">
        <f>LEFT(VLOOKUP(A118, Fechas_Estado!A:AE,5,0),10)</f>
        <v>2024-02-28</v>
      </c>
      <c r="BA118" t="str">
        <f>MID(VLOOKUP(A118, Fechas_Estado!A:AE,5,0),12,8)</f>
        <v>17:03:34</v>
      </c>
      <c r="BB118" t="str">
        <f t="shared" si="38"/>
        <v>2024-02-28 17:03:34</v>
      </c>
      <c r="BC118" t="e">
        <f t="shared" si="39"/>
        <v>#VALUE!</v>
      </c>
    </row>
    <row r="119" spans="1:55" x14ac:dyDescent="0.25">
      <c r="A119" t="str">
        <f>Fechas_Estado!A118</f>
        <v>ESPC360-5745</v>
      </c>
      <c r="B119" t="str">
        <f>LEFT(VLOOKUP(A119,Fechas_Estado!A:AE,2,0),10)</f>
        <v>2024-02-20</v>
      </c>
      <c r="C119" t="str">
        <f>MID(VLOOKUP(A119, Fechas_Estado!A:AE,2,0),12,8)</f>
        <v>15:37:58</v>
      </c>
      <c r="D119" t="str">
        <f t="shared" si="20"/>
        <v>2024-02-20 15:37:58</v>
      </c>
      <c r="E119" t="str">
        <f>LEFT(VLOOKUP(A119, Fechas_Estado!A:AE,19,0),10)</f>
        <v/>
      </c>
      <c r="F119" t="str">
        <f>MID(VLOOKUP(A119, Fechas_Estado!A:AE,19,0),12,8)</f>
        <v/>
      </c>
      <c r="G119" t="str">
        <f t="shared" si="21"/>
        <v xml:space="preserve"> </v>
      </c>
      <c r="H119" t="str">
        <f>LEFT(VLOOKUP(A119, Fechas_Estado!A:AE,20,0),10)</f>
        <v/>
      </c>
      <c r="I119" t="str">
        <f>MID(VLOOKUP(A119, Fechas_Estado!A:AE,20,0),12,8)</f>
        <v/>
      </c>
      <c r="J119" t="str">
        <f t="shared" si="22"/>
        <v xml:space="preserve"> </v>
      </c>
      <c r="K119" t="str">
        <f>LEFT(VLOOKUP(A119, Fechas_Estado!A:AE,21,0),10)</f>
        <v/>
      </c>
      <c r="L119" t="str">
        <f>MID(VLOOKUP(A119, Fechas_Estado!A:AE,21,0),12,8)</f>
        <v/>
      </c>
      <c r="M119" t="str">
        <f t="shared" si="23"/>
        <v xml:space="preserve"> </v>
      </c>
      <c r="N119" t="str">
        <f>LEFT(VLOOKUP(A119, Fechas_Estado!A:AE,22,0),10)</f>
        <v/>
      </c>
      <c r="O119" t="str">
        <f>MID(VLOOKUP(A119, Fechas_Estado!A:AE,22,0),12,8)</f>
        <v/>
      </c>
      <c r="P119" t="str">
        <f t="shared" si="24"/>
        <v xml:space="preserve"> </v>
      </c>
      <c r="Q119" t="str">
        <f>LEFT(VLOOKUP(A119, Fechas_Estado!A:AE,23,0),10)</f>
        <v/>
      </c>
      <c r="R119" t="str">
        <f>MID(VLOOKUP(A119, Fechas_Estado!A:AE,23,0),12,8)</f>
        <v/>
      </c>
      <c r="S119" t="str">
        <f t="shared" si="25"/>
        <v xml:space="preserve"> </v>
      </c>
      <c r="T119" t="str">
        <f>LEFT(VLOOKUP(A119, Fechas_Estado!A:AE,24,0),10)</f>
        <v/>
      </c>
      <c r="U119" t="str">
        <f>MID(VLOOKUP(A119, Fechas_Estado!A:AE,24,0),12,8)</f>
        <v/>
      </c>
      <c r="V119" t="str">
        <f t="shared" si="26"/>
        <v xml:space="preserve"> </v>
      </c>
      <c r="W119" t="str">
        <f>LEFT(VLOOKUP(A119, Fechas_Estado!A:AE,25,0),10)</f>
        <v>2024-02-20</v>
      </c>
      <c r="X119" t="str">
        <f>MID(VLOOKUP(A119, Fechas_Estado!A:AE,25,0),12,8)</f>
        <v>17:32:05</v>
      </c>
      <c r="Y119" t="str">
        <f t="shared" si="27"/>
        <v>2024-02-20 17:32:05</v>
      </c>
      <c r="Z119" t="str">
        <f>LEFT(VLOOKUP(A119, Fechas_Estado!A:AE,26,0),10)</f>
        <v/>
      </c>
      <c r="AA119" t="str">
        <f>MID(VLOOKUP(A119, Fechas_Estado!A:AE,26,0),12,8)</f>
        <v/>
      </c>
      <c r="AB119" t="str">
        <f t="shared" si="28"/>
        <v xml:space="preserve"> </v>
      </c>
      <c r="AC119" t="str">
        <f>LEFT(VLOOKUP(A119, Fechas_Estado!A:AE,27,0),10)</f>
        <v/>
      </c>
      <c r="AD119" t="str">
        <f>MID(VLOOKUP(A119, Fechas_Estado!A:AE,27,0),12,8)</f>
        <v/>
      </c>
      <c r="AE119" t="str">
        <f t="shared" si="29"/>
        <v xml:space="preserve"> </v>
      </c>
      <c r="AF119" t="str">
        <f>LEFT(VLOOKUP(A119, Fechas_Estado!A:AF,28,0),10)</f>
        <v/>
      </c>
      <c r="AG119" t="str">
        <f>MID(VLOOKUP(A119, Fechas_Estado!A:AF,28,0),12,8)</f>
        <v/>
      </c>
      <c r="AH119" t="str">
        <f t="shared" si="30"/>
        <v xml:space="preserve"> </v>
      </c>
      <c r="AI119" t="str">
        <f>LEFT(VLOOKUP(A119, Fechas_Estado!A:AF,16,0),10)</f>
        <v>2024-02-28</v>
      </c>
      <c r="AJ119" t="str">
        <f>MID(VLOOKUP(A119, Fechas_Estado!A:AF,16,0),12,8)</f>
        <v>17:36:17</v>
      </c>
      <c r="AK119" t="str">
        <f t="shared" si="31"/>
        <v>2024-02-28 17:36:17</v>
      </c>
      <c r="AL119">
        <f t="shared" si="32"/>
        <v>8.0821643518502242</v>
      </c>
      <c r="AM119" t="str">
        <f>LEFT(VLOOKUP(A119, Fechas_Estado!A:AE,8,0),10)</f>
        <v>2024-03-05</v>
      </c>
      <c r="AN119" t="str">
        <f>MID(VLOOKUP(A119, Fechas_Estado!A:AE,8,0),12,8)</f>
        <v>18:21:37</v>
      </c>
      <c r="AO119" t="str">
        <f t="shared" si="33"/>
        <v>2024-03-05 18:21:37</v>
      </c>
      <c r="AP119" t="str">
        <f>LEFT(VLOOKUP(A119, Fechas_Estado!A:AE,7,0),10)</f>
        <v>2024-03-11</v>
      </c>
      <c r="AQ119" t="str">
        <f>MID(VLOOKUP(A119, Fechas_Estado!A:AE,7,0),12,8)</f>
        <v>10:08:29</v>
      </c>
      <c r="AR119" t="str">
        <f t="shared" si="34"/>
        <v>2024-03-11 10:08:29</v>
      </c>
      <c r="AS119" t="str">
        <f>LEFT(VLOOKUP(A119, Fechas_Estado!A:AE,10,0),10)</f>
        <v>2024-03-11</v>
      </c>
      <c r="AT119" t="str">
        <f>MID(VLOOKUP(A119, Fechas_Estado!A:AE,10,0),12,8)</f>
        <v>10:08:35</v>
      </c>
      <c r="AU119" t="str">
        <f t="shared" si="35"/>
        <v>2024-03-11 10:08:35</v>
      </c>
      <c r="AV119" t="str">
        <f>LEFT(VLOOKUP(A119, Fechas_Estado!A:AE,17,0),10)</f>
        <v/>
      </c>
      <c r="AW119" t="str">
        <f>MID(VLOOKUP(A119, Fechas_Estado!A:AE,17,0),12,8)</f>
        <v/>
      </c>
      <c r="AX119" t="str">
        <f t="shared" si="36"/>
        <v xml:space="preserve"> </v>
      </c>
      <c r="AY119" t="e">
        <f t="shared" si="37"/>
        <v>#VALUE!</v>
      </c>
      <c r="AZ119" t="str">
        <f>LEFT(VLOOKUP(A119, Fechas_Estado!A:AE,5,0),10)</f>
        <v>2024-03-19</v>
      </c>
      <c r="BA119" t="str">
        <f>MID(VLOOKUP(A119, Fechas_Estado!A:AE,5,0),12,8)</f>
        <v>12:03:07</v>
      </c>
      <c r="BB119" t="str">
        <f t="shared" si="38"/>
        <v>2024-03-19 12:03:07</v>
      </c>
      <c r="BC119" t="e">
        <f t="shared" si="39"/>
        <v>#VALUE!</v>
      </c>
    </row>
    <row r="120" spans="1:55" x14ac:dyDescent="0.25">
      <c r="A120" t="str">
        <f>Fechas_Estado!A119</f>
        <v>ESPC360-5750</v>
      </c>
      <c r="B120" t="str">
        <f>LEFT(VLOOKUP(A120,Fechas_Estado!A:AE,2,0),10)</f>
        <v>2024-02-21</v>
      </c>
      <c r="C120" t="str">
        <f>MID(VLOOKUP(A120, Fechas_Estado!A:AE,2,0),12,8)</f>
        <v>09:27:04</v>
      </c>
      <c r="D120" t="str">
        <f t="shared" si="20"/>
        <v>2024-02-21 09:27:04</v>
      </c>
      <c r="E120" t="str">
        <f>LEFT(VLOOKUP(A120, Fechas_Estado!A:AE,19,0),10)</f>
        <v/>
      </c>
      <c r="F120" t="str">
        <f>MID(VLOOKUP(A120, Fechas_Estado!A:AE,19,0),12,8)</f>
        <v/>
      </c>
      <c r="G120" t="str">
        <f t="shared" si="21"/>
        <v xml:space="preserve"> </v>
      </c>
      <c r="H120" t="str">
        <f>LEFT(VLOOKUP(A120, Fechas_Estado!A:AE,20,0),10)</f>
        <v/>
      </c>
      <c r="I120" t="str">
        <f>MID(VLOOKUP(A120, Fechas_Estado!A:AE,20,0),12,8)</f>
        <v/>
      </c>
      <c r="J120" t="str">
        <f t="shared" si="22"/>
        <v xml:space="preserve"> </v>
      </c>
      <c r="K120" t="str">
        <f>LEFT(VLOOKUP(A120, Fechas_Estado!A:AE,21,0),10)</f>
        <v/>
      </c>
      <c r="L120" t="str">
        <f>MID(VLOOKUP(A120, Fechas_Estado!A:AE,21,0),12,8)</f>
        <v/>
      </c>
      <c r="M120" t="str">
        <f t="shared" si="23"/>
        <v xml:space="preserve"> </v>
      </c>
      <c r="N120" t="str">
        <f>LEFT(VLOOKUP(A120, Fechas_Estado!A:AE,22,0),10)</f>
        <v/>
      </c>
      <c r="O120" t="str">
        <f>MID(VLOOKUP(A120, Fechas_Estado!A:AE,22,0),12,8)</f>
        <v/>
      </c>
      <c r="P120" t="str">
        <f t="shared" si="24"/>
        <v xml:space="preserve"> </v>
      </c>
      <c r="Q120" t="str">
        <f>LEFT(VLOOKUP(A120, Fechas_Estado!A:AE,23,0),10)</f>
        <v/>
      </c>
      <c r="R120" t="str">
        <f>MID(VLOOKUP(A120, Fechas_Estado!A:AE,23,0),12,8)</f>
        <v/>
      </c>
      <c r="S120" t="str">
        <f t="shared" si="25"/>
        <v xml:space="preserve"> </v>
      </c>
      <c r="T120" t="str">
        <f>LEFT(VLOOKUP(A120, Fechas_Estado!A:AE,24,0),10)</f>
        <v/>
      </c>
      <c r="U120" t="str">
        <f>MID(VLOOKUP(A120, Fechas_Estado!A:AE,24,0),12,8)</f>
        <v/>
      </c>
      <c r="V120" t="str">
        <f t="shared" si="26"/>
        <v xml:space="preserve"> </v>
      </c>
      <c r="W120" t="str">
        <f>LEFT(VLOOKUP(A120, Fechas_Estado!A:AE,25,0),10)</f>
        <v>2024-02-21</v>
      </c>
      <c r="X120" t="str">
        <f>MID(VLOOKUP(A120, Fechas_Estado!A:AE,25,0),12,8)</f>
        <v>09:27:56</v>
      </c>
      <c r="Y120" t="str">
        <f t="shared" si="27"/>
        <v>2024-02-21 09:27:56</v>
      </c>
      <c r="Z120" t="str">
        <f>LEFT(VLOOKUP(A120, Fechas_Estado!A:AE,26,0),10)</f>
        <v>2024-02-21</v>
      </c>
      <c r="AA120" t="str">
        <f>MID(VLOOKUP(A120, Fechas_Estado!A:AE,26,0),12,8)</f>
        <v>09:35:25</v>
      </c>
      <c r="AB120" t="str">
        <f t="shared" si="28"/>
        <v>2024-02-21 09:35:25</v>
      </c>
      <c r="AC120" t="str">
        <f>LEFT(VLOOKUP(A120, Fechas_Estado!A:AE,27,0),10)</f>
        <v/>
      </c>
      <c r="AD120" t="str">
        <f>MID(VLOOKUP(A120, Fechas_Estado!A:AE,27,0),12,8)</f>
        <v/>
      </c>
      <c r="AE120" t="str">
        <f t="shared" si="29"/>
        <v xml:space="preserve"> </v>
      </c>
      <c r="AF120" t="str">
        <f>LEFT(VLOOKUP(A120, Fechas_Estado!A:AF,28,0),10)</f>
        <v/>
      </c>
      <c r="AG120" t="str">
        <f>MID(VLOOKUP(A120, Fechas_Estado!A:AF,28,0),12,8)</f>
        <v/>
      </c>
      <c r="AH120" t="str">
        <f t="shared" si="30"/>
        <v xml:space="preserve"> </v>
      </c>
      <c r="AI120" t="str">
        <f>LEFT(VLOOKUP(A120, Fechas_Estado!A:AF,16,0),10)</f>
        <v>2024-02-21</v>
      </c>
      <c r="AJ120" t="str">
        <f>MID(VLOOKUP(A120, Fechas_Estado!A:AF,16,0),12,8)</f>
        <v>09:47:00</v>
      </c>
      <c r="AK120" t="str">
        <f t="shared" si="31"/>
        <v>2024-02-21 09:47:00</v>
      </c>
      <c r="AL120">
        <f t="shared" si="32"/>
        <v>1.3842592590663116E-2</v>
      </c>
      <c r="AM120" t="str">
        <f>LEFT(VLOOKUP(A120, Fechas_Estado!A:AE,8,0),10)</f>
        <v>2024-02-21</v>
      </c>
      <c r="AN120" t="str">
        <f>MID(VLOOKUP(A120, Fechas_Estado!A:AE,8,0),12,8)</f>
        <v>09:47:05</v>
      </c>
      <c r="AO120" t="str">
        <f t="shared" si="33"/>
        <v>2024-02-21 09:47:05</v>
      </c>
      <c r="AP120" t="str">
        <f>LEFT(VLOOKUP(A120, Fechas_Estado!A:AE,7,0),10)</f>
        <v/>
      </c>
      <c r="AQ120" t="str">
        <f>MID(VLOOKUP(A120, Fechas_Estado!A:AE,7,0),12,8)</f>
        <v/>
      </c>
      <c r="AR120" t="str">
        <f t="shared" si="34"/>
        <v xml:space="preserve"> </v>
      </c>
      <c r="AS120" t="str">
        <f>LEFT(VLOOKUP(A120, Fechas_Estado!A:AE,10,0),10)</f>
        <v/>
      </c>
      <c r="AT120" t="str">
        <f>MID(VLOOKUP(A120, Fechas_Estado!A:AE,10,0),12,8)</f>
        <v/>
      </c>
      <c r="AU120" t="str">
        <f t="shared" si="35"/>
        <v xml:space="preserve"> </v>
      </c>
      <c r="AV120" t="str">
        <f>LEFT(VLOOKUP(A120, Fechas_Estado!A:AE,17,0),10)</f>
        <v/>
      </c>
      <c r="AW120" t="str">
        <f>MID(VLOOKUP(A120, Fechas_Estado!A:AE,17,0),12,8)</f>
        <v/>
      </c>
      <c r="AX120" t="str">
        <f t="shared" si="36"/>
        <v xml:space="preserve"> </v>
      </c>
      <c r="AY120" t="e">
        <f t="shared" si="37"/>
        <v>#VALUE!</v>
      </c>
      <c r="AZ120" t="str">
        <f>LEFT(VLOOKUP(A120, Fechas_Estado!A:AE,5,0),10)</f>
        <v>2024-02-22</v>
      </c>
      <c r="BA120" t="str">
        <f>MID(VLOOKUP(A120, Fechas_Estado!A:AE,5,0),12,8)</f>
        <v>15:59:07</v>
      </c>
      <c r="BB120" t="str">
        <f t="shared" si="38"/>
        <v>2024-02-22 15:59:07</v>
      </c>
      <c r="BC120" t="e">
        <f t="shared" si="39"/>
        <v>#VALUE!</v>
      </c>
    </row>
    <row r="121" spans="1:55" x14ac:dyDescent="0.25">
      <c r="A121" t="str">
        <f>Fechas_Estado!A120</f>
        <v>ESPC360-6089</v>
      </c>
      <c r="B121" t="str">
        <f>LEFT(VLOOKUP(A121,Fechas_Estado!A:AE,2,0),10)</f>
        <v>2024-03-05</v>
      </c>
      <c r="C121" t="str">
        <f>MID(VLOOKUP(A121, Fechas_Estado!A:AE,2,0),12,8)</f>
        <v>17:58:59</v>
      </c>
      <c r="D121" t="str">
        <f t="shared" si="20"/>
        <v>2024-03-05 17:58:59</v>
      </c>
      <c r="E121" t="str">
        <f>LEFT(VLOOKUP(A121, Fechas_Estado!A:AE,19,0),10)</f>
        <v/>
      </c>
      <c r="F121" t="str">
        <f>MID(VLOOKUP(A121, Fechas_Estado!A:AE,19,0),12,8)</f>
        <v/>
      </c>
      <c r="G121" t="str">
        <f t="shared" si="21"/>
        <v xml:space="preserve"> </v>
      </c>
      <c r="H121" t="str">
        <f>LEFT(VLOOKUP(A121, Fechas_Estado!A:AE,20,0),10)</f>
        <v/>
      </c>
      <c r="I121" t="str">
        <f>MID(VLOOKUP(A121, Fechas_Estado!A:AE,20,0),12,8)</f>
        <v/>
      </c>
      <c r="J121" t="str">
        <f t="shared" si="22"/>
        <v xml:space="preserve"> </v>
      </c>
      <c r="K121" t="str">
        <f>LEFT(VLOOKUP(A121, Fechas_Estado!A:AE,21,0),10)</f>
        <v/>
      </c>
      <c r="L121" t="str">
        <f>MID(VLOOKUP(A121, Fechas_Estado!A:AE,21,0),12,8)</f>
        <v/>
      </c>
      <c r="M121" t="str">
        <f t="shared" si="23"/>
        <v xml:space="preserve"> </v>
      </c>
      <c r="N121" t="str">
        <f>LEFT(VLOOKUP(A121, Fechas_Estado!A:AE,22,0),10)</f>
        <v/>
      </c>
      <c r="O121" t="str">
        <f>MID(VLOOKUP(A121, Fechas_Estado!A:AE,22,0),12,8)</f>
        <v/>
      </c>
      <c r="P121" t="str">
        <f t="shared" si="24"/>
        <v xml:space="preserve"> </v>
      </c>
      <c r="Q121" t="str">
        <f>LEFT(VLOOKUP(A121, Fechas_Estado!A:AE,23,0),10)</f>
        <v/>
      </c>
      <c r="R121" t="str">
        <f>MID(VLOOKUP(A121, Fechas_Estado!A:AE,23,0),12,8)</f>
        <v/>
      </c>
      <c r="S121" t="str">
        <f t="shared" si="25"/>
        <v xml:space="preserve"> </v>
      </c>
      <c r="T121" t="str">
        <f>LEFT(VLOOKUP(A121, Fechas_Estado!A:AE,24,0),10)</f>
        <v/>
      </c>
      <c r="U121" t="str">
        <f>MID(VLOOKUP(A121, Fechas_Estado!A:AE,24,0),12,8)</f>
        <v/>
      </c>
      <c r="V121" t="str">
        <f t="shared" si="26"/>
        <v xml:space="preserve"> </v>
      </c>
      <c r="W121" t="str">
        <f>LEFT(VLOOKUP(A121, Fechas_Estado!A:AE,25,0),10)</f>
        <v>2024-03-05</v>
      </c>
      <c r="X121" t="str">
        <f>MID(VLOOKUP(A121, Fechas_Estado!A:AE,25,0),12,8)</f>
        <v>17:59:24</v>
      </c>
      <c r="Y121" t="str">
        <f t="shared" si="27"/>
        <v>2024-03-05 17:59:24</v>
      </c>
      <c r="Z121" t="str">
        <f>LEFT(VLOOKUP(A121, Fechas_Estado!A:AE,26,0),10)</f>
        <v>2024-03-07</v>
      </c>
      <c r="AA121" t="str">
        <f>MID(VLOOKUP(A121, Fechas_Estado!A:AE,26,0),12,8)</f>
        <v>09:34:45</v>
      </c>
      <c r="AB121" t="str">
        <f t="shared" si="28"/>
        <v>2024-03-07 09:34:45</v>
      </c>
      <c r="AC121" t="str">
        <f>LEFT(VLOOKUP(A121, Fechas_Estado!A:AE,27,0),10)</f>
        <v/>
      </c>
      <c r="AD121" t="str">
        <f>MID(VLOOKUP(A121, Fechas_Estado!A:AE,27,0),12,8)</f>
        <v/>
      </c>
      <c r="AE121" t="str">
        <f t="shared" si="29"/>
        <v xml:space="preserve"> </v>
      </c>
      <c r="AF121" t="str">
        <f>LEFT(VLOOKUP(A121, Fechas_Estado!A:AF,28,0),10)</f>
        <v/>
      </c>
      <c r="AG121" t="str">
        <f>MID(VLOOKUP(A121, Fechas_Estado!A:AF,28,0),12,8)</f>
        <v/>
      </c>
      <c r="AH121" t="str">
        <f t="shared" si="30"/>
        <v xml:space="preserve"> </v>
      </c>
      <c r="AI121" t="str">
        <f>LEFT(VLOOKUP(A121, Fechas_Estado!A:AF,16,0),10)</f>
        <v>2024-03-08</v>
      </c>
      <c r="AJ121" t="str">
        <f>MID(VLOOKUP(A121, Fechas_Estado!A:AF,16,0),12,8)</f>
        <v>09:31:35</v>
      </c>
      <c r="AK121" t="str">
        <f t="shared" si="31"/>
        <v>2024-03-08 09:31:35</v>
      </c>
      <c r="AL121">
        <f t="shared" si="32"/>
        <v>2.6476388888841029</v>
      </c>
      <c r="AM121" t="str">
        <f>LEFT(VLOOKUP(A121, Fechas_Estado!A:AE,8,0),10)</f>
        <v>2024-03-08</v>
      </c>
      <c r="AN121" t="str">
        <f>MID(VLOOKUP(A121, Fechas_Estado!A:AE,8,0),12,8)</f>
        <v>09:31:39</v>
      </c>
      <c r="AO121" t="str">
        <f t="shared" si="33"/>
        <v>2024-03-08 09:31:39</v>
      </c>
      <c r="AP121" t="str">
        <f>LEFT(VLOOKUP(A121, Fechas_Estado!A:AE,7,0),10)</f>
        <v>2024-03-12</v>
      </c>
      <c r="AQ121" t="str">
        <f>MID(VLOOKUP(A121, Fechas_Estado!A:AE,7,0),12,8)</f>
        <v>12:10:58</v>
      </c>
      <c r="AR121" t="str">
        <f t="shared" si="34"/>
        <v>2024-03-12 12:10:58</v>
      </c>
      <c r="AS121" t="str">
        <f>LEFT(VLOOKUP(A121, Fechas_Estado!A:AE,10,0),10)</f>
        <v>2024-03-14</v>
      </c>
      <c r="AT121" t="str">
        <f>MID(VLOOKUP(A121, Fechas_Estado!A:AE,10,0),12,8)</f>
        <v>09:45:33</v>
      </c>
      <c r="AU121" t="str">
        <f t="shared" si="35"/>
        <v>2024-03-14 09:45:33</v>
      </c>
      <c r="AV121" t="str">
        <f>LEFT(VLOOKUP(A121, Fechas_Estado!A:AE,17,0),10)</f>
        <v/>
      </c>
      <c r="AW121" t="str">
        <f>MID(VLOOKUP(A121, Fechas_Estado!A:AE,17,0),12,8)</f>
        <v/>
      </c>
      <c r="AX121" t="str">
        <f t="shared" si="36"/>
        <v xml:space="preserve"> </v>
      </c>
      <c r="AY121" t="e">
        <f t="shared" si="37"/>
        <v>#VALUE!</v>
      </c>
      <c r="AZ121" t="str">
        <f>LEFT(VLOOKUP(A121, Fechas_Estado!A:AE,5,0),10)</f>
        <v>2024-03-15</v>
      </c>
      <c r="BA121" t="str">
        <f>MID(VLOOKUP(A121, Fechas_Estado!A:AE,5,0),12,8)</f>
        <v>09:50:46</v>
      </c>
      <c r="BB121" t="str">
        <f t="shared" si="38"/>
        <v>2024-03-15 09:50:46</v>
      </c>
      <c r="BC121" t="e">
        <f t="shared" si="39"/>
        <v>#VALUE!</v>
      </c>
    </row>
    <row r="122" spans="1:55" x14ac:dyDescent="0.25">
      <c r="A122" t="str">
        <f>Fechas_Estado!A121</f>
        <v>ESPC360-6214</v>
      </c>
      <c r="B122" t="str">
        <f>LEFT(VLOOKUP(A122,Fechas_Estado!A:AE,2,0),10)</f>
        <v>2024-03-11</v>
      </c>
      <c r="C122" t="str">
        <f>MID(VLOOKUP(A122, Fechas_Estado!A:AE,2,0),12,8)</f>
        <v>11:22:09</v>
      </c>
      <c r="D122" t="str">
        <f t="shared" si="20"/>
        <v>2024-03-11 11:22:09</v>
      </c>
      <c r="E122" t="str">
        <f>LEFT(VLOOKUP(A122, Fechas_Estado!A:AE,19,0),10)</f>
        <v/>
      </c>
      <c r="F122" t="str">
        <f>MID(VLOOKUP(A122, Fechas_Estado!A:AE,19,0),12,8)</f>
        <v/>
      </c>
      <c r="G122" t="str">
        <f t="shared" si="21"/>
        <v xml:space="preserve"> </v>
      </c>
      <c r="H122" t="str">
        <f>LEFT(VLOOKUP(A122, Fechas_Estado!A:AE,20,0),10)</f>
        <v/>
      </c>
      <c r="I122" t="str">
        <f>MID(VLOOKUP(A122, Fechas_Estado!A:AE,20,0),12,8)</f>
        <v/>
      </c>
      <c r="J122" t="str">
        <f t="shared" si="22"/>
        <v xml:space="preserve"> </v>
      </c>
      <c r="K122" t="str">
        <f>LEFT(VLOOKUP(A122, Fechas_Estado!A:AE,21,0),10)</f>
        <v/>
      </c>
      <c r="L122" t="str">
        <f>MID(VLOOKUP(A122, Fechas_Estado!A:AE,21,0),12,8)</f>
        <v/>
      </c>
      <c r="M122" t="str">
        <f t="shared" si="23"/>
        <v xml:space="preserve"> </v>
      </c>
      <c r="N122" t="str">
        <f>LEFT(VLOOKUP(A122, Fechas_Estado!A:AE,22,0),10)</f>
        <v/>
      </c>
      <c r="O122" t="str">
        <f>MID(VLOOKUP(A122, Fechas_Estado!A:AE,22,0),12,8)</f>
        <v/>
      </c>
      <c r="P122" t="str">
        <f t="shared" si="24"/>
        <v xml:space="preserve"> </v>
      </c>
      <c r="Q122" t="str">
        <f>LEFT(VLOOKUP(A122, Fechas_Estado!A:AE,23,0),10)</f>
        <v/>
      </c>
      <c r="R122" t="str">
        <f>MID(VLOOKUP(A122, Fechas_Estado!A:AE,23,0),12,8)</f>
        <v/>
      </c>
      <c r="S122" t="str">
        <f t="shared" si="25"/>
        <v xml:space="preserve"> </v>
      </c>
      <c r="T122" t="str">
        <f>LEFT(VLOOKUP(A122, Fechas_Estado!A:AE,24,0),10)</f>
        <v/>
      </c>
      <c r="U122" t="str">
        <f>MID(VLOOKUP(A122, Fechas_Estado!A:AE,24,0),12,8)</f>
        <v/>
      </c>
      <c r="V122" t="str">
        <f t="shared" si="26"/>
        <v xml:space="preserve"> </v>
      </c>
      <c r="W122" t="str">
        <f>LEFT(VLOOKUP(A122, Fechas_Estado!A:AE,25,0),10)</f>
        <v>2024-03-11</v>
      </c>
      <c r="X122" t="str">
        <f>MID(VLOOKUP(A122, Fechas_Estado!A:AE,25,0),12,8)</f>
        <v>11:23:59</v>
      </c>
      <c r="Y122" t="str">
        <f t="shared" si="27"/>
        <v>2024-03-11 11:23:59</v>
      </c>
      <c r="Z122" t="str">
        <f>LEFT(VLOOKUP(A122, Fechas_Estado!A:AE,26,0),10)</f>
        <v/>
      </c>
      <c r="AA122" t="str">
        <f>MID(VLOOKUP(A122, Fechas_Estado!A:AE,26,0),12,8)</f>
        <v/>
      </c>
      <c r="AB122" t="str">
        <f t="shared" si="28"/>
        <v xml:space="preserve"> </v>
      </c>
      <c r="AC122" t="str">
        <f>LEFT(VLOOKUP(A122, Fechas_Estado!A:AE,27,0),10)</f>
        <v/>
      </c>
      <c r="AD122" t="str">
        <f>MID(VLOOKUP(A122, Fechas_Estado!A:AE,27,0),12,8)</f>
        <v/>
      </c>
      <c r="AE122" t="str">
        <f t="shared" si="29"/>
        <v xml:space="preserve"> </v>
      </c>
      <c r="AF122" t="str">
        <f>LEFT(VLOOKUP(A122, Fechas_Estado!A:AF,28,0),10)</f>
        <v/>
      </c>
      <c r="AG122" t="str">
        <f>MID(VLOOKUP(A122, Fechas_Estado!A:AF,28,0),12,8)</f>
        <v/>
      </c>
      <c r="AH122" t="str">
        <f t="shared" si="30"/>
        <v xml:space="preserve"> </v>
      </c>
      <c r="AI122" t="str">
        <f>LEFT(VLOOKUP(A122, Fechas_Estado!A:AF,16,0),10)</f>
        <v>2024-03-12</v>
      </c>
      <c r="AJ122" t="str">
        <f>MID(VLOOKUP(A122, Fechas_Estado!A:AF,16,0),12,8)</f>
        <v>15:32:32</v>
      </c>
      <c r="AK122" t="str">
        <f t="shared" si="31"/>
        <v>2024-03-12 15:32:32</v>
      </c>
      <c r="AL122">
        <f t="shared" si="32"/>
        <v>1.1738773148172186</v>
      </c>
      <c r="AM122" t="str">
        <f>LEFT(VLOOKUP(A122, Fechas_Estado!A:AE,8,0),10)</f>
        <v/>
      </c>
      <c r="AN122" t="str">
        <f>MID(VLOOKUP(A122, Fechas_Estado!A:AE,8,0),12,8)</f>
        <v/>
      </c>
      <c r="AO122" t="str">
        <f t="shared" si="33"/>
        <v xml:space="preserve"> </v>
      </c>
      <c r="AP122" t="str">
        <f>LEFT(VLOOKUP(A122, Fechas_Estado!A:AE,7,0),10)</f>
        <v/>
      </c>
      <c r="AQ122" t="str">
        <f>MID(VLOOKUP(A122, Fechas_Estado!A:AE,7,0),12,8)</f>
        <v/>
      </c>
      <c r="AR122" t="str">
        <f t="shared" si="34"/>
        <v xml:space="preserve"> </v>
      </c>
      <c r="AS122" t="str">
        <f>LEFT(VLOOKUP(A122, Fechas_Estado!A:AE,10,0),10)</f>
        <v/>
      </c>
      <c r="AT122" t="str">
        <f>MID(VLOOKUP(A122, Fechas_Estado!A:AE,10,0),12,8)</f>
        <v/>
      </c>
      <c r="AU122" t="str">
        <f t="shared" si="35"/>
        <v xml:space="preserve"> </v>
      </c>
      <c r="AV122" t="str">
        <f>LEFT(VLOOKUP(A122, Fechas_Estado!A:AE,17,0),10)</f>
        <v/>
      </c>
      <c r="AW122" t="str">
        <f>MID(VLOOKUP(A122, Fechas_Estado!A:AE,17,0),12,8)</f>
        <v/>
      </c>
      <c r="AX122" t="str">
        <f t="shared" si="36"/>
        <v xml:space="preserve"> </v>
      </c>
      <c r="AY122" t="e">
        <f t="shared" si="37"/>
        <v>#VALUE!</v>
      </c>
      <c r="AZ122" t="str">
        <f>LEFT(VLOOKUP(A122, Fechas_Estado!A:AE,5,0),10)</f>
        <v>2024-03-12</v>
      </c>
      <c r="BA122" t="str">
        <f>MID(VLOOKUP(A122, Fechas_Estado!A:AE,5,0),12,8)</f>
        <v>15:34:20</v>
      </c>
      <c r="BB122" t="str">
        <f t="shared" si="38"/>
        <v>2024-03-12 15:34:20</v>
      </c>
      <c r="BC122" t="e">
        <f t="shared" si="39"/>
        <v>#VALUE!</v>
      </c>
    </row>
    <row r="123" spans="1:55" x14ac:dyDescent="0.25">
      <c r="A123" t="str">
        <f>Fechas_Estado!A122</f>
        <v>ESPC360-6263</v>
      </c>
      <c r="B123" t="str">
        <f>LEFT(VLOOKUP(A123,Fechas_Estado!A:AE,2,0),10)</f>
        <v>2024-03-13</v>
      </c>
      <c r="C123" t="str">
        <f>MID(VLOOKUP(A123, Fechas_Estado!A:AE,2,0),12,8)</f>
        <v>11:29:31</v>
      </c>
      <c r="D123" t="str">
        <f t="shared" si="20"/>
        <v>2024-03-13 11:29:31</v>
      </c>
      <c r="E123" t="str">
        <f>LEFT(VLOOKUP(A123, Fechas_Estado!A:AE,19,0),10)</f>
        <v/>
      </c>
      <c r="F123" t="str">
        <f>MID(VLOOKUP(A123, Fechas_Estado!A:AE,19,0),12,8)</f>
        <v/>
      </c>
      <c r="G123" t="str">
        <f t="shared" si="21"/>
        <v xml:space="preserve"> </v>
      </c>
      <c r="H123" t="str">
        <f>LEFT(VLOOKUP(A123, Fechas_Estado!A:AE,20,0),10)</f>
        <v/>
      </c>
      <c r="I123" t="str">
        <f>MID(VLOOKUP(A123, Fechas_Estado!A:AE,20,0),12,8)</f>
        <v/>
      </c>
      <c r="J123" t="str">
        <f t="shared" si="22"/>
        <v xml:space="preserve"> </v>
      </c>
      <c r="K123" t="str">
        <f>LEFT(VLOOKUP(A123, Fechas_Estado!A:AE,21,0),10)</f>
        <v/>
      </c>
      <c r="L123" t="str">
        <f>MID(VLOOKUP(A123, Fechas_Estado!A:AE,21,0),12,8)</f>
        <v/>
      </c>
      <c r="M123" t="str">
        <f t="shared" si="23"/>
        <v xml:space="preserve"> </v>
      </c>
      <c r="N123" t="str">
        <f>LEFT(VLOOKUP(A123, Fechas_Estado!A:AE,22,0),10)</f>
        <v/>
      </c>
      <c r="O123" t="str">
        <f>MID(VLOOKUP(A123, Fechas_Estado!A:AE,22,0),12,8)</f>
        <v/>
      </c>
      <c r="P123" t="str">
        <f t="shared" si="24"/>
        <v xml:space="preserve"> </v>
      </c>
      <c r="Q123" t="str">
        <f>LEFT(VLOOKUP(A123, Fechas_Estado!A:AE,23,0),10)</f>
        <v/>
      </c>
      <c r="R123" t="str">
        <f>MID(VLOOKUP(A123, Fechas_Estado!A:AE,23,0),12,8)</f>
        <v/>
      </c>
      <c r="S123" t="str">
        <f t="shared" si="25"/>
        <v xml:space="preserve"> </v>
      </c>
      <c r="T123" t="str">
        <f>LEFT(VLOOKUP(A123, Fechas_Estado!A:AE,24,0),10)</f>
        <v/>
      </c>
      <c r="U123" t="str">
        <f>MID(VLOOKUP(A123, Fechas_Estado!A:AE,24,0),12,8)</f>
        <v/>
      </c>
      <c r="V123" t="str">
        <f t="shared" si="26"/>
        <v xml:space="preserve"> </v>
      </c>
      <c r="W123" t="str">
        <f>LEFT(VLOOKUP(A123, Fechas_Estado!A:AE,25,0),10)</f>
        <v>2024-03-13</v>
      </c>
      <c r="X123" t="str">
        <f>MID(VLOOKUP(A123, Fechas_Estado!A:AE,25,0),12,8)</f>
        <v>11:30:15</v>
      </c>
      <c r="Y123" t="str">
        <f t="shared" si="27"/>
        <v>2024-03-13 11:30:15</v>
      </c>
      <c r="Z123" t="str">
        <f>LEFT(VLOOKUP(A123, Fechas_Estado!A:AE,26,0),10)</f>
        <v>2024-03-14</v>
      </c>
      <c r="AA123" t="str">
        <f>MID(VLOOKUP(A123, Fechas_Estado!A:AE,26,0),12,8)</f>
        <v>09:45:52</v>
      </c>
      <c r="AB123" t="str">
        <f t="shared" si="28"/>
        <v>2024-03-14 09:45:52</v>
      </c>
      <c r="AC123" t="str">
        <f>LEFT(VLOOKUP(A123, Fechas_Estado!A:AE,27,0),10)</f>
        <v/>
      </c>
      <c r="AD123" t="str">
        <f>MID(VLOOKUP(A123, Fechas_Estado!A:AE,27,0),12,8)</f>
        <v/>
      </c>
      <c r="AE123" t="str">
        <f t="shared" si="29"/>
        <v xml:space="preserve"> </v>
      </c>
      <c r="AF123" t="str">
        <f>LEFT(VLOOKUP(A123, Fechas_Estado!A:AF,28,0),10)</f>
        <v/>
      </c>
      <c r="AG123" t="str">
        <f>MID(VLOOKUP(A123, Fechas_Estado!A:AF,28,0),12,8)</f>
        <v/>
      </c>
      <c r="AH123" t="str">
        <f t="shared" si="30"/>
        <v xml:space="preserve"> </v>
      </c>
      <c r="AI123" t="str">
        <f>LEFT(VLOOKUP(A123, Fechas_Estado!A:AF,16,0),10)</f>
        <v>2024-03-18</v>
      </c>
      <c r="AJ123" t="str">
        <f>MID(VLOOKUP(A123, Fechas_Estado!A:AF,16,0),12,8)</f>
        <v>10:53:31</v>
      </c>
      <c r="AK123" t="str">
        <f t="shared" si="31"/>
        <v>2024-03-18 10:53:31</v>
      </c>
      <c r="AL123">
        <f t="shared" si="32"/>
        <v>4.9749999999985448</v>
      </c>
      <c r="AM123" t="str">
        <f>LEFT(VLOOKUP(A123, Fechas_Estado!A:AE,8,0),10)</f>
        <v>2024-03-18</v>
      </c>
      <c r="AN123" t="str">
        <f>MID(VLOOKUP(A123, Fechas_Estado!A:AE,8,0),12,8)</f>
        <v>10:53:34</v>
      </c>
      <c r="AO123" t="str">
        <f t="shared" si="33"/>
        <v>2024-03-18 10:53:34</v>
      </c>
      <c r="AP123" t="str">
        <f>LEFT(VLOOKUP(A123, Fechas_Estado!A:AE,7,0),10)</f>
        <v>2024-03-19</v>
      </c>
      <c r="AQ123" t="str">
        <f>MID(VLOOKUP(A123, Fechas_Estado!A:AE,7,0),12,8)</f>
        <v>10:05:46</v>
      </c>
      <c r="AR123" t="str">
        <f t="shared" si="34"/>
        <v>2024-03-19 10:05:46</v>
      </c>
      <c r="AS123" t="str">
        <f>LEFT(VLOOKUP(A123, Fechas_Estado!A:AE,10,0),10)</f>
        <v>2024-03-21</v>
      </c>
      <c r="AT123" t="str">
        <f>MID(VLOOKUP(A123, Fechas_Estado!A:AE,10,0),12,8)</f>
        <v>09:38:56</v>
      </c>
      <c r="AU123" t="str">
        <f t="shared" si="35"/>
        <v>2024-03-21 09:38:56</v>
      </c>
      <c r="AV123" t="str">
        <f>LEFT(VLOOKUP(A123, Fechas_Estado!A:AE,17,0),10)</f>
        <v>2024-03-21</v>
      </c>
      <c r="AW123" t="str">
        <f>MID(VLOOKUP(A123, Fechas_Estado!A:AE,17,0),12,8)</f>
        <v>15:47:16</v>
      </c>
      <c r="AX123" t="str">
        <f t="shared" si="36"/>
        <v>2024-03-21 15:47:16</v>
      </c>
      <c r="AY123">
        <f t="shared" si="37"/>
        <v>3.2039583333316841</v>
      </c>
      <c r="AZ123" t="str">
        <f>LEFT(VLOOKUP(A123, Fechas_Estado!A:AE,5,0),10)</f>
        <v>2024-04-09</v>
      </c>
      <c r="BA123" t="str">
        <f>MID(VLOOKUP(A123, Fechas_Estado!A:AE,5,0),12,8)</f>
        <v>15:27:47</v>
      </c>
      <c r="BB123" t="str">
        <f t="shared" si="38"/>
        <v>2024-04-09 15:27:47</v>
      </c>
      <c r="BC123">
        <f t="shared" si="39"/>
        <v>18.986469907409628</v>
      </c>
    </row>
    <row r="124" spans="1:55" x14ac:dyDescent="0.25">
      <c r="A124" t="str">
        <f>Fechas_Estado!A123</f>
        <v>ESPC360-6379</v>
      </c>
      <c r="B124" t="str">
        <f>LEFT(VLOOKUP(A124,Fechas_Estado!A:AE,2,0),10)</f>
        <v>2024-03-19</v>
      </c>
      <c r="C124" t="str">
        <f>MID(VLOOKUP(A124, Fechas_Estado!A:AE,2,0),12,8)</f>
        <v>10:03:00</v>
      </c>
      <c r="D124" t="str">
        <f t="shared" si="20"/>
        <v>2024-03-19 10:03:00</v>
      </c>
      <c r="E124" t="str">
        <f>LEFT(VLOOKUP(A124, Fechas_Estado!A:AE,19,0),10)</f>
        <v/>
      </c>
      <c r="F124" t="str">
        <f>MID(VLOOKUP(A124, Fechas_Estado!A:AE,19,0),12,8)</f>
        <v/>
      </c>
      <c r="G124" t="str">
        <f t="shared" si="21"/>
        <v xml:space="preserve"> </v>
      </c>
      <c r="H124" t="str">
        <f>LEFT(VLOOKUP(A124, Fechas_Estado!A:AE,20,0),10)</f>
        <v/>
      </c>
      <c r="I124" t="str">
        <f>MID(VLOOKUP(A124, Fechas_Estado!A:AE,20,0),12,8)</f>
        <v/>
      </c>
      <c r="J124" t="str">
        <f t="shared" si="22"/>
        <v xml:space="preserve"> </v>
      </c>
      <c r="K124" t="str">
        <f>LEFT(VLOOKUP(A124, Fechas_Estado!A:AE,21,0),10)</f>
        <v/>
      </c>
      <c r="L124" t="str">
        <f>MID(VLOOKUP(A124, Fechas_Estado!A:AE,21,0),12,8)</f>
        <v/>
      </c>
      <c r="M124" t="str">
        <f t="shared" si="23"/>
        <v xml:space="preserve"> </v>
      </c>
      <c r="N124" t="str">
        <f>LEFT(VLOOKUP(A124, Fechas_Estado!A:AE,22,0),10)</f>
        <v/>
      </c>
      <c r="O124" t="str">
        <f>MID(VLOOKUP(A124, Fechas_Estado!A:AE,22,0),12,8)</f>
        <v/>
      </c>
      <c r="P124" t="str">
        <f t="shared" si="24"/>
        <v xml:space="preserve"> </v>
      </c>
      <c r="Q124" t="str">
        <f>LEFT(VLOOKUP(A124, Fechas_Estado!A:AE,23,0),10)</f>
        <v/>
      </c>
      <c r="R124" t="str">
        <f>MID(VLOOKUP(A124, Fechas_Estado!A:AE,23,0),12,8)</f>
        <v/>
      </c>
      <c r="S124" t="str">
        <f t="shared" si="25"/>
        <v xml:space="preserve"> </v>
      </c>
      <c r="T124" t="str">
        <f>LEFT(VLOOKUP(A124, Fechas_Estado!A:AE,24,0),10)</f>
        <v/>
      </c>
      <c r="U124" t="str">
        <f>MID(VLOOKUP(A124, Fechas_Estado!A:AE,24,0),12,8)</f>
        <v/>
      </c>
      <c r="V124" t="str">
        <f t="shared" si="26"/>
        <v xml:space="preserve"> </v>
      </c>
      <c r="W124" t="str">
        <f>LEFT(VLOOKUP(A124, Fechas_Estado!A:AE,25,0),10)</f>
        <v/>
      </c>
      <c r="X124" t="str">
        <f>MID(VLOOKUP(A124, Fechas_Estado!A:AE,25,0),12,8)</f>
        <v/>
      </c>
      <c r="Y124" t="str">
        <f t="shared" si="27"/>
        <v xml:space="preserve"> </v>
      </c>
      <c r="Z124" t="str">
        <f>LEFT(VLOOKUP(A124, Fechas_Estado!A:AE,26,0),10)</f>
        <v/>
      </c>
      <c r="AA124" t="str">
        <f>MID(VLOOKUP(A124, Fechas_Estado!A:AE,26,0),12,8)</f>
        <v/>
      </c>
      <c r="AB124" t="str">
        <f t="shared" si="28"/>
        <v xml:space="preserve"> </v>
      </c>
      <c r="AC124" t="str">
        <f>LEFT(VLOOKUP(A124, Fechas_Estado!A:AE,27,0),10)</f>
        <v/>
      </c>
      <c r="AD124" t="str">
        <f>MID(VLOOKUP(A124, Fechas_Estado!A:AE,27,0),12,8)</f>
        <v/>
      </c>
      <c r="AE124" t="str">
        <f t="shared" si="29"/>
        <v xml:space="preserve"> </v>
      </c>
      <c r="AF124" t="str">
        <f>LEFT(VLOOKUP(A124, Fechas_Estado!A:AF,28,0),10)</f>
        <v/>
      </c>
      <c r="AG124" t="str">
        <f>MID(VLOOKUP(A124, Fechas_Estado!A:AF,28,0),12,8)</f>
        <v/>
      </c>
      <c r="AH124" t="str">
        <f t="shared" si="30"/>
        <v xml:space="preserve"> </v>
      </c>
      <c r="AI124" t="str">
        <f>LEFT(VLOOKUP(A124, Fechas_Estado!A:AF,16,0),10)</f>
        <v>2024-03-19</v>
      </c>
      <c r="AJ124" t="str">
        <f>MID(VLOOKUP(A124, Fechas_Estado!A:AF,16,0),12,8)</f>
        <v>10:03:36</v>
      </c>
      <c r="AK124" t="str">
        <f t="shared" si="31"/>
        <v>2024-03-19 10:03:36</v>
      </c>
      <c r="AL124">
        <f t="shared" si="32"/>
        <v>4.1666666948003694E-4</v>
      </c>
      <c r="AM124" t="str">
        <f>LEFT(VLOOKUP(A124, Fechas_Estado!A:AE,8,0),10)</f>
        <v>2024-03-19</v>
      </c>
      <c r="AN124" t="str">
        <f>MID(VLOOKUP(A124, Fechas_Estado!A:AE,8,0),12,8)</f>
        <v>10:03:42</v>
      </c>
      <c r="AO124" t="str">
        <f t="shared" si="33"/>
        <v>2024-03-19 10:03:42</v>
      </c>
      <c r="AP124" t="str">
        <f>LEFT(VLOOKUP(A124, Fechas_Estado!A:AE,7,0),10)</f>
        <v/>
      </c>
      <c r="AQ124" t="str">
        <f>MID(VLOOKUP(A124, Fechas_Estado!A:AE,7,0),12,8)</f>
        <v/>
      </c>
      <c r="AR124" t="str">
        <f t="shared" si="34"/>
        <v xml:space="preserve"> </v>
      </c>
      <c r="AS124" t="str">
        <f>LEFT(VLOOKUP(A124, Fechas_Estado!A:AE,10,0),10)</f>
        <v/>
      </c>
      <c r="AT124" t="str">
        <f>MID(VLOOKUP(A124, Fechas_Estado!A:AE,10,0),12,8)</f>
        <v/>
      </c>
      <c r="AU124" t="str">
        <f t="shared" si="35"/>
        <v xml:space="preserve"> </v>
      </c>
      <c r="AV124" t="str">
        <f>LEFT(VLOOKUP(A124, Fechas_Estado!A:AE,17,0),10)</f>
        <v/>
      </c>
      <c r="AW124" t="str">
        <f>MID(VLOOKUP(A124, Fechas_Estado!A:AE,17,0),12,8)</f>
        <v/>
      </c>
      <c r="AX124" t="str">
        <f t="shared" si="36"/>
        <v xml:space="preserve"> </v>
      </c>
      <c r="AY124" t="e">
        <f t="shared" si="37"/>
        <v>#VALUE!</v>
      </c>
      <c r="AZ124" t="str">
        <f>LEFT(VLOOKUP(A124, Fechas_Estado!A:AE,5,0),10)</f>
        <v>2024-04-01</v>
      </c>
      <c r="BA124" t="str">
        <f>MID(VLOOKUP(A124, Fechas_Estado!A:AE,5,0),12,8)</f>
        <v>08:45:38</v>
      </c>
      <c r="BB124" t="str">
        <f t="shared" si="38"/>
        <v>2024-04-01 08:45:38</v>
      </c>
      <c r="BC124" t="e">
        <f t="shared" si="39"/>
        <v>#VALUE!</v>
      </c>
    </row>
    <row r="125" spans="1:55" x14ac:dyDescent="0.25">
      <c r="A125" t="str">
        <f>Fechas_Estado!A124</f>
        <v>ESPC360-6442</v>
      </c>
      <c r="B125" t="str">
        <f>LEFT(VLOOKUP(A125,Fechas_Estado!A:AE,2,0),10)</f>
        <v>2024-03-25</v>
      </c>
      <c r="C125" t="str">
        <f>MID(VLOOKUP(A125, Fechas_Estado!A:AE,2,0),12,8)</f>
        <v>11:29:55</v>
      </c>
      <c r="D125" t="str">
        <f t="shared" si="20"/>
        <v>2024-03-25 11:29:55</v>
      </c>
      <c r="E125" t="str">
        <f>LEFT(VLOOKUP(A125, Fechas_Estado!A:AE,19,0),10)</f>
        <v/>
      </c>
      <c r="F125" t="str">
        <f>MID(VLOOKUP(A125, Fechas_Estado!A:AE,19,0),12,8)</f>
        <v/>
      </c>
      <c r="G125" t="str">
        <f t="shared" si="21"/>
        <v xml:space="preserve"> </v>
      </c>
      <c r="H125" t="str">
        <f>LEFT(VLOOKUP(A125, Fechas_Estado!A:AE,20,0),10)</f>
        <v/>
      </c>
      <c r="I125" t="str">
        <f>MID(VLOOKUP(A125, Fechas_Estado!A:AE,20,0),12,8)</f>
        <v/>
      </c>
      <c r="J125" t="str">
        <f t="shared" si="22"/>
        <v xml:space="preserve"> </v>
      </c>
      <c r="K125" t="str">
        <f>LEFT(VLOOKUP(A125, Fechas_Estado!A:AE,21,0),10)</f>
        <v/>
      </c>
      <c r="L125" t="str">
        <f>MID(VLOOKUP(A125, Fechas_Estado!A:AE,21,0),12,8)</f>
        <v/>
      </c>
      <c r="M125" t="str">
        <f t="shared" si="23"/>
        <v xml:space="preserve"> </v>
      </c>
      <c r="N125" t="str">
        <f>LEFT(VLOOKUP(A125, Fechas_Estado!A:AE,22,0),10)</f>
        <v/>
      </c>
      <c r="O125" t="str">
        <f>MID(VLOOKUP(A125, Fechas_Estado!A:AE,22,0),12,8)</f>
        <v/>
      </c>
      <c r="P125" t="str">
        <f t="shared" si="24"/>
        <v xml:space="preserve"> </v>
      </c>
      <c r="Q125" t="str">
        <f>LEFT(VLOOKUP(A125, Fechas_Estado!A:AE,23,0),10)</f>
        <v/>
      </c>
      <c r="R125" t="str">
        <f>MID(VLOOKUP(A125, Fechas_Estado!A:AE,23,0),12,8)</f>
        <v/>
      </c>
      <c r="S125" t="str">
        <f t="shared" si="25"/>
        <v xml:space="preserve"> </v>
      </c>
      <c r="T125" t="str">
        <f>LEFT(VLOOKUP(A125, Fechas_Estado!A:AE,24,0),10)</f>
        <v/>
      </c>
      <c r="U125" t="str">
        <f>MID(VLOOKUP(A125, Fechas_Estado!A:AE,24,0),12,8)</f>
        <v/>
      </c>
      <c r="V125" t="str">
        <f t="shared" si="26"/>
        <v xml:space="preserve"> </v>
      </c>
      <c r="W125" t="str">
        <f>LEFT(VLOOKUP(A125, Fechas_Estado!A:AE,25,0),10)</f>
        <v>2024-03-25</v>
      </c>
      <c r="X125" t="str">
        <f>MID(VLOOKUP(A125, Fechas_Estado!A:AE,25,0),12,8)</f>
        <v>11:30:27</v>
      </c>
      <c r="Y125" t="str">
        <f t="shared" si="27"/>
        <v>2024-03-25 11:30:27</v>
      </c>
      <c r="Z125" t="str">
        <f>LEFT(VLOOKUP(A125, Fechas_Estado!A:AE,26,0),10)</f>
        <v/>
      </c>
      <c r="AA125" t="str">
        <f>MID(VLOOKUP(A125, Fechas_Estado!A:AE,26,0),12,8)</f>
        <v/>
      </c>
      <c r="AB125" t="str">
        <f t="shared" si="28"/>
        <v xml:space="preserve"> </v>
      </c>
      <c r="AC125" t="str">
        <f>LEFT(VLOOKUP(A125, Fechas_Estado!A:AE,27,0),10)</f>
        <v/>
      </c>
      <c r="AD125" t="str">
        <f>MID(VLOOKUP(A125, Fechas_Estado!A:AE,27,0),12,8)</f>
        <v/>
      </c>
      <c r="AE125" t="str">
        <f t="shared" si="29"/>
        <v xml:space="preserve"> </v>
      </c>
      <c r="AF125" t="str">
        <f>LEFT(VLOOKUP(A125, Fechas_Estado!A:AF,28,0),10)</f>
        <v/>
      </c>
      <c r="AG125" t="str">
        <f>MID(VLOOKUP(A125, Fechas_Estado!A:AF,28,0),12,8)</f>
        <v/>
      </c>
      <c r="AH125" t="str">
        <f t="shared" si="30"/>
        <v xml:space="preserve"> </v>
      </c>
      <c r="AI125" t="str">
        <f>LEFT(VLOOKUP(A125, Fechas_Estado!A:AF,16,0),10)</f>
        <v/>
      </c>
      <c r="AJ125" t="str">
        <f>MID(VLOOKUP(A125, Fechas_Estado!A:AF,16,0),12,8)</f>
        <v/>
      </c>
      <c r="AK125" t="str">
        <f t="shared" si="31"/>
        <v xml:space="preserve"> </v>
      </c>
      <c r="AL125" t="e">
        <f t="shared" si="32"/>
        <v>#VALUE!</v>
      </c>
      <c r="AM125" t="str">
        <f>LEFT(VLOOKUP(A125, Fechas_Estado!A:AE,8,0),10)</f>
        <v/>
      </c>
      <c r="AN125" t="str">
        <f>MID(VLOOKUP(A125, Fechas_Estado!A:AE,8,0),12,8)</f>
        <v/>
      </c>
      <c r="AO125" t="str">
        <f t="shared" si="33"/>
        <v xml:space="preserve"> </v>
      </c>
      <c r="AP125" t="str">
        <f>LEFT(VLOOKUP(A125, Fechas_Estado!A:AE,7,0),10)</f>
        <v/>
      </c>
      <c r="AQ125" t="str">
        <f>MID(VLOOKUP(A125, Fechas_Estado!A:AE,7,0),12,8)</f>
        <v/>
      </c>
      <c r="AR125" t="str">
        <f t="shared" si="34"/>
        <v xml:space="preserve"> </v>
      </c>
      <c r="AS125" t="str">
        <f>LEFT(VLOOKUP(A125, Fechas_Estado!A:AE,10,0),10)</f>
        <v/>
      </c>
      <c r="AT125" t="str">
        <f>MID(VLOOKUP(A125, Fechas_Estado!A:AE,10,0),12,8)</f>
        <v/>
      </c>
      <c r="AU125" t="str">
        <f t="shared" si="35"/>
        <v xml:space="preserve"> </v>
      </c>
      <c r="AV125" t="str">
        <f>LEFT(VLOOKUP(A125, Fechas_Estado!A:AE,17,0),10)</f>
        <v/>
      </c>
      <c r="AW125" t="str">
        <f>MID(VLOOKUP(A125, Fechas_Estado!A:AE,17,0),12,8)</f>
        <v/>
      </c>
      <c r="AX125" t="str">
        <f t="shared" si="36"/>
        <v xml:space="preserve"> </v>
      </c>
      <c r="AY125" t="e">
        <f t="shared" si="37"/>
        <v>#VALUE!</v>
      </c>
      <c r="AZ125" t="str">
        <f>LEFT(VLOOKUP(A125, Fechas_Estado!A:AE,5,0),10)</f>
        <v>2024-04-01</v>
      </c>
      <c r="BA125" t="str">
        <f>MID(VLOOKUP(A125, Fechas_Estado!A:AE,5,0),12,8)</f>
        <v>16:44:05</v>
      </c>
      <c r="BB125" t="str">
        <f t="shared" si="38"/>
        <v>2024-04-01 16:44:05</v>
      </c>
      <c r="BC125" t="e">
        <f t="shared" si="39"/>
        <v>#VALUE!</v>
      </c>
    </row>
    <row r="126" spans="1:55" x14ac:dyDescent="0.25">
      <c r="A126" t="str">
        <f>Fechas_Estado!A125</f>
        <v>ESPC360-6457</v>
      </c>
      <c r="B126" t="str">
        <f>LEFT(VLOOKUP(A126,Fechas_Estado!A:AE,2,0),10)</f>
        <v>2024-03-25</v>
      </c>
      <c r="C126" t="str">
        <f>MID(VLOOKUP(A126, Fechas_Estado!A:AE,2,0),12,8)</f>
        <v>17:42:41</v>
      </c>
      <c r="D126" t="str">
        <f t="shared" si="20"/>
        <v>2024-03-25 17:42:41</v>
      </c>
      <c r="E126" t="str">
        <f>LEFT(VLOOKUP(A126, Fechas_Estado!A:AE,19,0),10)</f>
        <v>2024-03-25</v>
      </c>
      <c r="F126" t="str">
        <f>MID(VLOOKUP(A126, Fechas_Estado!A:AE,19,0),12,8)</f>
        <v>17:45:50</v>
      </c>
      <c r="G126" t="str">
        <f t="shared" si="21"/>
        <v>2024-03-25 17:45:50</v>
      </c>
      <c r="H126" t="str">
        <f>LEFT(VLOOKUP(A126, Fechas_Estado!A:AE,20,0),10)</f>
        <v/>
      </c>
      <c r="I126" t="str">
        <f>MID(VLOOKUP(A126, Fechas_Estado!A:AE,20,0),12,8)</f>
        <v/>
      </c>
      <c r="J126" t="str">
        <f t="shared" si="22"/>
        <v xml:space="preserve"> </v>
      </c>
      <c r="K126" t="str">
        <f>LEFT(VLOOKUP(A126, Fechas_Estado!A:AE,21,0),10)</f>
        <v/>
      </c>
      <c r="L126" t="str">
        <f>MID(VLOOKUP(A126, Fechas_Estado!A:AE,21,0),12,8)</f>
        <v/>
      </c>
      <c r="M126" t="str">
        <f t="shared" si="23"/>
        <v xml:space="preserve"> </v>
      </c>
      <c r="N126" t="str">
        <f>LEFT(VLOOKUP(A126, Fechas_Estado!A:AE,22,0),10)</f>
        <v/>
      </c>
      <c r="O126" t="str">
        <f>MID(VLOOKUP(A126, Fechas_Estado!A:AE,22,0),12,8)</f>
        <v/>
      </c>
      <c r="P126" t="str">
        <f t="shared" si="24"/>
        <v xml:space="preserve"> </v>
      </c>
      <c r="Q126" t="str">
        <f>LEFT(VLOOKUP(A126, Fechas_Estado!A:AE,23,0),10)</f>
        <v/>
      </c>
      <c r="R126" t="str">
        <f>MID(VLOOKUP(A126, Fechas_Estado!A:AE,23,0),12,8)</f>
        <v/>
      </c>
      <c r="S126" t="str">
        <f t="shared" si="25"/>
        <v xml:space="preserve"> </v>
      </c>
      <c r="T126" t="str">
        <f>LEFT(VLOOKUP(A126, Fechas_Estado!A:AE,24,0),10)</f>
        <v/>
      </c>
      <c r="U126" t="str">
        <f>MID(VLOOKUP(A126, Fechas_Estado!A:AE,24,0),12,8)</f>
        <v/>
      </c>
      <c r="V126" t="str">
        <f t="shared" si="26"/>
        <v xml:space="preserve"> </v>
      </c>
      <c r="W126" t="str">
        <f>LEFT(VLOOKUP(A126, Fechas_Estado!A:AE,25,0),10)</f>
        <v>2024-03-26</v>
      </c>
      <c r="X126" t="str">
        <f>MID(VLOOKUP(A126, Fechas_Estado!A:AE,25,0),12,8)</f>
        <v>15:49:19</v>
      </c>
      <c r="Y126" t="str">
        <f t="shared" si="27"/>
        <v>2024-03-26 15:49:19</v>
      </c>
      <c r="Z126" t="str">
        <f>LEFT(VLOOKUP(A126, Fechas_Estado!A:AE,26,0),10)</f>
        <v>2024-04-01</v>
      </c>
      <c r="AA126" t="str">
        <f>MID(VLOOKUP(A126, Fechas_Estado!A:AE,26,0),12,8)</f>
        <v>16:44:47</v>
      </c>
      <c r="AB126" t="str">
        <f t="shared" si="28"/>
        <v>2024-04-01 16:44:47</v>
      </c>
      <c r="AC126" t="str">
        <f>LEFT(VLOOKUP(A126, Fechas_Estado!A:AE,27,0),10)</f>
        <v/>
      </c>
      <c r="AD126" t="str">
        <f>MID(VLOOKUP(A126, Fechas_Estado!A:AE,27,0),12,8)</f>
        <v/>
      </c>
      <c r="AE126" t="str">
        <f t="shared" si="29"/>
        <v xml:space="preserve"> </v>
      </c>
      <c r="AF126" t="str">
        <f>LEFT(VLOOKUP(A126, Fechas_Estado!A:AF,28,0),10)</f>
        <v/>
      </c>
      <c r="AG126" t="str">
        <f>MID(VLOOKUP(A126, Fechas_Estado!A:AF,28,0),12,8)</f>
        <v/>
      </c>
      <c r="AH126" t="str">
        <f t="shared" si="30"/>
        <v xml:space="preserve"> </v>
      </c>
      <c r="AI126" t="str">
        <f>LEFT(VLOOKUP(A126, Fechas_Estado!A:AF,16,0),10)</f>
        <v>2024-04-02</v>
      </c>
      <c r="AJ126" t="str">
        <f>MID(VLOOKUP(A126, Fechas_Estado!A:AF,16,0),12,8)</f>
        <v>10:01:26</v>
      </c>
      <c r="AK126" t="str">
        <f t="shared" si="31"/>
        <v>2024-04-02 10:01:26</v>
      </c>
      <c r="AL126">
        <f t="shared" si="32"/>
        <v>7.6796875</v>
      </c>
      <c r="AM126" t="str">
        <f>LEFT(VLOOKUP(A126, Fechas_Estado!A:AE,8,0),10)</f>
        <v>2024-04-02</v>
      </c>
      <c r="AN126" t="str">
        <f>MID(VLOOKUP(A126, Fechas_Estado!A:AE,8,0),12,8)</f>
        <v>10:01:37</v>
      </c>
      <c r="AO126" t="str">
        <f t="shared" si="33"/>
        <v>2024-04-02 10:01:37</v>
      </c>
      <c r="AP126" t="str">
        <f>LEFT(VLOOKUP(A126, Fechas_Estado!A:AE,7,0),10)</f>
        <v>2024-04-05</v>
      </c>
      <c r="AQ126" t="str">
        <f>MID(VLOOKUP(A126, Fechas_Estado!A:AE,7,0),12,8)</f>
        <v>10:59:17</v>
      </c>
      <c r="AR126" t="str">
        <f t="shared" si="34"/>
        <v>2024-04-05 10:59:17</v>
      </c>
      <c r="AS126" t="str">
        <f>LEFT(VLOOKUP(A126, Fechas_Estado!A:AE,10,0),10)</f>
        <v>2024-04-05</v>
      </c>
      <c r="AT126" t="str">
        <f>MID(VLOOKUP(A126, Fechas_Estado!A:AE,10,0),12,8)</f>
        <v>10:59:33</v>
      </c>
      <c r="AU126" t="str">
        <f t="shared" si="35"/>
        <v>2024-04-05 10:59:33</v>
      </c>
      <c r="AV126" t="str">
        <f>LEFT(VLOOKUP(A126, Fechas_Estado!A:AE,17,0),10)</f>
        <v>2024-04-05</v>
      </c>
      <c r="AW126" t="str">
        <f>MID(VLOOKUP(A126, Fechas_Estado!A:AE,17,0),12,8)</f>
        <v>10:59:49</v>
      </c>
      <c r="AX126" t="str">
        <f t="shared" si="36"/>
        <v>2024-04-05 10:59:49</v>
      </c>
      <c r="AY126">
        <f t="shared" si="37"/>
        <v>3.0404166666703532</v>
      </c>
      <c r="AZ126" t="str">
        <f>LEFT(VLOOKUP(A126, Fechas_Estado!A:AE,5,0),10)</f>
        <v>2024-04-08</v>
      </c>
      <c r="BA126" t="str">
        <f>MID(VLOOKUP(A126, Fechas_Estado!A:AE,5,0),12,8)</f>
        <v>15:13:14</v>
      </c>
      <c r="BB126" t="str">
        <f t="shared" si="38"/>
        <v>2024-04-08 15:13:14</v>
      </c>
      <c r="BC126">
        <f t="shared" si="39"/>
        <v>3.1759837962963502</v>
      </c>
    </row>
    <row r="127" spans="1:55" x14ac:dyDescent="0.25">
      <c r="A127" t="str">
        <f>Fechas_Estado!A126</f>
        <v>ESPC360-6745</v>
      </c>
      <c r="B127" t="str">
        <f>LEFT(VLOOKUP(A127,Fechas_Estado!A:AE,2,0),10)</f>
        <v>2024-04-05</v>
      </c>
      <c r="C127" t="str">
        <f>MID(VLOOKUP(A127, Fechas_Estado!A:AE,2,0),12,8)</f>
        <v>11:25:09</v>
      </c>
      <c r="D127" t="str">
        <f t="shared" si="20"/>
        <v>2024-04-05 11:25:09</v>
      </c>
      <c r="E127" t="str">
        <f>LEFT(VLOOKUP(A127, Fechas_Estado!A:AE,19,0),10)</f>
        <v>2024-04-05</v>
      </c>
      <c r="F127" t="str">
        <f>MID(VLOOKUP(A127, Fechas_Estado!A:AE,19,0),12,8)</f>
        <v>11:25:55</v>
      </c>
      <c r="G127" t="str">
        <f t="shared" si="21"/>
        <v>2024-04-05 11:25:55</v>
      </c>
      <c r="H127" t="str">
        <f>LEFT(VLOOKUP(A127, Fechas_Estado!A:AE,20,0),10)</f>
        <v>2024-04-15</v>
      </c>
      <c r="I127" t="str">
        <f>MID(VLOOKUP(A127, Fechas_Estado!A:AE,20,0),12,8)</f>
        <v>10:03:00</v>
      </c>
      <c r="J127" t="str">
        <f t="shared" si="22"/>
        <v>2024-04-15 10:03:00</v>
      </c>
      <c r="K127" t="str">
        <f>LEFT(VLOOKUP(A127, Fechas_Estado!A:AE,21,0),10)</f>
        <v>2024-04-16</v>
      </c>
      <c r="L127" t="str">
        <f>MID(VLOOKUP(A127, Fechas_Estado!A:AE,21,0),12,8)</f>
        <v>12:41:33</v>
      </c>
      <c r="M127" t="str">
        <f t="shared" si="23"/>
        <v>2024-04-16 12:41:33</v>
      </c>
      <c r="N127" t="str">
        <f>LEFT(VLOOKUP(A127, Fechas_Estado!A:AE,22,0),10)</f>
        <v/>
      </c>
      <c r="O127" t="str">
        <f>MID(VLOOKUP(A127, Fechas_Estado!A:AE,22,0),12,8)</f>
        <v/>
      </c>
      <c r="P127" t="str">
        <f t="shared" si="24"/>
        <v xml:space="preserve"> </v>
      </c>
      <c r="Q127" t="str">
        <f>LEFT(VLOOKUP(A127, Fechas_Estado!A:AE,23,0),10)</f>
        <v/>
      </c>
      <c r="R127" t="str">
        <f>MID(VLOOKUP(A127, Fechas_Estado!A:AE,23,0),12,8)</f>
        <v/>
      </c>
      <c r="S127" t="str">
        <f t="shared" si="25"/>
        <v xml:space="preserve"> </v>
      </c>
      <c r="T127" t="str">
        <f>LEFT(VLOOKUP(A127, Fechas_Estado!A:AE,24,0),10)</f>
        <v>2024-04-15</v>
      </c>
      <c r="U127" t="str">
        <f>MID(VLOOKUP(A127, Fechas_Estado!A:AE,24,0),12,8)</f>
        <v>10:02:11</v>
      </c>
      <c r="V127" t="str">
        <f t="shared" si="26"/>
        <v>2024-04-15 10:02:11</v>
      </c>
      <c r="W127" t="str">
        <f>LEFT(VLOOKUP(A127, Fechas_Estado!A:AE,25,0),10)</f>
        <v>2024-04-16</v>
      </c>
      <c r="X127" t="str">
        <f>MID(VLOOKUP(A127, Fechas_Estado!A:AE,25,0),12,8)</f>
        <v>12:42:45</v>
      </c>
      <c r="Y127" t="str">
        <f t="shared" si="27"/>
        <v>2024-04-16 12:42:45</v>
      </c>
      <c r="Z127" t="str">
        <f>LEFT(VLOOKUP(A127, Fechas_Estado!A:AE,26,0),10)</f>
        <v>2024-04-17</v>
      </c>
      <c r="AA127" t="str">
        <f>MID(VLOOKUP(A127, Fechas_Estado!A:AE,26,0),12,8)</f>
        <v>09:43:10</v>
      </c>
      <c r="AB127" t="str">
        <f t="shared" si="28"/>
        <v>2024-04-17 09:43:10</v>
      </c>
      <c r="AC127" t="str">
        <f>LEFT(VLOOKUP(A127, Fechas_Estado!A:AE,27,0),10)</f>
        <v>2024-04-24</v>
      </c>
      <c r="AD127" t="str">
        <f>MID(VLOOKUP(A127, Fechas_Estado!A:AE,27,0),12,8)</f>
        <v>20:01:43</v>
      </c>
      <c r="AE127" t="str">
        <f t="shared" si="29"/>
        <v>2024-04-24 20:01:43</v>
      </c>
      <c r="AF127" t="str">
        <f>LEFT(VLOOKUP(A127, Fechas_Estado!A:AF,28,0),10)</f>
        <v/>
      </c>
      <c r="AG127" t="str">
        <f>MID(VLOOKUP(A127, Fechas_Estado!A:AF,28,0),12,8)</f>
        <v/>
      </c>
      <c r="AH127" t="str">
        <f t="shared" si="30"/>
        <v xml:space="preserve"> </v>
      </c>
      <c r="AI127" t="str">
        <f>LEFT(VLOOKUP(A127, Fechas_Estado!A:AF,16,0),10)</f>
        <v>2024-04-26</v>
      </c>
      <c r="AJ127" t="str">
        <f>MID(VLOOKUP(A127, Fechas_Estado!A:AF,16,0),12,8)</f>
        <v>09:34:17</v>
      </c>
      <c r="AK127" t="str">
        <f t="shared" si="31"/>
        <v>2024-04-26 09:34:17</v>
      </c>
      <c r="AL127">
        <f t="shared" si="32"/>
        <v>20.923009259255196</v>
      </c>
      <c r="AM127" t="str">
        <f>LEFT(VLOOKUP(A127, Fechas_Estado!A:AE,8,0),10)</f>
        <v>2024-04-26</v>
      </c>
      <c r="AN127" t="str">
        <f>MID(VLOOKUP(A127, Fechas_Estado!A:AE,8,0),12,8)</f>
        <v>09:39:22</v>
      </c>
      <c r="AO127" t="str">
        <f t="shared" si="33"/>
        <v>2024-04-26 09:39:22</v>
      </c>
      <c r="AP127" t="str">
        <f>LEFT(VLOOKUP(A127, Fechas_Estado!A:AE,7,0),10)</f>
        <v>2024-04-26</v>
      </c>
      <c r="AQ127" t="str">
        <f>MID(VLOOKUP(A127, Fechas_Estado!A:AE,7,0),12,8)</f>
        <v>09:39:30</v>
      </c>
      <c r="AR127" t="str">
        <f t="shared" si="34"/>
        <v>2024-04-26 09:39:30</v>
      </c>
      <c r="AS127" t="str">
        <f>LEFT(VLOOKUP(A127, Fechas_Estado!A:AE,10,0),10)</f>
        <v/>
      </c>
      <c r="AT127" t="str">
        <f>MID(VLOOKUP(A127, Fechas_Estado!A:AE,10,0),12,8)</f>
        <v/>
      </c>
      <c r="AU127" t="str">
        <f t="shared" si="35"/>
        <v xml:space="preserve"> </v>
      </c>
      <c r="AV127" t="str">
        <f>LEFT(VLOOKUP(A127, Fechas_Estado!A:AE,17,0),10)</f>
        <v/>
      </c>
      <c r="AW127" t="str">
        <f>MID(VLOOKUP(A127, Fechas_Estado!A:AE,17,0),12,8)</f>
        <v/>
      </c>
      <c r="AX127" t="str">
        <f t="shared" si="36"/>
        <v xml:space="preserve"> </v>
      </c>
      <c r="AY127" t="e">
        <f t="shared" si="37"/>
        <v>#VALUE!</v>
      </c>
      <c r="AZ127" t="str">
        <f>LEFT(VLOOKUP(A127, Fechas_Estado!A:AE,5,0),10)</f>
        <v>2024-05-07</v>
      </c>
      <c r="BA127" t="str">
        <f>MID(VLOOKUP(A127, Fechas_Estado!A:AE,5,0),12,8)</f>
        <v>17:36:06</v>
      </c>
      <c r="BB127" t="str">
        <f t="shared" si="38"/>
        <v>2024-05-07 17:36:06</v>
      </c>
      <c r="BC127" t="e">
        <f t="shared" si="39"/>
        <v>#VALUE!</v>
      </c>
    </row>
    <row r="128" spans="1:55" x14ac:dyDescent="0.25">
      <c r="A128" t="str">
        <f>Fechas_Estado!A127</f>
        <v>ESPC360-6768</v>
      </c>
      <c r="B128" t="str">
        <f>LEFT(VLOOKUP(A128,Fechas_Estado!A:AE,2,0),10)</f>
        <v>2024-04-08</v>
      </c>
      <c r="C128" t="str">
        <f>MID(VLOOKUP(A128, Fechas_Estado!A:AE,2,0),12,8)</f>
        <v>15:19:34</v>
      </c>
      <c r="D128" t="str">
        <f t="shared" si="20"/>
        <v>2024-04-08 15:19:34</v>
      </c>
      <c r="E128" t="str">
        <f>LEFT(VLOOKUP(A128, Fechas_Estado!A:AE,19,0),10)</f>
        <v/>
      </c>
      <c r="F128" t="str">
        <f>MID(VLOOKUP(A128, Fechas_Estado!A:AE,19,0),12,8)</f>
        <v/>
      </c>
      <c r="G128" t="str">
        <f t="shared" si="21"/>
        <v xml:space="preserve"> </v>
      </c>
      <c r="H128" t="str">
        <f>LEFT(VLOOKUP(A128, Fechas_Estado!A:AE,20,0),10)</f>
        <v/>
      </c>
      <c r="I128" t="str">
        <f>MID(VLOOKUP(A128, Fechas_Estado!A:AE,20,0),12,8)</f>
        <v/>
      </c>
      <c r="J128" t="str">
        <f t="shared" si="22"/>
        <v xml:space="preserve"> </v>
      </c>
      <c r="K128" t="str">
        <f>LEFT(VLOOKUP(A128, Fechas_Estado!A:AE,21,0),10)</f>
        <v/>
      </c>
      <c r="L128" t="str">
        <f>MID(VLOOKUP(A128, Fechas_Estado!A:AE,21,0),12,8)</f>
        <v/>
      </c>
      <c r="M128" t="str">
        <f t="shared" si="23"/>
        <v xml:space="preserve"> </v>
      </c>
      <c r="N128" t="str">
        <f>LEFT(VLOOKUP(A128, Fechas_Estado!A:AE,22,0),10)</f>
        <v/>
      </c>
      <c r="O128" t="str">
        <f>MID(VLOOKUP(A128, Fechas_Estado!A:AE,22,0),12,8)</f>
        <v/>
      </c>
      <c r="P128" t="str">
        <f t="shared" si="24"/>
        <v xml:space="preserve"> </v>
      </c>
      <c r="Q128" t="str">
        <f>LEFT(VLOOKUP(A128, Fechas_Estado!A:AE,23,0),10)</f>
        <v/>
      </c>
      <c r="R128" t="str">
        <f>MID(VLOOKUP(A128, Fechas_Estado!A:AE,23,0),12,8)</f>
        <v/>
      </c>
      <c r="S128" t="str">
        <f t="shared" si="25"/>
        <v xml:space="preserve"> </v>
      </c>
      <c r="T128" t="str">
        <f>LEFT(VLOOKUP(A128, Fechas_Estado!A:AE,24,0),10)</f>
        <v/>
      </c>
      <c r="U128" t="str">
        <f>MID(VLOOKUP(A128, Fechas_Estado!A:AE,24,0),12,8)</f>
        <v/>
      </c>
      <c r="V128" t="str">
        <f t="shared" si="26"/>
        <v xml:space="preserve"> </v>
      </c>
      <c r="W128" t="str">
        <f>LEFT(VLOOKUP(A128, Fechas_Estado!A:AE,25,0),10)</f>
        <v>2024-04-08</v>
      </c>
      <c r="X128" t="str">
        <f>MID(VLOOKUP(A128, Fechas_Estado!A:AE,25,0),12,8)</f>
        <v>15:20:18</v>
      </c>
      <c r="Y128" t="str">
        <f t="shared" si="27"/>
        <v>2024-04-08 15:20:18</v>
      </c>
      <c r="Z128" t="str">
        <f>LEFT(VLOOKUP(A128, Fechas_Estado!A:AE,26,0),10)</f>
        <v>2024-04-10</v>
      </c>
      <c r="AA128" t="str">
        <f>MID(VLOOKUP(A128, Fechas_Estado!A:AE,26,0),12,8)</f>
        <v>16:48:16</v>
      </c>
      <c r="AB128" t="str">
        <f t="shared" si="28"/>
        <v>2024-04-10 16:48:16</v>
      </c>
      <c r="AC128" t="str">
        <f>LEFT(VLOOKUP(A128, Fechas_Estado!A:AE,27,0),10)</f>
        <v/>
      </c>
      <c r="AD128" t="str">
        <f>MID(VLOOKUP(A128, Fechas_Estado!A:AE,27,0),12,8)</f>
        <v/>
      </c>
      <c r="AE128" t="str">
        <f t="shared" si="29"/>
        <v xml:space="preserve"> </v>
      </c>
      <c r="AF128" t="str">
        <f>LEFT(VLOOKUP(A128, Fechas_Estado!A:AF,28,0),10)</f>
        <v/>
      </c>
      <c r="AG128" t="str">
        <f>MID(VLOOKUP(A128, Fechas_Estado!A:AF,28,0),12,8)</f>
        <v/>
      </c>
      <c r="AH128" t="str">
        <f t="shared" si="30"/>
        <v xml:space="preserve"> </v>
      </c>
      <c r="AI128" t="str">
        <f>LEFT(VLOOKUP(A128, Fechas_Estado!A:AF,16,0),10)</f>
        <v/>
      </c>
      <c r="AJ128" t="str">
        <f>MID(VLOOKUP(A128, Fechas_Estado!A:AF,16,0),12,8)</f>
        <v/>
      </c>
      <c r="AK128" t="str">
        <f t="shared" si="31"/>
        <v xml:space="preserve"> </v>
      </c>
      <c r="AL128" t="e">
        <f t="shared" si="32"/>
        <v>#VALUE!</v>
      </c>
      <c r="AM128" t="str">
        <f>LEFT(VLOOKUP(A128, Fechas_Estado!A:AE,8,0),10)</f>
        <v/>
      </c>
      <c r="AN128" t="str">
        <f>MID(VLOOKUP(A128, Fechas_Estado!A:AE,8,0),12,8)</f>
        <v/>
      </c>
      <c r="AO128" t="str">
        <f t="shared" si="33"/>
        <v xml:space="preserve"> </v>
      </c>
      <c r="AP128" t="str">
        <f>LEFT(VLOOKUP(A128, Fechas_Estado!A:AE,7,0),10)</f>
        <v/>
      </c>
      <c r="AQ128" t="str">
        <f>MID(VLOOKUP(A128, Fechas_Estado!A:AE,7,0),12,8)</f>
        <v/>
      </c>
      <c r="AR128" t="str">
        <f t="shared" si="34"/>
        <v xml:space="preserve"> </v>
      </c>
      <c r="AS128" t="str">
        <f>LEFT(VLOOKUP(A128, Fechas_Estado!A:AE,10,0),10)</f>
        <v/>
      </c>
      <c r="AT128" t="str">
        <f>MID(VLOOKUP(A128, Fechas_Estado!A:AE,10,0),12,8)</f>
        <v/>
      </c>
      <c r="AU128" t="str">
        <f t="shared" si="35"/>
        <v xml:space="preserve"> </v>
      </c>
      <c r="AV128" t="str">
        <f>LEFT(VLOOKUP(A128, Fechas_Estado!A:AE,17,0),10)</f>
        <v/>
      </c>
      <c r="AW128" t="str">
        <f>MID(VLOOKUP(A128, Fechas_Estado!A:AE,17,0),12,8)</f>
        <v/>
      </c>
      <c r="AX128" t="str">
        <f t="shared" si="36"/>
        <v xml:space="preserve"> </v>
      </c>
      <c r="AY128" t="e">
        <f t="shared" si="37"/>
        <v>#VALUE!</v>
      </c>
      <c r="AZ128" t="str">
        <f>LEFT(VLOOKUP(A128, Fechas_Estado!A:AE,5,0),10)</f>
        <v>2024-04-12</v>
      </c>
      <c r="BA128" t="str">
        <f>MID(VLOOKUP(A128, Fechas_Estado!A:AE,5,0),12,8)</f>
        <v>09:44:00</v>
      </c>
      <c r="BB128" t="str">
        <f t="shared" si="38"/>
        <v>2024-04-12 09:44:00</v>
      </c>
      <c r="BC128" t="e">
        <f t="shared" si="39"/>
        <v>#VALUE!</v>
      </c>
    </row>
    <row r="129" spans="1:55" x14ac:dyDescent="0.25">
      <c r="A129" t="str">
        <f>Fechas_Estado!A128</f>
        <v>ESPC360-6821</v>
      </c>
      <c r="B129" t="str">
        <f>LEFT(VLOOKUP(A129,Fechas_Estado!A:AE,2,0),10)</f>
        <v>2024-04-08</v>
      </c>
      <c r="C129" t="str">
        <f>MID(VLOOKUP(A129, Fechas_Estado!A:AE,2,0),12,8)</f>
        <v>17:37:50</v>
      </c>
      <c r="D129" t="str">
        <f t="shared" si="20"/>
        <v>2024-04-08 17:37:50</v>
      </c>
      <c r="E129" t="str">
        <f>LEFT(VLOOKUP(A129, Fechas_Estado!A:AE,19,0),10)</f>
        <v>2024-04-08</v>
      </c>
      <c r="F129" t="str">
        <f>MID(VLOOKUP(A129, Fechas_Estado!A:AE,19,0),12,8)</f>
        <v>17:42:04</v>
      </c>
      <c r="G129" t="str">
        <f t="shared" si="21"/>
        <v>2024-04-08 17:42:04</v>
      </c>
      <c r="H129" t="str">
        <f>LEFT(VLOOKUP(A129, Fechas_Estado!A:AE,20,0),10)</f>
        <v>2024-04-08</v>
      </c>
      <c r="I129" t="str">
        <f>MID(VLOOKUP(A129, Fechas_Estado!A:AE,20,0),12,8)</f>
        <v>17:42:10</v>
      </c>
      <c r="J129" t="str">
        <f t="shared" si="22"/>
        <v>2024-04-08 17:42:10</v>
      </c>
      <c r="K129" t="str">
        <f>LEFT(VLOOKUP(A129, Fechas_Estado!A:AE,21,0),10)</f>
        <v/>
      </c>
      <c r="L129" t="str">
        <f>MID(VLOOKUP(A129, Fechas_Estado!A:AE,21,0),12,8)</f>
        <v/>
      </c>
      <c r="M129" t="str">
        <f t="shared" si="23"/>
        <v xml:space="preserve"> </v>
      </c>
      <c r="N129" t="str">
        <f>LEFT(VLOOKUP(A129, Fechas_Estado!A:AE,22,0),10)</f>
        <v/>
      </c>
      <c r="O129" t="str">
        <f>MID(VLOOKUP(A129, Fechas_Estado!A:AE,22,0),12,8)</f>
        <v/>
      </c>
      <c r="P129" t="str">
        <f t="shared" si="24"/>
        <v xml:space="preserve"> </v>
      </c>
      <c r="Q129" t="str">
        <f>LEFT(VLOOKUP(A129, Fechas_Estado!A:AE,23,0),10)</f>
        <v/>
      </c>
      <c r="R129" t="str">
        <f>MID(VLOOKUP(A129, Fechas_Estado!A:AE,23,0),12,8)</f>
        <v/>
      </c>
      <c r="S129" t="str">
        <f t="shared" si="25"/>
        <v xml:space="preserve"> </v>
      </c>
      <c r="T129" t="str">
        <f>LEFT(VLOOKUP(A129, Fechas_Estado!A:AE,24,0),10)</f>
        <v/>
      </c>
      <c r="U129" t="str">
        <f>MID(VLOOKUP(A129, Fechas_Estado!A:AE,24,0),12,8)</f>
        <v/>
      </c>
      <c r="V129" t="str">
        <f t="shared" si="26"/>
        <v xml:space="preserve"> </v>
      </c>
      <c r="W129" t="str">
        <f>LEFT(VLOOKUP(A129, Fechas_Estado!A:AE,25,0),10)</f>
        <v>2024-04-08</v>
      </c>
      <c r="X129" t="str">
        <f>MID(VLOOKUP(A129, Fechas_Estado!A:AE,25,0),12,8)</f>
        <v>17:44:28</v>
      </c>
      <c r="Y129" t="str">
        <f t="shared" si="27"/>
        <v>2024-04-08 17:44:28</v>
      </c>
      <c r="Z129" t="str">
        <f>LEFT(VLOOKUP(A129, Fechas_Estado!A:AE,26,0),10)</f>
        <v/>
      </c>
      <c r="AA129" t="str">
        <f>MID(VLOOKUP(A129, Fechas_Estado!A:AE,26,0),12,8)</f>
        <v/>
      </c>
      <c r="AB129" t="str">
        <f t="shared" si="28"/>
        <v xml:space="preserve"> </v>
      </c>
      <c r="AC129" t="str">
        <f>LEFT(VLOOKUP(A129, Fechas_Estado!A:AE,27,0),10)</f>
        <v/>
      </c>
      <c r="AD129" t="str">
        <f>MID(VLOOKUP(A129, Fechas_Estado!A:AE,27,0),12,8)</f>
        <v/>
      </c>
      <c r="AE129" t="str">
        <f t="shared" si="29"/>
        <v xml:space="preserve"> </v>
      </c>
      <c r="AF129" t="str">
        <f>LEFT(VLOOKUP(A129, Fechas_Estado!A:AF,28,0),10)</f>
        <v/>
      </c>
      <c r="AG129" t="str">
        <f>MID(VLOOKUP(A129, Fechas_Estado!A:AF,28,0),12,8)</f>
        <v/>
      </c>
      <c r="AH129" t="str">
        <f t="shared" si="30"/>
        <v xml:space="preserve"> </v>
      </c>
      <c r="AI129" t="str">
        <f>LEFT(VLOOKUP(A129, Fechas_Estado!A:AF,16,0),10)</f>
        <v/>
      </c>
      <c r="AJ129" t="str">
        <f>MID(VLOOKUP(A129, Fechas_Estado!A:AF,16,0),12,8)</f>
        <v/>
      </c>
      <c r="AK129" t="str">
        <f t="shared" si="31"/>
        <v xml:space="preserve"> </v>
      </c>
      <c r="AL129" t="e">
        <f t="shared" si="32"/>
        <v>#VALUE!</v>
      </c>
      <c r="AM129" t="str">
        <f>LEFT(VLOOKUP(A129, Fechas_Estado!A:AE,8,0),10)</f>
        <v/>
      </c>
      <c r="AN129" t="str">
        <f>MID(VLOOKUP(A129, Fechas_Estado!A:AE,8,0),12,8)</f>
        <v/>
      </c>
      <c r="AO129" t="str">
        <f t="shared" si="33"/>
        <v xml:space="preserve"> </v>
      </c>
      <c r="AP129" t="str">
        <f>LEFT(VLOOKUP(A129, Fechas_Estado!A:AE,7,0),10)</f>
        <v/>
      </c>
      <c r="AQ129" t="str">
        <f>MID(VLOOKUP(A129, Fechas_Estado!A:AE,7,0),12,8)</f>
        <v/>
      </c>
      <c r="AR129" t="str">
        <f t="shared" si="34"/>
        <v xml:space="preserve"> </v>
      </c>
      <c r="AS129" t="str">
        <f>LEFT(VLOOKUP(A129, Fechas_Estado!A:AE,10,0),10)</f>
        <v/>
      </c>
      <c r="AT129" t="str">
        <f>MID(VLOOKUP(A129, Fechas_Estado!A:AE,10,0),12,8)</f>
        <v/>
      </c>
      <c r="AU129" t="str">
        <f t="shared" si="35"/>
        <v xml:space="preserve"> </v>
      </c>
      <c r="AV129" t="str">
        <f>LEFT(VLOOKUP(A129, Fechas_Estado!A:AE,17,0),10)</f>
        <v/>
      </c>
      <c r="AW129" t="str">
        <f>MID(VLOOKUP(A129, Fechas_Estado!A:AE,17,0),12,8)</f>
        <v/>
      </c>
      <c r="AX129" t="str">
        <f t="shared" si="36"/>
        <v xml:space="preserve"> </v>
      </c>
      <c r="AY129" t="e">
        <f t="shared" si="37"/>
        <v>#VALUE!</v>
      </c>
      <c r="AZ129" t="str">
        <f>LEFT(VLOOKUP(A129, Fechas_Estado!A:AE,5,0),10)</f>
        <v/>
      </c>
      <c r="BA129" t="str">
        <f>MID(VLOOKUP(A129, Fechas_Estado!A:AE,5,0),12,8)</f>
        <v/>
      </c>
      <c r="BB129" t="str">
        <f t="shared" si="38"/>
        <v xml:space="preserve"> </v>
      </c>
      <c r="BC129" t="e">
        <f t="shared" si="39"/>
        <v>#VALUE!</v>
      </c>
    </row>
    <row r="130" spans="1:55" x14ac:dyDescent="0.25">
      <c r="A130" t="str">
        <f>Fechas_Estado!A129</f>
        <v>ESPC360-6822</v>
      </c>
      <c r="B130" t="str">
        <f>LEFT(VLOOKUP(A130,Fechas_Estado!A:AE,2,0),10)</f>
        <v>2024-04-08</v>
      </c>
      <c r="C130" t="str">
        <f>MID(VLOOKUP(A130, Fechas_Estado!A:AE,2,0),12,8)</f>
        <v>17:41:56</v>
      </c>
      <c r="D130" t="str">
        <f t="shared" si="20"/>
        <v>2024-04-08 17:41:56</v>
      </c>
      <c r="E130" t="str">
        <f>LEFT(VLOOKUP(A130, Fechas_Estado!A:AE,19,0),10)</f>
        <v>2024-04-08</v>
      </c>
      <c r="F130" t="str">
        <f>MID(VLOOKUP(A130, Fechas_Estado!A:AE,19,0),12,8)</f>
        <v>17:42:05</v>
      </c>
      <c r="G130" t="str">
        <f t="shared" si="21"/>
        <v>2024-04-08 17:42:05</v>
      </c>
      <c r="H130" t="str">
        <f>LEFT(VLOOKUP(A130, Fechas_Estado!A:AE,20,0),10)</f>
        <v>2024-04-08</v>
      </c>
      <c r="I130" t="str">
        <f>MID(VLOOKUP(A130, Fechas_Estado!A:AE,20,0),12,8)</f>
        <v>17:42:11</v>
      </c>
      <c r="J130" t="str">
        <f t="shared" si="22"/>
        <v>2024-04-08 17:42:11</v>
      </c>
      <c r="K130" t="str">
        <f>LEFT(VLOOKUP(A130, Fechas_Estado!A:AE,21,0),10)</f>
        <v/>
      </c>
      <c r="L130" t="str">
        <f>MID(VLOOKUP(A130, Fechas_Estado!A:AE,21,0),12,8)</f>
        <v/>
      </c>
      <c r="M130" t="str">
        <f t="shared" si="23"/>
        <v xml:space="preserve"> </v>
      </c>
      <c r="N130" t="str">
        <f>LEFT(VLOOKUP(A130, Fechas_Estado!A:AE,22,0),10)</f>
        <v/>
      </c>
      <c r="O130" t="str">
        <f>MID(VLOOKUP(A130, Fechas_Estado!A:AE,22,0),12,8)</f>
        <v/>
      </c>
      <c r="P130" t="str">
        <f t="shared" si="24"/>
        <v xml:space="preserve"> </v>
      </c>
      <c r="Q130" t="str">
        <f>LEFT(VLOOKUP(A130, Fechas_Estado!A:AE,23,0),10)</f>
        <v/>
      </c>
      <c r="R130" t="str">
        <f>MID(VLOOKUP(A130, Fechas_Estado!A:AE,23,0),12,8)</f>
        <v/>
      </c>
      <c r="S130" t="str">
        <f t="shared" si="25"/>
        <v xml:space="preserve"> </v>
      </c>
      <c r="T130" t="str">
        <f>LEFT(VLOOKUP(A130, Fechas_Estado!A:AE,24,0),10)</f>
        <v/>
      </c>
      <c r="U130" t="str">
        <f>MID(VLOOKUP(A130, Fechas_Estado!A:AE,24,0),12,8)</f>
        <v/>
      </c>
      <c r="V130" t="str">
        <f t="shared" si="26"/>
        <v xml:space="preserve"> </v>
      </c>
      <c r="W130" t="str">
        <f>LEFT(VLOOKUP(A130, Fechas_Estado!A:AE,25,0),10)</f>
        <v>2024-04-09</v>
      </c>
      <c r="X130" t="str">
        <f>MID(VLOOKUP(A130, Fechas_Estado!A:AE,25,0),12,8)</f>
        <v>09:45:20</v>
      </c>
      <c r="Y130" t="str">
        <f t="shared" si="27"/>
        <v>2024-04-09 09:45:20</v>
      </c>
      <c r="Z130" t="str">
        <f>LEFT(VLOOKUP(A130, Fechas_Estado!A:AE,26,0),10)</f>
        <v/>
      </c>
      <c r="AA130" t="str">
        <f>MID(VLOOKUP(A130, Fechas_Estado!A:AE,26,0),12,8)</f>
        <v/>
      </c>
      <c r="AB130" t="str">
        <f t="shared" si="28"/>
        <v xml:space="preserve"> </v>
      </c>
      <c r="AC130" t="str">
        <f>LEFT(VLOOKUP(A130, Fechas_Estado!A:AE,27,0),10)</f>
        <v/>
      </c>
      <c r="AD130" t="str">
        <f>MID(VLOOKUP(A130, Fechas_Estado!A:AE,27,0),12,8)</f>
        <v/>
      </c>
      <c r="AE130" t="str">
        <f t="shared" si="29"/>
        <v xml:space="preserve"> </v>
      </c>
      <c r="AF130" t="str">
        <f>LEFT(VLOOKUP(A130, Fechas_Estado!A:AF,28,0),10)</f>
        <v/>
      </c>
      <c r="AG130" t="str">
        <f>MID(VLOOKUP(A130, Fechas_Estado!A:AF,28,0),12,8)</f>
        <v/>
      </c>
      <c r="AH130" t="str">
        <f t="shared" si="30"/>
        <v xml:space="preserve"> </v>
      </c>
      <c r="AI130" t="str">
        <f>LEFT(VLOOKUP(A130, Fechas_Estado!A:AF,16,0),10)</f>
        <v/>
      </c>
      <c r="AJ130" t="str">
        <f>MID(VLOOKUP(A130, Fechas_Estado!A:AF,16,0),12,8)</f>
        <v/>
      </c>
      <c r="AK130" t="str">
        <f t="shared" si="31"/>
        <v xml:space="preserve"> </v>
      </c>
      <c r="AL130" t="e">
        <f t="shared" si="32"/>
        <v>#VALUE!</v>
      </c>
      <c r="AM130" t="str">
        <f>LEFT(VLOOKUP(A130, Fechas_Estado!A:AE,8,0),10)</f>
        <v/>
      </c>
      <c r="AN130" t="str">
        <f>MID(VLOOKUP(A130, Fechas_Estado!A:AE,8,0),12,8)</f>
        <v/>
      </c>
      <c r="AO130" t="str">
        <f t="shared" si="33"/>
        <v xml:space="preserve"> </v>
      </c>
      <c r="AP130" t="str">
        <f>LEFT(VLOOKUP(A130, Fechas_Estado!A:AE,7,0),10)</f>
        <v/>
      </c>
      <c r="AQ130" t="str">
        <f>MID(VLOOKUP(A130, Fechas_Estado!A:AE,7,0),12,8)</f>
        <v/>
      </c>
      <c r="AR130" t="str">
        <f t="shared" si="34"/>
        <v xml:space="preserve"> </v>
      </c>
      <c r="AS130" t="str">
        <f>LEFT(VLOOKUP(A130, Fechas_Estado!A:AE,10,0),10)</f>
        <v/>
      </c>
      <c r="AT130" t="str">
        <f>MID(VLOOKUP(A130, Fechas_Estado!A:AE,10,0),12,8)</f>
        <v/>
      </c>
      <c r="AU130" t="str">
        <f t="shared" si="35"/>
        <v xml:space="preserve"> </v>
      </c>
      <c r="AV130" t="str">
        <f>LEFT(VLOOKUP(A130, Fechas_Estado!A:AE,17,0),10)</f>
        <v/>
      </c>
      <c r="AW130" t="str">
        <f>MID(VLOOKUP(A130, Fechas_Estado!A:AE,17,0),12,8)</f>
        <v/>
      </c>
      <c r="AX130" t="str">
        <f t="shared" si="36"/>
        <v xml:space="preserve"> </v>
      </c>
      <c r="AY130" t="e">
        <f t="shared" si="37"/>
        <v>#VALUE!</v>
      </c>
      <c r="AZ130" t="str">
        <f>LEFT(VLOOKUP(A130, Fechas_Estado!A:AE,5,0),10)</f>
        <v/>
      </c>
      <c r="BA130" t="str">
        <f>MID(VLOOKUP(A130, Fechas_Estado!A:AE,5,0),12,8)</f>
        <v/>
      </c>
      <c r="BB130" t="str">
        <f t="shared" si="38"/>
        <v xml:space="preserve"> </v>
      </c>
      <c r="BC130" t="e">
        <f t="shared" si="39"/>
        <v>#VALUE!</v>
      </c>
    </row>
    <row r="131" spans="1:55" x14ac:dyDescent="0.25">
      <c r="A131" t="str">
        <f>Fechas_Estado!A130</f>
        <v>ESPC360-6838</v>
      </c>
      <c r="B131" t="str">
        <f>LEFT(VLOOKUP(A131,Fechas_Estado!A:AE,2,0),10)</f>
        <v>2024-04-10</v>
      </c>
      <c r="C131" t="str">
        <f>MID(VLOOKUP(A131, Fechas_Estado!A:AE,2,0),12,8)</f>
        <v>09:23:43</v>
      </c>
      <c r="D131" t="str">
        <f t="shared" si="20"/>
        <v>2024-04-10 09:23:43</v>
      </c>
      <c r="E131" t="str">
        <f>LEFT(VLOOKUP(A131, Fechas_Estado!A:AE,19,0),10)</f>
        <v/>
      </c>
      <c r="F131" t="str">
        <f>MID(VLOOKUP(A131, Fechas_Estado!A:AE,19,0),12,8)</f>
        <v/>
      </c>
      <c r="G131" t="str">
        <f t="shared" si="21"/>
        <v xml:space="preserve"> </v>
      </c>
      <c r="H131" t="str">
        <f>LEFT(VLOOKUP(A131, Fechas_Estado!A:AE,20,0),10)</f>
        <v/>
      </c>
      <c r="I131" t="str">
        <f>MID(VLOOKUP(A131, Fechas_Estado!A:AE,20,0),12,8)</f>
        <v/>
      </c>
      <c r="J131" t="str">
        <f t="shared" si="22"/>
        <v xml:space="preserve"> </v>
      </c>
      <c r="K131" t="str">
        <f>LEFT(VLOOKUP(A131, Fechas_Estado!A:AE,21,0),10)</f>
        <v/>
      </c>
      <c r="L131" t="str">
        <f>MID(VLOOKUP(A131, Fechas_Estado!A:AE,21,0),12,8)</f>
        <v/>
      </c>
      <c r="M131" t="str">
        <f t="shared" si="23"/>
        <v xml:space="preserve"> </v>
      </c>
      <c r="N131" t="str">
        <f>LEFT(VLOOKUP(A131, Fechas_Estado!A:AE,22,0),10)</f>
        <v/>
      </c>
      <c r="O131" t="str">
        <f>MID(VLOOKUP(A131, Fechas_Estado!A:AE,22,0),12,8)</f>
        <v/>
      </c>
      <c r="P131" t="str">
        <f t="shared" si="24"/>
        <v xml:space="preserve"> </v>
      </c>
      <c r="Q131" t="str">
        <f>LEFT(VLOOKUP(A131, Fechas_Estado!A:AE,23,0),10)</f>
        <v/>
      </c>
      <c r="R131" t="str">
        <f>MID(VLOOKUP(A131, Fechas_Estado!A:AE,23,0),12,8)</f>
        <v/>
      </c>
      <c r="S131" t="str">
        <f t="shared" si="25"/>
        <v xml:space="preserve"> </v>
      </c>
      <c r="T131" t="str">
        <f>LEFT(VLOOKUP(A131, Fechas_Estado!A:AE,24,0),10)</f>
        <v/>
      </c>
      <c r="U131" t="str">
        <f>MID(VLOOKUP(A131, Fechas_Estado!A:AE,24,0),12,8)</f>
        <v/>
      </c>
      <c r="V131" t="str">
        <f t="shared" si="26"/>
        <v xml:space="preserve"> </v>
      </c>
      <c r="W131" t="str">
        <f>LEFT(VLOOKUP(A131, Fechas_Estado!A:AE,25,0),10)</f>
        <v>2024-04-10</v>
      </c>
      <c r="X131" t="str">
        <f>MID(VLOOKUP(A131, Fechas_Estado!A:AE,25,0),12,8)</f>
        <v>09:24:29</v>
      </c>
      <c r="Y131" t="str">
        <f t="shared" si="27"/>
        <v>2024-04-10 09:24:29</v>
      </c>
      <c r="Z131" t="str">
        <f>LEFT(VLOOKUP(A131, Fechas_Estado!A:AE,26,0),10)</f>
        <v>2024-04-12</v>
      </c>
      <c r="AA131" t="str">
        <f>MID(VLOOKUP(A131, Fechas_Estado!A:AE,26,0),12,8)</f>
        <v>09:39:38</v>
      </c>
      <c r="AB131" t="str">
        <f t="shared" si="28"/>
        <v>2024-04-12 09:39:38</v>
      </c>
      <c r="AC131" t="str">
        <f>LEFT(VLOOKUP(A131, Fechas_Estado!A:AE,27,0),10)</f>
        <v/>
      </c>
      <c r="AD131" t="str">
        <f>MID(VLOOKUP(A131, Fechas_Estado!A:AE,27,0),12,8)</f>
        <v/>
      </c>
      <c r="AE131" t="str">
        <f t="shared" si="29"/>
        <v xml:space="preserve"> </v>
      </c>
      <c r="AF131" t="str">
        <f>LEFT(VLOOKUP(A131, Fechas_Estado!A:AF,28,0),10)</f>
        <v/>
      </c>
      <c r="AG131" t="str">
        <f>MID(VLOOKUP(A131, Fechas_Estado!A:AF,28,0),12,8)</f>
        <v/>
      </c>
      <c r="AH131" t="str">
        <f t="shared" si="30"/>
        <v xml:space="preserve"> </v>
      </c>
      <c r="AI131" t="str">
        <f>LEFT(VLOOKUP(A131, Fechas_Estado!A:AF,16,0),10)</f>
        <v/>
      </c>
      <c r="AJ131" t="str">
        <f>MID(VLOOKUP(A131, Fechas_Estado!A:AF,16,0),12,8)</f>
        <v/>
      </c>
      <c r="AK131" t="str">
        <f t="shared" si="31"/>
        <v xml:space="preserve"> </v>
      </c>
      <c r="AL131" t="e">
        <f t="shared" si="32"/>
        <v>#VALUE!</v>
      </c>
      <c r="AM131" t="str">
        <f>LEFT(VLOOKUP(A131, Fechas_Estado!A:AE,8,0),10)</f>
        <v/>
      </c>
      <c r="AN131" t="str">
        <f>MID(VLOOKUP(A131, Fechas_Estado!A:AE,8,0),12,8)</f>
        <v/>
      </c>
      <c r="AO131" t="str">
        <f t="shared" si="33"/>
        <v xml:space="preserve"> </v>
      </c>
      <c r="AP131" t="str">
        <f>LEFT(VLOOKUP(A131, Fechas_Estado!A:AE,7,0),10)</f>
        <v/>
      </c>
      <c r="AQ131" t="str">
        <f>MID(VLOOKUP(A131, Fechas_Estado!A:AE,7,0),12,8)</f>
        <v/>
      </c>
      <c r="AR131" t="str">
        <f t="shared" si="34"/>
        <v xml:space="preserve"> </v>
      </c>
      <c r="AS131" t="str">
        <f>LEFT(VLOOKUP(A131, Fechas_Estado!A:AE,10,0),10)</f>
        <v/>
      </c>
      <c r="AT131" t="str">
        <f>MID(VLOOKUP(A131, Fechas_Estado!A:AE,10,0),12,8)</f>
        <v/>
      </c>
      <c r="AU131" t="str">
        <f t="shared" si="35"/>
        <v xml:space="preserve"> </v>
      </c>
      <c r="AV131" t="str">
        <f>LEFT(VLOOKUP(A131, Fechas_Estado!A:AE,17,0),10)</f>
        <v/>
      </c>
      <c r="AW131" t="str">
        <f>MID(VLOOKUP(A131, Fechas_Estado!A:AE,17,0),12,8)</f>
        <v/>
      </c>
      <c r="AX131" t="str">
        <f t="shared" si="36"/>
        <v xml:space="preserve"> </v>
      </c>
      <c r="AY131" t="e">
        <f t="shared" si="37"/>
        <v>#VALUE!</v>
      </c>
      <c r="AZ131" t="str">
        <f>LEFT(VLOOKUP(A131, Fechas_Estado!A:AE,5,0),10)</f>
        <v>2024-04-17</v>
      </c>
      <c r="BA131" t="str">
        <f>MID(VLOOKUP(A131, Fechas_Estado!A:AE,5,0),12,8)</f>
        <v>09:43:02</v>
      </c>
      <c r="BB131" t="str">
        <f t="shared" si="38"/>
        <v>2024-04-17 09:43:02</v>
      </c>
      <c r="BC131" t="e">
        <f t="shared" si="39"/>
        <v>#VALUE!</v>
      </c>
    </row>
    <row r="132" spans="1:55" x14ac:dyDescent="0.25">
      <c r="A132" t="str">
        <f>Fechas_Estado!A131</f>
        <v>ESPC360-6932</v>
      </c>
      <c r="B132" t="str">
        <f>LEFT(VLOOKUP(A132,Fechas_Estado!A:AE,2,0),10)</f>
        <v>2024-04-12</v>
      </c>
      <c r="C132" t="str">
        <f>MID(VLOOKUP(A132, Fechas_Estado!A:AE,2,0),12,8)</f>
        <v>14:00:18</v>
      </c>
      <c r="D132" t="str">
        <f t="shared" ref="D132:D172" si="40">_xlfn.CONCAT(B132," ",C132)</f>
        <v>2024-04-12 14:00:18</v>
      </c>
      <c r="E132" t="str">
        <f>LEFT(VLOOKUP(A132, Fechas_Estado!A:AE,19,0),10)</f>
        <v>2024-04-12</v>
      </c>
      <c r="F132" t="str">
        <f>MID(VLOOKUP(A132, Fechas_Estado!A:AE,19,0),12,8)</f>
        <v>14:00:36</v>
      </c>
      <c r="G132" t="str">
        <f t="shared" ref="G132:G172" si="41">_xlfn.CONCAT(E132," ",F132)</f>
        <v>2024-04-12 14:00:36</v>
      </c>
      <c r="H132" t="str">
        <f>LEFT(VLOOKUP(A132, Fechas_Estado!A:AE,20,0),10)</f>
        <v>2024-04-12</v>
      </c>
      <c r="I132" t="str">
        <f>MID(VLOOKUP(A132, Fechas_Estado!A:AE,20,0),12,8)</f>
        <v>14:00:39</v>
      </c>
      <c r="J132" t="str">
        <f t="shared" ref="J132:J172" si="42">_xlfn.CONCAT(H132," ",I132)</f>
        <v>2024-04-12 14:00:39</v>
      </c>
      <c r="K132" t="str">
        <f>LEFT(VLOOKUP(A132, Fechas_Estado!A:AE,21,0),10)</f>
        <v/>
      </c>
      <c r="L132" t="str">
        <f>MID(VLOOKUP(A132, Fechas_Estado!A:AE,21,0),12,8)</f>
        <v/>
      </c>
      <c r="M132" t="str">
        <f t="shared" ref="M132:M172" si="43">_xlfn.CONCAT(K132," ",L132)</f>
        <v xml:space="preserve"> </v>
      </c>
      <c r="N132" t="str">
        <f>LEFT(VLOOKUP(A132, Fechas_Estado!A:AE,22,0),10)</f>
        <v/>
      </c>
      <c r="O132" t="str">
        <f>MID(VLOOKUP(A132, Fechas_Estado!A:AE,22,0),12,8)</f>
        <v/>
      </c>
      <c r="P132" t="str">
        <f t="shared" ref="P132:P172" si="44">_xlfn.CONCAT(N132," ",O132)</f>
        <v xml:space="preserve"> </v>
      </c>
      <c r="Q132" t="str">
        <f>LEFT(VLOOKUP(A132, Fechas_Estado!A:AE,23,0),10)</f>
        <v/>
      </c>
      <c r="R132" t="str">
        <f>MID(VLOOKUP(A132, Fechas_Estado!A:AE,23,0),12,8)</f>
        <v/>
      </c>
      <c r="S132" t="str">
        <f t="shared" ref="S132:S172" si="45">_xlfn.CONCAT(Q132," ",R132)</f>
        <v xml:space="preserve"> </v>
      </c>
      <c r="T132" t="str">
        <f>LEFT(VLOOKUP(A132, Fechas_Estado!A:AE,24,0),10)</f>
        <v/>
      </c>
      <c r="U132" t="str">
        <f>MID(VLOOKUP(A132, Fechas_Estado!A:AE,24,0),12,8)</f>
        <v/>
      </c>
      <c r="V132" t="str">
        <f t="shared" ref="V132:V172" si="46">_xlfn.CONCAT(T132," ",U132)</f>
        <v xml:space="preserve"> </v>
      </c>
      <c r="W132" t="str">
        <f>LEFT(VLOOKUP(A132, Fechas_Estado!A:AE,25,0),10)</f>
        <v>2024-04-15</v>
      </c>
      <c r="X132" t="str">
        <f>MID(VLOOKUP(A132, Fechas_Estado!A:AE,25,0),12,8)</f>
        <v>09:37:58</v>
      </c>
      <c r="Y132" t="str">
        <f t="shared" ref="Y132:Y172" si="47">_xlfn.CONCAT(W132," ",X132)</f>
        <v>2024-04-15 09:37:58</v>
      </c>
      <c r="Z132" t="str">
        <f>LEFT(VLOOKUP(A132, Fechas_Estado!A:AE,26,0),10)</f>
        <v>2024-04-22</v>
      </c>
      <c r="AA132" t="str">
        <f>MID(VLOOKUP(A132, Fechas_Estado!A:AE,26,0),12,8)</f>
        <v>09:37:14</v>
      </c>
      <c r="AB132" t="str">
        <f t="shared" ref="AB132:AB172" si="48">_xlfn.CONCAT(Z132," ",AA132)</f>
        <v>2024-04-22 09:37:14</v>
      </c>
      <c r="AC132" t="str">
        <f>LEFT(VLOOKUP(A132, Fechas_Estado!A:AE,27,0),10)</f>
        <v>2024-04-25</v>
      </c>
      <c r="AD132" t="str">
        <f>MID(VLOOKUP(A132, Fechas_Estado!A:AE,27,0),12,8)</f>
        <v>09:43:34</v>
      </c>
      <c r="AE132" t="str">
        <f t="shared" ref="AE132:AE172" si="49">_xlfn.CONCAT(AC132," ",AD132)</f>
        <v>2024-04-25 09:43:34</v>
      </c>
      <c r="AF132" t="str">
        <f>LEFT(VLOOKUP(A132, Fechas_Estado!A:AF,28,0),10)</f>
        <v/>
      </c>
      <c r="AG132" t="str">
        <f>MID(VLOOKUP(A132, Fechas_Estado!A:AF,28,0),12,8)</f>
        <v/>
      </c>
      <c r="AH132" t="str">
        <f t="shared" ref="AH132:AH172" si="50">_xlfn.CONCAT(AF132," ",AG132)</f>
        <v xml:space="preserve"> </v>
      </c>
      <c r="AI132" t="str">
        <f>LEFT(VLOOKUP(A132, Fechas_Estado!A:AF,16,0),10)</f>
        <v>2024-04-30</v>
      </c>
      <c r="AJ132" t="str">
        <f>MID(VLOOKUP(A132, Fechas_Estado!A:AF,16,0),12,8)</f>
        <v>11:48:51</v>
      </c>
      <c r="AK132" t="str">
        <f t="shared" ref="AK132:AK172" si="51">_xlfn.CONCAT(AI132," ",AJ132)</f>
        <v>2024-04-30 11:48:51</v>
      </c>
      <c r="AL132">
        <f t="shared" ref="AL132:AL172" si="52">AK132-D132</f>
        <v>17.908715277779265</v>
      </c>
      <c r="AM132" t="str">
        <f>LEFT(VLOOKUP(A132, Fechas_Estado!A:AE,8,0),10)</f>
        <v>2024-04-30</v>
      </c>
      <c r="AN132" t="str">
        <f>MID(VLOOKUP(A132, Fechas_Estado!A:AE,8,0),12,8)</f>
        <v>11:48:58</v>
      </c>
      <c r="AO132" t="str">
        <f t="shared" ref="AO132:AO172" si="53">_xlfn.CONCAT(AM132," ",AN132)</f>
        <v>2024-04-30 11:48:58</v>
      </c>
      <c r="AP132" t="str">
        <f>LEFT(VLOOKUP(A132, Fechas_Estado!A:AE,7,0),10)</f>
        <v>2024-04-30</v>
      </c>
      <c r="AQ132" t="str">
        <f>MID(VLOOKUP(A132, Fechas_Estado!A:AE,7,0),12,8)</f>
        <v>11:49:01</v>
      </c>
      <c r="AR132" t="str">
        <f t="shared" ref="AR132:AR172" si="54">_xlfn.CONCAT(AP132," ",AQ132)</f>
        <v>2024-04-30 11:49:01</v>
      </c>
      <c r="AS132" t="str">
        <f>LEFT(VLOOKUP(A132, Fechas_Estado!A:AE,10,0),10)</f>
        <v/>
      </c>
      <c r="AT132" t="str">
        <f>MID(VLOOKUP(A132, Fechas_Estado!A:AE,10,0),12,8)</f>
        <v/>
      </c>
      <c r="AU132" t="str">
        <f t="shared" ref="AU132:AU172" si="55">_xlfn.CONCAT(AS132," ",AT132)</f>
        <v xml:space="preserve"> </v>
      </c>
      <c r="AV132" t="str">
        <f>LEFT(VLOOKUP(A132, Fechas_Estado!A:AE,17,0),10)</f>
        <v/>
      </c>
      <c r="AW132" t="str">
        <f>MID(VLOOKUP(A132, Fechas_Estado!A:AE,17,0),12,8)</f>
        <v/>
      </c>
      <c r="AX132" t="str">
        <f t="shared" ref="AX132:AX172" si="56">_xlfn.CONCAT(AV132," ",AW132)</f>
        <v xml:space="preserve"> </v>
      </c>
      <c r="AY132" t="e">
        <f t="shared" ref="AY132:AY172" si="57">AX132-AO132</f>
        <v>#VALUE!</v>
      </c>
      <c r="AZ132" t="str">
        <f>LEFT(VLOOKUP(A132, Fechas_Estado!A:AE,5,0),10)</f>
        <v>2024-05-07</v>
      </c>
      <c r="BA132" t="str">
        <f>MID(VLOOKUP(A132, Fechas_Estado!A:AE,5,0),12,8)</f>
        <v>17:37:04</v>
      </c>
      <c r="BB132" t="str">
        <f t="shared" ref="BB132:BB172" si="58">_xlfn.CONCAT(AZ132," ",BA132)</f>
        <v>2024-05-07 17:37:04</v>
      </c>
      <c r="BC132" t="e">
        <f t="shared" ref="BC132:BC172" si="59">BB132-AX132</f>
        <v>#VALUE!</v>
      </c>
    </row>
    <row r="133" spans="1:55" x14ac:dyDescent="0.25">
      <c r="A133" t="str">
        <f>Fechas_Estado!A132</f>
        <v>ESPC360-7214</v>
      </c>
      <c r="B133" t="str">
        <f>LEFT(VLOOKUP(A133,Fechas_Estado!A:AE,2,0),10)</f>
        <v>2024-04-23</v>
      </c>
      <c r="C133" t="str">
        <f>MID(VLOOKUP(A133, Fechas_Estado!A:AE,2,0),12,8)</f>
        <v>09:28:42</v>
      </c>
      <c r="D133" t="str">
        <f t="shared" si="40"/>
        <v>2024-04-23 09:28:42</v>
      </c>
      <c r="E133" t="str">
        <f>LEFT(VLOOKUP(A133, Fechas_Estado!A:AE,19,0),10)</f>
        <v>2024-04-23</v>
      </c>
      <c r="F133" t="str">
        <f>MID(VLOOKUP(A133, Fechas_Estado!A:AE,19,0),12,8)</f>
        <v>09:32:40</v>
      </c>
      <c r="G133" t="str">
        <f t="shared" si="41"/>
        <v>2024-04-23 09:32:40</v>
      </c>
      <c r="H133" t="str">
        <f>LEFT(VLOOKUP(A133, Fechas_Estado!A:AE,20,0),10)</f>
        <v>2024-04-23</v>
      </c>
      <c r="I133" t="str">
        <f>MID(VLOOKUP(A133, Fechas_Estado!A:AE,20,0),12,8)</f>
        <v>09:32:45</v>
      </c>
      <c r="J133" t="str">
        <f t="shared" si="42"/>
        <v>2024-04-23 09:32:45</v>
      </c>
      <c r="K133" t="str">
        <f>LEFT(VLOOKUP(A133, Fechas_Estado!A:AE,21,0),10)</f>
        <v>2024-04-23</v>
      </c>
      <c r="L133" t="str">
        <f>MID(VLOOKUP(A133, Fechas_Estado!A:AE,21,0),12,8)</f>
        <v>09:32:52</v>
      </c>
      <c r="M133" t="str">
        <f t="shared" si="43"/>
        <v>2024-04-23 09:32:52</v>
      </c>
      <c r="N133" t="str">
        <f>LEFT(VLOOKUP(A133, Fechas_Estado!A:AE,22,0),10)</f>
        <v>2024-04-23</v>
      </c>
      <c r="O133" t="str">
        <f>MID(VLOOKUP(A133, Fechas_Estado!A:AE,22,0),12,8)</f>
        <v>09:32:57</v>
      </c>
      <c r="P133" t="str">
        <f t="shared" si="44"/>
        <v>2024-04-23 09:32:57</v>
      </c>
      <c r="Q133" t="str">
        <f>LEFT(VLOOKUP(A133, Fechas_Estado!A:AE,23,0),10)</f>
        <v>2024-05-06</v>
      </c>
      <c r="R133" t="str">
        <f>MID(VLOOKUP(A133, Fechas_Estado!A:AE,23,0),12,8)</f>
        <v>17:30:32</v>
      </c>
      <c r="S133" t="str">
        <f t="shared" si="45"/>
        <v>2024-05-06 17:30:32</v>
      </c>
      <c r="T133" t="str">
        <f>LEFT(VLOOKUP(A133, Fechas_Estado!A:AE,24,0),10)</f>
        <v>2024-05-09</v>
      </c>
      <c r="U133" t="str">
        <f>MID(VLOOKUP(A133, Fechas_Estado!A:AE,24,0),12,8)</f>
        <v>11:49:29</v>
      </c>
      <c r="V133" t="str">
        <f t="shared" si="46"/>
        <v>2024-05-09 11:49:29</v>
      </c>
      <c r="W133" t="str">
        <f>LEFT(VLOOKUP(A133, Fechas_Estado!A:AE,25,0),10)</f>
        <v>2024-05-09</v>
      </c>
      <c r="X133" t="str">
        <f>MID(VLOOKUP(A133, Fechas_Estado!A:AE,25,0),12,8)</f>
        <v>11:49:32</v>
      </c>
      <c r="Y133" t="str">
        <f t="shared" si="47"/>
        <v>2024-05-09 11:49:32</v>
      </c>
      <c r="Z133" t="str">
        <f>LEFT(VLOOKUP(A133, Fechas_Estado!A:AE,26,0),10)</f>
        <v>2024-05-10</v>
      </c>
      <c r="AA133" t="str">
        <f>MID(VLOOKUP(A133, Fechas_Estado!A:AE,26,0),12,8)</f>
        <v>08:39:17</v>
      </c>
      <c r="AB133" t="str">
        <f t="shared" si="48"/>
        <v>2024-05-10 08:39:17</v>
      </c>
      <c r="AC133" t="str">
        <f>LEFT(VLOOKUP(A133, Fechas_Estado!A:AE,27,0),10)</f>
        <v/>
      </c>
      <c r="AD133" t="str">
        <f>MID(VLOOKUP(A133, Fechas_Estado!A:AE,27,0),12,8)</f>
        <v/>
      </c>
      <c r="AE133" t="str">
        <f t="shared" si="49"/>
        <v xml:space="preserve"> </v>
      </c>
      <c r="AF133" t="str">
        <f>LEFT(VLOOKUP(A133, Fechas_Estado!A:AF,28,0),10)</f>
        <v/>
      </c>
      <c r="AG133" t="str">
        <f>MID(VLOOKUP(A133, Fechas_Estado!A:AF,28,0),12,8)</f>
        <v/>
      </c>
      <c r="AH133" t="str">
        <f t="shared" si="50"/>
        <v xml:space="preserve"> </v>
      </c>
      <c r="AI133" t="str">
        <f>LEFT(VLOOKUP(A133, Fechas_Estado!A:AF,16,0),10)</f>
        <v>2024-05-14</v>
      </c>
      <c r="AJ133" t="str">
        <f>MID(VLOOKUP(A133, Fechas_Estado!A:AF,16,0),12,8)</f>
        <v>11:34:50</v>
      </c>
      <c r="AK133" t="str">
        <f t="shared" si="51"/>
        <v>2024-05-14 11:34:50</v>
      </c>
      <c r="AL133">
        <f t="shared" si="52"/>
        <v>21.087592592586589</v>
      </c>
      <c r="AM133" t="str">
        <f>LEFT(VLOOKUP(A133, Fechas_Estado!A:AE,8,0),10)</f>
        <v>2024-05-20</v>
      </c>
      <c r="AN133" t="str">
        <f>MID(VLOOKUP(A133, Fechas_Estado!A:AE,8,0),12,8)</f>
        <v>08:34:02</v>
      </c>
      <c r="AO133" t="str">
        <f t="shared" si="53"/>
        <v>2024-05-20 08:34:02</v>
      </c>
      <c r="AP133" t="str">
        <f>LEFT(VLOOKUP(A133, Fechas_Estado!A:AE,7,0),10)</f>
        <v>2024-06-06</v>
      </c>
      <c r="AQ133" t="str">
        <f>MID(VLOOKUP(A133, Fechas_Estado!A:AE,7,0),12,8)</f>
        <v>09:19:44</v>
      </c>
      <c r="AR133" t="str">
        <f t="shared" si="54"/>
        <v>2024-06-06 09:19:44</v>
      </c>
      <c r="AS133" t="str">
        <f>LEFT(VLOOKUP(A133, Fechas_Estado!A:AE,10,0),10)</f>
        <v>2024-06-06</v>
      </c>
      <c r="AT133" t="str">
        <f>MID(VLOOKUP(A133, Fechas_Estado!A:AE,10,0),12,8)</f>
        <v>09:19:53</v>
      </c>
      <c r="AU133" t="str">
        <f t="shared" si="55"/>
        <v>2024-06-06 09:19:53</v>
      </c>
      <c r="AV133" t="str">
        <f>LEFT(VLOOKUP(A133, Fechas_Estado!A:AE,17,0),10)</f>
        <v>2024-06-26</v>
      </c>
      <c r="AW133" t="str">
        <f>MID(VLOOKUP(A133, Fechas_Estado!A:AE,17,0),12,8)</f>
        <v>09:16:20</v>
      </c>
      <c r="AX133" t="str">
        <f t="shared" si="56"/>
        <v>2024-06-26 09:16:20</v>
      </c>
      <c r="AY133">
        <f t="shared" si="57"/>
        <v>37.02937500000553</v>
      </c>
      <c r="AZ133" t="str">
        <f>LEFT(VLOOKUP(A133, Fechas_Estado!A:AE,5,0),10)</f>
        <v>2024-07-11</v>
      </c>
      <c r="BA133" t="str">
        <f>MID(VLOOKUP(A133, Fechas_Estado!A:AE,5,0),12,8)</f>
        <v>11:29:21</v>
      </c>
      <c r="BB133" t="str">
        <f t="shared" si="58"/>
        <v>2024-07-11 11:29:21</v>
      </c>
      <c r="BC133">
        <f t="shared" si="59"/>
        <v>15.092372685183364</v>
      </c>
    </row>
    <row r="134" spans="1:55" x14ac:dyDescent="0.25">
      <c r="A134" t="str">
        <f>Fechas_Estado!A133</f>
        <v>ESPC360-7215</v>
      </c>
      <c r="B134" t="str">
        <f>LEFT(VLOOKUP(A134,Fechas_Estado!A:AE,2,0),10)</f>
        <v>2024-04-23</v>
      </c>
      <c r="C134" t="str">
        <f>MID(VLOOKUP(A134, Fechas_Estado!A:AE,2,0),12,8)</f>
        <v>09:42:12</v>
      </c>
      <c r="D134" t="str">
        <f t="shared" si="40"/>
        <v>2024-04-23 09:42:12</v>
      </c>
      <c r="E134" t="str">
        <f>LEFT(VLOOKUP(A134, Fechas_Estado!A:AE,19,0),10)</f>
        <v>2024-04-23</v>
      </c>
      <c r="F134" t="str">
        <f>MID(VLOOKUP(A134, Fechas_Estado!A:AE,19,0),12,8)</f>
        <v>09:48:13</v>
      </c>
      <c r="G134" t="str">
        <f t="shared" si="41"/>
        <v>2024-04-23 09:48:13</v>
      </c>
      <c r="H134" t="str">
        <f>LEFT(VLOOKUP(A134, Fechas_Estado!A:AE,20,0),10)</f>
        <v>2024-04-23</v>
      </c>
      <c r="I134" t="str">
        <f>MID(VLOOKUP(A134, Fechas_Estado!A:AE,20,0),12,8)</f>
        <v>09:48:18</v>
      </c>
      <c r="J134" t="str">
        <f t="shared" si="42"/>
        <v>2024-04-23 09:48:18</v>
      </c>
      <c r="K134" t="str">
        <f>LEFT(VLOOKUP(A134, Fechas_Estado!A:AE,21,0),10)</f>
        <v/>
      </c>
      <c r="L134" t="str">
        <f>MID(VLOOKUP(A134, Fechas_Estado!A:AE,21,0),12,8)</f>
        <v/>
      </c>
      <c r="M134" t="str">
        <f t="shared" si="43"/>
        <v xml:space="preserve"> </v>
      </c>
      <c r="N134" t="str">
        <f>LEFT(VLOOKUP(A134, Fechas_Estado!A:AE,22,0),10)</f>
        <v/>
      </c>
      <c r="O134" t="str">
        <f>MID(VLOOKUP(A134, Fechas_Estado!A:AE,22,0),12,8)</f>
        <v/>
      </c>
      <c r="P134" t="str">
        <f t="shared" si="44"/>
        <v xml:space="preserve"> </v>
      </c>
      <c r="Q134" t="str">
        <f>LEFT(VLOOKUP(A134, Fechas_Estado!A:AE,23,0),10)</f>
        <v/>
      </c>
      <c r="R134" t="str">
        <f>MID(VLOOKUP(A134, Fechas_Estado!A:AE,23,0),12,8)</f>
        <v/>
      </c>
      <c r="S134" t="str">
        <f t="shared" si="45"/>
        <v xml:space="preserve"> </v>
      </c>
      <c r="T134" t="str">
        <f>LEFT(VLOOKUP(A134, Fechas_Estado!A:AE,24,0),10)</f>
        <v/>
      </c>
      <c r="U134" t="str">
        <f>MID(VLOOKUP(A134, Fechas_Estado!A:AE,24,0),12,8)</f>
        <v/>
      </c>
      <c r="V134" t="str">
        <f t="shared" si="46"/>
        <v xml:space="preserve"> </v>
      </c>
      <c r="W134" t="str">
        <f>LEFT(VLOOKUP(A134, Fechas_Estado!A:AE,25,0),10)</f>
        <v>2024-04-23</v>
      </c>
      <c r="X134" t="str">
        <f>MID(VLOOKUP(A134, Fechas_Estado!A:AE,25,0),12,8)</f>
        <v>10:30:34</v>
      </c>
      <c r="Y134" t="str">
        <f t="shared" si="47"/>
        <v>2024-04-23 10:30:34</v>
      </c>
      <c r="Z134" t="str">
        <f>LEFT(VLOOKUP(A134, Fechas_Estado!A:AE,26,0),10)</f>
        <v>2024-04-30</v>
      </c>
      <c r="AA134" t="str">
        <f>MID(VLOOKUP(A134, Fechas_Estado!A:AE,26,0),12,8)</f>
        <v>09:47:39</v>
      </c>
      <c r="AB134" t="str">
        <f t="shared" si="48"/>
        <v>2024-04-30 09:47:39</v>
      </c>
      <c r="AC134" t="str">
        <f>LEFT(VLOOKUP(A134, Fechas_Estado!A:AE,27,0),10)</f>
        <v>2024-05-07</v>
      </c>
      <c r="AD134" t="str">
        <f>MID(VLOOKUP(A134, Fechas_Estado!A:AE,27,0),12,8)</f>
        <v>17:34:41</v>
      </c>
      <c r="AE134" t="str">
        <f t="shared" si="49"/>
        <v>2024-05-07 17:34:41</v>
      </c>
      <c r="AF134" t="str">
        <f>LEFT(VLOOKUP(A134, Fechas_Estado!A:AF,28,0),10)</f>
        <v/>
      </c>
      <c r="AG134" t="str">
        <f>MID(VLOOKUP(A134, Fechas_Estado!A:AF,28,0),12,8)</f>
        <v/>
      </c>
      <c r="AH134" t="str">
        <f t="shared" si="50"/>
        <v xml:space="preserve"> </v>
      </c>
      <c r="AI134" t="str">
        <f>LEFT(VLOOKUP(A134, Fechas_Estado!A:AF,16,0),10)</f>
        <v>2024-05-08</v>
      </c>
      <c r="AJ134" t="str">
        <f>MID(VLOOKUP(A134, Fechas_Estado!A:AF,16,0),12,8)</f>
        <v>11:55:16</v>
      </c>
      <c r="AK134" t="str">
        <f t="shared" si="51"/>
        <v>2024-05-08 11:55:16</v>
      </c>
      <c r="AL134">
        <f t="shared" si="52"/>
        <v>15.092407407413702</v>
      </c>
      <c r="AM134" t="str">
        <f>LEFT(VLOOKUP(A134, Fechas_Estado!A:AE,8,0),10)</f>
        <v>2024-05-08</v>
      </c>
      <c r="AN134" t="str">
        <f>MID(VLOOKUP(A134, Fechas_Estado!A:AE,8,0),12,8)</f>
        <v>15:18:35</v>
      </c>
      <c r="AO134" t="str">
        <f t="shared" si="53"/>
        <v>2024-05-08 15:18:35</v>
      </c>
      <c r="AP134" t="str">
        <f>LEFT(VLOOKUP(A134, Fechas_Estado!A:AE,7,0),10)</f>
        <v>2024-05-08</v>
      </c>
      <c r="AQ134" t="str">
        <f>MID(VLOOKUP(A134, Fechas_Estado!A:AE,7,0),12,8)</f>
        <v>15:18:50</v>
      </c>
      <c r="AR134" t="str">
        <f t="shared" si="54"/>
        <v>2024-05-08 15:18:50</v>
      </c>
      <c r="AS134" t="str">
        <f>LEFT(VLOOKUP(A134, Fechas_Estado!A:AE,10,0),10)</f>
        <v>2024-05-13</v>
      </c>
      <c r="AT134" t="str">
        <f>MID(VLOOKUP(A134, Fechas_Estado!A:AE,10,0),12,8)</f>
        <v>09:25:01</v>
      </c>
      <c r="AU134" t="str">
        <f t="shared" si="55"/>
        <v>2024-05-13 09:25:01</v>
      </c>
      <c r="AV134" t="str">
        <f>LEFT(VLOOKUP(A134, Fechas_Estado!A:AE,17,0),10)</f>
        <v>2024-05-13</v>
      </c>
      <c r="AW134" t="str">
        <f>MID(VLOOKUP(A134, Fechas_Estado!A:AE,17,0),12,8)</f>
        <v>09:26:23</v>
      </c>
      <c r="AX134" t="str">
        <f t="shared" si="56"/>
        <v>2024-05-13 09:26:23</v>
      </c>
      <c r="AY134">
        <f t="shared" si="57"/>
        <v>4.7554166666668607</v>
      </c>
      <c r="AZ134" t="str">
        <f>LEFT(VLOOKUP(A134, Fechas_Estado!A:AE,5,0),10)</f>
        <v>2024-05-16</v>
      </c>
      <c r="BA134" t="str">
        <f>MID(VLOOKUP(A134, Fechas_Estado!A:AE,5,0),12,8)</f>
        <v>15:25:18</v>
      </c>
      <c r="BB134" t="str">
        <f t="shared" si="58"/>
        <v>2024-05-16 15:25:18</v>
      </c>
      <c r="BC134">
        <f t="shared" si="59"/>
        <v>3.2492476851912215</v>
      </c>
    </row>
    <row r="135" spans="1:55" x14ac:dyDescent="0.25">
      <c r="A135" t="str">
        <f>Fechas_Estado!A134</f>
        <v>ESPC360-7315</v>
      </c>
      <c r="B135" t="str">
        <f>LEFT(VLOOKUP(A135,Fechas_Estado!A:AE,2,0),10)</f>
        <v>2024-04-26</v>
      </c>
      <c r="C135" t="str">
        <f>MID(VLOOKUP(A135, Fechas_Estado!A:AE,2,0),12,8)</f>
        <v>14:30:00</v>
      </c>
      <c r="D135" t="str">
        <f t="shared" si="40"/>
        <v>2024-04-26 14:30:00</v>
      </c>
      <c r="E135" t="str">
        <f>LEFT(VLOOKUP(A135, Fechas_Estado!A:AE,19,0),10)</f>
        <v>2024-04-26</v>
      </c>
      <c r="F135" t="str">
        <f>MID(VLOOKUP(A135, Fechas_Estado!A:AE,19,0),12,8)</f>
        <v>14:31:31</v>
      </c>
      <c r="G135" t="str">
        <f t="shared" si="41"/>
        <v>2024-04-26 14:31:31</v>
      </c>
      <c r="H135" t="str">
        <f>LEFT(VLOOKUP(A135, Fechas_Estado!A:AE,20,0),10)</f>
        <v/>
      </c>
      <c r="I135" t="str">
        <f>MID(VLOOKUP(A135, Fechas_Estado!A:AE,20,0),12,8)</f>
        <v/>
      </c>
      <c r="J135" t="str">
        <f t="shared" si="42"/>
        <v xml:space="preserve"> </v>
      </c>
      <c r="K135" t="str">
        <f>LEFT(VLOOKUP(A135, Fechas_Estado!A:AE,21,0),10)</f>
        <v/>
      </c>
      <c r="L135" t="str">
        <f>MID(VLOOKUP(A135, Fechas_Estado!A:AE,21,0),12,8)</f>
        <v/>
      </c>
      <c r="M135" t="str">
        <f t="shared" si="43"/>
        <v xml:space="preserve"> </v>
      </c>
      <c r="N135" t="str">
        <f>LEFT(VLOOKUP(A135, Fechas_Estado!A:AE,22,0),10)</f>
        <v/>
      </c>
      <c r="O135" t="str">
        <f>MID(VLOOKUP(A135, Fechas_Estado!A:AE,22,0),12,8)</f>
        <v/>
      </c>
      <c r="P135" t="str">
        <f t="shared" si="44"/>
        <v xml:space="preserve"> </v>
      </c>
      <c r="Q135" t="str">
        <f>LEFT(VLOOKUP(A135, Fechas_Estado!A:AE,23,0),10)</f>
        <v/>
      </c>
      <c r="R135" t="str">
        <f>MID(VLOOKUP(A135, Fechas_Estado!A:AE,23,0),12,8)</f>
        <v/>
      </c>
      <c r="S135" t="str">
        <f t="shared" si="45"/>
        <v xml:space="preserve"> </v>
      </c>
      <c r="T135" t="str">
        <f>LEFT(VLOOKUP(A135, Fechas_Estado!A:AE,24,0),10)</f>
        <v/>
      </c>
      <c r="U135" t="str">
        <f>MID(VLOOKUP(A135, Fechas_Estado!A:AE,24,0),12,8)</f>
        <v/>
      </c>
      <c r="V135" t="str">
        <f t="shared" si="46"/>
        <v xml:space="preserve"> </v>
      </c>
      <c r="W135" t="str">
        <f>LEFT(VLOOKUP(A135, Fechas_Estado!A:AE,25,0),10)</f>
        <v>2024-04-26</v>
      </c>
      <c r="X135" t="str">
        <f>MID(VLOOKUP(A135, Fechas_Estado!A:AE,25,0),12,8)</f>
        <v>14:31:38</v>
      </c>
      <c r="Y135" t="str">
        <f t="shared" si="47"/>
        <v>2024-04-26 14:31:38</v>
      </c>
      <c r="Z135" t="str">
        <f>LEFT(VLOOKUP(A135, Fechas_Estado!A:AE,26,0),10)</f>
        <v>2024-05-08</v>
      </c>
      <c r="AA135" t="str">
        <f>MID(VLOOKUP(A135, Fechas_Estado!A:AE,26,0),12,8)</f>
        <v>09:22:48</v>
      </c>
      <c r="AB135" t="str">
        <f t="shared" si="48"/>
        <v>2024-05-08 09:22:48</v>
      </c>
      <c r="AC135" t="str">
        <f>LEFT(VLOOKUP(A135, Fechas_Estado!A:AE,27,0),10)</f>
        <v>2024-05-09</v>
      </c>
      <c r="AD135" t="str">
        <f>MID(VLOOKUP(A135, Fechas_Estado!A:AE,27,0),12,8)</f>
        <v>15:42:22</v>
      </c>
      <c r="AE135" t="str">
        <f t="shared" si="49"/>
        <v>2024-05-09 15:42:22</v>
      </c>
      <c r="AF135" t="str">
        <f>LEFT(VLOOKUP(A135, Fechas_Estado!A:AF,28,0),10)</f>
        <v/>
      </c>
      <c r="AG135" t="str">
        <f>MID(VLOOKUP(A135, Fechas_Estado!A:AF,28,0),12,8)</f>
        <v/>
      </c>
      <c r="AH135" t="str">
        <f t="shared" si="50"/>
        <v xml:space="preserve"> </v>
      </c>
      <c r="AI135" t="str">
        <f>LEFT(VLOOKUP(A135, Fechas_Estado!A:AF,16,0),10)</f>
        <v/>
      </c>
      <c r="AJ135" t="str">
        <f>MID(VLOOKUP(A135, Fechas_Estado!A:AF,16,0),12,8)</f>
        <v/>
      </c>
      <c r="AK135" t="str">
        <f t="shared" si="51"/>
        <v xml:space="preserve"> </v>
      </c>
      <c r="AL135" t="e">
        <f t="shared" si="52"/>
        <v>#VALUE!</v>
      </c>
      <c r="AM135" t="str">
        <f>LEFT(VLOOKUP(A135, Fechas_Estado!A:AE,8,0),10)</f>
        <v/>
      </c>
      <c r="AN135" t="str">
        <f>MID(VLOOKUP(A135, Fechas_Estado!A:AE,8,0),12,8)</f>
        <v/>
      </c>
      <c r="AO135" t="str">
        <f t="shared" si="53"/>
        <v xml:space="preserve"> </v>
      </c>
      <c r="AP135" t="str">
        <f>LEFT(VLOOKUP(A135, Fechas_Estado!A:AE,7,0),10)</f>
        <v/>
      </c>
      <c r="AQ135" t="str">
        <f>MID(VLOOKUP(A135, Fechas_Estado!A:AE,7,0),12,8)</f>
        <v/>
      </c>
      <c r="AR135" t="str">
        <f t="shared" si="54"/>
        <v xml:space="preserve"> </v>
      </c>
      <c r="AS135" t="str">
        <f>LEFT(VLOOKUP(A135, Fechas_Estado!A:AE,10,0),10)</f>
        <v/>
      </c>
      <c r="AT135" t="str">
        <f>MID(VLOOKUP(A135, Fechas_Estado!A:AE,10,0),12,8)</f>
        <v/>
      </c>
      <c r="AU135" t="str">
        <f t="shared" si="55"/>
        <v xml:space="preserve"> </v>
      </c>
      <c r="AV135" t="str">
        <f>LEFT(VLOOKUP(A135, Fechas_Estado!A:AE,17,0),10)</f>
        <v/>
      </c>
      <c r="AW135" t="str">
        <f>MID(VLOOKUP(A135, Fechas_Estado!A:AE,17,0),12,8)</f>
        <v/>
      </c>
      <c r="AX135" t="str">
        <f t="shared" si="56"/>
        <v xml:space="preserve"> </v>
      </c>
      <c r="AY135" t="e">
        <f t="shared" si="57"/>
        <v>#VALUE!</v>
      </c>
      <c r="AZ135" t="str">
        <f>LEFT(VLOOKUP(A135, Fechas_Estado!A:AE,5,0),10)</f>
        <v>2024-05-10</v>
      </c>
      <c r="BA135" t="str">
        <f>MID(VLOOKUP(A135, Fechas_Estado!A:AE,5,0),12,8)</f>
        <v>09:23:44</v>
      </c>
      <c r="BB135" t="str">
        <f t="shared" si="58"/>
        <v>2024-05-10 09:23:44</v>
      </c>
      <c r="BC135" t="e">
        <f t="shared" si="59"/>
        <v>#VALUE!</v>
      </c>
    </row>
    <row r="136" spans="1:55" x14ac:dyDescent="0.25">
      <c r="A136" t="str">
        <f>Fechas_Estado!A135</f>
        <v>ESPC360-7601</v>
      </c>
      <c r="B136" t="str">
        <f>LEFT(VLOOKUP(A136,Fechas_Estado!A:AE,2,0),10)</f>
        <v>2024-05-06</v>
      </c>
      <c r="C136" t="str">
        <f>MID(VLOOKUP(A136, Fechas_Estado!A:AE,2,0),12,8)</f>
        <v>17:45:54</v>
      </c>
      <c r="D136" t="str">
        <f t="shared" si="40"/>
        <v>2024-05-06 17:45:54</v>
      </c>
      <c r="E136" t="str">
        <f>LEFT(VLOOKUP(A136, Fechas_Estado!A:AE,19,0),10)</f>
        <v/>
      </c>
      <c r="F136" t="str">
        <f>MID(VLOOKUP(A136, Fechas_Estado!A:AE,19,0),12,8)</f>
        <v/>
      </c>
      <c r="G136" t="str">
        <f t="shared" si="41"/>
        <v xml:space="preserve"> </v>
      </c>
      <c r="H136" t="str">
        <f>LEFT(VLOOKUP(A136, Fechas_Estado!A:AE,20,0),10)</f>
        <v/>
      </c>
      <c r="I136" t="str">
        <f>MID(VLOOKUP(A136, Fechas_Estado!A:AE,20,0),12,8)</f>
        <v/>
      </c>
      <c r="J136" t="str">
        <f t="shared" si="42"/>
        <v xml:space="preserve"> </v>
      </c>
      <c r="K136" t="str">
        <f>LEFT(VLOOKUP(A136, Fechas_Estado!A:AE,21,0),10)</f>
        <v/>
      </c>
      <c r="L136" t="str">
        <f>MID(VLOOKUP(A136, Fechas_Estado!A:AE,21,0),12,8)</f>
        <v/>
      </c>
      <c r="M136" t="str">
        <f t="shared" si="43"/>
        <v xml:space="preserve"> </v>
      </c>
      <c r="N136" t="str">
        <f>LEFT(VLOOKUP(A136, Fechas_Estado!A:AE,22,0),10)</f>
        <v/>
      </c>
      <c r="O136" t="str">
        <f>MID(VLOOKUP(A136, Fechas_Estado!A:AE,22,0),12,8)</f>
        <v/>
      </c>
      <c r="P136" t="str">
        <f t="shared" si="44"/>
        <v xml:space="preserve"> </v>
      </c>
      <c r="Q136" t="str">
        <f>LEFT(VLOOKUP(A136, Fechas_Estado!A:AE,23,0),10)</f>
        <v/>
      </c>
      <c r="R136" t="str">
        <f>MID(VLOOKUP(A136, Fechas_Estado!A:AE,23,0),12,8)</f>
        <v/>
      </c>
      <c r="S136" t="str">
        <f t="shared" si="45"/>
        <v xml:space="preserve"> </v>
      </c>
      <c r="T136" t="str">
        <f>LEFT(VLOOKUP(A136, Fechas_Estado!A:AE,24,0),10)</f>
        <v/>
      </c>
      <c r="U136" t="str">
        <f>MID(VLOOKUP(A136, Fechas_Estado!A:AE,24,0),12,8)</f>
        <v/>
      </c>
      <c r="V136" t="str">
        <f t="shared" si="46"/>
        <v xml:space="preserve"> </v>
      </c>
      <c r="W136" t="str">
        <f>LEFT(VLOOKUP(A136, Fechas_Estado!A:AE,25,0),10)</f>
        <v>2024-05-06</v>
      </c>
      <c r="X136" t="str">
        <f>MID(VLOOKUP(A136, Fechas_Estado!A:AE,25,0),12,8)</f>
        <v>17:46:29</v>
      </c>
      <c r="Y136" t="str">
        <f t="shared" si="47"/>
        <v>2024-05-06 17:46:29</v>
      </c>
      <c r="Z136" t="str">
        <f>LEFT(VLOOKUP(A136, Fechas_Estado!A:AE,26,0),10)</f>
        <v/>
      </c>
      <c r="AA136" t="str">
        <f>MID(VLOOKUP(A136, Fechas_Estado!A:AE,26,0),12,8)</f>
        <v/>
      </c>
      <c r="AB136" t="str">
        <f t="shared" si="48"/>
        <v xml:space="preserve"> </v>
      </c>
      <c r="AC136" t="str">
        <f>LEFT(VLOOKUP(A136, Fechas_Estado!A:AE,27,0),10)</f>
        <v/>
      </c>
      <c r="AD136" t="str">
        <f>MID(VLOOKUP(A136, Fechas_Estado!A:AE,27,0),12,8)</f>
        <v/>
      </c>
      <c r="AE136" t="str">
        <f t="shared" si="49"/>
        <v xml:space="preserve"> </v>
      </c>
      <c r="AF136" t="str">
        <f>LEFT(VLOOKUP(A136, Fechas_Estado!A:AF,28,0),10)</f>
        <v/>
      </c>
      <c r="AG136" t="str">
        <f>MID(VLOOKUP(A136, Fechas_Estado!A:AF,28,0),12,8)</f>
        <v/>
      </c>
      <c r="AH136" t="str">
        <f t="shared" si="50"/>
        <v xml:space="preserve"> </v>
      </c>
      <c r="AI136" t="str">
        <f>LEFT(VLOOKUP(A136, Fechas_Estado!A:AF,16,0),10)</f>
        <v>2024-05-06</v>
      </c>
      <c r="AJ136" t="str">
        <f>MID(VLOOKUP(A136, Fechas_Estado!A:AF,16,0),12,8)</f>
        <v>17:49:52</v>
      </c>
      <c r="AK136" t="str">
        <f t="shared" si="51"/>
        <v>2024-05-06 17:49:52</v>
      </c>
      <c r="AL136">
        <f t="shared" si="52"/>
        <v>2.7546296259970404E-3</v>
      </c>
      <c r="AM136" t="str">
        <f>LEFT(VLOOKUP(A136, Fechas_Estado!A:AE,8,0),10)</f>
        <v/>
      </c>
      <c r="AN136" t="str">
        <f>MID(VLOOKUP(A136, Fechas_Estado!A:AE,8,0),12,8)</f>
        <v/>
      </c>
      <c r="AO136" t="str">
        <f t="shared" si="53"/>
        <v xml:space="preserve"> </v>
      </c>
      <c r="AP136" t="str">
        <f>LEFT(VLOOKUP(A136, Fechas_Estado!A:AE,7,0),10)</f>
        <v/>
      </c>
      <c r="AQ136" t="str">
        <f>MID(VLOOKUP(A136, Fechas_Estado!A:AE,7,0),12,8)</f>
        <v/>
      </c>
      <c r="AR136" t="str">
        <f t="shared" si="54"/>
        <v xml:space="preserve"> </v>
      </c>
      <c r="AS136" t="str">
        <f>LEFT(VLOOKUP(A136, Fechas_Estado!A:AE,10,0),10)</f>
        <v/>
      </c>
      <c r="AT136" t="str">
        <f>MID(VLOOKUP(A136, Fechas_Estado!A:AE,10,0),12,8)</f>
        <v/>
      </c>
      <c r="AU136" t="str">
        <f t="shared" si="55"/>
        <v xml:space="preserve"> </v>
      </c>
      <c r="AV136" t="str">
        <f>LEFT(VLOOKUP(A136, Fechas_Estado!A:AE,17,0),10)</f>
        <v/>
      </c>
      <c r="AW136" t="str">
        <f>MID(VLOOKUP(A136, Fechas_Estado!A:AE,17,0),12,8)</f>
        <v/>
      </c>
      <c r="AX136" t="str">
        <f t="shared" si="56"/>
        <v xml:space="preserve"> </v>
      </c>
      <c r="AY136" t="e">
        <f t="shared" si="57"/>
        <v>#VALUE!</v>
      </c>
      <c r="AZ136" t="str">
        <f>LEFT(VLOOKUP(A136, Fechas_Estado!A:AE,5,0),10)</f>
        <v>2024-05-09</v>
      </c>
      <c r="BA136" t="str">
        <f>MID(VLOOKUP(A136, Fechas_Estado!A:AE,5,0),12,8)</f>
        <v>10:11:58</v>
      </c>
      <c r="BB136" t="str">
        <f t="shared" si="58"/>
        <v>2024-05-09 10:11:58</v>
      </c>
      <c r="BC136" t="e">
        <f t="shared" si="59"/>
        <v>#VALUE!</v>
      </c>
    </row>
    <row r="137" spans="1:55" x14ac:dyDescent="0.25">
      <c r="A137" t="str">
        <f>Fechas_Estado!A136</f>
        <v>ESPC360-7603</v>
      </c>
      <c r="B137" t="str">
        <f>LEFT(VLOOKUP(A137,Fechas_Estado!A:AE,2,0),10)</f>
        <v>2024-05-07</v>
      </c>
      <c r="C137" t="str">
        <f>MID(VLOOKUP(A137, Fechas_Estado!A:AE,2,0),12,8)</f>
        <v>09:34:46</v>
      </c>
      <c r="D137" t="str">
        <f t="shared" si="40"/>
        <v>2024-05-07 09:34:46</v>
      </c>
      <c r="E137" t="str">
        <f>LEFT(VLOOKUP(A137, Fechas_Estado!A:AE,19,0),10)</f>
        <v/>
      </c>
      <c r="F137" t="str">
        <f>MID(VLOOKUP(A137, Fechas_Estado!A:AE,19,0),12,8)</f>
        <v/>
      </c>
      <c r="G137" t="str">
        <f t="shared" si="41"/>
        <v xml:space="preserve"> </v>
      </c>
      <c r="H137" t="str">
        <f>LEFT(VLOOKUP(A137, Fechas_Estado!A:AE,20,0),10)</f>
        <v/>
      </c>
      <c r="I137" t="str">
        <f>MID(VLOOKUP(A137, Fechas_Estado!A:AE,20,0),12,8)</f>
        <v/>
      </c>
      <c r="J137" t="str">
        <f t="shared" si="42"/>
        <v xml:space="preserve"> </v>
      </c>
      <c r="K137" t="str">
        <f>LEFT(VLOOKUP(A137, Fechas_Estado!A:AE,21,0),10)</f>
        <v/>
      </c>
      <c r="L137" t="str">
        <f>MID(VLOOKUP(A137, Fechas_Estado!A:AE,21,0),12,8)</f>
        <v/>
      </c>
      <c r="M137" t="str">
        <f t="shared" si="43"/>
        <v xml:space="preserve"> </v>
      </c>
      <c r="N137" t="str">
        <f>LEFT(VLOOKUP(A137, Fechas_Estado!A:AE,22,0),10)</f>
        <v/>
      </c>
      <c r="O137" t="str">
        <f>MID(VLOOKUP(A137, Fechas_Estado!A:AE,22,0),12,8)</f>
        <v/>
      </c>
      <c r="P137" t="str">
        <f t="shared" si="44"/>
        <v xml:space="preserve"> </v>
      </c>
      <c r="Q137" t="str">
        <f>LEFT(VLOOKUP(A137, Fechas_Estado!A:AE,23,0),10)</f>
        <v/>
      </c>
      <c r="R137" t="str">
        <f>MID(VLOOKUP(A137, Fechas_Estado!A:AE,23,0),12,8)</f>
        <v/>
      </c>
      <c r="S137" t="str">
        <f t="shared" si="45"/>
        <v xml:space="preserve"> </v>
      </c>
      <c r="T137" t="str">
        <f>LEFT(VLOOKUP(A137, Fechas_Estado!A:AE,24,0),10)</f>
        <v/>
      </c>
      <c r="U137" t="str">
        <f>MID(VLOOKUP(A137, Fechas_Estado!A:AE,24,0),12,8)</f>
        <v/>
      </c>
      <c r="V137" t="str">
        <f t="shared" si="46"/>
        <v xml:space="preserve"> </v>
      </c>
      <c r="W137" t="str">
        <f>LEFT(VLOOKUP(A137, Fechas_Estado!A:AE,25,0),10)</f>
        <v>2024-05-07</v>
      </c>
      <c r="X137" t="str">
        <f>MID(VLOOKUP(A137, Fechas_Estado!A:AE,25,0),12,8)</f>
        <v>09:43:49</v>
      </c>
      <c r="Y137" t="str">
        <f t="shared" si="47"/>
        <v>2024-05-07 09:43:49</v>
      </c>
      <c r="Z137" t="str">
        <f>LEFT(VLOOKUP(A137, Fechas_Estado!A:AE,26,0),10)</f>
        <v>2024-06-12</v>
      </c>
      <c r="AA137" t="str">
        <f>MID(VLOOKUP(A137, Fechas_Estado!A:AE,26,0),12,8)</f>
        <v>16:18:00</v>
      </c>
      <c r="AB137" t="str">
        <f t="shared" si="48"/>
        <v>2024-06-12 16:18:00</v>
      </c>
      <c r="AC137" t="str">
        <f>LEFT(VLOOKUP(A137, Fechas_Estado!A:AE,27,0),10)</f>
        <v/>
      </c>
      <c r="AD137" t="str">
        <f>MID(VLOOKUP(A137, Fechas_Estado!A:AE,27,0),12,8)</f>
        <v/>
      </c>
      <c r="AE137" t="str">
        <f t="shared" si="49"/>
        <v xml:space="preserve"> </v>
      </c>
      <c r="AF137" t="str">
        <f>LEFT(VLOOKUP(A137, Fechas_Estado!A:AF,28,0),10)</f>
        <v/>
      </c>
      <c r="AG137" t="str">
        <f>MID(VLOOKUP(A137, Fechas_Estado!A:AF,28,0),12,8)</f>
        <v/>
      </c>
      <c r="AH137" t="str">
        <f t="shared" si="50"/>
        <v xml:space="preserve"> </v>
      </c>
      <c r="AI137" t="str">
        <f>LEFT(VLOOKUP(A137, Fechas_Estado!A:AF,16,0),10)</f>
        <v/>
      </c>
      <c r="AJ137" t="str">
        <f>MID(VLOOKUP(A137, Fechas_Estado!A:AF,16,0),12,8)</f>
        <v/>
      </c>
      <c r="AK137" t="str">
        <f t="shared" si="51"/>
        <v xml:space="preserve"> </v>
      </c>
      <c r="AL137" t="e">
        <f t="shared" si="52"/>
        <v>#VALUE!</v>
      </c>
      <c r="AM137" t="str">
        <f>LEFT(VLOOKUP(A137, Fechas_Estado!A:AE,8,0),10)</f>
        <v/>
      </c>
      <c r="AN137" t="str">
        <f>MID(VLOOKUP(A137, Fechas_Estado!A:AE,8,0),12,8)</f>
        <v/>
      </c>
      <c r="AO137" t="str">
        <f t="shared" si="53"/>
        <v xml:space="preserve"> </v>
      </c>
      <c r="AP137" t="str">
        <f>LEFT(VLOOKUP(A137, Fechas_Estado!A:AE,7,0),10)</f>
        <v/>
      </c>
      <c r="AQ137" t="str">
        <f>MID(VLOOKUP(A137, Fechas_Estado!A:AE,7,0),12,8)</f>
        <v/>
      </c>
      <c r="AR137" t="str">
        <f t="shared" si="54"/>
        <v xml:space="preserve"> </v>
      </c>
      <c r="AS137" t="str">
        <f>LEFT(VLOOKUP(A137, Fechas_Estado!A:AE,10,0),10)</f>
        <v/>
      </c>
      <c r="AT137" t="str">
        <f>MID(VLOOKUP(A137, Fechas_Estado!A:AE,10,0),12,8)</f>
        <v/>
      </c>
      <c r="AU137" t="str">
        <f t="shared" si="55"/>
        <v xml:space="preserve"> </v>
      </c>
      <c r="AV137" t="str">
        <f>LEFT(VLOOKUP(A137, Fechas_Estado!A:AE,17,0),10)</f>
        <v/>
      </c>
      <c r="AW137" t="str">
        <f>MID(VLOOKUP(A137, Fechas_Estado!A:AE,17,0),12,8)</f>
        <v/>
      </c>
      <c r="AX137" t="str">
        <f t="shared" si="56"/>
        <v xml:space="preserve"> </v>
      </c>
      <c r="AY137" t="e">
        <f t="shared" si="57"/>
        <v>#VALUE!</v>
      </c>
      <c r="AZ137" t="str">
        <f>LEFT(VLOOKUP(A137, Fechas_Estado!A:AE,5,0),10)</f>
        <v>2024-06-12</v>
      </c>
      <c r="BA137" t="str">
        <f>MID(VLOOKUP(A137, Fechas_Estado!A:AE,5,0),12,8)</f>
        <v>17:18:47</v>
      </c>
      <c r="BB137" t="str">
        <f t="shared" si="58"/>
        <v>2024-06-12 17:18:47</v>
      </c>
      <c r="BC137" t="e">
        <f t="shared" si="59"/>
        <v>#VALUE!</v>
      </c>
    </row>
    <row r="138" spans="1:55" x14ac:dyDescent="0.25">
      <c r="A138" t="str">
        <f>Fechas_Estado!A137</f>
        <v>ESPC360-7605</v>
      </c>
      <c r="B138" t="str">
        <f>LEFT(VLOOKUP(A138,Fechas_Estado!A:AE,2,0),10)</f>
        <v>2024-05-07</v>
      </c>
      <c r="C138" t="str">
        <f>MID(VLOOKUP(A138, Fechas_Estado!A:AE,2,0),12,8)</f>
        <v>11:13:50</v>
      </c>
      <c r="D138" t="str">
        <f t="shared" si="40"/>
        <v>2024-05-07 11:13:50</v>
      </c>
      <c r="E138" t="str">
        <f>LEFT(VLOOKUP(A138, Fechas_Estado!A:AE,19,0),10)</f>
        <v/>
      </c>
      <c r="F138" t="str">
        <f>MID(VLOOKUP(A138, Fechas_Estado!A:AE,19,0),12,8)</f>
        <v/>
      </c>
      <c r="G138" t="str">
        <f t="shared" si="41"/>
        <v xml:space="preserve"> </v>
      </c>
      <c r="H138" t="str">
        <f>LEFT(VLOOKUP(A138, Fechas_Estado!A:AE,20,0),10)</f>
        <v/>
      </c>
      <c r="I138" t="str">
        <f>MID(VLOOKUP(A138, Fechas_Estado!A:AE,20,0),12,8)</f>
        <v/>
      </c>
      <c r="J138" t="str">
        <f t="shared" si="42"/>
        <v xml:space="preserve"> </v>
      </c>
      <c r="K138" t="str">
        <f>LEFT(VLOOKUP(A138, Fechas_Estado!A:AE,21,0),10)</f>
        <v/>
      </c>
      <c r="L138" t="str">
        <f>MID(VLOOKUP(A138, Fechas_Estado!A:AE,21,0),12,8)</f>
        <v/>
      </c>
      <c r="M138" t="str">
        <f t="shared" si="43"/>
        <v xml:space="preserve"> </v>
      </c>
      <c r="N138" t="str">
        <f>LEFT(VLOOKUP(A138, Fechas_Estado!A:AE,22,0),10)</f>
        <v/>
      </c>
      <c r="O138" t="str">
        <f>MID(VLOOKUP(A138, Fechas_Estado!A:AE,22,0),12,8)</f>
        <v/>
      </c>
      <c r="P138" t="str">
        <f t="shared" si="44"/>
        <v xml:space="preserve"> </v>
      </c>
      <c r="Q138" t="str">
        <f>LEFT(VLOOKUP(A138, Fechas_Estado!A:AE,23,0),10)</f>
        <v/>
      </c>
      <c r="R138" t="str">
        <f>MID(VLOOKUP(A138, Fechas_Estado!A:AE,23,0),12,8)</f>
        <v/>
      </c>
      <c r="S138" t="str">
        <f t="shared" si="45"/>
        <v xml:space="preserve"> </v>
      </c>
      <c r="T138" t="str">
        <f>LEFT(VLOOKUP(A138, Fechas_Estado!A:AE,24,0),10)</f>
        <v/>
      </c>
      <c r="U138" t="str">
        <f>MID(VLOOKUP(A138, Fechas_Estado!A:AE,24,0),12,8)</f>
        <v/>
      </c>
      <c r="V138" t="str">
        <f t="shared" si="46"/>
        <v xml:space="preserve"> </v>
      </c>
      <c r="W138" t="str">
        <f>LEFT(VLOOKUP(A138, Fechas_Estado!A:AE,25,0),10)</f>
        <v>2024-05-07</v>
      </c>
      <c r="X138" t="str">
        <f>MID(VLOOKUP(A138, Fechas_Estado!A:AE,25,0),12,8)</f>
        <v>15:29:52</v>
      </c>
      <c r="Y138" t="str">
        <f t="shared" si="47"/>
        <v>2024-05-07 15:29:52</v>
      </c>
      <c r="Z138" t="str">
        <f>LEFT(VLOOKUP(A138, Fechas_Estado!A:AE,26,0),10)</f>
        <v>2024-05-09</v>
      </c>
      <c r="AA138" t="str">
        <f>MID(VLOOKUP(A138, Fechas_Estado!A:AE,26,0),12,8)</f>
        <v>15:42:28</v>
      </c>
      <c r="AB138" t="str">
        <f t="shared" si="48"/>
        <v>2024-05-09 15:42:28</v>
      </c>
      <c r="AC138" t="str">
        <f>LEFT(VLOOKUP(A138, Fechas_Estado!A:AE,27,0),10)</f>
        <v/>
      </c>
      <c r="AD138" t="str">
        <f>MID(VLOOKUP(A138, Fechas_Estado!A:AE,27,0),12,8)</f>
        <v/>
      </c>
      <c r="AE138" t="str">
        <f t="shared" si="49"/>
        <v xml:space="preserve"> </v>
      </c>
      <c r="AF138" t="str">
        <f>LEFT(VLOOKUP(A138, Fechas_Estado!A:AF,28,0),10)</f>
        <v/>
      </c>
      <c r="AG138" t="str">
        <f>MID(VLOOKUP(A138, Fechas_Estado!A:AF,28,0),12,8)</f>
        <v/>
      </c>
      <c r="AH138" t="str">
        <f t="shared" si="50"/>
        <v xml:space="preserve"> </v>
      </c>
      <c r="AI138" t="str">
        <f>LEFT(VLOOKUP(A138, Fechas_Estado!A:AF,16,0),10)</f>
        <v/>
      </c>
      <c r="AJ138" t="str">
        <f>MID(VLOOKUP(A138, Fechas_Estado!A:AF,16,0),12,8)</f>
        <v/>
      </c>
      <c r="AK138" t="str">
        <f t="shared" si="51"/>
        <v xml:space="preserve"> </v>
      </c>
      <c r="AL138" t="e">
        <f t="shared" si="52"/>
        <v>#VALUE!</v>
      </c>
      <c r="AM138" t="str">
        <f>LEFT(VLOOKUP(A138, Fechas_Estado!A:AE,8,0),10)</f>
        <v/>
      </c>
      <c r="AN138" t="str">
        <f>MID(VLOOKUP(A138, Fechas_Estado!A:AE,8,0),12,8)</f>
        <v/>
      </c>
      <c r="AO138" t="str">
        <f t="shared" si="53"/>
        <v xml:space="preserve"> </v>
      </c>
      <c r="AP138" t="str">
        <f>LEFT(VLOOKUP(A138, Fechas_Estado!A:AE,7,0),10)</f>
        <v/>
      </c>
      <c r="AQ138" t="str">
        <f>MID(VLOOKUP(A138, Fechas_Estado!A:AE,7,0),12,8)</f>
        <v/>
      </c>
      <c r="AR138" t="str">
        <f t="shared" si="54"/>
        <v xml:space="preserve"> </v>
      </c>
      <c r="AS138" t="str">
        <f>LEFT(VLOOKUP(A138, Fechas_Estado!A:AE,10,0),10)</f>
        <v/>
      </c>
      <c r="AT138" t="str">
        <f>MID(VLOOKUP(A138, Fechas_Estado!A:AE,10,0),12,8)</f>
        <v/>
      </c>
      <c r="AU138" t="str">
        <f t="shared" si="55"/>
        <v xml:space="preserve"> </v>
      </c>
      <c r="AV138" t="str">
        <f>LEFT(VLOOKUP(A138, Fechas_Estado!A:AE,17,0),10)</f>
        <v/>
      </c>
      <c r="AW138" t="str">
        <f>MID(VLOOKUP(A138, Fechas_Estado!A:AE,17,0),12,8)</f>
        <v/>
      </c>
      <c r="AX138" t="str">
        <f t="shared" si="56"/>
        <v xml:space="preserve"> </v>
      </c>
      <c r="AY138" t="e">
        <f t="shared" si="57"/>
        <v>#VALUE!</v>
      </c>
      <c r="AZ138" t="str">
        <f>LEFT(VLOOKUP(A138, Fechas_Estado!A:AE,5,0),10)</f>
        <v>2024-07-03</v>
      </c>
      <c r="BA138" t="str">
        <f>MID(VLOOKUP(A138, Fechas_Estado!A:AE,5,0),12,8)</f>
        <v>09:38:29</v>
      </c>
      <c r="BB138" t="str">
        <f t="shared" si="58"/>
        <v>2024-07-03 09:38:29</v>
      </c>
      <c r="BC138" t="e">
        <f t="shared" si="59"/>
        <v>#VALUE!</v>
      </c>
    </row>
    <row r="139" spans="1:55" x14ac:dyDescent="0.25">
      <c r="A139" t="str">
        <f>Fechas_Estado!A138</f>
        <v>ESPC360-7612</v>
      </c>
      <c r="B139" t="str">
        <f>LEFT(VLOOKUP(A139,Fechas_Estado!A:AE,2,0),10)</f>
        <v>2024-05-07</v>
      </c>
      <c r="C139" t="str">
        <f>MID(VLOOKUP(A139, Fechas_Estado!A:AE,2,0),12,8)</f>
        <v>15:15:56</v>
      </c>
      <c r="D139" t="str">
        <f t="shared" si="40"/>
        <v>2024-05-07 15:15:56</v>
      </c>
      <c r="E139" t="str">
        <f>LEFT(VLOOKUP(A139, Fechas_Estado!A:AE,19,0),10)</f>
        <v/>
      </c>
      <c r="F139" t="str">
        <f>MID(VLOOKUP(A139, Fechas_Estado!A:AE,19,0),12,8)</f>
        <v/>
      </c>
      <c r="G139" t="str">
        <f t="shared" si="41"/>
        <v xml:space="preserve"> </v>
      </c>
      <c r="H139" t="str">
        <f>LEFT(VLOOKUP(A139, Fechas_Estado!A:AE,20,0),10)</f>
        <v/>
      </c>
      <c r="I139" t="str">
        <f>MID(VLOOKUP(A139, Fechas_Estado!A:AE,20,0),12,8)</f>
        <v/>
      </c>
      <c r="J139" t="str">
        <f t="shared" si="42"/>
        <v xml:space="preserve"> </v>
      </c>
      <c r="K139" t="str">
        <f>LEFT(VLOOKUP(A139, Fechas_Estado!A:AE,21,0),10)</f>
        <v/>
      </c>
      <c r="L139" t="str">
        <f>MID(VLOOKUP(A139, Fechas_Estado!A:AE,21,0),12,8)</f>
        <v/>
      </c>
      <c r="M139" t="str">
        <f t="shared" si="43"/>
        <v xml:space="preserve"> </v>
      </c>
      <c r="N139" t="str">
        <f>LEFT(VLOOKUP(A139, Fechas_Estado!A:AE,22,0),10)</f>
        <v/>
      </c>
      <c r="O139" t="str">
        <f>MID(VLOOKUP(A139, Fechas_Estado!A:AE,22,0),12,8)</f>
        <v/>
      </c>
      <c r="P139" t="str">
        <f t="shared" si="44"/>
        <v xml:space="preserve"> </v>
      </c>
      <c r="Q139" t="str">
        <f>LEFT(VLOOKUP(A139, Fechas_Estado!A:AE,23,0),10)</f>
        <v/>
      </c>
      <c r="R139" t="str">
        <f>MID(VLOOKUP(A139, Fechas_Estado!A:AE,23,0),12,8)</f>
        <v/>
      </c>
      <c r="S139" t="str">
        <f t="shared" si="45"/>
        <v xml:space="preserve"> </v>
      </c>
      <c r="T139" t="str">
        <f>LEFT(VLOOKUP(A139, Fechas_Estado!A:AE,24,0),10)</f>
        <v>2024-05-07</v>
      </c>
      <c r="U139" t="str">
        <f>MID(VLOOKUP(A139, Fechas_Estado!A:AE,24,0),12,8)</f>
        <v>15:19:05</v>
      </c>
      <c r="V139" t="str">
        <f t="shared" si="46"/>
        <v>2024-05-07 15:19:05</v>
      </c>
      <c r="W139" t="str">
        <f>LEFT(VLOOKUP(A139, Fechas_Estado!A:AE,25,0),10)</f>
        <v>2024-05-07</v>
      </c>
      <c r="X139" t="str">
        <f>MID(VLOOKUP(A139, Fechas_Estado!A:AE,25,0),12,8)</f>
        <v>15:34:13</v>
      </c>
      <c r="Y139" t="str">
        <f t="shared" si="47"/>
        <v>2024-05-07 15:34:13</v>
      </c>
      <c r="Z139" t="str">
        <f>LEFT(VLOOKUP(A139, Fechas_Estado!A:AE,26,0),10)</f>
        <v>2024-05-07</v>
      </c>
      <c r="AA139" t="str">
        <f>MID(VLOOKUP(A139, Fechas_Estado!A:AE,26,0),12,8)</f>
        <v>17:37:25</v>
      </c>
      <c r="AB139" t="str">
        <f t="shared" si="48"/>
        <v>2024-05-07 17:37:25</v>
      </c>
      <c r="AC139" t="str">
        <f>LEFT(VLOOKUP(A139, Fechas_Estado!A:AE,27,0),10)</f>
        <v>2024-05-08</v>
      </c>
      <c r="AD139" t="str">
        <f>MID(VLOOKUP(A139, Fechas_Estado!A:AE,27,0),12,8)</f>
        <v>11:38:41</v>
      </c>
      <c r="AE139" t="str">
        <f t="shared" si="49"/>
        <v>2024-05-08 11:38:41</v>
      </c>
      <c r="AF139" t="str">
        <f>LEFT(VLOOKUP(A139, Fechas_Estado!A:AF,28,0),10)</f>
        <v/>
      </c>
      <c r="AG139" t="str">
        <f>MID(VLOOKUP(A139, Fechas_Estado!A:AF,28,0),12,8)</f>
        <v/>
      </c>
      <c r="AH139" t="str">
        <f t="shared" si="50"/>
        <v xml:space="preserve"> </v>
      </c>
      <c r="AI139" t="str">
        <f>LEFT(VLOOKUP(A139, Fechas_Estado!A:AF,16,0),10)</f>
        <v>2024-05-08</v>
      </c>
      <c r="AJ139" t="str">
        <f>MID(VLOOKUP(A139, Fechas_Estado!A:AF,16,0),12,8)</f>
        <v>11:55:51</v>
      </c>
      <c r="AK139" t="str">
        <f t="shared" si="51"/>
        <v>2024-05-08 11:55:51</v>
      </c>
      <c r="AL139">
        <f t="shared" si="52"/>
        <v>0.86105324074014788</v>
      </c>
      <c r="AM139" t="str">
        <f>LEFT(VLOOKUP(A139, Fechas_Estado!A:AE,8,0),10)</f>
        <v>2024-05-08</v>
      </c>
      <c r="AN139" t="str">
        <f>MID(VLOOKUP(A139, Fechas_Estado!A:AE,8,0),12,8)</f>
        <v>15:42:18</v>
      </c>
      <c r="AO139" t="str">
        <f t="shared" si="53"/>
        <v>2024-05-08 15:42:18</v>
      </c>
      <c r="AP139" t="str">
        <f>LEFT(VLOOKUP(A139, Fechas_Estado!A:AE,7,0),10)</f>
        <v>2024-05-09</v>
      </c>
      <c r="AQ139" t="str">
        <f>MID(VLOOKUP(A139, Fechas_Estado!A:AE,7,0),12,8)</f>
        <v>11:31:00</v>
      </c>
      <c r="AR139" t="str">
        <f t="shared" si="54"/>
        <v>2024-05-09 11:31:00</v>
      </c>
      <c r="AS139" t="str">
        <f>LEFT(VLOOKUP(A139, Fechas_Estado!A:AE,10,0),10)</f>
        <v>2024-05-09</v>
      </c>
      <c r="AT139" t="str">
        <f>MID(VLOOKUP(A139, Fechas_Estado!A:AE,10,0),12,8)</f>
        <v>11:31:04</v>
      </c>
      <c r="AU139" t="str">
        <f t="shared" si="55"/>
        <v>2024-05-09 11:31:04</v>
      </c>
      <c r="AV139" t="str">
        <f>LEFT(VLOOKUP(A139, Fechas_Estado!A:AE,17,0),10)</f>
        <v>2024-05-13</v>
      </c>
      <c r="AW139" t="str">
        <f>MID(VLOOKUP(A139, Fechas_Estado!A:AE,17,0),12,8)</f>
        <v>09:26:27</v>
      </c>
      <c r="AX139" t="str">
        <f t="shared" si="56"/>
        <v>2024-05-13 09:26:27</v>
      </c>
      <c r="AY139">
        <f t="shared" si="57"/>
        <v>4.7389930555582396</v>
      </c>
      <c r="AZ139" t="str">
        <f>LEFT(VLOOKUP(A139, Fechas_Estado!A:AE,5,0),10)</f>
        <v>2024-05-16</v>
      </c>
      <c r="BA139" t="str">
        <f>MID(VLOOKUP(A139, Fechas_Estado!A:AE,5,0),12,8)</f>
        <v>15:25:18</v>
      </c>
      <c r="BB139" t="str">
        <f t="shared" si="58"/>
        <v>2024-05-16 15:25:18</v>
      </c>
      <c r="BC139">
        <f t="shared" si="59"/>
        <v>3.2492013888913789</v>
      </c>
    </row>
    <row r="140" spans="1:55" x14ac:dyDescent="0.25">
      <c r="A140" t="str">
        <f>Fechas_Estado!A139</f>
        <v>ESPC360-7669</v>
      </c>
      <c r="B140" t="str">
        <f>LEFT(VLOOKUP(A140,Fechas_Estado!A:AE,2,0),10)</f>
        <v>2024-05-10</v>
      </c>
      <c r="C140" t="str">
        <f>MID(VLOOKUP(A140, Fechas_Estado!A:AE,2,0),12,8)</f>
        <v>10:12:43</v>
      </c>
      <c r="D140" t="str">
        <f t="shared" si="40"/>
        <v>2024-05-10 10:12:43</v>
      </c>
      <c r="E140" t="str">
        <f>LEFT(VLOOKUP(A140, Fechas_Estado!A:AE,19,0),10)</f>
        <v/>
      </c>
      <c r="F140" t="str">
        <f>MID(VLOOKUP(A140, Fechas_Estado!A:AE,19,0),12,8)</f>
        <v/>
      </c>
      <c r="G140" t="str">
        <f t="shared" si="41"/>
        <v xml:space="preserve"> </v>
      </c>
      <c r="H140" t="str">
        <f>LEFT(VLOOKUP(A140, Fechas_Estado!A:AE,20,0),10)</f>
        <v/>
      </c>
      <c r="I140" t="str">
        <f>MID(VLOOKUP(A140, Fechas_Estado!A:AE,20,0),12,8)</f>
        <v/>
      </c>
      <c r="J140" t="str">
        <f t="shared" si="42"/>
        <v xml:space="preserve"> </v>
      </c>
      <c r="K140" t="str">
        <f>LEFT(VLOOKUP(A140, Fechas_Estado!A:AE,21,0),10)</f>
        <v/>
      </c>
      <c r="L140" t="str">
        <f>MID(VLOOKUP(A140, Fechas_Estado!A:AE,21,0),12,8)</f>
        <v/>
      </c>
      <c r="M140" t="str">
        <f t="shared" si="43"/>
        <v xml:space="preserve"> </v>
      </c>
      <c r="N140" t="str">
        <f>LEFT(VLOOKUP(A140, Fechas_Estado!A:AE,22,0),10)</f>
        <v/>
      </c>
      <c r="O140" t="str">
        <f>MID(VLOOKUP(A140, Fechas_Estado!A:AE,22,0),12,8)</f>
        <v/>
      </c>
      <c r="P140" t="str">
        <f t="shared" si="44"/>
        <v xml:space="preserve"> </v>
      </c>
      <c r="Q140" t="str">
        <f>LEFT(VLOOKUP(A140, Fechas_Estado!A:AE,23,0),10)</f>
        <v/>
      </c>
      <c r="R140" t="str">
        <f>MID(VLOOKUP(A140, Fechas_Estado!A:AE,23,0),12,8)</f>
        <v/>
      </c>
      <c r="S140" t="str">
        <f t="shared" si="45"/>
        <v xml:space="preserve"> </v>
      </c>
      <c r="T140" t="str">
        <f>LEFT(VLOOKUP(A140, Fechas_Estado!A:AE,24,0),10)</f>
        <v/>
      </c>
      <c r="U140" t="str">
        <f>MID(VLOOKUP(A140, Fechas_Estado!A:AE,24,0),12,8)</f>
        <v/>
      </c>
      <c r="V140" t="str">
        <f t="shared" si="46"/>
        <v xml:space="preserve"> </v>
      </c>
      <c r="W140" t="str">
        <f>LEFT(VLOOKUP(A140, Fechas_Estado!A:AE,25,0),10)</f>
        <v>2024-05-10</v>
      </c>
      <c r="X140" t="str">
        <f>MID(VLOOKUP(A140, Fechas_Estado!A:AE,25,0),12,8)</f>
        <v>10:19:02</v>
      </c>
      <c r="Y140" t="str">
        <f t="shared" si="47"/>
        <v>2024-05-10 10:19:02</v>
      </c>
      <c r="Z140" t="str">
        <f>LEFT(VLOOKUP(A140, Fechas_Estado!A:AE,26,0),10)</f>
        <v>2024-05-10</v>
      </c>
      <c r="AA140" t="str">
        <f>MID(VLOOKUP(A140, Fechas_Estado!A:AE,26,0),12,8)</f>
        <v>10:35:22</v>
      </c>
      <c r="AB140" t="str">
        <f t="shared" si="48"/>
        <v>2024-05-10 10:35:22</v>
      </c>
      <c r="AC140" t="str">
        <f>LEFT(VLOOKUP(A140, Fechas_Estado!A:AE,27,0),10)</f>
        <v>2024-05-10</v>
      </c>
      <c r="AD140" t="str">
        <f>MID(VLOOKUP(A140, Fechas_Estado!A:AE,27,0),12,8)</f>
        <v>10:19:24</v>
      </c>
      <c r="AE140" t="str">
        <f t="shared" si="49"/>
        <v>2024-05-10 10:19:24</v>
      </c>
      <c r="AF140" t="str">
        <f>LEFT(VLOOKUP(A140, Fechas_Estado!A:AF,28,0),10)</f>
        <v/>
      </c>
      <c r="AG140" t="str">
        <f>MID(VLOOKUP(A140, Fechas_Estado!A:AF,28,0),12,8)</f>
        <v/>
      </c>
      <c r="AH140" t="str">
        <f t="shared" si="50"/>
        <v xml:space="preserve"> </v>
      </c>
      <c r="AI140" t="str">
        <f>LEFT(VLOOKUP(A140, Fechas_Estado!A:AF,16,0),10)</f>
        <v>2024-05-17</v>
      </c>
      <c r="AJ140" t="str">
        <f>MID(VLOOKUP(A140, Fechas_Estado!A:AF,16,0),12,8)</f>
        <v>09:39:11</v>
      </c>
      <c r="AK140" t="str">
        <f t="shared" si="51"/>
        <v>2024-05-17 09:39:11</v>
      </c>
      <c r="AL140">
        <f t="shared" si="52"/>
        <v>6.9767129629617557</v>
      </c>
      <c r="AM140" t="str">
        <f>LEFT(VLOOKUP(A140, Fechas_Estado!A:AE,8,0),10)</f>
        <v>2024-05-17</v>
      </c>
      <c r="AN140" t="str">
        <f>MID(VLOOKUP(A140, Fechas_Estado!A:AE,8,0),12,8)</f>
        <v>09:39:18</v>
      </c>
      <c r="AO140" t="str">
        <f t="shared" si="53"/>
        <v>2024-05-17 09:39:18</v>
      </c>
      <c r="AP140" t="str">
        <f>LEFT(VLOOKUP(A140, Fechas_Estado!A:AE,7,0),10)</f>
        <v/>
      </c>
      <c r="AQ140" t="str">
        <f>MID(VLOOKUP(A140, Fechas_Estado!A:AE,7,0),12,8)</f>
        <v/>
      </c>
      <c r="AR140" t="str">
        <f t="shared" si="54"/>
        <v xml:space="preserve"> </v>
      </c>
      <c r="AS140" t="str">
        <f>LEFT(VLOOKUP(A140, Fechas_Estado!A:AE,10,0),10)</f>
        <v/>
      </c>
      <c r="AT140" t="str">
        <f>MID(VLOOKUP(A140, Fechas_Estado!A:AE,10,0),12,8)</f>
        <v/>
      </c>
      <c r="AU140" t="str">
        <f t="shared" si="55"/>
        <v xml:space="preserve"> </v>
      </c>
      <c r="AV140" t="str">
        <f>LEFT(VLOOKUP(A140, Fechas_Estado!A:AE,17,0),10)</f>
        <v/>
      </c>
      <c r="AW140" t="str">
        <f>MID(VLOOKUP(A140, Fechas_Estado!A:AE,17,0),12,8)</f>
        <v/>
      </c>
      <c r="AX140" t="str">
        <f t="shared" si="56"/>
        <v xml:space="preserve"> </v>
      </c>
      <c r="AY140" t="e">
        <f t="shared" si="57"/>
        <v>#VALUE!</v>
      </c>
      <c r="AZ140" t="str">
        <f>LEFT(VLOOKUP(A140, Fechas_Estado!A:AE,5,0),10)</f>
        <v>2024-05-23</v>
      </c>
      <c r="BA140" t="str">
        <f>MID(VLOOKUP(A140, Fechas_Estado!A:AE,5,0),12,8)</f>
        <v>15:30:27</v>
      </c>
      <c r="BB140" t="str">
        <f t="shared" si="58"/>
        <v>2024-05-23 15:30:27</v>
      </c>
      <c r="BC140" t="e">
        <f t="shared" si="59"/>
        <v>#VALUE!</v>
      </c>
    </row>
    <row r="141" spans="1:55" x14ac:dyDescent="0.25">
      <c r="A141" t="str">
        <f>Fechas_Estado!A140</f>
        <v>ESPC360-7685</v>
      </c>
      <c r="B141" t="str">
        <f>LEFT(VLOOKUP(A141,Fechas_Estado!A:AE,2,0),10)</f>
        <v>2024-05-13</v>
      </c>
      <c r="C141" t="str">
        <f>MID(VLOOKUP(A141, Fechas_Estado!A:AE,2,0),12,8)</f>
        <v>11:10:44</v>
      </c>
      <c r="D141" t="str">
        <f t="shared" si="40"/>
        <v>2024-05-13 11:10:44</v>
      </c>
      <c r="E141" t="str">
        <f>LEFT(VLOOKUP(A141, Fechas_Estado!A:AE,19,0),10)</f>
        <v>2024-05-13</v>
      </c>
      <c r="F141" t="str">
        <f>MID(VLOOKUP(A141, Fechas_Estado!A:AE,19,0),12,8)</f>
        <v>11:13:29</v>
      </c>
      <c r="G141" t="str">
        <f t="shared" si="41"/>
        <v>2024-05-13 11:13:29</v>
      </c>
      <c r="H141" t="str">
        <f>LEFT(VLOOKUP(A141, Fechas_Estado!A:AE,20,0),10)</f>
        <v/>
      </c>
      <c r="I141" t="str">
        <f>MID(VLOOKUP(A141, Fechas_Estado!A:AE,20,0),12,8)</f>
        <v/>
      </c>
      <c r="J141" t="str">
        <f t="shared" si="42"/>
        <v xml:space="preserve"> </v>
      </c>
      <c r="K141" t="str">
        <f>LEFT(VLOOKUP(A141, Fechas_Estado!A:AE,21,0),10)</f>
        <v/>
      </c>
      <c r="L141" t="str">
        <f>MID(VLOOKUP(A141, Fechas_Estado!A:AE,21,0),12,8)</f>
        <v/>
      </c>
      <c r="M141" t="str">
        <f t="shared" si="43"/>
        <v xml:space="preserve"> </v>
      </c>
      <c r="N141" t="str">
        <f>LEFT(VLOOKUP(A141, Fechas_Estado!A:AE,22,0),10)</f>
        <v>2024-05-14</v>
      </c>
      <c r="O141" t="str">
        <f>MID(VLOOKUP(A141, Fechas_Estado!A:AE,22,0),12,8)</f>
        <v>09:44:40</v>
      </c>
      <c r="P141" t="str">
        <f t="shared" si="44"/>
        <v>2024-05-14 09:44:40</v>
      </c>
      <c r="Q141" t="str">
        <f>LEFT(VLOOKUP(A141, Fechas_Estado!A:AE,23,0),10)</f>
        <v>2024-05-14</v>
      </c>
      <c r="R141" t="str">
        <f>MID(VLOOKUP(A141, Fechas_Estado!A:AE,23,0),12,8)</f>
        <v>13:04:33</v>
      </c>
      <c r="S141" t="str">
        <f t="shared" si="45"/>
        <v>2024-05-14 13:04:33</v>
      </c>
      <c r="T141" t="str">
        <f>LEFT(VLOOKUP(A141, Fechas_Estado!A:AE,24,0),10)</f>
        <v>2024-06-10</v>
      </c>
      <c r="U141" t="str">
        <f>MID(VLOOKUP(A141, Fechas_Estado!A:AE,24,0),12,8)</f>
        <v>10:40:40</v>
      </c>
      <c r="V141" t="str">
        <f t="shared" si="46"/>
        <v>2024-06-10 10:40:40</v>
      </c>
      <c r="W141" t="str">
        <f>LEFT(VLOOKUP(A141, Fechas_Estado!A:AE,25,0),10)</f>
        <v>2024-06-10</v>
      </c>
      <c r="X141" t="str">
        <f>MID(VLOOKUP(A141, Fechas_Estado!A:AE,25,0),12,8)</f>
        <v>10:40:44</v>
      </c>
      <c r="Y141" t="str">
        <f t="shared" si="47"/>
        <v>2024-06-10 10:40:44</v>
      </c>
      <c r="Z141" t="str">
        <f>LEFT(VLOOKUP(A141, Fechas_Estado!A:AE,26,0),10)</f>
        <v>2024-06-10</v>
      </c>
      <c r="AA141" t="str">
        <f>MID(VLOOKUP(A141, Fechas_Estado!A:AE,26,0),12,8)</f>
        <v>12:06:41</v>
      </c>
      <c r="AB141" t="str">
        <f t="shared" si="48"/>
        <v>2024-06-10 12:06:41</v>
      </c>
      <c r="AC141" t="str">
        <f>LEFT(VLOOKUP(A141, Fechas_Estado!A:AE,27,0),10)</f>
        <v>2024-06-10</v>
      </c>
      <c r="AD141" t="str">
        <f>MID(VLOOKUP(A141, Fechas_Estado!A:AE,27,0),12,8)</f>
        <v>12:17:06</v>
      </c>
      <c r="AE141" t="str">
        <f t="shared" si="49"/>
        <v>2024-06-10 12:17:06</v>
      </c>
      <c r="AF141" t="str">
        <f>LEFT(VLOOKUP(A141, Fechas_Estado!A:AF,28,0),10)</f>
        <v/>
      </c>
      <c r="AG141" t="str">
        <f>MID(VLOOKUP(A141, Fechas_Estado!A:AF,28,0),12,8)</f>
        <v/>
      </c>
      <c r="AH141" t="str">
        <f t="shared" si="50"/>
        <v xml:space="preserve"> </v>
      </c>
      <c r="AI141" t="str">
        <f>LEFT(VLOOKUP(A141, Fechas_Estado!A:AF,16,0),10)</f>
        <v>2024-06-13</v>
      </c>
      <c r="AJ141" t="str">
        <f>MID(VLOOKUP(A141, Fechas_Estado!A:AF,16,0),12,8)</f>
        <v>12:11:59</v>
      </c>
      <c r="AK141" t="str">
        <f t="shared" si="51"/>
        <v>2024-06-13 12:11:59</v>
      </c>
      <c r="AL141">
        <f t="shared" si="52"/>
        <v>31.042534722226264</v>
      </c>
      <c r="AM141" t="str">
        <f>LEFT(VLOOKUP(A141, Fechas_Estado!A:AE,8,0),10)</f>
        <v>2024-06-19</v>
      </c>
      <c r="AN141" t="str">
        <f>MID(VLOOKUP(A141, Fechas_Estado!A:AE,8,0),12,8)</f>
        <v>10:02:52</v>
      </c>
      <c r="AO141" t="str">
        <f t="shared" si="53"/>
        <v>2024-06-19 10:02:52</v>
      </c>
      <c r="AP141" t="str">
        <f>LEFT(VLOOKUP(A141, Fechas_Estado!A:AE,7,0),10)</f>
        <v>2024-06-20</v>
      </c>
      <c r="AQ141" t="str">
        <f>MID(VLOOKUP(A141, Fechas_Estado!A:AE,7,0),12,8)</f>
        <v>12:50:13</v>
      </c>
      <c r="AR141" t="str">
        <f t="shared" si="54"/>
        <v>2024-06-20 12:50:13</v>
      </c>
      <c r="AS141" t="str">
        <f>LEFT(VLOOKUP(A141, Fechas_Estado!A:AE,10,0),10)</f>
        <v>2024-06-21</v>
      </c>
      <c r="AT141" t="str">
        <f>MID(VLOOKUP(A141, Fechas_Estado!A:AE,10,0),12,8)</f>
        <v>11:04:57</v>
      </c>
      <c r="AU141" t="str">
        <f t="shared" si="55"/>
        <v>2024-06-21 11:04:57</v>
      </c>
      <c r="AV141" t="str">
        <f>LEFT(VLOOKUP(A141, Fechas_Estado!A:AE,17,0),10)</f>
        <v>2024-06-24</v>
      </c>
      <c r="AW141" t="str">
        <f>MID(VLOOKUP(A141, Fechas_Estado!A:AE,17,0),12,8)</f>
        <v>16:54:17</v>
      </c>
      <c r="AX141" t="str">
        <f t="shared" si="56"/>
        <v>2024-06-24 16:54:17</v>
      </c>
      <c r="AY141">
        <f t="shared" si="57"/>
        <v>5.2857060185197042</v>
      </c>
      <c r="AZ141" t="str">
        <f>LEFT(VLOOKUP(A141, Fechas_Estado!A:AE,5,0),10)</f>
        <v>2024-07-11</v>
      </c>
      <c r="BA141" t="str">
        <f>MID(VLOOKUP(A141, Fechas_Estado!A:AE,5,0),12,8)</f>
        <v>11:29:23</v>
      </c>
      <c r="BB141" t="str">
        <f t="shared" si="58"/>
        <v>2024-07-11 11:29:23</v>
      </c>
      <c r="BC141">
        <f t="shared" si="59"/>
        <v>16.774375000000873</v>
      </c>
    </row>
    <row r="142" spans="1:55" x14ac:dyDescent="0.25">
      <c r="A142" t="str">
        <f>Fechas_Estado!A141</f>
        <v>ESPC360-7972</v>
      </c>
      <c r="B142" t="str">
        <f>LEFT(VLOOKUP(A142,Fechas_Estado!A:AE,2,0),10)</f>
        <v>2024-05-23</v>
      </c>
      <c r="C142" t="str">
        <f>MID(VLOOKUP(A142, Fechas_Estado!A:AE,2,0),12,8)</f>
        <v>10:45:17</v>
      </c>
      <c r="D142" t="str">
        <f t="shared" si="40"/>
        <v>2024-05-23 10:45:17</v>
      </c>
      <c r="E142" t="str">
        <f>LEFT(VLOOKUP(A142, Fechas_Estado!A:AE,19,0),10)</f>
        <v>2024-05-23</v>
      </c>
      <c r="F142" t="str">
        <f>MID(VLOOKUP(A142, Fechas_Estado!A:AE,19,0),12,8)</f>
        <v>11:13:44</v>
      </c>
      <c r="G142" t="str">
        <f t="shared" si="41"/>
        <v>2024-05-23 11:13:44</v>
      </c>
      <c r="H142" t="str">
        <f>LEFT(VLOOKUP(A142, Fechas_Estado!A:AE,20,0),10)</f>
        <v/>
      </c>
      <c r="I142" t="str">
        <f>MID(VLOOKUP(A142, Fechas_Estado!A:AE,20,0),12,8)</f>
        <v/>
      </c>
      <c r="J142" t="str">
        <f t="shared" si="42"/>
        <v xml:space="preserve"> </v>
      </c>
      <c r="K142" t="str">
        <f>LEFT(VLOOKUP(A142, Fechas_Estado!A:AE,21,0),10)</f>
        <v/>
      </c>
      <c r="L142" t="str">
        <f>MID(VLOOKUP(A142, Fechas_Estado!A:AE,21,0),12,8)</f>
        <v/>
      </c>
      <c r="M142" t="str">
        <f t="shared" si="43"/>
        <v xml:space="preserve"> </v>
      </c>
      <c r="N142" t="str">
        <f>LEFT(VLOOKUP(A142, Fechas_Estado!A:AE,22,0),10)</f>
        <v/>
      </c>
      <c r="O142" t="str">
        <f>MID(VLOOKUP(A142, Fechas_Estado!A:AE,22,0),12,8)</f>
        <v/>
      </c>
      <c r="P142" t="str">
        <f t="shared" si="44"/>
        <v xml:space="preserve"> </v>
      </c>
      <c r="Q142" t="str">
        <f>LEFT(VLOOKUP(A142, Fechas_Estado!A:AE,23,0),10)</f>
        <v/>
      </c>
      <c r="R142" t="str">
        <f>MID(VLOOKUP(A142, Fechas_Estado!A:AE,23,0),12,8)</f>
        <v/>
      </c>
      <c r="S142" t="str">
        <f t="shared" si="45"/>
        <v xml:space="preserve"> </v>
      </c>
      <c r="T142" t="str">
        <f>LEFT(VLOOKUP(A142, Fechas_Estado!A:AE,24,0),10)</f>
        <v/>
      </c>
      <c r="U142" t="str">
        <f>MID(VLOOKUP(A142, Fechas_Estado!A:AE,24,0),12,8)</f>
        <v/>
      </c>
      <c r="V142" t="str">
        <f t="shared" si="46"/>
        <v xml:space="preserve"> </v>
      </c>
      <c r="W142" t="str">
        <f>LEFT(VLOOKUP(A142, Fechas_Estado!A:AE,25,0),10)</f>
        <v>2024-05-23</v>
      </c>
      <c r="X142" t="str">
        <f>MID(VLOOKUP(A142, Fechas_Estado!A:AE,25,0),12,8)</f>
        <v>11:13:46</v>
      </c>
      <c r="Y142" t="str">
        <f t="shared" si="47"/>
        <v>2024-05-23 11:13:46</v>
      </c>
      <c r="Z142" t="str">
        <f>LEFT(VLOOKUP(A142, Fechas_Estado!A:AE,26,0),10)</f>
        <v>2024-05-28</v>
      </c>
      <c r="AA142" t="str">
        <f>MID(VLOOKUP(A142, Fechas_Estado!A:AE,26,0),12,8)</f>
        <v>17:44:02</v>
      </c>
      <c r="AB142" t="str">
        <f t="shared" si="48"/>
        <v>2024-05-28 17:44:02</v>
      </c>
      <c r="AC142" t="str">
        <f>LEFT(VLOOKUP(A142, Fechas_Estado!A:AE,27,0),10)</f>
        <v/>
      </c>
      <c r="AD142" t="str">
        <f>MID(VLOOKUP(A142, Fechas_Estado!A:AE,27,0),12,8)</f>
        <v/>
      </c>
      <c r="AE142" t="str">
        <f t="shared" si="49"/>
        <v xml:space="preserve"> </v>
      </c>
      <c r="AF142" t="str">
        <f>LEFT(VLOOKUP(A142, Fechas_Estado!A:AF,28,0),10)</f>
        <v/>
      </c>
      <c r="AG142" t="str">
        <f>MID(VLOOKUP(A142, Fechas_Estado!A:AF,28,0),12,8)</f>
        <v/>
      </c>
      <c r="AH142" t="str">
        <f t="shared" si="50"/>
        <v xml:space="preserve"> </v>
      </c>
      <c r="AI142" t="str">
        <f>LEFT(VLOOKUP(A142, Fechas_Estado!A:AF,16,0),10)</f>
        <v/>
      </c>
      <c r="AJ142" t="str">
        <f>MID(VLOOKUP(A142, Fechas_Estado!A:AF,16,0),12,8)</f>
        <v/>
      </c>
      <c r="AK142" t="str">
        <f t="shared" si="51"/>
        <v xml:space="preserve"> </v>
      </c>
      <c r="AL142" t="e">
        <f t="shared" si="52"/>
        <v>#VALUE!</v>
      </c>
      <c r="AM142" t="str">
        <f>LEFT(VLOOKUP(A142, Fechas_Estado!A:AE,8,0),10)</f>
        <v/>
      </c>
      <c r="AN142" t="str">
        <f>MID(VLOOKUP(A142, Fechas_Estado!A:AE,8,0),12,8)</f>
        <v/>
      </c>
      <c r="AO142" t="str">
        <f t="shared" si="53"/>
        <v xml:space="preserve"> </v>
      </c>
      <c r="AP142" t="str">
        <f>LEFT(VLOOKUP(A142, Fechas_Estado!A:AE,7,0),10)</f>
        <v/>
      </c>
      <c r="AQ142" t="str">
        <f>MID(VLOOKUP(A142, Fechas_Estado!A:AE,7,0),12,8)</f>
        <v/>
      </c>
      <c r="AR142" t="str">
        <f t="shared" si="54"/>
        <v xml:space="preserve"> </v>
      </c>
      <c r="AS142" t="str">
        <f>LEFT(VLOOKUP(A142, Fechas_Estado!A:AE,10,0),10)</f>
        <v/>
      </c>
      <c r="AT142" t="str">
        <f>MID(VLOOKUP(A142, Fechas_Estado!A:AE,10,0),12,8)</f>
        <v/>
      </c>
      <c r="AU142" t="str">
        <f t="shared" si="55"/>
        <v xml:space="preserve"> </v>
      </c>
      <c r="AV142" t="str">
        <f>LEFT(VLOOKUP(A142, Fechas_Estado!A:AE,17,0),10)</f>
        <v/>
      </c>
      <c r="AW142" t="str">
        <f>MID(VLOOKUP(A142, Fechas_Estado!A:AE,17,0),12,8)</f>
        <v/>
      </c>
      <c r="AX142" t="str">
        <f t="shared" si="56"/>
        <v xml:space="preserve"> </v>
      </c>
      <c r="AY142" t="e">
        <f t="shared" si="57"/>
        <v>#VALUE!</v>
      </c>
      <c r="AZ142" t="str">
        <f>LEFT(VLOOKUP(A142, Fechas_Estado!A:AE,5,0),10)</f>
        <v>2024-06-03</v>
      </c>
      <c r="BA142" t="str">
        <f>MID(VLOOKUP(A142, Fechas_Estado!A:AE,5,0),12,8)</f>
        <v>15:12:42</v>
      </c>
      <c r="BB142" t="str">
        <f t="shared" si="58"/>
        <v>2024-06-03 15:12:42</v>
      </c>
      <c r="BC142" t="e">
        <f t="shared" si="59"/>
        <v>#VALUE!</v>
      </c>
    </row>
    <row r="143" spans="1:55" x14ac:dyDescent="0.25">
      <c r="A143" t="str">
        <f>Fechas_Estado!A142</f>
        <v>ESPC360-8010</v>
      </c>
      <c r="B143" t="str">
        <f>LEFT(VLOOKUP(A143,Fechas_Estado!A:AE,2,0),10)</f>
        <v>2024-05-23</v>
      </c>
      <c r="C143" t="str">
        <f>MID(VLOOKUP(A143, Fechas_Estado!A:AE,2,0),12,8)</f>
        <v>17:48:34</v>
      </c>
      <c r="D143" t="str">
        <f t="shared" si="40"/>
        <v>2024-05-23 17:48:34</v>
      </c>
      <c r="E143" t="str">
        <f>LEFT(VLOOKUP(A143, Fechas_Estado!A:AE,19,0),10)</f>
        <v>2024-05-27</v>
      </c>
      <c r="F143" t="str">
        <f>MID(VLOOKUP(A143, Fechas_Estado!A:AE,19,0),12,8)</f>
        <v>11:57:42</v>
      </c>
      <c r="G143" t="str">
        <f t="shared" si="41"/>
        <v>2024-05-27 11:57:42</v>
      </c>
      <c r="H143" t="str">
        <f>LEFT(VLOOKUP(A143, Fechas_Estado!A:AE,20,0),10)</f>
        <v>2024-06-06</v>
      </c>
      <c r="I143" t="str">
        <f>MID(VLOOKUP(A143, Fechas_Estado!A:AE,20,0),12,8)</f>
        <v>14:58:42</v>
      </c>
      <c r="J143" t="str">
        <f t="shared" si="42"/>
        <v>2024-06-06 14:58:42</v>
      </c>
      <c r="K143" t="str">
        <f>LEFT(VLOOKUP(A143, Fechas_Estado!A:AE,21,0),10)</f>
        <v/>
      </c>
      <c r="L143" t="str">
        <f>MID(VLOOKUP(A143, Fechas_Estado!A:AE,21,0),12,8)</f>
        <v/>
      </c>
      <c r="M143" t="str">
        <f t="shared" si="43"/>
        <v xml:space="preserve"> </v>
      </c>
      <c r="N143" t="str">
        <f>LEFT(VLOOKUP(A143, Fechas_Estado!A:AE,22,0),10)</f>
        <v/>
      </c>
      <c r="O143" t="str">
        <f>MID(VLOOKUP(A143, Fechas_Estado!A:AE,22,0),12,8)</f>
        <v/>
      </c>
      <c r="P143" t="str">
        <f t="shared" si="44"/>
        <v xml:space="preserve"> </v>
      </c>
      <c r="Q143" t="str">
        <f>LEFT(VLOOKUP(A143, Fechas_Estado!A:AE,23,0),10)</f>
        <v/>
      </c>
      <c r="R143" t="str">
        <f>MID(VLOOKUP(A143, Fechas_Estado!A:AE,23,0),12,8)</f>
        <v/>
      </c>
      <c r="S143" t="str">
        <f t="shared" si="45"/>
        <v xml:space="preserve"> </v>
      </c>
      <c r="T143" t="str">
        <f>LEFT(VLOOKUP(A143, Fechas_Estado!A:AE,24,0),10)</f>
        <v/>
      </c>
      <c r="U143" t="str">
        <f>MID(VLOOKUP(A143, Fechas_Estado!A:AE,24,0),12,8)</f>
        <v/>
      </c>
      <c r="V143" t="str">
        <f t="shared" si="46"/>
        <v xml:space="preserve"> </v>
      </c>
      <c r="W143" t="str">
        <f>LEFT(VLOOKUP(A143, Fechas_Estado!A:AE,25,0),10)</f>
        <v>2024-06-07</v>
      </c>
      <c r="X143" t="str">
        <f>MID(VLOOKUP(A143, Fechas_Estado!A:AE,25,0),12,8)</f>
        <v>09:48:49</v>
      </c>
      <c r="Y143" t="str">
        <f t="shared" si="47"/>
        <v>2024-06-07 09:48:49</v>
      </c>
      <c r="Z143" t="str">
        <f>LEFT(VLOOKUP(A143, Fechas_Estado!A:AE,26,0),10)</f>
        <v>2024-06-12</v>
      </c>
      <c r="AA143" t="str">
        <f>MID(VLOOKUP(A143, Fechas_Estado!A:AE,26,0),12,8)</f>
        <v>11:20:45</v>
      </c>
      <c r="AB143" t="str">
        <f t="shared" si="48"/>
        <v>2024-06-12 11:20:45</v>
      </c>
      <c r="AC143" t="str">
        <f>LEFT(VLOOKUP(A143, Fechas_Estado!A:AE,27,0),10)</f>
        <v>2024-06-12</v>
      </c>
      <c r="AD143" t="str">
        <f>MID(VLOOKUP(A143, Fechas_Estado!A:AE,27,0),12,8)</f>
        <v>13:53:27</v>
      </c>
      <c r="AE143" t="str">
        <f t="shared" si="49"/>
        <v>2024-06-12 13:53:27</v>
      </c>
      <c r="AF143" t="str">
        <f>LEFT(VLOOKUP(A143, Fechas_Estado!A:AF,28,0),10)</f>
        <v/>
      </c>
      <c r="AG143" t="str">
        <f>MID(VLOOKUP(A143, Fechas_Estado!A:AF,28,0),12,8)</f>
        <v/>
      </c>
      <c r="AH143" t="str">
        <f t="shared" si="50"/>
        <v xml:space="preserve"> </v>
      </c>
      <c r="AI143" t="str">
        <f>LEFT(VLOOKUP(A143, Fechas_Estado!A:AF,16,0),10)</f>
        <v>2024-06-13</v>
      </c>
      <c r="AJ143" t="str">
        <f>MID(VLOOKUP(A143, Fechas_Estado!A:AF,16,0),12,8)</f>
        <v>11:20:39</v>
      </c>
      <c r="AK143" t="str">
        <f t="shared" si="51"/>
        <v>2024-06-13 11:20:39</v>
      </c>
      <c r="AL143">
        <f t="shared" si="52"/>
        <v>20.730613425927004</v>
      </c>
      <c r="AM143" t="str">
        <f>LEFT(VLOOKUP(A143, Fechas_Estado!A:AE,8,0),10)</f>
        <v>2024-06-13</v>
      </c>
      <c r="AN143" t="str">
        <f>MID(VLOOKUP(A143, Fechas_Estado!A:AE,8,0),12,8)</f>
        <v>13:13:53</v>
      </c>
      <c r="AO143" t="str">
        <f t="shared" si="53"/>
        <v>2024-06-13 13:13:53</v>
      </c>
      <c r="AP143" t="str">
        <f>LEFT(VLOOKUP(A143, Fechas_Estado!A:AE,7,0),10)</f>
        <v>2024-06-14</v>
      </c>
      <c r="AQ143" t="str">
        <f>MID(VLOOKUP(A143, Fechas_Estado!A:AE,7,0),12,8)</f>
        <v>10:09:14</v>
      </c>
      <c r="AR143" t="str">
        <f t="shared" si="54"/>
        <v>2024-06-14 10:09:14</v>
      </c>
      <c r="AS143" t="str">
        <f>LEFT(VLOOKUP(A143, Fechas_Estado!A:AE,10,0),10)</f>
        <v>2024-06-14</v>
      </c>
      <c r="AT143" t="str">
        <f>MID(VLOOKUP(A143, Fechas_Estado!A:AE,10,0),12,8)</f>
        <v>13:25:39</v>
      </c>
      <c r="AU143" t="str">
        <f t="shared" si="55"/>
        <v>2024-06-14 13:25:39</v>
      </c>
      <c r="AV143" t="str">
        <f>LEFT(VLOOKUP(A143, Fechas_Estado!A:AE,17,0),10)</f>
        <v>2024-06-14</v>
      </c>
      <c r="AW143" t="str">
        <f>MID(VLOOKUP(A143, Fechas_Estado!A:AE,17,0),12,8)</f>
        <v>13:25:56</v>
      </c>
      <c r="AX143" t="str">
        <f t="shared" si="56"/>
        <v>2024-06-14 13:25:56</v>
      </c>
      <c r="AY143">
        <f t="shared" si="57"/>
        <v>1.0083680555544561</v>
      </c>
      <c r="AZ143" t="str">
        <f>LEFT(VLOOKUP(A143, Fechas_Estado!A:AE,5,0),10)</f>
        <v>2024-07-11</v>
      </c>
      <c r="BA143" t="str">
        <f>MID(VLOOKUP(A143, Fechas_Estado!A:AE,5,0),12,8)</f>
        <v>11:29:23</v>
      </c>
      <c r="BB143" t="str">
        <f t="shared" si="58"/>
        <v>2024-07-11 11:29:23</v>
      </c>
      <c r="BC143">
        <f t="shared" si="59"/>
        <v>26.919062499997381</v>
      </c>
    </row>
    <row r="144" spans="1:55" x14ac:dyDescent="0.25">
      <c r="A144" t="str">
        <f>Fechas_Estado!A143</f>
        <v>ESPC360-8025</v>
      </c>
      <c r="B144" t="str">
        <f>LEFT(VLOOKUP(A144,Fechas_Estado!A:AE,2,0),10)</f>
        <v>2024-05-24</v>
      </c>
      <c r="C144" t="str">
        <f>MID(VLOOKUP(A144, Fechas_Estado!A:AE,2,0),12,8)</f>
        <v>08:28:11</v>
      </c>
      <c r="D144" t="str">
        <f t="shared" si="40"/>
        <v>2024-05-24 08:28:11</v>
      </c>
      <c r="E144" t="str">
        <f>LEFT(VLOOKUP(A144, Fechas_Estado!A:AE,19,0),10)</f>
        <v/>
      </c>
      <c r="F144" t="str">
        <f>MID(VLOOKUP(A144, Fechas_Estado!A:AE,19,0),12,8)</f>
        <v/>
      </c>
      <c r="G144" t="str">
        <f t="shared" si="41"/>
        <v xml:space="preserve"> </v>
      </c>
      <c r="H144" t="str">
        <f>LEFT(VLOOKUP(A144, Fechas_Estado!A:AE,20,0),10)</f>
        <v/>
      </c>
      <c r="I144" t="str">
        <f>MID(VLOOKUP(A144, Fechas_Estado!A:AE,20,0),12,8)</f>
        <v/>
      </c>
      <c r="J144" t="str">
        <f t="shared" si="42"/>
        <v xml:space="preserve"> </v>
      </c>
      <c r="K144" t="str">
        <f>LEFT(VLOOKUP(A144, Fechas_Estado!A:AE,21,0),10)</f>
        <v/>
      </c>
      <c r="L144" t="str">
        <f>MID(VLOOKUP(A144, Fechas_Estado!A:AE,21,0),12,8)</f>
        <v/>
      </c>
      <c r="M144" t="str">
        <f t="shared" si="43"/>
        <v xml:space="preserve"> </v>
      </c>
      <c r="N144" t="str">
        <f>LEFT(VLOOKUP(A144, Fechas_Estado!A:AE,22,0),10)</f>
        <v/>
      </c>
      <c r="O144" t="str">
        <f>MID(VLOOKUP(A144, Fechas_Estado!A:AE,22,0),12,8)</f>
        <v/>
      </c>
      <c r="P144" t="str">
        <f t="shared" si="44"/>
        <v xml:space="preserve"> </v>
      </c>
      <c r="Q144" t="str">
        <f>LEFT(VLOOKUP(A144, Fechas_Estado!A:AE,23,0),10)</f>
        <v/>
      </c>
      <c r="R144" t="str">
        <f>MID(VLOOKUP(A144, Fechas_Estado!A:AE,23,0),12,8)</f>
        <v/>
      </c>
      <c r="S144" t="str">
        <f t="shared" si="45"/>
        <v xml:space="preserve"> </v>
      </c>
      <c r="T144" t="str">
        <f>LEFT(VLOOKUP(A144, Fechas_Estado!A:AE,24,0),10)</f>
        <v/>
      </c>
      <c r="U144" t="str">
        <f>MID(VLOOKUP(A144, Fechas_Estado!A:AE,24,0),12,8)</f>
        <v/>
      </c>
      <c r="V144" t="str">
        <f t="shared" si="46"/>
        <v xml:space="preserve"> </v>
      </c>
      <c r="W144" t="str">
        <f>LEFT(VLOOKUP(A144, Fechas_Estado!A:AE,25,0),10)</f>
        <v>2024-05-24</v>
      </c>
      <c r="X144" t="str">
        <f>MID(VLOOKUP(A144, Fechas_Estado!A:AE,25,0),12,8)</f>
        <v>08:55:19</v>
      </c>
      <c r="Y144" t="str">
        <f t="shared" si="47"/>
        <v>2024-05-24 08:55:19</v>
      </c>
      <c r="Z144" t="str">
        <f>LEFT(VLOOKUP(A144, Fechas_Estado!A:AE,26,0),10)</f>
        <v>2024-06-12</v>
      </c>
      <c r="AA144" t="str">
        <f>MID(VLOOKUP(A144, Fechas_Estado!A:AE,26,0),12,8)</f>
        <v>13:54:08</v>
      </c>
      <c r="AB144" t="str">
        <f t="shared" si="48"/>
        <v>2024-06-12 13:54:08</v>
      </c>
      <c r="AC144" t="str">
        <f>LEFT(VLOOKUP(A144, Fechas_Estado!A:AE,27,0),10)</f>
        <v>2024-06-12</v>
      </c>
      <c r="AD144" t="str">
        <f>MID(VLOOKUP(A144, Fechas_Estado!A:AE,27,0),12,8)</f>
        <v>16:17:46</v>
      </c>
      <c r="AE144" t="str">
        <f t="shared" si="49"/>
        <v>2024-06-12 16:17:46</v>
      </c>
      <c r="AF144" t="str">
        <f>LEFT(VLOOKUP(A144, Fechas_Estado!A:AF,28,0),10)</f>
        <v/>
      </c>
      <c r="AG144" t="str">
        <f>MID(VLOOKUP(A144, Fechas_Estado!A:AF,28,0),12,8)</f>
        <v/>
      </c>
      <c r="AH144" t="str">
        <f t="shared" si="50"/>
        <v xml:space="preserve"> </v>
      </c>
      <c r="AI144" t="str">
        <f>LEFT(VLOOKUP(A144, Fechas_Estado!A:AF,16,0),10)</f>
        <v>2024-06-13</v>
      </c>
      <c r="AJ144" t="str">
        <f>MID(VLOOKUP(A144, Fechas_Estado!A:AF,16,0),12,8)</f>
        <v>11:20:38</v>
      </c>
      <c r="AK144" t="str">
        <f t="shared" si="51"/>
        <v>2024-06-13 11:20:38</v>
      </c>
      <c r="AL144">
        <f t="shared" si="52"/>
        <v>20.119756944441178</v>
      </c>
      <c r="AM144" t="str">
        <f>LEFT(VLOOKUP(A144, Fechas_Estado!A:AE,8,0),10)</f>
        <v>2024-06-13</v>
      </c>
      <c r="AN144" t="str">
        <f>MID(VLOOKUP(A144, Fechas_Estado!A:AE,8,0),12,8)</f>
        <v>13:13:46</v>
      </c>
      <c r="AO144" t="str">
        <f t="shared" si="53"/>
        <v>2024-06-13 13:13:46</v>
      </c>
      <c r="AP144" t="str">
        <f>LEFT(VLOOKUP(A144, Fechas_Estado!A:AE,7,0),10)</f>
        <v>2024-06-14</v>
      </c>
      <c r="AQ144" t="str">
        <f>MID(VLOOKUP(A144, Fechas_Estado!A:AE,7,0),12,8)</f>
        <v>10:09:17</v>
      </c>
      <c r="AR144" t="str">
        <f t="shared" si="54"/>
        <v>2024-06-14 10:09:17</v>
      </c>
      <c r="AS144" t="str">
        <f>LEFT(VLOOKUP(A144, Fechas_Estado!A:AE,10,0),10)</f>
        <v>2024-06-14</v>
      </c>
      <c r="AT144" t="str">
        <f>MID(VLOOKUP(A144, Fechas_Estado!A:AE,10,0),12,8)</f>
        <v>13:25:44</v>
      </c>
      <c r="AU144" t="str">
        <f t="shared" si="55"/>
        <v>2024-06-14 13:25:44</v>
      </c>
      <c r="AV144" t="str">
        <f>LEFT(VLOOKUP(A144, Fechas_Estado!A:AE,17,0),10)</f>
        <v>2024-06-14</v>
      </c>
      <c r="AW144" t="str">
        <f>MID(VLOOKUP(A144, Fechas_Estado!A:AE,17,0),12,8)</f>
        <v>13:26:03</v>
      </c>
      <c r="AX144" t="str">
        <f t="shared" si="56"/>
        <v>2024-06-14 13:26:03</v>
      </c>
      <c r="AY144">
        <f t="shared" si="57"/>
        <v>1.0085300925929914</v>
      </c>
      <c r="AZ144" t="str">
        <f>LEFT(VLOOKUP(A144, Fechas_Estado!A:AE,5,0),10)</f>
        <v>2024-07-11</v>
      </c>
      <c r="BA144" t="str">
        <f>MID(VLOOKUP(A144, Fechas_Estado!A:AE,5,0),12,8)</f>
        <v>11:29:27</v>
      </c>
      <c r="BB144" t="str">
        <f t="shared" si="58"/>
        <v>2024-07-11 11:29:27</v>
      </c>
      <c r="BC144">
        <f t="shared" si="59"/>
        <v>26.919027777781594</v>
      </c>
    </row>
    <row r="145" spans="1:55" x14ac:dyDescent="0.25">
      <c r="A145" t="str">
        <f>Fechas_Estado!A144</f>
        <v>ESPC360-8026</v>
      </c>
      <c r="B145" t="str">
        <f>LEFT(VLOOKUP(A145,Fechas_Estado!A:AE,2,0),10)</f>
        <v>2024-05-24</v>
      </c>
      <c r="C145" t="str">
        <f>MID(VLOOKUP(A145, Fechas_Estado!A:AE,2,0),12,8)</f>
        <v>08:55:48</v>
      </c>
      <c r="D145" t="str">
        <f t="shared" si="40"/>
        <v>2024-05-24 08:55:48</v>
      </c>
      <c r="E145" t="str">
        <f>LEFT(VLOOKUP(A145, Fechas_Estado!A:AE,19,0),10)</f>
        <v/>
      </c>
      <c r="F145" t="str">
        <f>MID(VLOOKUP(A145, Fechas_Estado!A:AE,19,0),12,8)</f>
        <v/>
      </c>
      <c r="G145" t="str">
        <f t="shared" si="41"/>
        <v xml:space="preserve"> </v>
      </c>
      <c r="H145" t="str">
        <f>LEFT(VLOOKUP(A145, Fechas_Estado!A:AE,20,0),10)</f>
        <v/>
      </c>
      <c r="I145" t="str">
        <f>MID(VLOOKUP(A145, Fechas_Estado!A:AE,20,0),12,8)</f>
        <v/>
      </c>
      <c r="J145" t="str">
        <f t="shared" si="42"/>
        <v xml:space="preserve"> </v>
      </c>
      <c r="K145" t="str">
        <f>LEFT(VLOOKUP(A145, Fechas_Estado!A:AE,21,0),10)</f>
        <v/>
      </c>
      <c r="L145" t="str">
        <f>MID(VLOOKUP(A145, Fechas_Estado!A:AE,21,0),12,8)</f>
        <v/>
      </c>
      <c r="M145" t="str">
        <f t="shared" si="43"/>
        <v xml:space="preserve"> </v>
      </c>
      <c r="N145" t="str">
        <f>LEFT(VLOOKUP(A145, Fechas_Estado!A:AE,22,0),10)</f>
        <v/>
      </c>
      <c r="O145" t="str">
        <f>MID(VLOOKUP(A145, Fechas_Estado!A:AE,22,0),12,8)</f>
        <v/>
      </c>
      <c r="P145" t="str">
        <f t="shared" si="44"/>
        <v xml:space="preserve"> </v>
      </c>
      <c r="Q145" t="str">
        <f>LEFT(VLOOKUP(A145, Fechas_Estado!A:AE,23,0),10)</f>
        <v/>
      </c>
      <c r="R145" t="str">
        <f>MID(VLOOKUP(A145, Fechas_Estado!A:AE,23,0),12,8)</f>
        <v/>
      </c>
      <c r="S145" t="str">
        <f t="shared" si="45"/>
        <v xml:space="preserve"> </v>
      </c>
      <c r="T145" t="str">
        <f>LEFT(VLOOKUP(A145, Fechas_Estado!A:AE,24,0),10)</f>
        <v/>
      </c>
      <c r="U145" t="str">
        <f>MID(VLOOKUP(A145, Fechas_Estado!A:AE,24,0),12,8)</f>
        <v/>
      </c>
      <c r="V145" t="str">
        <f t="shared" si="46"/>
        <v xml:space="preserve"> </v>
      </c>
      <c r="W145" t="str">
        <f>LEFT(VLOOKUP(A145, Fechas_Estado!A:AE,25,0),10)</f>
        <v>2024-05-24</v>
      </c>
      <c r="X145" t="str">
        <f>MID(VLOOKUP(A145, Fechas_Estado!A:AE,25,0),12,8)</f>
        <v>09:46:07</v>
      </c>
      <c r="Y145" t="str">
        <f t="shared" si="47"/>
        <v>2024-05-24 09:46:07</v>
      </c>
      <c r="Z145" t="str">
        <f>LEFT(VLOOKUP(A145, Fechas_Estado!A:AE,26,0),10)</f>
        <v>2024-06-12</v>
      </c>
      <c r="AA145" t="str">
        <f>MID(VLOOKUP(A145, Fechas_Estado!A:AE,26,0),12,8)</f>
        <v>17:20:25</v>
      </c>
      <c r="AB145" t="str">
        <f t="shared" si="48"/>
        <v>2024-06-12 17:20:25</v>
      </c>
      <c r="AC145" t="str">
        <f>LEFT(VLOOKUP(A145, Fechas_Estado!A:AE,27,0),10)</f>
        <v>2024-06-14</v>
      </c>
      <c r="AD145" t="str">
        <f>MID(VLOOKUP(A145, Fechas_Estado!A:AE,27,0),12,8)</f>
        <v>13:57:34</v>
      </c>
      <c r="AE145" t="str">
        <f t="shared" si="49"/>
        <v>2024-06-14 13:57:34</v>
      </c>
      <c r="AF145" t="str">
        <f>LEFT(VLOOKUP(A145, Fechas_Estado!A:AF,28,0),10)</f>
        <v/>
      </c>
      <c r="AG145" t="str">
        <f>MID(VLOOKUP(A145, Fechas_Estado!A:AF,28,0),12,8)</f>
        <v/>
      </c>
      <c r="AH145" t="str">
        <f t="shared" si="50"/>
        <v xml:space="preserve"> </v>
      </c>
      <c r="AI145" t="str">
        <f>LEFT(VLOOKUP(A145, Fechas_Estado!A:AF,16,0),10)</f>
        <v/>
      </c>
      <c r="AJ145" t="str">
        <f>MID(VLOOKUP(A145, Fechas_Estado!A:AF,16,0),12,8)</f>
        <v/>
      </c>
      <c r="AK145" t="str">
        <f t="shared" si="51"/>
        <v xml:space="preserve"> </v>
      </c>
      <c r="AL145" t="e">
        <f t="shared" si="52"/>
        <v>#VALUE!</v>
      </c>
      <c r="AM145" t="str">
        <f>LEFT(VLOOKUP(A145, Fechas_Estado!A:AE,8,0),10)</f>
        <v/>
      </c>
      <c r="AN145" t="str">
        <f>MID(VLOOKUP(A145, Fechas_Estado!A:AE,8,0),12,8)</f>
        <v/>
      </c>
      <c r="AO145" t="str">
        <f t="shared" si="53"/>
        <v xml:space="preserve"> </v>
      </c>
      <c r="AP145" t="str">
        <f>LEFT(VLOOKUP(A145, Fechas_Estado!A:AE,7,0),10)</f>
        <v/>
      </c>
      <c r="AQ145" t="str">
        <f>MID(VLOOKUP(A145, Fechas_Estado!A:AE,7,0),12,8)</f>
        <v/>
      </c>
      <c r="AR145" t="str">
        <f t="shared" si="54"/>
        <v xml:space="preserve"> </v>
      </c>
      <c r="AS145" t="str">
        <f>LEFT(VLOOKUP(A145, Fechas_Estado!A:AE,10,0),10)</f>
        <v/>
      </c>
      <c r="AT145" t="str">
        <f>MID(VLOOKUP(A145, Fechas_Estado!A:AE,10,0),12,8)</f>
        <v/>
      </c>
      <c r="AU145" t="str">
        <f t="shared" si="55"/>
        <v xml:space="preserve"> </v>
      </c>
      <c r="AV145" t="str">
        <f>LEFT(VLOOKUP(A145, Fechas_Estado!A:AE,17,0),10)</f>
        <v/>
      </c>
      <c r="AW145" t="str">
        <f>MID(VLOOKUP(A145, Fechas_Estado!A:AE,17,0),12,8)</f>
        <v/>
      </c>
      <c r="AX145" t="str">
        <f t="shared" si="56"/>
        <v xml:space="preserve"> </v>
      </c>
      <c r="AY145" t="e">
        <f t="shared" si="57"/>
        <v>#VALUE!</v>
      </c>
      <c r="AZ145" t="str">
        <f>LEFT(VLOOKUP(A145, Fechas_Estado!A:AE,5,0),10)</f>
        <v/>
      </c>
      <c r="BA145" t="str">
        <f>MID(VLOOKUP(A145, Fechas_Estado!A:AE,5,0),12,8)</f>
        <v/>
      </c>
      <c r="BB145" t="str">
        <f t="shared" si="58"/>
        <v xml:space="preserve"> </v>
      </c>
      <c r="BC145" t="e">
        <f t="shared" si="59"/>
        <v>#VALUE!</v>
      </c>
    </row>
    <row r="146" spans="1:55" x14ac:dyDescent="0.25">
      <c r="A146" t="str">
        <f>Fechas_Estado!A145</f>
        <v>ESPC360-8075</v>
      </c>
      <c r="B146" t="str">
        <f>LEFT(VLOOKUP(A146,Fechas_Estado!A:AE,2,0),10)</f>
        <v>2024-05-27</v>
      </c>
      <c r="C146" t="str">
        <f>MID(VLOOKUP(A146, Fechas_Estado!A:AE,2,0),12,8)</f>
        <v>12:13:28</v>
      </c>
      <c r="D146" t="str">
        <f t="shared" si="40"/>
        <v>2024-05-27 12:13:28</v>
      </c>
      <c r="E146" t="str">
        <f>LEFT(VLOOKUP(A146, Fechas_Estado!A:AE,19,0),10)</f>
        <v/>
      </c>
      <c r="F146" t="str">
        <f>MID(VLOOKUP(A146, Fechas_Estado!A:AE,19,0),12,8)</f>
        <v/>
      </c>
      <c r="G146" t="str">
        <f t="shared" si="41"/>
        <v xml:space="preserve"> </v>
      </c>
      <c r="H146" t="str">
        <f>LEFT(VLOOKUP(A146, Fechas_Estado!A:AE,20,0),10)</f>
        <v/>
      </c>
      <c r="I146" t="str">
        <f>MID(VLOOKUP(A146, Fechas_Estado!A:AE,20,0),12,8)</f>
        <v/>
      </c>
      <c r="J146" t="str">
        <f t="shared" si="42"/>
        <v xml:space="preserve"> </v>
      </c>
      <c r="K146" t="str">
        <f>LEFT(VLOOKUP(A146, Fechas_Estado!A:AE,21,0),10)</f>
        <v/>
      </c>
      <c r="L146" t="str">
        <f>MID(VLOOKUP(A146, Fechas_Estado!A:AE,21,0),12,8)</f>
        <v/>
      </c>
      <c r="M146" t="str">
        <f t="shared" si="43"/>
        <v xml:space="preserve"> </v>
      </c>
      <c r="N146" t="str">
        <f>LEFT(VLOOKUP(A146, Fechas_Estado!A:AE,22,0),10)</f>
        <v/>
      </c>
      <c r="O146" t="str">
        <f>MID(VLOOKUP(A146, Fechas_Estado!A:AE,22,0),12,8)</f>
        <v/>
      </c>
      <c r="P146" t="str">
        <f t="shared" si="44"/>
        <v xml:space="preserve"> </v>
      </c>
      <c r="Q146" t="str">
        <f>LEFT(VLOOKUP(A146, Fechas_Estado!A:AE,23,0),10)</f>
        <v/>
      </c>
      <c r="R146" t="str">
        <f>MID(VLOOKUP(A146, Fechas_Estado!A:AE,23,0),12,8)</f>
        <v/>
      </c>
      <c r="S146" t="str">
        <f t="shared" si="45"/>
        <v xml:space="preserve"> </v>
      </c>
      <c r="T146" t="str">
        <f>LEFT(VLOOKUP(A146, Fechas_Estado!A:AE,24,0),10)</f>
        <v/>
      </c>
      <c r="U146" t="str">
        <f>MID(VLOOKUP(A146, Fechas_Estado!A:AE,24,0),12,8)</f>
        <v/>
      </c>
      <c r="V146" t="str">
        <f t="shared" si="46"/>
        <v xml:space="preserve"> </v>
      </c>
      <c r="W146" t="str">
        <f>LEFT(VLOOKUP(A146, Fechas_Estado!A:AE,25,0),10)</f>
        <v>2024-05-27</v>
      </c>
      <c r="X146" t="str">
        <f>MID(VLOOKUP(A146, Fechas_Estado!A:AE,25,0),12,8)</f>
        <v>12:14:16</v>
      </c>
      <c r="Y146" t="str">
        <f t="shared" si="47"/>
        <v>2024-05-27 12:14:16</v>
      </c>
      <c r="Z146" t="str">
        <f>LEFT(VLOOKUP(A146, Fechas_Estado!A:AE,26,0),10)</f>
        <v>2024-05-27</v>
      </c>
      <c r="AA146" t="str">
        <f>MID(VLOOKUP(A146, Fechas_Estado!A:AE,26,0),12,8)</f>
        <v>12:17:09</v>
      </c>
      <c r="AB146" t="str">
        <f t="shared" si="48"/>
        <v>2024-05-27 12:17:09</v>
      </c>
      <c r="AC146" t="str">
        <f>LEFT(VLOOKUP(A146, Fechas_Estado!A:AE,27,0),10)</f>
        <v/>
      </c>
      <c r="AD146" t="str">
        <f>MID(VLOOKUP(A146, Fechas_Estado!A:AE,27,0),12,8)</f>
        <v/>
      </c>
      <c r="AE146" t="str">
        <f t="shared" si="49"/>
        <v xml:space="preserve"> </v>
      </c>
      <c r="AF146" t="str">
        <f>LEFT(VLOOKUP(A146, Fechas_Estado!A:AF,28,0),10)</f>
        <v/>
      </c>
      <c r="AG146" t="str">
        <f>MID(VLOOKUP(A146, Fechas_Estado!A:AF,28,0),12,8)</f>
        <v/>
      </c>
      <c r="AH146" t="str">
        <f t="shared" si="50"/>
        <v xml:space="preserve"> </v>
      </c>
      <c r="AI146" t="str">
        <f>LEFT(VLOOKUP(A146, Fechas_Estado!A:AF,16,0),10)</f>
        <v>2024-05-28</v>
      </c>
      <c r="AJ146" t="str">
        <f>MID(VLOOKUP(A146, Fechas_Estado!A:AF,16,0),12,8)</f>
        <v>14:12:56</v>
      </c>
      <c r="AK146" t="str">
        <f t="shared" si="51"/>
        <v>2024-05-28 14:12:56</v>
      </c>
      <c r="AL146">
        <f t="shared" si="52"/>
        <v>1.0829629629588453</v>
      </c>
      <c r="AM146" t="str">
        <f>LEFT(VLOOKUP(A146, Fechas_Estado!A:AE,8,0),10)</f>
        <v>2024-05-28</v>
      </c>
      <c r="AN146" t="str">
        <f>MID(VLOOKUP(A146, Fechas_Estado!A:AE,8,0),12,8)</f>
        <v>14:12:59</v>
      </c>
      <c r="AO146" t="str">
        <f t="shared" si="53"/>
        <v>2024-05-28 14:12:59</v>
      </c>
      <c r="AP146" t="str">
        <f>LEFT(VLOOKUP(A146, Fechas_Estado!A:AE,7,0),10)</f>
        <v>2024-05-28</v>
      </c>
      <c r="AQ146" t="str">
        <f>MID(VLOOKUP(A146, Fechas_Estado!A:AE,7,0),12,8)</f>
        <v>14:13:02</v>
      </c>
      <c r="AR146" t="str">
        <f t="shared" si="54"/>
        <v>2024-05-28 14:13:02</v>
      </c>
      <c r="AS146" t="str">
        <f>LEFT(VLOOKUP(A146, Fechas_Estado!A:AE,10,0),10)</f>
        <v>2024-05-28</v>
      </c>
      <c r="AT146" t="str">
        <f>MID(VLOOKUP(A146, Fechas_Estado!A:AE,10,0),12,8)</f>
        <v>14:13:11</v>
      </c>
      <c r="AU146" t="str">
        <f t="shared" si="55"/>
        <v>2024-05-28 14:13:11</v>
      </c>
      <c r="AV146" t="str">
        <f>LEFT(VLOOKUP(A146, Fechas_Estado!A:AE,17,0),10)</f>
        <v/>
      </c>
      <c r="AW146" t="str">
        <f>MID(VLOOKUP(A146, Fechas_Estado!A:AE,17,0),12,8)</f>
        <v/>
      </c>
      <c r="AX146" t="str">
        <f t="shared" si="56"/>
        <v xml:space="preserve"> </v>
      </c>
      <c r="AY146" t="e">
        <f t="shared" si="57"/>
        <v>#VALUE!</v>
      </c>
      <c r="AZ146" t="str">
        <f>LEFT(VLOOKUP(A146, Fechas_Estado!A:AE,5,0),10)</f>
        <v>2024-06-03</v>
      </c>
      <c r="BA146" t="str">
        <f>MID(VLOOKUP(A146, Fechas_Estado!A:AE,5,0),12,8)</f>
        <v>16:58:50</v>
      </c>
      <c r="BB146" t="str">
        <f t="shared" si="58"/>
        <v>2024-06-03 16:58:50</v>
      </c>
      <c r="BC146" t="e">
        <f t="shared" si="59"/>
        <v>#VALUE!</v>
      </c>
    </row>
    <row r="147" spans="1:55" x14ac:dyDescent="0.25">
      <c r="A147" t="str">
        <f>Fechas_Estado!A146</f>
        <v>ESPC360-8554</v>
      </c>
      <c r="B147" t="str">
        <f>LEFT(VLOOKUP(A147,Fechas_Estado!A:AE,2,0),10)</f>
        <v>2024-05-31</v>
      </c>
      <c r="C147" t="str">
        <f>MID(VLOOKUP(A147, Fechas_Estado!A:AE,2,0),12,8)</f>
        <v>11:01:29</v>
      </c>
      <c r="D147" t="str">
        <f t="shared" si="40"/>
        <v>2024-05-31 11:01:29</v>
      </c>
      <c r="E147" t="str">
        <f>LEFT(VLOOKUP(A147, Fechas_Estado!A:AE,19,0),10)</f>
        <v/>
      </c>
      <c r="F147" t="str">
        <f>MID(VLOOKUP(A147, Fechas_Estado!A:AE,19,0),12,8)</f>
        <v/>
      </c>
      <c r="G147" t="str">
        <f t="shared" si="41"/>
        <v xml:space="preserve"> </v>
      </c>
      <c r="H147" t="str">
        <f>LEFT(VLOOKUP(A147, Fechas_Estado!A:AE,20,0),10)</f>
        <v/>
      </c>
      <c r="I147" t="str">
        <f>MID(VLOOKUP(A147, Fechas_Estado!A:AE,20,0),12,8)</f>
        <v/>
      </c>
      <c r="J147" t="str">
        <f t="shared" si="42"/>
        <v xml:space="preserve"> </v>
      </c>
      <c r="K147" t="str">
        <f>LEFT(VLOOKUP(A147, Fechas_Estado!A:AE,21,0),10)</f>
        <v/>
      </c>
      <c r="L147" t="str">
        <f>MID(VLOOKUP(A147, Fechas_Estado!A:AE,21,0),12,8)</f>
        <v/>
      </c>
      <c r="M147" t="str">
        <f t="shared" si="43"/>
        <v xml:space="preserve"> </v>
      </c>
      <c r="N147" t="str">
        <f>LEFT(VLOOKUP(A147, Fechas_Estado!A:AE,22,0),10)</f>
        <v/>
      </c>
      <c r="O147" t="str">
        <f>MID(VLOOKUP(A147, Fechas_Estado!A:AE,22,0),12,8)</f>
        <v/>
      </c>
      <c r="P147" t="str">
        <f t="shared" si="44"/>
        <v xml:space="preserve"> </v>
      </c>
      <c r="Q147" t="str">
        <f>LEFT(VLOOKUP(A147, Fechas_Estado!A:AE,23,0),10)</f>
        <v/>
      </c>
      <c r="R147" t="str">
        <f>MID(VLOOKUP(A147, Fechas_Estado!A:AE,23,0),12,8)</f>
        <v/>
      </c>
      <c r="S147" t="str">
        <f t="shared" si="45"/>
        <v xml:space="preserve"> </v>
      </c>
      <c r="T147" t="str">
        <f>LEFT(VLOOKUP(A147, Fechas_Estado!A:AE,24,0),10)</f>
        <v>2024-05-31</v>
      </c>
      <c r="U147" t="str">
        <f>MID(VLOOKUP(A147, Fechas_Estado!A:AE,24,0),12,8)</f>
        <v>11:28:03</v>
      </c>
      <c r="V147" t="str">
        <f t="shared" si="46"/>
        <v>2024-05-31 11:28:03</v>
      </c>
      <c r="W147" t="str">
        <f>LEFT(VLOOKUP(A147, Fechas_Estado!A:AE,25,0),10)</f>
        <v>2024-05-31</v>
      </c>
      <c r="X147" t="str">
        <f>MID(VLOOKUP(A147, Fechas_Estado!A:AE,25,0),12,8)</f>
        <v>11:28:09</v>
      </c>
      <c r="Y147" t="str">
        <f t="shared" si="47"/>
        <v>2024-05-31 11:28:09</v>
      </c>
      <c r="Z147" t="str">
        <f>LEFT(VLOOKUP(A147, Fechas_Estado!A:AE,26,0),10)</f>
        <v>2024-06-03</v>
      </c>
      <c r="AA147" t="str">
        <f>MID(VLOOKUP(A147, Fechas_Estado!A:AE,26,0),12,8)</f>
        <v>15:14:07</v>
      </c>
      <c r="AB147" t="str">
        <f t="shared" si="48"/>
        <v>2024-06-03 15:14:07</v>
      </c>
      <c r="AC147" t="str">
        <f>LEFT(VLOOKUP(A147, Fechas_Estado!A:AE,27,0),10)</f>
        <v/>
      </c>
      <c r="AD147" t="str">
        <f>MID(VLOOKUP(A147, Fechas_Estado!A:AE,27,0),12,8)</f>
        <v/>
      </c>
      <c r="AE147" t="str">
        <f t="shared" si="49"/>
        <v xml:space="preserve"> </v>
      </c>
      <c r="AF147" t="str">
        <f>LEFT(VLOOKUP(A147, Fechas_Estado!A:AF,28,0),10)</f>
        <v/>
      </c>
      <c r="AG147" t="str">
        <f>MID(VLOOKUP(A147, Fechas_Estado!A:AF,28,0),12,8)</f>
        <v/>
      </c>
      <c r="AH147" t="str">
        <f t="shared" si="50"/>
        <v xml:space="preserve"> </v>
      </c>
      <c r="AI147" t="str">
        <f>LEFT(VLOOKUP(A147, Fechas_Estado!A:AF,16,0),10)</f>
        <v/>
      </c>
      <c r="AJ147" t="str">
        <f>MID(VLOOKUP(A147, Fechas_Estado!A:AF,16,0),12,8)</f>
        <v/>
      </c>
      <c r="AK147" t="str">
        <f t="shared" si="51"/>
        <v xml:space="preserve"> </v>
      </c>
      <c r="AL147" t="e">
        <f t="shared" si="52"/>
        <v>#VALUE!</v>
      </c>
      <c r="AM147" t="str">
        <f>LEFT(VLOOKUP(A147, Fechas_Estado!A:AE,8,0),10)</f>
        <v/>
      </c>
      <c r="AN147" t="str">
        <f>MID(VLOOKUP(A147, Fechas_Estado!A:AE,8,0),12,8)</f>
        <v/>
      </c>
      <c r="AO147" t="str">
        <f t="shared" si="53"/>
        <v xml:space="preserve"> </v>
      </c>
      <c r="AP147" t="str">
        <f>LEFT(VLOOKUP(A147, Fechas_Estado!A:AE,7,0),10)</f>
        <v/>
      </c>
      <c r="AQ147" t="str">
        <f>MID(VLOOKUP(A147, Fechas_Estado!A:AE,7,0),12,8)</f>
        <v/>
      </c>
      <c r="AR147" t="str">
        <f t="shared" si="54"/>
        <v xml:space="preserve"> </v>
      </c>
      <c r="AS147" t="str">
        <f>LEFT(VLOOKUP(A147, Fechas_Estado!A:AE,10,0),10)</f>
        <v/>
      </c>
      <c r="AT147" t="str">
        <f>MID(VLOOKUP(A147, Fechas_Estado!A:AE,10,0),12,8)</f>
        <v/>
      </c>
      <c r="AU147" t="str">
        <f t="shared" si="55"/>
        <v xml:space="preserve"> </v>
      </c>
      <c r="AV147" t="str">
        <f>LEFT(VLOOKUP(A147, Fechas_Estado!A:AE,17,0),10)</f>
        <v/>
      </c>
      <c r="AW147" t="str">
        <f>MID(VLOOKUP(A147, Fechas_Estado!A:AE,17,0),12,8)</f>
        <v/>
      </c>
      <c r="AX147" t="str">
        <f t="shared" si="56"/>
        <v xml:space="preserve"> </v>
      </c>
      <c r="AY147" t="e">
        <f t="shared" si="57"/>
        <v>#VALUE!</v>
      </c>
      <c r="AZ147" t="str">
        <f>LEFT(VLOOKUP(A147, Fechas_Estado!A:AE,5,0),10)</f>
        <v>2024-06-07</v>
      </c>
      <c r="BA147" t="str">
        <f>MID(VLOOKUP(A147, Fechas_Estado!A:AE,5,0),12,8)</f>
        <v>13:56:42</v>
      </c>
      <c r="BB147" t="str">
        <f t="shared" si="58"/>
        <v>2024-06-07 13:56:42</v>
      </c>
      <c r="BC147" t="e">
        <f t="shared" si="59"/>
        <v>#VALUE!</v>
      </c>
    </row>
    <row r="148" spans="1:55" x14ac:dyDescent="0.25">
      <c r="A148" t="str">
        <f>Fechas_Estado!A147</f>
        <v>ESPC360-8652</v>
      </c>
      <c r="B148" t="str">
        <f>LEFT(VLOOKUP(A148,Fechas_Estado!A:AE,2,0),10)</f>
        <v>2024-06-04</v>
      </c>
      <c r="C148" t="str">
        <f>MID(VLOOKUP(A148, Fechas_Estado!A:AE,2,0),12,8)</f>
        <v>17:46:03</v>
      </c>
      <c r="D148" t="str">
        <f t="shared" si="40"/>
        <v>2024-06-04 17:46:03</v>
      </c>
      <c r="E148" t="str">
        <f>LEFT(VLOOKUP(A148, Fechas_Estado!A:AE,19,0),10)</f>
        <v/>
      </c>
      <c r="F148" t="str">
        <f>MID(VLOOKUP(A148, Fechas_Estado!A:AE,19,0),12,8)</f>
        <v/>
      </c>
      <c r="G148" t="str">
        <f t="shared" si="41"/>
        <v xml:space="preserve"> </v>
      </c>
      <c r="H148" t="str">
        <f>LEFT(VLOOKUP(A148, Fechas_Estado!A:AE,20,0),10)</f>
        <v/>
      </c>
      <c r="I148" t="str">
        <f>MID(VLOOKUP(A148, Fechas_Estado!A:AE,20,0),12,8)</f>
        <v/>
      </c>
      <c r="J148" t="str">
        <f t="shared" si="42"/>
        <v xml:space="preserve"> </v>
      </c>
      <c r="K148" t="str">
        <f>LEFT(VLOOKUP(A148, Fechas_Estado!A:AE,21,0),10)</f>
        <v/>
      </c>
      <c r="L148" t="str">
        <f>MID(VLOOKUP(A148, Fechas_Estado!A:AE,21,0),12,8)</f>
        <v/>
      </c>
      <c r="M148" t="str">
        <f t="shared" si="43"/>
        <v xml:space="preserve"> </v>
      </c>
      <c r="N148" t="str">
        <f>LEFT(VLOOKUP(A148, Fechas_Estado!A:AE,22,0),10)</f>
        <v/>
      </c>
      <c r="O148" t="str">
        <f>MID(VLOOKUP(A148, Fechas_Estado!A:AE,22,0),12,8)</f>
        <v/>
      </c>
      <c r="P148" t="str">
        <f t="shared" si="44"/>
        <v xml:space="preserve"> </v>
      </c>
      <c r="Q148" t="str">
        <f>LEFT(VLOOKUP(A148, Fechas_Estado!A:AE,23,0),10)</f>
        <v/>
      </c>
      <c r="R148" t="str">
        <f>MID(VLOOKUP(A148, Fechas_Estado!A:AE,23,0),12,8)</f>
        <v/>
      </c>
      <c r="S148" t="str">
        <f t="shared" si="45"/>
        <v xml:space="preserve"> </v>
      </c>
      <c r="T148" t="str">
        <f>LEFT(VLOOKUP(A148, Fechas_Estado!A:AE,24,0),10)</f>
        <v/>
      </c>
      <c r="U148" t="str">
        <f>MID(VLOOKUP(A148, Fechas_Estado!A:AE,24,0),12,8)</f>
        <v/>
      </c>
      <c r="V148" t="str">
        <f t="shared" si="46"/>
        <v xml:space="preserve"> </v>
      </c>
      <c r="W148" t="str">
        <f>LEFT(VLOOKUP(A148, Fechas_Estado!A:AE,25,0),10)</f>
        <v>2024-06-04</v>
      </c>
      <c r="X148" t="str">
        <f>MID(VLOOKUP(A148, Fechas_Estado!A:AE,25,0),12,8)</f>
        <v>17:52:14</v>
      </c>
      <c r="Y148" t="str">
        <f t="shared" si="47"/>
        <v>2024-06-04 17:52:14</v>
      </c>
      <c r="Z148" t="str">
        <f>LEFT(VLOOKUP(A148, Fechas_Estado!A:AE,26,0),10)</f>
        <v>2024-06-04</v>
      </c>
      <c r="AA148" t="str">
        <f>MID(VLOOKUP(A148, Fechas_Estado!A:AE,26,0),12,8)</f>
        <v>17:52:35</v>
      </c>
      <c r="AB148" t="str">
        <f t="shared" si="48"/>
        <v>2024-06-04 17:52:35</v>
      </c>
      <c r="AC148" t="str">
        <f>LEFT(VLOOKUP(A148, Fechas_Estado!A:AE,27,0),10)</f>
        <v/>
      </c>
      <c r="AD148" t="str">
        <f>MID(VLOOKUP(A148, Fechas_Estado!A:AE,27,0),12,8)</f>
        <v/>
      </c>
      <c r="AE148" t="str">
        <f t="shared" si="49"/>
        <v xml:space="preserve"> </v>
      </c>
      <c r="AF148" t="str">
        <f>LEFT(VLOOKUP(A148, Fechas_Estado!A:AF,28,0),10)</f>
        <v/>
      </c>
      <c r="AG148" t="str">
        <f>MID(VLOOKUP(A148, Fechas_Estado!A:AF,28,0),12,8)</f>
        <v/>
      </c>
      <c r="AH148" t="str">
        <f t="shared" si="50"/>
        <v xml:space="preserve"> </v>
      </c>
      <c r="AI148" t="str">
        <f>LEFT(VLOOKUP(A148, Fechas_Estado!A:AF,16,0),10)</f>
        <v>2024-06-04</v>
      </c>
      <c r="AJ148" t="str">
        <f>MID(VLOOKUP(A148, Fechas_Estado!A:AF,16,0),12,8)</f>
        <v>17:52:50</v>
      </c>
      <c r="AK148" t="str">
        <f t="shared" si="51"/>
        <v>2024-06-04 17:52:50</v>
      </c>
      <c r="AL148">
        <f t="shared" si="52"/>
        <v>4.7106481506489217E-3</v>
      </c>
      <c r="AM148" t="str">
        <f>LEFT(VLOOKUP(A148, Fechas_Estado!A:AE,8,0),10)</f>
        <v>2024-06-04</v>
      </c>
      <c r="AN148" t="str">
        <f>MID(VLOOKUP(A148, Fechas_Estado!A:AE,8,0),12,8)</f>
        <v>17:53:39</v>
      </c>
      <c r="AO148" t="str">
        <f t="shared" si="53"/>
        <v>2024-06-04 17:53:39</v>
      </c>
      <c r="AP148" t="str">
        <f>LEFT(VLOOKUP(A148, Fechas_Estado!A:AE,7,0),10)</f>
        <v/>
      </c>
      <c r="AQ148" t="str">
        <f>MID(VLOOKUP(A148, Fechas_Estado!A:AE,7,0),12,8)</f>
        <v/>
      </c>
      <c r="AR148" t="str">
        <f t="shared" si="54"/>
        <v xml:space="preserve"> </v>
      </c>
      <c r="AS148" t="str">
        <f>LEFT(VLOOKUP(A148, Fechas_Estado!A:AE,10,0),10)</f>
        <v/>
      </c>
      <c r="AT148" t="str">
        <f>MID(VLOOKUP(A148, Fechas_Estado!A:AE,10,0),12,8)</f>
        <v/>
      </c>
      <c r="AU148" t="str">
        <f t="shared" si="55"/>
        <v xml:space="preserve"> </v>
      </c>
      <c r="AV148" t="str">
        <f>LEFT(VLOOKUP(A148, Fechas_Estado!A:AE,17,0),10)</f>
        <v/>
      </c>
      <c r="AW148" t="str">
        <f>MID(VLOOKUP(A148, Fechas_Estado!A:AE,17,0),12,8)</f>
        <v/>
      </c>
      <c r="AX148" t="str">
        <f t="shared" si="56"/>
        <v xml:space="preserve"> </v>
      </c>
      <c r="AY148" t="e">
        <f t="shared" si="57"/>
        <v>#VALUE!</v>
      </c>
      <c r="AZ148" t="str">
        <f>LEFT(VLOOKUP(A148, Fechas_Estado!A:AE,5,0),10)</f>
        <v>2024-06-21</v>
      </c>
      <c r="BA148" t="str">
        <f>MID(VLOOKUP(A148, Fechas_Estado!A:AE,5,0),12,8)</f>
        <v>11:25:05</v>
      </c>
      <c r="BB148" t="str">
        <f t="shared" si="58"/>
        <v>2024-06-21 11:25:05</v>
      </c>
      <c r="BC148" t="e">
        <f t="shared" si="59"/>
        <v>#VALUE!</v>
      </c>
    </row>
    <row r="149" spans="1:55" x14ac:dyDescent="0.25">
      <c r="A149" t="str">
        <f>Fechas_Estado!A148</f>
        <v>ESPC360-8706</v>
      </c>
      <c r="B149" t="str">
        <f>LEFT(VLOOKUP(A149,Fechas_Estado!A:AE,2,0),10)</f>
        <v>2024-06-06</v>
      </c>
      <c r="C149" t="str">
        <f>MID(VLOOKUP(A149, Fechas_Estado!A:AE,2,0),12,8)</f>
        <v>14:21:36</v>
      </c>
      <c r="D149" t="str">
        <f t="shared" si="40"/>
        <v>2024-06-06 14:21:36</v>
      </c>
      <c r="E149" t="str">
        <f>LEFT(VLOOKUP(A149, Fechas_Estado!A:AE,19,0),10)</f>
        <v>2024-06-06</v>
      </c>
      <c r="F149" t="str">
        <f>MID(VLOOKUP(A149, Fechas_Estado!A:AE,19,0),12,8)</f>
        <v>14:58:39</v>
      </c>
      <c r="G149" t="str">
        <f t="shared" si="41"/>
        <v>2024-06-06 14:58:39</v>
      </c>
      <c r="H149" t="str">
        <f>LEFT(VLOOKUP(A149, Fechas_Estado!A:AE,20,0),10)</f>
        <v>2024-06-06</v>
      </c>
      <c r="I149" t="str">
        <f>MID(VLOOKUP(A149, Fechas_Estado!A:AE,20,0),12,8)</f>
        <v>14:58:45</v>
      </c>
      <c r="J149" t="str">
        <f t="shared" si="42"/>
        <v>2024-06-06 14:58:45</v>
      </c>
      <c r="K149" t="str">
        <f>LEFT(VLOOKUP(A149, Fechas_Estado!A:AE,21,0),10)</f>
        <v/>
      </c>
      <c r="L149" t="str">
        <f>MID(VLOOKUP(A149, Fechas_Estado!A:AE,21,0),12,8)</f>
        <v/>
      </c>
      <c r="M149" t="str">
        <f t="shared" si="43"/>
        <v xml:space="preserve"> </v>
      </c>
      <c r="N149" t="str">
        <f>LEFT(VLOOKUP(A149, Fechas_Estado!A:AE,22,0),10)</f>
        <v/>
      </c>
      <c r="O149" t="str">
        <f>MID(VLOOKUP(A149, Fechas_Estado!A:AE,22,0),12,8)</f>
        <v/>
      </c>
      <c r="P149" t="str">
        <f t="shared" si="44"/>
        <v xml:space="preserve"> </v>
      </c>
      <c r="Q149" t="str">
        <f>LEFT(VLOOKUP(A149, Fechas_Estado!A:AE,23,0),10)</f>
        <v/>
      </c>
      <c r="R149" t="str">
        <f>MID(VLOOKUP(A149, Fechas_Estado!A:AE,23,0),12,8)</f>
        <v/>
      </c>
      <c r="S149" t="str">
        <f t="shared" si="45"/>
        <v xml:space="preserve"> </v>
      </c>
      <c r="T149" t="str">
        <f>LEFT(VLOOKUP(A149, Fechas_Estado!A:AE,24,0),10)</f>
        <v/>
      </c>
      <c r="U149" t="str">
        <f>MID(VLOOKUP(A149, Fechas_Estado!A:AE,24,0),12,8)</f>
        <v/>
      </c>
      <c r="V149" t="str">
        <f t="shared" si="46"/>
        <v xml:space="preserve"> </v>
      </c>
      <c r="W149" t="str">
        <f>LEFT(VLOOKUP(A149, Fechas_Estado!A:AE,25,0),10)</f>
        <v>2024-06-06</v>
      </c>
      <c r="X149" t="str">
        <f>MID(VLOOKUP(A149, Fechas_Estado!A:AE,25,0),12,8)</f>
        <v>15:22:16</v>
      </c>
      <c r="Y149" t="str">
        <f t="shared" si="47"/>
        <v>2024-06-06 15:22:16</v>
      </c>
      <c r="Z149" t="str">
        <f>LEFT(VLOOKUP(A149, Fechas_Estado!A:AE,26,0),10)</f>
        <v>2024-06-06</v>
      </c>
      <c r="AA149" t="str">
        <f>MID(VLOOKUP(A149, Fechas_Estado!A:AE,26,0),12,8)</f>
        <v>17:34:04</v>
      </c>
      <c r="AB149" t="str">
        <f t="shared" si="48"/>
        <v>2024-06-06 17:34:04</v>
      </c>
      <c r="AC149" t="str">
        <f>LEFT(VLOOKUP(A149, Fechas_Estado!A:AE,27,0),10)</f>
        <v/>
      </c>
      <c r="AD149" t="str">
        <f>MID(VLOOKUP(A149, Fechas_Estado!A:AE,27,0),12,8)</f>
        <v/>
      </c>
      <c r="AE149" t="str">
        <f t="shared" si="49"/>
        <v xml:space="preserve"> </v>
      </c>
      <c r="AF149" t="str">
        <f>LEFT(VLOOKUP(A149, Fechas_Estado!A:AF,28,0),10)</f>
        <v/>
      </c>
      <c r="AG149" t="str">
        <f>MID(VLOOKUP(A149, Fechas_Estado!A:AF,28,0),12,8)</f>
        <v/>
      </c>
      <c r="AH149" t="str">
        <f t="shared" si="50"/>
        <v xml:space="preserve"> </v>
      </c>
      <c r="AI149" t="str">
        <f>LEFT(VLOOKUP(A149, Fechas_Estado!A:AF,16,0),10)</f>
        <v/>
      </c>
      <c r="AJ149" t="str">
        <f>MID(VLOOKUP(A149, Fechas_Estado!A:AF,16,0),12,8)</f>
        <v/>
      </c>
      <c r="AK149" t="str">
        <f t="shared" si="51"/>
        <v xml:space="preserve"> </v>
      </c>
      <c r="AL149" t="e">
        <f t="shared" si="52"/>
        <v>#VALUE!</v>
      </c>
      <c r="AM149" t="str">
        <f>LEFT(VLOOKUP(A149, Fechas_Estado!A:AE,8,0),10)</f>
        <v/>
      </c>
      <c r="AN149" t="str">
        <f>MID(VLOOKUP(A149, Fechas_Estado!A:AE,8,0),12,8)</f>
        <v/>
      </c>
      <c r="AO149" t="str">
        <f t="shared" si="53"/>
        <v xml:space="preserve"> </v>
      </c>
      <c r="AP149" t="str">
        <f>LEFT(VLOOKUP(A149, Fechas_Estado!A:AE,7,0),10)</f>
        <v/>
      </c>
      <c r="AQ149" t="str">
        <f>MID(VLOOKUP(A149, Fechas_Estado!A:AE,7,0),12,8)</f>
        <v/>
      </c>
      <c r="AR149" t="str">
        <f t="shared" si="54"/>
        <v xml:space="preserve"> </v>
      </c>
      <c r="AS149" t="str">
        <f>LEFT(VLOOKUP(A149, Fechas_Estado!A:AE,10,0),10)</f>
        <v/>
      </c>
      <c r="AT149" t="str">
        <f>MID(VLOOKUP(A149, Fechas_Estado!A:AE,10,0),12,8)</f>
        <v/>
      </c>
      <c r="AU149" t="str">
        <f t="shared" si="55"/>
        <v xml:space="preserve"> </v>
      </c>
      <c r="AV149" t="str">
        <f>LEFT(VLOOKUP(A149, Fechas_Estado!A:AE,17,0),10)</f>
        <v/>
      </c>
      <c r="AW149" t="str">
        <f>MID(VLOOKUP(A149, Fechas_Estado!A:AE,17,0),12,8)</f>
        <v/>
      </c>
      <c r="AX149" t="str">
        <f t="shared" si="56"/>
        <v xml:space="preserve"> </v>
      </c>
      <c r="AY149" t="e">
        <f t="shared" si="57"/>
        <v>#VALUE!</v>
      </c>
      <c r="AZ149" t="str">
        <f>LEFT(VLOOKUP(A149, Fechas_Estado!A:AE,5,0),10)</f>
        <v>2024-06-12</v>
      </c>
      <c r="BA149" t="str">
        <f>MID(VLOOKUP(A149, Fechas_Estado!A:AE,5,0),12,8)</f>
        <v>11:20:17</v>
      </c>
      <c r="BB149" t="str">
        <f t="shared" si="58"/>
        <v>2024-06-12 11:20:17</v>
      </c>
      <c r="BC149" t="e">
        <f t="shared" si="59"/>
        <v>#VALUE!</v>
      </c>
    </row>
    <row r="150" spans="1:55" x14ac:dyDescent="0.25">
      <c r="A150" t="str">
        <f>Fechas_Estado!A149</f>
        <v>ESPC360-8740</v>
      </c>
      <c r="B150" t="str">
        <f>LEFT(VLOOKUP(A150,Fechas_Estado!A:AE,2,0),10)</f>
        <v>2024-06-07</v>
      </c>
      <c r="C150" t="str">
        <f>MID(VLOOKUP(A150, Fechas_Estado!A:AE,2,0),12,8)</f>
        <v>12:08:09</v>
      </c>
      <c r="D150" t="str">
        <f t="shared" si="40"/>
        <v>2024-06-07 12:08:09</v>
      </c>
      <c r="E150" t="str">
        <f>LEFT(VLOOKUP(A150, Fechas_Estado!A:AE,19,0),10)</f>
        <v>2024-06-07</v>
      </c>
      <c r="F150" t="str">
        <f>MID(VLOOKUP(A150, Fechas_Estado!A:AE,19,0),12,8)</f>
        <v>12:08:19</v>
      </c>
      <c r="G150" t="str">
        <f t="shared" si="41"/>
        <v>2024-06-07 12:08:19</v>
      </c>
      <c r="H150" t="str">
        <f>LEFT(VLOOKUP(A150, Fechas_Estado!A:AE,20,0),10)</f>
        <v>2024-06-07</v>
      </c>
      <c r="I150" t="str">
        <f>MID(VLOOKUP(A150, Fechas_Estado!A:AE,20,0),12,8)</f>
        <v>12:08:24</v>
      </c>
      <c r="J150" t="str">
        <f t="shared" si="42"/>
        <v>2024-06-07 12:08:24</v>
      </c>
      <c r="K150" t="str">
        <f>LEFT(VLOOKUP(A150, Fechas_Estado!A:AE,21,0),10)</f>
        <v/>
      </c>
      <c r="L150" t="str">
        <f>MID(VLOOKUP(A150, Fechas_Estado!A:AE,21,0),12,8)</f>
        <v/>
      </c>
      <c r="M150" t="str">
        <f t="shared" si="43"/>
        <v xml:space="preserve"> </v>
      </c>
      <c r="N150" t="str">
        <f>LEFT(VLOOKUP(A150, Fechas_Estado!A:AE,22,0),10)</f>
        <v/>
      </c>
      <c r="O150" t="str">
        <f>MID(VLOOKUP(A150, Fechas_Estado!A:AE,22,0),12,8)</f>
        <v/>
      </c>
      <c r="P150" t="str">
        <f t="shared" si="44"/>
        <v xml:space="preserve"> </v>
      </c>
      <c r="Q150" t="str">
        <f>LEFT(VLOOKUP(A150, Fechas_Estado!A:AE,23,0),10)</f>
        <v/>
      </c>
      <c r="R150" t="str">
        <f>MID(VLOOKUP(A150, Fechas_Estado!A:AE,23,0),12,8)</f>
        <v/>
      </c>
      <c r="S150" t="str">
        <f t="shared" si="45"/>
        <v xml:space="preserve"> </v>
      </c>
      <c r="T150" t="str">
        <f>LEFT(VLOOKUP(A150, Fechas_Estado!A:AE,24,0),10)</f>
        <v/>
      </c>
      <c r="U150" t="str">
        <f>MID(VLOOKUP(A150, Fechas_Estado!A:AE,24,0),12,8)</f>
        <v/>
      </c>
      <c r="V150" t="str">
        <f t="shared" si="46"/>
        <v xml:space="preserve"> </v>
      </c>
      <c r="W150" t="str">
        <f>LEFT(VLOOKUP(A150, Fechas_Estado!A:AE,25,0),10)</f>
        <v>2024-06-07</v>
      </c>
      <c r="X150" t="str">
        <f>MID(VLOOKUP(A150, Fechas_Estado!A:AE,25,0),12,8)</f>
        <v>13:10:17</v>
      </c>
      <c r="Y150" t="str">
        <f t="shared" si="47"/>
        <v>2024-06-07 13:10:17</v>
      </c>
      <c r="Z150" t="str">
        <f>LEFT(VLOOKUP(A150, Fechas_Estado!A:AE,26,0),10)</f>
        <v>2024-06-12</v>
      </c>
      <c r="AA150" t="str">
        <f>MID(VLOOKUP(A150, Fechas_Estado!A:AE,26,0),12,8)</f>
        <v>17:20:29</v>
      </c>
      <c r="AB150" t="str">
        <f t="shared" si="48"/>
        <v>2024-06-12 17:20:29</v>
      </c>
      <c r="AC150" t="str">
        <f>LEFT(VLOOKUP(A150, Fechas_Estado!A:AE,27,0),10)</f>
        <v/>
      </c>
      <c r="AD150" t="str">
        <f>MID(VLOOKUP(A150, Fechas_Estado!A:AE,27,0),12,8)</f>
        <v/>
      </c>
      <c r="AE150" t="str">
        <f t="shared" si="49"/>
        <v xml:space="preserve"> </v>
      </c>
      <c r="AF150" t="str">
        <f>LEFT(VLOOKUP(A150, Fechas_Estado!A:AF,28,0),10)</f>
        <v/>
      </c>
      <c r="AG150" t="str">
        <f>MID(VLOOKUP(A150, Fechas_Estado!A:AF,28,0),12,8)</f>
        <v/>
      </c>
      <c r="AH150" t="str">
        <f t="shared" si="50"/>
        <v xml:space="preserve"> </v>
      </c>
      <c r="AI150" t="str">
        <f>LEFT(VLOOKUP(A150, Fechas_Estado!A:AF,16,0),10)</f>
        <v/>
      </c>
      <c r="AJ150" t="str">
        <f>MID(VLOOKUP(A150, Fechas_Estado!A:AF,16,0),12,8)</f>
        <v/>
      </c>
      <c r="AK150" t="str">
        <f t="shared" si="51"/>
        <v xml:space="preserve"> </v>
      </c>
      <c r="AL150" t="e">
        <f t="shared" si="52"/>
        <v>#VALUE!</v>
      </c>
      <c r="AM150" t="str">
        <f>LEFT(VLOOKUP(A150, Fechas_Estado!A:AE,8,0),10)</f>
        <v/>
      </c>
      <c r="AN150" t="str">
        <f>MID(VLOOKUP(A150, Fechas_Estado!A:AE,8,0),12,8)</f>
        <v/>
      </c>
      <c r="AO150" t="str">
        <f t="shared" si="53"/>
        <v xml:space="preserve"> </v>
      </c>
      <c r="AP150" t="str">
        <f>LEFT(VLOOKUP(A150, Fechas_Estado!A:AE,7,0),10)</f>
        <v/>
      </c>
      <c r="AQ150" t="str">
        <f>MID(VLOOKUP(A150, Fechas_Estado!A:AE,7,0),12,8)</f>
        <v/>
      </c>
      <c r="AR150" t="str">
        <f t="shared" si="54"/>
        <v xml:space="preserve"> </v>
      </c>
      <c r="AS150" t="str">
        <f>LEFT(VLOOKUP(A150, Fechas_Estado!A:AE,10,0),10)</f>
        <v/>
      </c>
      <c r="AT150" t="str">
        <f>MID(VLOOKUP(A150, Fechas_Estado!A:AE,10,0),12,8)</f>
        <v/>
      </c>
      <c r="AU150" t="str">
        <f t="shared" si="55"/>
        <v xml:space="preserve"> </v>
      </c>
      <c r="AV150" t="str">
        <f>LEFT(VLOOKUP(A150, Fechas_Estado!A:AE,17,0),10)</f>
        <v/>
      </c>
      <c r="AW150" t="str">
        <f>MID(VLOOKUP(A150, Fechas_Estado!A:AE,17,0),12,8)</f>
        <v/>
      </c>
      <c r="AX150" t="str">
        <f t="shared" si="56"/>
        <v xml:space="preserve"> </v>
      </c>
      <c r="AY150" t="e">
        <f t="shared" si="57"/>
        <v>#VALUE!</v>
      </c>
      <c r="AZ150" t="str">
        <f>LEFT(VLOOKUP(A150, Fechas_Estado!A:AE,5,0),10)</f>
        <v>2024-06-18</v>
      </c>
      <c r="BA150" t="str">
        <f>MID(VLOOKUP(A150, Fechas_Estado!A:AE,5,0),12,8)</f>
        <v>09:32:21</v>
      </c>
      <c r="BB150" t="str">
        <f t="shared" si="58"/>
        <v>2024-06-18 09:32:21</v>
      </c>
      <c r="BC150" t="e">
        <f t="shared" si="59"/>
        <v>#VALUE!</v>
      </c>
    </row>
    <row r="151" spans="1:55" x14ac:dyDescent="0.25">
      <c r="A151" t="str">
        <f>Fechas_Estado!A150</f>
        <v>ESPC360-8774</v>
      </c>
      <c r="B151" t="str">
        <f>LEFT(VLOOKUP(A151,Fechas_Estado!A:AE,2,0),10)</f>
        <v>2024-06-07</v>
      </c>
      <c r="C151" t="str">
        <f>MID(VLOOKUP(A151, Fechas_Estado!A:AE,2,0),12,8)</f>
        <v>14:33:15</v>
      </c>
      <c r="D151" t="str">
        <f t="shared" si="40"/>
        <v>2024-06-07 14:33:15</v>
      </c>
      <c r="E151" t="str">
        <f>LEFT(VLOOKUP(A151, Fechas_Estado!A:AE,19,0),10)</f>
        <v/>
      </c>
      <c r="F151" t="str">
        <f>MID(VLOOKUP(A151, Fechas_Estado!A:AE,19,0),12,8)</f>
        <v/>
      </c>
      <c r="G151" t="str">
        <f t="shared" si="41"/>
        <v xml:space="preserve"> </v>
      </c>
      <c r="H151" t="str">
        <f>LEFT(VLOOKUP(A151, Fechas_Estado!A:AE,20,0),10)</f>
        <v/>
      </c>
      <c r="I151" t="str">
        <f>MID(VLOOKUP(A151, Fechas_Estado!A:AE,20,0),12,8)</f>
        <v/>
      </c>
      <c r="J151" t="str">
        <f t="shared" si="42"/>
        <v xml:space="preserve"> </v>
      </c>
      <c r="K151" t="str">
        <f>LEFT(VLOOKUP(A151, Fechas_Estado!A:AE,21,0),10)</f>
        <v/>
      </c>
      <c r="L151" t="str">
        <f>MID(VLOOKUP(A151, Fechas_Estado!A:AE,21,0),12,8)</f>
        <v/>
      </c>
      <c r="M151" t="str">
        <f t="shared" si="43"/>
        <v xml:space="preserve"> </v>
      </c>
      <c r="N151" t="str">
        <f>LEFT(VLOOKUP(A151, Fechas_Estado!A:AE,22,0),10)</f>
        <v/>
      </c>
      <c r="O151" t="str">
        <f>MID(VLOOKUP(A151, Fechas_Estado!A:AE,22,0),12,8)</f>
        <v/>
      </c>
      <c r="P151" t="str">
        <f t="shared" si="44"/>
        <v xml:space="preserve"> </v>
      </c>
      <c r="Q151" t="str">
        <f>LEFT(VLOOKUP(A151, Fechas_Estado!A:AE,23,0),10)</f>
        <v/>
      </c>
      <c r="R151" t="str">
        <f>MID(VLOOKUP(A151, Fechas_Estado!A:AE,23,0),12,8)</f>
        <v/>
      </c>
      <c r="S151" t="str">
        <f t="shared" si="45"/>
        <v xml:space="preserve"> </v>
      </c>
      <c r="T151" t="str">
        <f>LEFT(VLOOKUP(A151, Fechas_Estado!A:AE,24,0),10)</f>
        <v/>
      </c>
      <c r="U151" t="str">
        <f>MID(VLOOKUP(A151, Fechas_Estado!A:AE,24,0),12,8)</f>
        <v/>
      </c>
      <c r="V151" t="str">
        <f t="shared" si="46"/>
        <v xml:space="preserve"> </v>
      </c>
      <c r="W151" t="str">
        <f>LEFT(VLOOKUP(A151, Fechas_Estado!A:AE,25,0),10)</f>
        <v>2024-06-07</v>
      </c>
      <c r="X151" t="str">
        <f>MID(VLOOKUP(A151, Fechas_Estado!A:AE,25,0),12,8)</f>
        <v>14:34:22</v>
      </c>
      <c r="Y151" t="str">
        <f t="shared" si="47"/>
        <v>2024-06-07 14:34:22</v>
      </c>
      <c r="Z151" t="str">
        <f>LEFT(VLOOKUP(A151, Fechas_Estado!A:AE,26,0),10)</f>
        <v/>
      </c>
      <c r="AA151" t="str">
        <f>MID(VLOOKUP(A151, Fechas_Estado!A:AE,26,0),12,8)</f>
        <v/>
      </c>
      <c r="AB151" t="str">
        <f t="shared" si="48"/>
        <v xml:space="preserve"> </v>
      </c>
      <c r="AC151" t="str">
        <f>LEFT(VLOOKUP(A151, Fechas_Estado!A:AE,27,0),10)</f>
        <v/>
      </c>
      <c r="AD151" t="str">
        <f>MID(VLOOKUP(A151, Fechas_Estado!A:AE,27,0),12,8)</f>
        <v/>
      </c>
      <c r="AE151" t="str">
        <f t="shared" si="49"/>
        <v xml:space="preserve"> </v>
      </c>
      <c r="AF151" t="str">
        <f>LEFT(VLOOKUP(A151, Fechas_Estado!A:AF,28,0),10)</f>
        <v/>
      </c>
      <c r="AG151" t="str">
        <f>MID(VLOOKUP(A151, Fechas_Estado!A:AF,28,0),12,8)</f>
        <v/>
      </c>
      <c r="AH151" t="str">
        <f t="shared" si="50"/>
        <v xml:space="preserve"> </v>
      </c>
      <c r="AI151" t="str">
        <f>LEFT(VLOOKUP(A151, Fechas_Estado!A:AF,16,0),10)</f>
        <v>2024-06-07</v>
      </c>
      <c r="AJ151" t="str">
        <f>MID(VLOOKUP(A151, Fechas_Estado!A:AF,16,0),12,8)</f>
        <v>14:36:26</v>
      </c>
      <c r="AK151" t="str">
        <f t="shared" si="51"/>
        <v>2024-06-07 14:36:26</v>
      </c>
      <c r="AL151">
        <f t="shared" si="52"/>
        <v>2.2106481483206153E-3</v>
      </c>
      <c r="AM151" t="str">
        <f>LEFT(VLOOKUP(A151, Fechas_Estado!A:AE,8,0),10)</f>
        <v>2024-06-07</v>
      </c>
      <c r="AN151" t="str">
        <f>MID(VLOOKUP(A151, Fechas_Estado!A:AE,8,0),12,8)</f>
        <v>14:37:47</v>
      </c>
      <c r="AO151" t="str">
        <f t="shared" si="53"/>
        <v>2024-06-07 14:37:47</v>
      </c>
      <c r="AP151" t="str">
        <f>LEFT(VLOOKUP(A151, Fechas_Estado!A:AE,7,0),10)</f>
        <v>2024-06-07</v>
      </c>
      <c r="AQ151" t="str">
        <f>MID(VLOOKUP(A151, Fechas_Estado!A:AE,7,0),12,8)</f>
        <v>14:37:32</v>
      </c>
      <c r="AR151" t="str">
        <f t="shared" si="54"/>
        <v>2024-06-07 14:37:32</v>
      </c>
      <c r="AS151" t="str">
        <f>LEFT(VLOOKUP(A151, Fechas_Estado!A:AE,10,0),10)</f>
        <v/>
      </c>
      <c r="AT151" t="str">
        <f>MID(VLOOKUP(A151, Fechas_Estado!A:AE,10,0),12,8)</f>
        <v/>
      </c>
      <c r="AU151" t="str">
        <f t="shared" si="55"/>
        <v xml:space="preserve"> </v>
      </c>
      <c r="AV151" t="str">
        <f>LEFT(VLOOKUP(A151, Fechas_Estado!A:AE,17,0),10)</f>
        <v/>
      </c>
      <c r="AW151" t="str">
        <f>MID(VLOOKUP(A151, Fechas_Estado!A:AE,17,0),12,8)</f>
        <v/>
      </c>
      <c r="AX151" t="str">
        <f t="shared" si="56"/>
        <v xml:space="preserve"> </v>
      </c>
      <c r="AY151" t="e">
        <f t="shared" si="57"/>
        <v>#VALUE!</v>
      </c>
      <c r="AZ151" t="str">
        <f>LEFT(VLOOKUP(A151, Fechas_Estado!A:AE,5,0),10)</f>
        <v>2024-06-17</v>
      </c>
      <c r="BA151" t="str">
        <f>MID(VLOOKUP(A151, Fechas_Estado!A:AE,5,0),12,8)</f>
        <v>10:06:45</v>
      </c>
      <c r="BB151" t="str">
        <f t="shared" si="58"/>
        <v>2024-06-17 10:06:45</v>
      </c>
      <c r="BC151" t="e">
        <f t="shared" si="59"/>
        <v>#VALUE!</v>
      </c>
    </row>
    <row r="152" spans="1:55" x14ac:dyDescent="0.25">
      <c r="A152" t="str">
        <f>Fechas_Estado!A151</f>
        <v>ESPC360-8784</v>
      </c>
      <c r="B152" t="str">
        <f>LEFT(VLOOKUP(A152,Fechas_Estado!A:AE,2,0),10)</f>
        <v>2024-06-10</v>
      </c>
      <c r="C152" t="str">
        <f>MID(VLOOKUP(A152, Fechas_Estado!A:AE,2,0),12,8)</f>
        <v>17:25:45</v>
      </c>
      <c r="D152" t="str">
        <f t="shared" si="40"/>
        <v>2024-06-10 17:25:45</v>
      </c>
      <c r="E152" t="str">
        <f>LEFT(VLOOKUP(A152, Fechas_Estado!A:AE,19,0),10)</f>
        <v>2024-06-10</v>
      </c>
      <c r="F152" t="str">
        <f>MID(VLOOKUP(A152, Fechas_Estado!A:AE,19,0),12,8)</f>
        <v>17:26:56</v>
      </c>
      <c r="G152" t="str">
        <f t="shared" si="41"/>
        <v>2024-06-10 17:26:56</v>
      </c>
      <c r="H152" t="str">
        <f>LEFT(VLOOKUP(A152, Fechas_Estado!A:AE,20,0),10)</f>
        <v/>
      </c>
      <c r="I152" t="str">
        <f>MID(VLOOKUP(A152, Fechas_Estado!A:AE,20,0),12,8)</f>
        <v/>
      </c>
      <c r="J152" t="str">
        <f t="shared" si="42"/>
        <v xml:space="preserve"> </v>
      </c>
      <c r="K152" t="str">
        <f>LEFT(VLOOKUP(A152, Fechas_Estado!A:AE,21,0),10)</f>
        <v/>
      </c>
      <c r="L152" t="str">
        <f>MID(VLOOKUP(A152, Fechas_Estado!A:AE,21,0),12,8)</f>
        <v/>
      </c>
      <c r="M152" t="str">
        <f t="shared" si="43"/>
        <v xml:space="preserve"> </v>
      </c>
      <c r="N152" t="str">
        <f>LEFT(VLOOKUP(A152, Fechas_Estado!A:AE,22,0),10)</f>
        <v/>
      </c>
      <c r="O152" t="str">
        <f>MID(VLOOKUP(A152, Fechas_Estado!A:AE,22,0),12,8)</f>
        <v/>
      </c>
      <c r="P152" t="str">
        <f t="shared" si="44"/>
        <v xml:space="preserve"> </v>
      </c>
      <c r="Q152" t="str">
        <f>LEFT(VLOOKUP(A152, Fechas_Estado!A:AE,23,0),10)</f>
        <v/>
      </c>
      <c r="R152" t="str">
        <f>MID(VLOOKUP(A152, Fechas_Estado!A:AE,23,0),12,8)</f>
        <v/>
      </c>
      <c r="S152" t="str">
        <f t="shared" si="45"/>
        <v xml:space="preserve"> </v>
      </c>
      <c r="T152" t="str">
        <f>LEFT(VLOOKUP(A152, Fechas_Estado!A:AE,24,0),10)</f>
        <v/>
      </c>
      <c r="U152" t="str">
        <f>MID(VLOOKUP(A152, Fechas_Estado!A:AE,24,0),12,8)</f>
        <v/>
      </c>
      <c r="V152" t="str">
        <f t="shared" si="46"/>
        <v xml:space="preserve"> </v>
      </c>
      <c r="W152" t="str">
        <f>LEFT(VLOOKUP(A152, Fechas_Estado!A:AE,25,0),10)</f>
        <v>2024-06-10</v>
      </c>
      <c r="X152" t="str">
        <f>MID(VLOOKUP(A152, Fechas_Estado!A:AE,25,0),12,8)</f>
        <v>17:26:59</v>
      </c>
      <c r="Y152" t="str">
        <f t="shared" si="47"/>
        <v>2024-06-10 17:26:59</v>
      </c>
      <c r="Z152" t="str">
        <f>LEFT(VLOOKUP(A152, Fechas_Estado!A:AE,26,0),10)</f>
        <v>2024-06-18</v>
      </c>
      <c r="AA152" t="str">
        <f>MID(VLOOKUP(A152, Fechas_Estado!A:AE,26,0),12,8)</f>
        <v>17:14:46</v>
      </c>
      <c r="AB152" t="str">
        <f t="shared" si="48"/>
        <v>2024-06-18 17:14:46</v>
      </c>
      <c r="AC152" t="str">
        <f>LEFT(VLOOKUP(A152, Fechas_Estado!A:AE,27,0),10)</f>
        <v>2024-06-24</v>
      </c>
      <c r="AD152" t="str">
        <f>MID(VLOOKUP(A152, Fechas_Estado!A:AE,27,0),12,8)</f>
        <v>20:14:00</v>
      </c>
      <c r="AE152" t="str">
        <f t="shared" si="49"/>
        <v>2024-06-24 20:14:00</v>
      </c>
      <c r="AF152" t="str">
        <f>LEFT(VLOOKUP(A152, Fechas_Estado!A:AF,28,0),10)</f>
        <v/>
      </c>
      <c r="AG152" t="str">
        <f>MID(VLOOKUP(A152, Fechas_Estado!A:AF,28,0),12,8)</f>
        <v/>
      </c>
      <c r="AH152" t="str">
        <f t="shared" si="50"/>
        <v xml:space="preserve"> </v>
      </c>
      <c r="AI152" t="str">
        <f>LEFT(VLOOKUP(A152, Fechas_Estado!A:AF,16,0),10)</f>
        <v>2024-06-27</v>
      </c>
      <c r="AJ152" t="str">
        <f>MID(VLOOKUP(A152, Fechas_Estado!A:AF,16,0),12,8)</f>
        <v>11:56:18</v>
      </c>
      <c r="AK152" t="str">
        <f t="shared" si="51"/>
        <v>2024-06-27 11:56:18</v>
      </c>
      <c r="AL152">
        <f t="shared" si="52"/>
        <v>16.771215277782176</v>
      </c>
      <c r="AM152" t="str">
        <f>LEFT(VLOOKUP(A152, Fechas_Estado!A:AE,8,0),10)</f>
        <v>2024-07-01</v>
      </c>
      <c r="AN152" t="str">
        <f>MID(VLOOKUP(A152, Fechas_Estado!A:AE,8,0),12,8)</f>
        <v>11:49:51</v>
      </c>
      <c r="AO152" t="str">
        <f t="shared" si="53"/>
        <v>2024-07-01 11:49:51</v>
      </c>
      <c r="AP152" t="str">
        <f>LEFT(VLOOKUP(A152, Fechas_Estado!A:AE,7,0),10)</f>
        <v>2024-07-02</v>
      </c>
      <c r="AQ152" t="str">
        <f>MID(VLOOKUP(A152, Fechas_Estado!A:AE,7,0),12,8)</f>
        <v>09:22:29</v>
      </c>
      <c r="AR152" t="str">
        <f t="shared" si="54"/>
        <v>2024-07-02 09:22:29</v>
      </c>
      <c r="AS152" t="str">
        <f>LEFT(VLOOKUP(A152, Fechas_Estado!A:AE,10,0),10)</f>
        <v>2024-07-02</v>
      </c>
      <c r="AT152" t="str">
        <f>MID(VLOOKUP(A152, Fechas_Estado!A:AE,10,0),12,8)</f>
        <v>09:22:38</v>
      </c>
      <c r="AU152" t="str">
        <f t="shared" si="55"/>
        <v>2024-07-02 09:22:38</v>
      </c>
      <c r="AV152" t="str">
        <f>LEFT(VLOOKUP(A152, Fechas_Estado!A:AE,17,0),10)</f>
        <v>2024-07-04</v>
      </c>
      <c r="AW152" t="str">
        <f>MID(VLOOKUP(A152, Fechas_Estado!A:AE,17,0),12,8)</f>
        <v>13:50:15</v>
      </c>
      <c r="AX152" t="str">
        <f t="shared" si="56"/>
        <v>2024-07-04 13:50:15</v>
      </c>
      <c r="AY152">
        <f t="shared" si="57"/>
        <v>3.0836111111129867</v>
      </c>
      <c r="AZ152" t="str">
        <f>LEFT(VLOOKUP(A152, Fechas_Estado!A:AE,5,0),10)</f>
        <v>2024-07-30</v>
      </c>
      <c r="BA152" t="str">
        <f>MID(VLOOKUP(A152, Fechas_Estado!A:AE,5,0),12,8)</f>
        <v>09:18:06</v>
      </c>
      <c r="BB152" t="str">
        <f t="shared" si="58"/>
        <v>2024-07-30 09:18:06</v>
      </c>
      <c r="BC152">
        <f t="shared" si="59"/>
        <v>25.811006944444671</v>
      </c>
    </row>
    <row r="153" spans="1:55" x14ac:dyDescent="0.25">
      <c r="A153" t="str">
        <f>Fechas_Estado!A152</f>
        <v>ESPC360-8822</v>
      </c>
      <c r="B153" t="str">
        <f>LEFT(VLOOKUP(A153,Fechas_Estado!A:AE,2,0),10)</f>
        <v>2024-06-12</v>
      </c>
      <c r="C153" t="str">
        <f>MID(VLOOKUP(A153, Fechas_Estado!A:AE,2,0),12,8)</f>
        <v>12:40:22</v>
      </c>
      <c r="D153" t="str">
        <f t="shared" si="40"/>
        <v>2024-06-12 12:40:22</v>
      </c>
      <c r="E153" t="str">
        <f>LEFT(VLOOKUP(A153, Fechas_Estado!A:AE,19,0),10)</f>
        <v>2024-06-12</v>
      </c>
      <c r="F153" t="str">
        <f>MID(VLOOKUP(A153, Fechas_Estado!A:AE,19,0),12,8)</f>
        <v>12:41:53</v>
      </c>
      <c r="G153" t="str">
        <f t="shared" si="41"/>
        <v>2024-06-12 12:41:53</v>
      </c>
      <c r="H153" t="str">
        <f>LEFT(VLOOKUP(A153, Fechas_Estado!A:AE,20,0),10)</f>
        <v>2024-06-12</v>
      </c>
      <c r="I153" t="str">
        <f>MID(VLOOKUP(A153, Fechas_Estado!A:AE,20,0),12,8)</f>
        <v>12:41:42</v>
      </c>
      <c r="J153" t="str">
        <f t="shared" si="42"/>
        <v>2024-06-12 12:41:42</v>
      </c>
      <c r="K153" t="str">
        <f>LEFT(VLOOKUP(A153, Fechas_Estado!A:AE,21,0),10)</f>
        <v>2024-06-12</v>
      </c>
      <c r="L153" t="str">
        <f>MID(VLOOKUP(A153, Fechas_Estado!A:AE,21,0),12,8)</f>
        <v>12:41:41</v>
      </c>
      <c r="M153" t="str">
        <f t="shared" si="43"/>
        <v>2024-06-12 12:41:41</v>
      </c>
      <c r="N153" t="str">
        <f>LEFT(VLOOKUP(A153, Fechas_Estado!A:AE,22,0),10)</f>
        <v>2024-06-12</v>
      </c>
      <c r="O153" t="str">
        <f>MID(VLOOKUP(A153, Fechas_Estado!A:AE,22,0),12,8)</f>
        <v>12:41:39</v>
      </c>
      <c r="P153" t="str">
        <f t="shared" si="44"/>
        <v>2024-06-12 12:41:39</v>
      </c>
      <c r="Q153" t="str">
        <f>LEFT(VLOOKUP(A153, Fechas_Estado!A:AE,23,0),10)</f>
        <v>2024-06-12</v>
      </c>
      <c r="R153" t="str">
        <f>MID(VLOOKUP(A153, Fechas_Estado!A:AE,23,0),12,8)</f>
        <v>12:41:37</v>
      </c>
      <c r="S153" t="str">
        <f t="shared" si="45"/>
        <v>2024-06-12 12:41:37</v>
      </c>
      <c r="T153" t="str">
        <f>LEFT(VLOOKUP(A153, Fechas_Estado!A:AE,24,0),10)</f>
        <v>2024-06-12</v>
      </c>
      <c r="U153" t="str">
        <f>MID(VLOOKUP(A153, Fechas_Estado!A:AE,24,0),12,8)</f>
        <v>12:41:34</v>
      </c>
      <c r="V153" t="str">
        <f t="shared" si="46"/>
        <v>2024-06-12 12:41:34</v>
      </c>
      <c r="W153" t="str">
        <f>LEFT(VLOOKUP(A153, Fechas_Estado!A:AE,25,0),10)</f>
        <v>2024-06-14</v>
      </c>
      <c r="X153" t="str">
        <f>MID(VLOOKUP(A153, Fechas_Estado!A:AE,25,0),12,8)</f>
        <v>07:52:20</v>
      </c>
      <c r="Y153" t="str">
        <f t="shared" si="47"/>
        <v>2024-06-14 07:52:20</v>
      </c>
      <c r="Z153" t="str">
        <f>LEFT(VLOOKUP(A153, Fechas_Estado!A:AE,26,0),10)</f>
        <v>2024-06-14</v>
      </c>
      <c r="AA153" t="str">
        <f>MID(VLOOKUP(A153, Fechas_Estado!A:AE,26,0),12,8)</f>
        <v>13:56:30</v>
      </c>
      <c r="AB153" t="str">
        <f t="shared" si="48"/>
        <v>2024-06-14 13:56:30</v>
      </c>
      <c r="AC153" t="str">
        <f>LEFT(VLOOKUP(A153, Fechas_Estado!A:AE,27,0),10)</f>
        <v>2024-06-25</v>
      </c>
      <c r="AD153" t="str">
        <f>MID(VLOOKUP(A153, Fechas_Estado!A:AE,27,0),12,8)</f>
        <v>13:44:51</v>
      </c>
      <c r="AE153" t="str">
        <f t="shared" si="49"/>
        <v>2024-06-25 13:44:51</v>
      </c>
      <c r="AF153" t="str">
        <f>LEFT(VLOOKUP(A153, Fechas_Estado!A:AF,28,0),10)</f>
        <v/>
      </c>
      <c r="AG153" t="str">
        <f>MID(VLOOKUP(A153, Fechas_Estado!A:AF,28,0),12,8)</f>
        <v/>
      </c>
      <c r="AH153" t="str">
        <f t="shared" si="50"/>
        <v xml:space="preserve"> </v>
      </c>
      <c r="AI153" t="str">
        <f>LEFT(VLOOKUP(A153, Fechas_Estado!A:AF,16,0),10)</f>
        <v>2024-06-27</v>
      </c>
      <c r="AJ153" t="str">
        <f>MID(VLOOKUP(A153, Fechas_Estado!A:AF,16,0),12,8)</f>
        <v>12:01:19</v>
      </c>
      <c r="AK153" t="str">
        <f t="shared" si="51"/>
        <v>2024-06-27 12:01:19</v>
      </c>
      <c r="AL153">
        <f t="shared" si="52"/>
        <v>14.972881944449909</v>
      </c>
      <c r="AM153" t="str">
        <f>LEFT(VLOOKUP(A153, Fechas_Estado!A:AE,8,0),10)</f>
        <v>2024-06-28</v>
      </c>
      <c r="AN153" t="str">
        <f>MID(VLOOKUP(A153, Fechas_Estado!A:AE,8,0),12,8)</f>
        <v>09:26:59</v>
      </c>
      <c r="AO153" t="str">
        <f t="shared" si="53"/>
        <v>2024-06-28 09:26:59</v>
      </c>
      <c r="AP153" t="str">
        <f>LEFT(VLOOKUP(A153, Fechas_Estado!A:AE,7,0),10)</f>
        <v>2024-06-28</v>
      </c>
      <c r="AQ153" t="str">
        <f>MID(VLOOKUP(A153, Fechas_Estado!A:AE,7,0),12,8)</f>
        <v>10:25:53</v>
      </c>
      <c r="AR153" t="str">
        <f t="shared" si="54"/>
        <v>2024-06-28 10:25:53</v>
      </c>
      <c r="AS153" t="str">
        <f>LEFT(VLOOKUP(A153, Fechas_Estado!A:AE,10,0),10)</f>
        <v>2024-07-03</v>
      </c>
      <c r="AT153" t="str">
        <f>MID(VLOOKUP(A153, Fechas_Estado!A:AE,10,0),12,8)</f>
        <v>12:51:58</v>
      </c>
      <c r="AU153" t="str">
        <f t="shared" si="55"/>
        <v>2024-07-03 12:51:58</v>
      </c>
      <c r="AV153" t="str">
        <f>LEFT(VLOOKUP(A153, Fechas_Estado!A:AE,17,0),10)</f>
        <v>2024-07-04</v>
      </c>
      <c r="AW153" t="str">
        <f>MID(VLOOKUP(A153, Fechas_Estado!A:AE,17,0),12,8)</f>
        <v>13:50:04</v>
      </c>
      <c r="AX153" t="str">
        <f t="shared" si="56"/>
        <v>2024-07-04 13:50:04</v>
      </c>
      <c r="AY153">
        <f t="shared" si="57"/>
        <v>6.1826967592569417</v>
      </c>
      <c r="AZ153" t="str">
        <f>LEFT(VLOOKUP(A153, Fechas_Estado!A:AE,5,0),10)</f>
        <v>2024-07-30</v>
      </c>
      <c r="BA153" t="str">
        <f>MID(VLOOKUP(A153, Fechas_Estado!A:AE,5,0),12,8)</f>
        <v>09:18:06</v>
      </c>
      <c r="BB153" t="str">
        <f t="shared" si="58"/>
        <v>2024-07-30 09:18:06</v>
      </c>
      <c r="BC153">
        <f t="shared" si="59"/>
        <v>25.811134259260143</v>
      </c>
    </row>
    <row r="154" spans="1:55" x14ac:dyDescent="0.25">
      <c r="A154" t="str">
        <f>Fechas_Estado!A153</f>
        <v>ESPC360-9051</v>
      </c>
      <c r="B154" t="str">
        <f>LEFT(VLOOKUP(A154,Fechas_Estado!A:AE,2,0),10)</f>
        <v>2024-06-13</v>
      </c>
      <c r="C154" t="str">
        <f>MID(VLOOKUP(A154, Fechas_Estado!A:AE,2,0),12,8)</f>
        <v>13:15:33</v>
      </c>
      <c r="D154" t="str">
        <f t="shared" si="40"/>
        <v>2024-06-13 13:15:33</v>
      </c>
      <c r="E154" t="str">
        <f>LEFT(VLOOKUP(A154, Fechas_Estado!A:AE,19,0),10)</f>
        <v>2024-06-13</v>
      </c>
      <c r="F154" t="str">
        <f>MID(VLOOKUP(A154, Fechas_Estado!A:AE,19,0),12,8)</f>
        <v>13:18:43</v>
      </c>
      <c r="G154" t="str">
        <f t="shared" si="41"/>
        <v>2024-06-13 13:18:43</v>
      </c>
      <c r="H154" t="str">
        <f>LEFT(VLOOKUP(A154, Fechas_Estado!A:AE,20,0),10)</f>
        <v/>
      </c>
      <c r="I154" t="str">
        <f>MID(VLOOKUP(A154, Fechas_Estado!A:AE,20,0),12,8)</f>
        <v/>
      </c>
      <c r="J154" t="str">
        <f t="shared" si="42"/>
        <v xml:space="preserve"> </v>
      </c>
      <c r="K154" t="str">
        <f>LEFT(VLOOKUP(A154, Fechas_Estado!A:AE,21,0),10)</f>
        <v/>
      </c>
      <c r="L154" t="str">
        <f>MID(VLOOKUP(A154, Fechas_Estado!A:AE,21,0),12,8)</f>
        <v/>
      </c>
      <c r="M154" t="str">
        <f t="shared" si="43"/>
        <v xml:space="preserve"> </v>
      </c>
      <c r="N154" t="str">
        <f>LEFT(VLOOKUP(A154, Fechas_Estado!A:AE,22,0),10)</f>
        <v/>
      </c>
      <c r="O154" t="str">
        <f>MID(VLOOKUP(A154, Fechas_Estado!A:AE,22,0),12,8)</f>
        <v/>
      </c>
      <c r="P154" t="str">
        <f t="shared" si="44"/>
        <v xml:space="preserve"> </v>
      </c>
      <c r="Q154" t="str">
        <f>LEFT(VLOOKUP(A154, Fechas_Estado!A:AE,23,0),10)</f>
        <v/>
      </c>
      <c r="R154" t="str">
        <f>MID(VLOOKUP(A154, Fechas_Estado!A:AE,23,0),12,8)</f>
        <v/>
      </c>
      <c r="S154" t="str">
        <f t="shared" si="45"/>
        <v xml:space="preserve"> </v>
      </c>
      <c r="T154" t="str">
        <f>LEFT(VLOOKUP(A154, Fechas_Estado!A:AE,24,0),10)</f>
        <v/>
      </c>
      <c r="U154" t="str">
        <f>MID(VLOOKUP(A154, Fechas_Estado!A:AE,24,0),12,8)</f>
        <v/>
      </c>
      <c r="V154" t="str">
        <f t="shared" si="46"/>
        <v xml:space="preserve"> </v>
      </c>
      <c r="W154" t="str">
        <f>LEFT(VLOOKUP(A154, Fechas_Estado!A:AE,25,0),10)</f>
        <v>2024-06-13</v>
      </c>
      <c r="X154" t="str">
        <f>MID(VLOOKUP(A154, Fechas_Estado!A:AE,25,0),12,8)</f>
        <v>13:18:47</v>
      </c>
      <c r="Y154" t="str">
        <f t="shared" si="47"/>
        <v>2024-06-13 13:18:47</v>
      </c>
      <c r="Z154" t="str">
        <f>LEFT(VLOOKUP(A154, Fechas_Estado!A:AE,26,0),10)</f>
        <v>2024-06-14</v>
      </c>
      <c r="AA154" t="str">
        <f>MID(VLOOKUP(A154, Fechas_Estado!A:AE,26,0),12,8)</f>
        <v>13:58:26</v>
      </c>
      <c r="AB154" t="str">
        <f t="shared" si="48"/>
        <v>2024-06-14 13:58:26</v>
      </c>
      <c r="AC154" t="str">
        <f>LEFT(VLOOKUP(A154, Fechas_Estado!A:AE,27,0),10)</f>
        <v>2024-06-18</v>
      </c>
      <c r="AD154" t="str">
        <f>MID(VLOOKUP(A154, Fechas_Estado!A:AE,27,0),12,8)</f>
        <v>17:13:58</v>
      </c>
      <c r="AE154" t="str">
        <f t="shared" si="49"/>
        <v>2024-06-18 17:13:58</v>
      </c>
      <c r="AF154" t="str">
        <f>LEFT(VLOOKUP(A154, Fechas_Estado!A:AF,28,0),10)</f>
        <v/>
      </c>
      <c r="AG154" t="str">
        <f>MID(VLOOKUP(A154, Fechas_Estado!A:AF,28,0),12,8)</f>
        <v/>
      </c>
      <c r="AH154" t="str">
        <f t="shared" si="50"/>
        <v xml:space="preserve"> </v>
      </c>
      <c r="AI154" t="str">
        <f>LEFT(VLOOKUP(A154, Fechas_Estado!A:AF,16,0),10)</f>
        <v>2024-06-27</v>
      </c>
      <c r="AJ154" t="str">
        <f>MID(VLOOKUP(A154, Fechas_Estado!A:AF,16,0),12,8)</f>
        <v>11:53:05</v>
      </c>
      <c r="AK154" t="str">
        <f t="shared" si="51"/>
        <v>2024-06-27 11:53:05</v>
      </c>
      <c r="AL154">
        <f t="shared" si="52"/>
        <v>13.942731481482042</v>
      </c>
      <c r="AM154" t="str">
        <f>LEFT(VLOOKUP(A154, Fechas_Estado!A:AE,8,0),10)</f>
        <v>2024-07-01</v>
      </c>
      <c r="AN154" t="str">
        <f>MID(VLOOKUP(A154, Fechas_Estado!A:AE,8,0),12,8)</f>
        <v>11:49:46</v>
      </c>
      <c r="AO154" t="str">
        <f t="shared" si="53"/>
        <v>2024-07-01 11:49:46</v>
      </c>
      <c r="AP154" t="str">
        <f>LEFT(VLOOKUP(A154, Fechas_Estado!A:AE,7,0),10)</f>
        <v>2024-07-01</v>
      </c>
      <c r="AQ154" t="str">
        <f>MID(VLOOKUP(A154, Fechas_Estado!A:AE,7,0),12,8)</f>
        <v>14:02:34</v>
      </c>
      <c r="AR154" t="str">
        <f t="shared" si="54"/>
        <v>2024-07-01 14:02:34</v>
      </c>
      <c r="AS154" t="str">
        <f>LEFT(VLOOKUP(A154, Fechas_Estado!A:AE,10,0),10)</f>
        <v>2024-07-03</v>
      </c>
      <c r="AT154" t="str">
        <f>MID(VLOOKUP(A154, Fechas_Estado!A:AE,10,0),12,8)</f>
        <v>12:52:02</v>
      </c>
      <c r="AU154" t="str">
        <f t="shared" si="55"/>
        <v>2024-07-03 12:52:02</v>
      </c>
      <c r="AV154" t="str">
        <f>LEFT(VLOOKUP(A154, Fechas_Estado!A:AE,17,0),10)</f>
        <v>2024-07-04</v>
      </c>
      <c r="AW154" t="str">
        <f>MID(VLOOKUP(A154, Fechas_Estado!A:AE,17,0),12,8)</f>
        <v>13:49:59</v>
      </c>
      <c r="AX154" t="str">
        <f t="shared" si="56"/>
        <v>2024-07-04 13:49:59</v>
      </c>
      <c r="AY154">
        <f t="shared" si="57"/>
        <v>3.0834837962975143</v>
      </c>
      <c r="AZ154" t="str">
        <f>LEFT(VLOOKUP(A154, Fechas_Estado!A:AE,5,0),10)</f>
        <v>2024-07-30</v>
      </c>
      <c r="BA154" t="str">
        <f>MID(VLOOKUP(A154, Fechas_Estado!A:AE,5,0),12,8)</f>
        <v>09:18:06</v>
      </c>
      <c r="BB154" t="str">
        <f t="shared" si="58"/>
        <v>2024-07-30 09:18:06</v>
      </c>
      <c r="BC154">
        <f t="shared" si="59"/>
        <v>25.81119212962949</v>
      </c>
    </row>
    <row r="155" spans="1:55" x14ac:dyDescent="0.25">
      <c r="A155" t="str">
        <f>Fechas_Estado!A154</f>
        <v>ESPC360-9056</v>
      </c>
      <c r="B155" t="str">
        <f>LEFT(VLOOKUP(A155,Fechas_Estado!A:AE,2,0),10)</f>
        <v>2024-06-13</v>
      </c>
      <c r="C155" t="str">
        <f>MID(VLOOKUP(A155, Fechas_Estado!A:AE,2,0),12,8)</f>
        <v>16:46:38</v>
      </c>
      <c r="D155" t="str">
        <f t="shared" si="40"/>
        <v>2024-06-13 16:46:38</v>
      </c>
      <c r="E155" t="str">
        <f>LEFT(VLOOKUP(A155, Fechas_Estado!A:AE,19,0),10)</f>
        <v>2024-06-13</v>
      </c>
      <c r="F155" t="str">
        <f>MID(VLOOKUP(A155, Fechas_Estado!A:AE,19,0),12,8)</f>
        <v>16:53:02</v>
      </c>
      <c r="G155" t="str">
        <f t="shared" si="41"/>
        <v>2024-06-13 16:53:02</v>
      </c>
      <c r="H155" t="str">
        <f>LEFT(VLOOKUP(A155, Fechas_Estado!A:AE,20,0),10)</f>
        <v/>
      </c>
      <c r="I155" t="str">
        <f>MID(VLOOKUP(A155, Fechas_Estado!A:AE,20,0),12,8)</f>
        <v/>
      </c>
      <c r="J155" t="str">
        <f t="shared" si="42"/>
        <v xml:space="preserve"> </v>
      </c>
      <c r="K155" t="str">
        <f>LEFT(VLOOKUP(A155, Fechas_Estado!A:AE,21,0),10)</f>
        <v/>
      </c>
      <c r="L155" t="str">
        <f>MID(VLOOKUP(A155, Fechas_Estado!A:AE,21,0),12,8)</f>
        <v/>
      </c>
      <c r="M155" t="str">
        <f t="shared" si="43"/>
        <v xml:space="preserve"> </v>
      </c>
      <c r="N155" t="str">
        <f>LEFT(VLOOKUP(A155, Fechas_Estado!A:AE,22,0),10)</f>
        <v/>
      </c>
      <c r="O155" t="str">
        <f>MID(VLOOKUP(A155, Fechas_Estado!A:AE,22,0),12,8)</f>
        <v/>
      </c>
      <c r="P155" t="str">
        <f t="shared" si="44"/>
        <v xml:space="preserve"> </v>
      </c>
      <c r="Q155" t="str">
        <f>LEFT(VLOOKUP(A155, Fechas_Estado!A:AE,23,0),10)</f>
        <v/>
      </c>
      <c r="R155" t="str">
        <f>MID(VLOOKUP(A155, Fechas_Estado!A:AE,23,0),12,8)</f>
        <v/>
      </c>
      <c r="S155" t="str">
        <f t="shared" si="45"/>
        <v xml:space="preserve"> </v>
      </c>
      <c r="T155" t="str">
        <f>LEFT(VLOOKUP(A155, Fechas_Estado!A:AE,24,0),10)</f>
        <v>2024-06-14</v>
      </c>
      <c r="U155" t="str">
        <f>MID(VLOOKUP(A155, Fechas_Estado!A:AE,24,0),12,8)</f>
        <v>07:51:30</v>
      </c>
      <c r="V155" t="str">
        <f t="shared" si="46"/>
        <v>2024-06-14 07:51:30</v>
      </c>
      <c r="W155" t="str">
        <f>LEFT(VLOOKUP(A155, Fechas_Estado!A:AE,25,0),10)</f>
        <v>2024-06-14</v>
      </c>
      <c r="X155" t="str">
        <f>MID(VLOOKUP(A155, Fechas_Estado!A:AE,25,0),12,8)</f>
        <v>07:51:35</v>
      </c>
      <c r="Y155" t="str">
        <f t="shared" si="47"/>
        <v>2024-06-14 07:51:35</v>
      </c>
      <c r="Z155" t="str">
        <f>LEFT(VLOOKUP(A155, Fechas_Estado!A:AE,26,0),10)</f>
        <v>2024-06-14</v>
      </c>
      <c r="AA155" t="str">
        <f>MID(VLOOKUP(A155, Fechas_Estado!A:AE,26,0),12,8)</f>
        <v>13:58:15</v>
      </c>
      <c r="AB155" t="str">
        <f t="shared" si="48"/>
        <v>2024-06-14 13:58:15</v>
      </c>
      <c r="AC155" t="str">
        <f>LEFT(VLOOKUP(A155, Fechas_Estado!A:AE,27,0),10)</f>
        <v>2024-06-17</v>
      </c>
      <c r="AD155" t="str">
        <f>MID(VLOOKUP(A155, Fechas_Estado!A:AE,27,0),12,8)</f>
        <v>11:37:59</v>
      </c>
      <c r="AE155" t="str">
        <f t="shared" si="49"/>
        <v>2024-06-17 11:37:59</v>
      </c>
      <c r="AF155" t="str">
        <f>LEFT(VLOOKUP(A155, Fechas_Estado!A:AF,28,0),10)</f>
        <v/>
      </c>
      <c r="AG155" t="str">
        <f>MID(VLOOKUP(A155, Fechas_Estado!A:AF,28,0),12,8)</f>
        <v/>
      </c>
      <c r="AH155" t="str">
        <f t="shared" si="50"/>
        <v xml:space="preserve"> </v>
      </c>
      <c r="AI155" t="str">
        <f>LEFT(VLOOKUP(A155, Fechas_Estado!A:AF,16,0),10)</f>
        <v>2024-06-27</v>
      </c>
      <c r="AJ155" t="str">
        <f>MID(VLOOKUP(A155, Fechas_Estado!A:AF,16,0),12,8)</f>
        <v>11:48:37</v>
      </c>
      <c r="AK155" t="str">
        <f t="shared" si="51"/>
        <v>2024-06-27 11:48:37</v>
      </c>
      <c r="AL155">
        <f t="shared" si="52"/>
        <v>13.793043981480878</v>
      </c>
      <c r="AM155" t="str">
        <f>LEFT(VLOOKUP(A155, Fechas_Estado!A:AE,8,0),10)</f>
        <v>2024-07-02</v>
      </c>
      <c r="AN155" t="str">
        <f>MID(VLOOKUP(A155, Fechas_Estado!A:AE,8,0),12,8)</f>
        <v>10:34:33</v>
      </c>
      <c r="AO155" t="str">
        <f t="shared" si="53"/>
        <v>2024-07-02 10:34:33</v>
      </c>
      <c r="AP155" t="str">
        <f>LEFT(VLOOKUP(A155, Fechas_Estado!A:AE,7,0),10)</f>
        <v>2024-07-02</v>
      </c>
      <c r="AQ155" t="str">
        <f>MID(VLOOKUP(A155, Fechas_Estado!A:AE,7,0),12,8)</f>
        <v>10:34:39</v>
      </c>
      <c r="AR155" t="str">
        <f t="shared" si="54"/>
        <v>2024-07-02 10:34:39</v>
      </c>
      <c r="AS155" t="str">
        <f>LEFT(VLOOKUP(A155, Fechas_Estado!A:AE,10,0),10)</f>
        <v>2024-07-02</v>
      </c>
      <c r="AT155" t="str">
        <f>MID(VLOOKUP(A155, Fechas_Estado!A:AE,10,0),12,8)</f>
        <v>12:25:56</v>
      </c>
      <c r="AU155" t="str">
        <f t="shared" si="55"/>
        <v>2024-07-02 12:25:56</v>
      </c>
      <c r="AV155" t="str">
        <f>LEFT(VLOOKUP(A155, Fechas_Estado!A:AE,17,0),10)</f>
        <v>2024-07-03</v>
      </c>
      <c r="AW155" t="str">
        <f>MID(VLOOKUP(A155, Fechas_Estado!A:AE,17,0),12,8)</f>
        <v>09:16:16</v>
      </c>
      <c r="AX155" t="str">
        <f t="shared" si="56"/>
        <v>2024-07-03 09:16:16</v>
      </c>
      <c r="AY155">
        <f t="shared" si="57"/>
        <v>0.94563657407707069</v>
      </c>
      <c r="AZ155" t="str">
        <f>LEFT(VLOOKUP(A155, Fechas_Estado!A:AE,5,0),10)</f>
        <v>2024-07-30</v>
      </c>
      <c r="BA155" t="str">
        <f>MID(VLOOKUP(A155, Fechas_Estado!A:AE,5,0),12,8)</f>
        <v>09:18:06</v>
      </c>
      <c r="BB155" t="str">
        <f t="shared" si="58"/>
        <v>2024-07-30 09:18:06</v>
      </c>
      <c r="BC155">
        <f t="shared" si="59"/>
        <v>27.001273148147448</v>
      </c>
    </row>
    <row r="156" spans="1:55" x14ac:dyDescent="0.25">
      <c r="A156" t="str">
        <f>Fechas_Estado!A155</f>
        <v>ESPC360-9194</v>
      </c>
      <c r="B156" t="str">
        <f>LEFT(VLOOKUP(A156,Fechas_Estado!A:AE,2,0),10)</f>
        <v>2024-06-19</v>
      </c>
      <c r="C156" t="str">
        <f>MID(VLOOKUP(A156, Fechas_Estado!A:AE,2,0),12,8)</f>
        <v>17:27:55</v>
      </c>
      <c r="D156" t="str">
        <f t="shared" si="40"/>
        <v>2024-06-19 17:27:55</v>
      </c>
      <c r="E156" t="str">
        <f>LEFT(VLOOKUP(A156, Fechas_Estado!A:AE,19,0),10)</f>
        <v>2024-06-21</v>
      </c>
      <c r="F156" t="str">
        <f>MID(VLOOKUP(A156, Fechas_Estado!A:AE,19,0),12,8)</f>
        <v>09:39:52</v>
      </c>
      <c r="G156" t="str">
        <f t="shared" si="41"/>
        <v>2024-06-21 09:39:52</v>
      </c>
      <c r="H156" t="str">
        <f>LEFT(VLOOKUP(A156, Fechas_Estado!A:AE,20,0),10)</f>
        <v/>
      </c>
      <c r="I156" t="str">
        <f>MID(VLOOKUP(A156, Fechas_Estado!A:AE,20,0),12,8)</f>
        <v/>
      </c>
      <c r="J156" t="str">
        <f t="shared" si="42"/>
        <v xml:space="preserve"> </v>
      </c>
      <c r="K156" t="str">
        <f>LEFT(VLOOKUP(A156, Fechas_Estado!A:AE,21,0),10)</f>
        <v/>
      </c>
      <c r="L156" t="str">
        <f>MID(VLOOKUP(A156, Fechas_Estado!A:AE,21,0),12,8)</f>
        <v/>
      </c>
      <c r="M156" t="str">
        <f t="shared" si="43"/>
        <v xml:space="preserve"> </v>
      </c>
      <c r="N156" t="str">
        <f>LEFT(VLOOKUP(A156, Fechas_Estado!A:AE,22,0),10)</f>
        <v/>
      </c>
      <c r="O156" t="str">
        <f>MID(VLOOKUP(A156, Fechas_Estado!A:AE,22,0),12,8)</f>
        <v/>
      </c>
      <c r="P156" t="str">
        <f t="shared" si="44"/>
        <v xml:space="preserve"> </v>
      </c>
      <c r="Q156" t="str">
        <f>LEFT(VLOOKUP(A156, Fechas_Estado!A:AE,23,0),10)</f>
        <v/>
      </c>
      <c r="R156" t="str">
        <f>MID(VLOOKUP(A156, Fechas_Estado!A:AE,23,0),12,8)</f>
        <v/>
      </c>
      <c r="S156" t="str">
        <f t="shared" si="45"/>
        <v xml:space="preserve"> </v>
      </c>
      <c r="T156" t="str">
        <f>LEFT(VLOOKUP(A156, Fechas_Estado!A:AE,24,0),10)</f>
        <v/>
      </c>
      <c r="U156" t="str">
        <f>MID(VLOOKUP(A156, Fechas_Estado!A:AE,24,0),12,8)</f>
        <v/>
      </c>
      <c r="V156" t="str">
        <f t="shared" si="46"/>
        <v xml:space="preserve"> </v>
      </c>
      <c r="W156" t="str">
        <f>LEFT(VLOOKUP(A156, Fechas_Estado!A:AE,25,0),10)</f>
        <v/>
      </c>
      <c r="X156" t="str">
        <f>MID(VLOOKUP(A156, Fechas_Estado!A:AE,25,0),12,8)</f>
        <v/>
      </c>
      <c r="Y156" t="str">
        <f t="shared" si="47"/>
        <v xml:space="preserve"> </v>
      </c>
      <c r="Z156" t="str">
        <f>LEFT(VLOOKUP(A156, Fechas_Estado!A:AE,26,0),10)</f>
        <v/>
      </c>
      <c r="AA156" t="str">
        <f>MID(VLOOKUP(A156, Fechas_Estado!A:AE,26,0),12,8)</f>
        <v/>
      </c>
      <c r="AB156" t="str">
        <f t="shared" si="48"/>
        <v xml:space="preserve"> </v>
      </c>
      <c r="AC156" t="str">
        <f>LEFT(VLOOKUP(A156, Fechas_Estado!A:AE,27,0),10)</f>
        <v/>
      </c>
      <c r="AD156" t="str">
        <f>MID(VLOOKUP(A156, Fechas_Estado!A:AE,27,0),12,8)</f>
        <v/>
      </c>
      <c r="AE156" t="str">
        <f t="shared" si="49"/>
        <v xml:space="preserve"> </v>
      </c>
      <c r="AF156" t="str">
        <f>LEFT(VLOOKUP(A156, Fechas_Estado!A:AF,28,0),10)</f>
        <v/>
      </c>
      <c r="AG156" t="str">
        <f>MID(VLOOKUP(A156, Fechas_Estado!A:AF,28,0),12,8)</f>
        <v/>
      </c>
      <c r="AH156" t="str">
        <f t="shared" si="50"/>
        <v xml:space="preserve"> </v>
      </c>
      <c r="AI156" t="str">
        <f>LEFT(VLOOKUP(A156, Fechas_Estado!A:AF,16,0),10)</f>
        <v/>
      </c>
      <c r="AJ156" t="str">
        <f>MID(VLOOKUP(A156, Fechas_Estado!A:AF,16,0),12,8)</f>
        <v/>
      </c>
      <c r="AK156" t="str">
        <f t="shared" si="51"/>
        <v xml:space="preserve"> </v>
      </c>
      <c r="AL156" t="e">
        <f t="shared" si="52"/>
        <v>#VALUE!</v>
      </c>
      <c r="AM156" t="str">
        <f>LEFT(VLOOKUP(A156, Fechas_Estado!A:AE,8,0),10)</f>
        <v/>
      </c>
      <c r="AN156" t="str">
        <f>MID(VLOOKUP(A156, Fechas_Estado!A:AE,8,0),12,8)</f>
        <v/>
      </c>
      <c r="AO156" t="str">
        <f t="shared" si="53"/>
        <v xml:space="preserve"> </v>
      </c>
      <c r="AP156" t="str">
        <f>LEFT(VLOOKUP(A156, Fechas_Estado!A:AE,7,0),10)</f>
        <v/>
      </c>
      <c r="AQ156" t="str">
        <f>MID(VLOOKUP(A156, Fechas_Estado!A:AE,7,0),12,8)</f>
        <v/>
      </c>
      <c r="AR156" t="str">
        <f t="shared" si="54"/>
        <v xml:space="preserve"> </v>
      </c>
      <c r="AS156" t="str">
        <f>LEFT(VLOOKUP(A156, Fechas_Estado!A:AE,10,0),10)</f>
        <v/>
      </c>
      <c r="AT156" t="str">
        <f>MID(VLOOKUP(A156, Fechas_Estado!A:AE,10,0),12,8)</f>
        <v/>
      </c>
      <c r="AU156" t="str">
        <f t="shared" si="55"/>
        <v xml:space="preserve"> </v>
      </c>
      <c r="AV156" t="str">
        <f>LEFT(VLOOKUP(A156, Fechas_Estado!A:AE,17,0),10)</f>
        <v/>
      </c>
      <c r="AW156" t="str">
        <f>MID(VLOOKUP(A156, Fechas_Estado!A:AE,17,0),12,8)</f>
        <v/>
      </c>
      <c r="AX156" t="str">
        <f t="shared" si="56"/>
        <v xml:space="preserve"> </v>
      </c>
      <c r="AY156" t="e">
        <f t="shared" si="57"/>
        <v>#VALUE!</v>
      </c>
      <c r="AZ156" t="str">
        <f>LEFT(VLOOKUP(A156, Fechas_Estado!A:AE,5,0),10)</f>
        <v>2024-07-03</v>
      </c>
      <c r="BA156" t="str">
        <f>MID(VLOOKUP(A156, Fechas_Estado!A:AE,5,0),12,8)</f>
        <v>10:38:52</v>
      </c>
      <c r="BB156" t="str">
        <f t="shared" si="58"/>
        <v>2024-07-03 10:38:52</v>
      </c>
      <c r="BC156" t="e">
        <f t="shared" si="59"/>
        <v>#VALUE!</v>
      </c>
    </row>
    <row r="157" spans="1:55" x14ac:dyDescent="0.25">
      <c r="A157" t="str">
        <f>Fechas_Estado!A156</f>
        <v>ESPC360-9305</v>
      </c>
      <c r="B157" t="str">
        <f>LEFT(VLOOKUP(A157,Fechas_Estado!A:AE,2,0),10)</f>
        <v>2024-06-24</v>
      </c>
      <c r="C157" t="str">
        <f>MID(VLOOKUP(A157, Fechas_Estado!A:AE,2,0),12,8)</f>
        <v>11:57:11</v>
      </c>
      <c r="D157" t="str">
        <f t="shared" si="40"/>
        <v>2024-06-24 11:57:11</v>
      </c>
      <c r="E157" t="str">
        <f>LEFT(VLOOKUP(A157, Fechas_Estado!A:AE,19,0),10)</f>
        <v/>
      </c>
      <c r="F157" t="str">
        <f>MID(VLOOKUP(A157, Fechas_Estado!A:AE,19,0),12,8)</f>
        <v/>
      </c>
      <c r="G157" t="str">
        <f t="shared" si="41"/>
        <v xml:space="preserve"> </v>
      </c>
      <c r="H157" t="str">
        <f>LEFT(VLOOKUP(A157, Fechas_Estado!A:AE,20,0),10)</f>
        <v/>
      </c>
      <c r="I157" t="str">
        <f>MID(VLOOKUP(A157, Fechas_Estado!A:AE,20,0),12,8)</f>
        <v/>
      </c>
      <c r="J157" t="str">
        <f t="shared" si="42"/>
        <v xml:space="preserve"> </v>
      </c>
      <c r="K157" t="str">
        <f>LEFT(VLOOKUP(A157, Fechas_Estado!A:AE,21,0),10)</f>
        <v/>
      </c>
      <c r="L157" t="str">
        <f>MID(VLOOKUP(A157, Fechas_Estado!A:AE,21,0),12,8)</f>
        <v/>
      </c>
      <c r="M157" t="str">
        <f t="shared" si="43"/>
        <v xml:space="preserve"> </v>
      </c>
      <c r="N157" t="str">
        <f>LEFT(VLOOKUP(A157, Fechas_Estado!A:AE,22,0),10)</f>
        <v/>
      </c>
      <c r="O157" t="str">
        <f>MID(VLOOKUP(A157, Fechas_Estado!A:AE,22,0),12,8)</f>
        <v/>
      </c>
      <c r="P157" t="str">
        <f t="shared" si="44"/>
        <v xml:space="preserve"> </v>
      </c>
      <c r="Q157" t="str">
        <f>LEFT(VLOOKUP(A157, Fechas_Estado!A:AE,23,0),10)</f>
        <v/>
      </c>
      <c r="R157" t="str">
        <f>MID(VLOOKUP(A157, Fechas_Estado!A:AE,23,0),12,8)</f>
        <v/>
      </c>
      <c r="S157" t="str">
        <f t="shared" si="45"/>
        <v xml:space="preserve"> </v>
      </c>
      <c r="T157" t="str">
        <f>LEFT(VLOOKUP(A157, Fechas_Estado!A:AE,24,0),10)</f>
        <v/>
      </c>
      <c r="U157" t="str">
        <f>MID(VLOOKUP(A157, Fechas_Estado!A:AE,24,0),12,8)</f>
        <v/>
      </c>
      <c r="V157" t="str">
        <f t="shared" si="46"/>
        <v xml:space="preserve"> </v>
      </c>
      <c r="W157" t="str">
        <f>LEFT(VLOOKUP(A157, Fechas_Estado!A:AE,25,0),10)</f>
        <v>2024-06-24</v>
      </c>
      <c r="X157" t="str">
        <f>MID(VLOOKUP(A157, Fechas_Estado!A:AE,25,0),12,8)</f>
        <v>11:58:39</v>
      </c>
      <c r="Y157" t="str">
        <f t="shared" si="47"/>
        <v>2024-06-24 11:58:39</v>
      </c>
      <c r="Z157" t="str">
        <f>LEFT(VLOOKUP(A157, Fechas_Estado!A:AE,26,0),10)</f>
        <v>2024-06-25</v>
      </c>
      <c r="AA157" t="str">
        <f>MID(VLOOKUP(A157, Fechas_Estado!A:AE,26,0),12,8)</f>
        <v>14:12:50</v>
      </c>
      <c r="AB157" t="str">
        <f t="shared" si="48"/>
        <v>2024-06-25 14:12:50</v>
      </c>
      <c r="AC157" t="str">
        <f>LEFT(VLOOKUP(A157, Fechas_Estado!A:AE,27,0),10)</f>
        <v>2024-06-26</v>
      </c>
      <c r="AD157" t="str">
        <f>MID(VLOOKUP(A157, Fechas_Estado!A:AE,27,0),12,8)</f>
        <v>12:27:16</v>
      </c>
      <c r="AE157" t="str">
        <f t="shared" si="49"/>
        <v>2024-06-26 12:27:16</v>
      </c>
      <c r="AF157" t="str">
        <f>LEFT(VLOOKUP(A157, Fechas_Estado!A:AF,28,0),10)</f>
        <v/>
      </c>
      <c r="AG157" t="str">
        <f>MID(VLOOKUP(A157, Fechas_Estado!A:AF,28,0),12,8)</f>
        <v/>
      </c>
      <c r="AH157" t="str">
        <f t="shared" si="50"/>
        <v xml:space="preserve"> </v>
      </c>
      <c r="AI157" t="str">
        <f>LEFT(VLOOKUP(A157, Fechas_Estado!A:AF,16,0),10)</f>
        <v>2024-06-27</v>
      </c>
      <c r="AJ157" t="str">
        <f>MID(VLOOKUP(A157, Fechas_Estado!A:AF,16,0),12,8)</f>
        <v>16:51:51</v>
      </c>
      <c r="AK157" t="str">
        <f t="shared" si="51"/>
        <v>2024-06-27 16:51:51</v>
      </c>
      <c r="AL157">
        <f t="shared" si="52"/>
        <v>3.2046296296321088</v>
      </c>
      <c r="AM157" t="str">
        <f>LEFT(VLOOKUP(A157, Fechas_Estado!A:AE,8,0),10)</f>
        <v>2024-07-03</v>
      </c>
      <c r="AN157" t="str">
        <f>MID(VLOOKUP(A157, Fechas_Estado!A:AE,8,0),12,8)</f>
        <v>10:40:41</v>
      </c>
      <c r="AO157" t="str">
        <f t="shared" si="53"/>
        <v>2024-07-03 10:40:41</v>
      </c>
      <c r="AP157" t="str">
        <f>LEFT(VLOOKUP(A157, Fechas_Estado!A:AE,7,0),10)</f>
        <v>2024-07-03</v>
      </c>
      <c r="AQ157" t="str">
        <f>MID(VLOOKUP(A157, Fechas_Estado!A:AE,7,0),12,8)</f>
        <v>10:40:44</v>
      </c>
      <c r="AR157" t="str">
        <f t="shared" si="54"/>
        <v>2024-07-03 10:40:44</v>
      </c>
      <c r="AS157" t="str">
        <f>LEFT(VLOOKUP(A157, Fechas_Estado!A:AE,10,0),10)</f>
        <v/>
      </c>
      <c r="AT157" t="str">
        <f>MID(VLOOKUP(A157, Fechas_Estado!A:AE,10,0),12,8)</f>
        <v/>
      </c>
      <c r="AU157" t="str">
        <f t="shared" si="55"/>
        <v xml:space="preserve"> </v>
      </c>
      <c r="AV157" t="str">
        <f>LEFT(VLOOKUP(A157, Fechas_Estado!A:AE,17,0),10)</f>
        <v/>
      </c>
      <c r="AW157" t="str">
        <f>MID(VLOOKUP(A157, Fechas_Estado!A:AE,17,0),12,8)</f>
        <v/>
      </c>
      <c r="AX157" t="str">
        <f t="shared" si="56"/>
        <v xml:space="preserve"> </v>
      </c>
      <c r="AY157" t="e">
        <f t="shared" si="57"/>
        <v>#VALUE!</v>
      </c>
      <c r="AZ157" t="str">
        <f>LEFT(VLOOKUP(A157, Fechas_Estado!A:AE,5,0),10)</f>
        <v>2024-07-03</v>
      </c>
      <c r="BA157" t="str">
        <f>MID(VLOOKUP(A157, Fechas_Estado!A:AE,5,0),12,8)</f>
        <v>14:14:56</v>
      </c>
      <c r="BB157" t="str">
        <f t="shared" si="58"/>
        <v>2024-07-03 14:14:56</v>
      </c>
      <c r="BC157" t="e">
        <f t="shared" si="59"/>
        <v>#VALUE!</v>
      </c>
    </row>
    <row r="158" spans="1:55" x14ac:dyDescent="0.25">
      <c r="A158" t="str">
        <f>Fechas_Estado!A157</f>
        <v>ESPC360-9330</v>
      </c>
      <c r="B158" t="str">
        <f>LEFT(VLOOKUP(A158,Fechas_Estado!A:AE,2,0),10)</f>
        <v>2024-06-26</v>
      </c>
      <c r="C158" t="str">
        <f>MID(VLOOKUP(A158, Fechas_Estado!A:AE,2,0),12,8)</f>
        <v>08:56:01</v>
      </c>
      <c r="D158" t="str">
        <f t="shared" si="40"/>
        <v>2024-06-26 08:56:01</v>
      </c>
      <c r="E158" t="str">
        <f>LEFT(VLOOKUP(A158, Fechas_Estado!A:AE,19,0),10)</f>
        <v/>
      </c>
      <c r="F158" t="str">
        <f>MID(VLOOKUP(A158, Fechas_Estado!A:AE,19,0),12,8)</f>
        <v/>
      </c>
      <c r="G158" t="str">
        <f t="shared" si="41"/>
        <v xml:space="preserve"> </v>
      </c>
      <c r="H158" t="str">
        <f>LEFT(VLOOKUP(A158, Fechas_Estado!A:AE,20,0),10)</f>
        <v/>
      </c>
      <c r="I158" t="str">
        <f>MID(VLOOKUP(A158, Fechas_Estado!A:AE,20,0),12,8)</f>
        <v/>
      </c>
      <c r="J158" t="str">
        <f t="shared" si="42"/>
        <v xml:space="preserve"> </v>
      </c>
      <c r="K158" t="str">
        <f>LEFT(VLOOKUP(A158, Fechas_Estado!A:AE,21,0),10)</f>
        <v/>
      </c>
      <c r="L158" t="str">
        <f>MID(VLOOKUP(A158, Fechas_Estado!A:AE,21,0),12,8)</f>
        <v/>
      </c>
      <c r="M158" t="str">
        <f t="shared" si="43"/>
        <v xml:space="preserve"> </v>
      </c>
      <c r="N158" t="str">
        <f>LEFT(VLOOKUP(A158, Fechas_Estado!A:AE,22,0),10)</f>
        <v/>
      </c>
      <c r="O158" t="str">
        <f>MID(VLOOKUP(A158, Fechas_Estado!A:AE,22,0),12,8)</f>
        <v/>
      </c>
      <c r="P158" t="str">
        <f t="shared" si="44"/>
        <v xml:space="preserve"> </v>
      </c>
      <c r="Q158" t="str">
        <f>LEFT(VLOOKUP(A158, Fechas_Estado!A:AE,23,0),10)</f>
        <v/>
      </c>
      <c r="R158" t="str">
        <f>MID(VLOOKUP(A158, Fechas_Estado!A:AE,23,0),12,8)</f>
        <v/>
      </c>
      <c r="S158" t="str">
        <f t="shared" si="45"/>
        <v xml:space="preserve"> </v>
      </c>
      <c r="T158" t="str">
        <f>LEFT(VLOOKUP(A158, Fechas_Estado!A:AE,24,0),10)</f>
        <v/>
      </c>
      <c r="U158" t="str">
        <f>MID(VLOOKUP(A158, Fechas_Estado!A:AE,24,0),12,8)</f>
        <v/>
      </c>
      <c r="V158" t="str">
        <f t="shared" si="46"/>
        <v xml:space="preserve"> </v>
      </c>
      <c r="W158" t="str">
        <f>LEFT(VLOOKUP(A158, Fechas_Estado!A:AE,25,0),10)</f>
        <v>2024-06-26</v>
      </c>
      <c r="X158" t="str">
        <f>MID(VLOOKUP(A158, Fechas_Estado!A:AE,25,0),12,8)</f>
        <v>16:34:22</v>
      </c>
      <c r="Y158" t="str">
        <f t="shared" si="47"/>
        <v>2024-06-26 16:34:22</v>
      </c>
      <c r="Z158" t="str">
        <f>LEFT(VLOOKUP(A158, Fechas_Estado!A:AE,26,0),10)</f>
        <v>2024-07-04</v>
      </c>
      <c r="AA158" t="str">
        <f>MID(VLOOKUP(A158, Fechas_Estado!A:AE,26,0),12,8)</f>
        <v>09:45:23</v>
      </c>
      <c r="AB158" t="str">
        <f t="shared" si="48"/>
        <v>2024-07-04 09:45:23</v>
      </c>
      <c r="AC158" t="str">
        <f>LEFT(VLOOKUP(A158, Fechas_Estado!A:AE,27,0),10)</f>
        <v>2024-07-09</v>
      </c>
      <c r="AD158" t="str">
        <f>MID(VLOOKUP(A158, Fechas_Estado!A:AE,27,0),12,8)</f>
        <v>13:04:44</v>
      </c>
      <c r="AE158" t="str">
        <f t="shared" si="49"/>
        <v>2024-07-09 13:04:44</v>
      </c>
      <c r="AF158" t="str">
        <f>LEFT(VLOOKUP(A158, Fechas_Estado!A:AF,28,0),10)</f>
        <v/>
      </c>
      <c r="AG158" t="str">
        <f>MID(VLOOKUP(A158, Fechas_Estado!A:AF,28,0),12,8)</f>
        <v/>
      </c>
      <c r="AH158" t="str">
        <f t="shared" si="50"/>
        <v xml:space="preserve"> </v>
      </c>
      <c r="AI158" t="str">
        <f>LEFT(VLOOKUP(A158, Fechas_Estado!A:AF,16,0),10)</f>
        <v>2024-07-10</v>
      </c>
      <c r="AJ158" t="str">
        <f>MID(VLOOKUP(A158, Fechas_Estado!A:AF,16,0),12,8)</f>
        <v>13:17:50</v>
      </c>
      <c r="AK158" t="str">
        <f t="shared" si="51"/>
        <v>2024-07-10 13:17:50</v>
      </c>
      <c r="AL158">
        <f t="shared" si="52"/>
        <v>14.181817129625415</v>
      </c>
      <c r="AM158" t="str">
        <f>LEFT(VLOOKUP(A158, Fechas_Estado!A:AE,8,0),10)</f>
        <v>2024-07-15</v>
      </c>
      <c r="AN158" t="str">
        <f>MID(VLOOKUP(A158, Fechas_Estado!A:AE,8,0),12,8)</f>
        <v>12:49:35</v>
      </c>
      <c r="AO158" t="str">
        <f t="shared" si="53"/>
        <v>2024-07-15 12:49:35</v>
      </c>
      <c r="AP158" t="str">
        <f>LEFT(VLOOKUP(A158, Fechas_Estado!A:AE,7,0),10)</f>
        <v>2024-07-16</v>
      </c>
      <c r="AQ158" t="str">
        <f>MID(VLOOKUP(A158, Fechas_Estado!A:AE,7,0),12,8)</f>
        <v>10:04:39</v>
      </c>
      <c r="AR158" t="str">
        <f t="shared" si="54"/>
        <v>2024-07-16 10:04:39</v>
      </c>
      <c r="AS158" t="str">
        <f>LEFT(VLOOKUP(A158, Fechas_Estado!A:AE,10,0),10)</f>
        <v>2024-07-18</v>
      </c>
      <c r="AT158" t="str">
        <f>MID(VLOOKUP(A158, Fechas_Estado!A:AE,10,0),12,8)</f>
        <v>09:02:27</v>
      </c>
      <c r="AU158" t="str">
        <f t="shared" si="55"/>
        <v>2024-07-18 09:02:27</v>
      </c>
      <c r="AV158" t="str">
        <f>LEFT(VLOOKUP(A158, Fechas_Estado!A:AE,17,0),10)</f>
        <v>2024-07-22</v>
      </c>
      <c r="AW158" t="str">
        <f>MID(VLOOKUP(A158, Fechas_Estado!A:AE,17,0),12,8)</f>
        <v>10:05:20</v>
      </c>
      <c r="AX158" t="str">
        <f t="shared" si="56"/>
        <v>2024-07-22 10:05:20</v>
      </c>
      <c r="AY158">
        <f t="shared" si="57"/>
        <v>6.8859374999956344</v>
      </c>
      <c r="AZ158" t="str">
        <f>LEFT(VLOOKUP(A158, Fechas_Estado!A:AE,5,0),10)</f>
        <v>2024-08-27</v>
      </c>
      <c r="BA158" t="str">
        <f>MID(VLOOKUP(A158, Fechas_Estado!A:AE,5,0),12,8)</f>
        <v>09:30:59</v>
      </c>
      <c r="BB158" t="str">
        <f t="shared" si="58"/>
        <v>2024-08-27 09:30:59</v>
      </c>
      <c r="BC158">
        <f t="shared" si="59"/>
        <v>35.976145833337796</v>
      </c>
    </row>
    <row r="159" spans="1:55" x14ac:dyDescent="0.25">
      <c r="A159" t="str">
        <f>Fechas_Estado!A158</f>
        <v>ESPC360-9340</v>
      </c>
      <c r="B159" t="str">
        <f>LEFT(VLOOKUP(A159,Fechas_Estado!A:AE,2,0),10)</f>
        <v>2024-06-26</v>
      </c>
      <c r="C159" t="str">
        <f>MID(VLOOKUP(A159, Fechas_Estado!A:AE,2,0),12,8)</f>
        <v>12:20:13</v>
      </c>
      <c r="D159" t="str">
        <f t="shared" si="40"/>
        <v>2024-06-26 12:20:13</v>
      </c>
      <c r="E159" t="str">
        <f>LEFT(VLOOKUP(A159, Fechas_Estado!A:AE,19,0),10)</f>
        <v/>
      </c>
      <c r="F159" t="str">
        <f>MID(VLOOKUP(A159, Fechas_Estado!A:AE,19,0),12,8)</f>
        <v/>
      </c>
      <c r="G159" t="str">
        <f t="shared" si="41"/>
        <v xml:space="preserve"> </v>
      </c>
      <c r="H159" t="str">
        <f>LEFT(VLOOKUP(A159, Fechas_Estado!A:AE,20,0),10)</f>
        <v/>
      </c>
      <c r="I159" t="str">
        <f>MID(VLOOKUP(A159, Fechas_Estado!A:AE,20,0),12,8)</f>
        <v/>
      </c>
      <c r="J159" t="str">
        <f t="shared" si="42"/>
        <v xml:space="preserve"> </v>
      </c>
      <c r="K159" t="str">
        <f>LEFT(VLOOKUP(A159, Fechas_Estado!A:AE,21,0),10)</f>
        <v/>
      </c>
      <c r="L159" t="str">
        <f>MID(VLOOKUP(A159, Fechas_Estado!A:AE,21,0),12,8)</f>
        <v/>
      </c>
      <c r="M159" t="str">
        <f t="shared" si="43"/>
        <v xml:space="preserve"> </v>
      </c>
      <c r="N159" t="str">
        <f>LEFT(VLOOKUP(A159, Fechas_Estado!A:AE,22,0),10)</f>
        <v/>
      </c>
      <c r="O159" t="str">
        <f>MID(VLOOKUP(A159, Fechas_Estado!A:AE,22,0),12,8)</f>
        <v/>
      </c>
      <c r="P159" t="str">
        <f t="shared" si="44"/>
        <v xml:space="preserve"> </v>
      </c>
      <c r="Q159" t="str">
        <f>LEFT(VLOOKUP(A159, Fechas_Estado!A:AE,23,0),10)</f>
        <v/>
      </c>
      <c r="R159" t="str">
        <f>MID(VLOOKUP(A159, Fechas_Estado!A:AE,23,0),12,8)</f>
        <v/>
      </c>
      <c r="S159" t="str">
        <f t="shared" si="45"/>
        <v xml:space="preserve"> </v>
      </c>
      <c r="T159" t="str">
        <f>LEFT(VLOOKUP(A159, Fechas_Estado!A:AE,24,0),10)</f>
        <v/>
      </c>
      <c r="U159" t="str">
        <f>MID(VLOOKUP(A159, Fechas_Estado!A:AE,24,0),12,8)</f>
        <v/>
      </c>
      <c r="V159" t="str">
        <f t="shared" si="46"/>
        <v xml:space="preserve"> </v>
      </c>
      <c r="W159" t="str">
        <f>LEFT(VLOOKUP(A159, Fechas_Estado!A:AE,25,0),10)</f>
        <v>2024-06-26</v>
      </c>
      <c r="X159" t="str">
        <f>MID(VLOOKUP(A159, Fechas_Estado!A:AE,25,0),12,8)</f>
        <v>12:33:26</v>
      </c>
      <c r="Y159" t="str">
        <f t="shared" si="47"/>
        <v>2024-06-26 12:33:26</v>
      </c>
      <c r="Z159" t="str">
        <f>LEFT(VLOOKUP(A159, Fechas_Estado!A:AE,26,0),10)</f>
        <v>2024-07-03</v>
      </c>
      <c r="AA159" t="str">
        <f>MID(VLOOKUP(A159, Fechas_Estado!A:AE,26,0),12,8)</f>
        <v>15:23:20</v>
      </c>
      <c r="AB159" t="str">
        <f t="shared" si="48"/>
        <v>2024-07-03 15:23:20</v>
      </c>
      <c r="AC159" t="str">
        <f>LEFT(VLOOKUP(A159, Fechas_Estado!A:AE,27,0),10)</f>
        <v>2024-07-16</v>
      </c>
      <c r="AD159" t="str">
        <f>MID(VLOOKUP(A159, Fechas_Estado!A:AE,27,0),12,8)</f>
        <v>09:37:11</v>
      </c>
      <c r="AE159" t="str">
        <f t="shared" si="49"/>
        <v>2024-07-16 09:37:11</v>
      </c>
      <c r="AF159" t="str">
        <f>LEFT(VLOOKUP(A159, Fechas_Estado!A:AF,28,0),10)</f>
        <v/>
      </c>
      <c r="AG159" t="str">
        <f>MID(VLOOKUP(A159, Fechas_Estado!A:AF,28,0),12,8)</f>
        <v/>
      </c>
      <c r="AH159" t="str">
        <f t="shared" si="50"/>
        <v xml:space="preserve"> </v>
      </c>
      <c r="AI159" t="str">
        <f>LEFT(VLOOKUP(A159, Fechas_Estado!A:AF,16,0),10)</f>
        <v>2024-07-22</v>
      </c>
      <c r="AJ159" t="str">
        <f>MID(VLOOKUP(A159, Fechas_Estado!A:AF,16,0),12,8)</f>
        <v>09:30:39</v>
      </c>
      <c r="AK159" t="str">
        <f t="shared" si="51"/>
        <v>2024-07-22 09:30:39</v>
      </c>
      <c r="AL159">
        <f t="shared" si="52"/>
        <v>25.882245370368764</v>
      </c>
      <c r="AM159" t="str">
        <f>LEFT(VLOOKUP(A159, Fechas_Estado!A:AE,8,0),10)</f>
        <v>2024-07-25</v>
      </c>
      <c r="AN159" t="str">
        <f>MID(VLOOKUP(A159, Fechas_Estado!A:AE,8,0),12,8)</f>
        <v>14:26:47</v>
      </c>
      <c r="AO159" t="str">
        <f t="shared" si="53"/>
        <v>2024-07-25 14:26:47</v>
      </c>
      <c r="AP159" t="str">
        <f>LEFT(VLOOKUP(A159, Fechas_Estado!A:AE,7,0),10)</f>
        <v>2024-08-07</v>
      </c>
      <c r="AQ159" t="str">
        <f>MID(VLOOKUP(A159, Fechas_Estado!A:AE,7,0),12,8)</f>
        <v>09:19:43</v>
      </c>
      <c r="AR159" t="str">
        <f t="shared" si="54"/>
        <v>2024-08-07 09:19:43</v>
      </c>
      <c r="AS159" t="str">
        <f>LEFT(VLOOKUP(A159, Fechas_Estado!A:AE,10,0),10)</f>
        <v>2024-08-07</v>
      </c>
      <c r="AT159" t="str">
        <f>MID(VLOOKUP(A159, Fechas_Estado!A:AE,10,0),12,8)</f>
        <v>09:19:45</v>
      </c>
      <c r="AU159" t="str">
        <f t="shared" si="55"/>
        <v>2024-08-07 09:19:45</v>
      </c>
      <c r="AV159" t="str">
        <f>LEFT(VLOOKUP(A159, Fechas_Estado!A:AE,17,0),10)</f>
        <v>2024-08-08</v>
      </c>
      <c r="AW159" t="str">
        <f>MID(VLOOKUP(A159, Fechas_Estado!A:AE,17,0),12,8)</f>
        <v>09:38:53</v>
      </c>
      <c r="AX159" t="str">
        <f t="shared" si="56"/>
        <v>2024-08-08 09:38:53</v>
      </c>
      <c r="AY159">
        <f t="shared" si="57"/>
        <v>13.80006944444176</v>
      </c>
      <c r="AZ159" t="str">
        <f>LEFT(VLOOKUP(A159, Fechas_Estado!A:AE,5,0),10)</f>
        <v>2024-08-29</v>
      </c>
      <c r="BA159" t="str">
        <f>MID(VLOOKUP(A159, Fechas_Estado!A:AE,5,0),12,8)</f>
        <v>09:22:32</v>
      </c>
      <c r="BB159" t="str">
        <f t="shared" si="58"/>
        <v>2024-08-29 09:22:32</v>
      </c>
      <c r="BC159">
        <f t="shared" si="59"/>
        <v>20.988645833334886</v>
      </c>
    </row>
    <row r="160" spans="1:55" x14ac:dyDescent="0.25">
      <c r="A160" t="str">
        <f>Fechas_Estado!A159</f>
        <v>ESPC360-9341</v>
      </c>
      <c r="B160" t="str">
        <f>LEFT(VLOOKUP(A160,Fechas_Estado!A:AE,2,0),10)</f>
        <v>2024-06-26</v>
      </c>
      <c r="C160" t="str">
        <f>MID(VLOOKUP(A160, Fechas_Estado!A:AE,2,0),12,8)</f>
        <v>12:45:33</v>
      </c>
      <c r="D160" t="str">
        <f t="shared" si="40"/>
        <v>2024-06-26 12:45:33</v>
      </c>
      <c r="E160" t="str">
        <f>LEFT(VLOOKUP(A160, Fechas_Estado!A:AE,19,0),10)</f>
        <v/>
      </c>
      <c r="F160" t="str">
        <f>MID(VLOOKUP(A160, Fechas_Estado!A:AE,19,0),12,8)</f>
        <v/>
      </c>
      <c r="G160" t="str">
        <f t="shared" si="41"/>
        <v xml:space="preserve"> </v>
      </c>
      <c r="H160" t="str">
        <f>LEFT(VLOOKUP(A160, Fechas_Estado!A:AE,20,0),10)</f>
        <v/>
      </c>
      <c r="I160" t="str">
        <f>MID(VLOOKUP(A160, Fechas_Estado!A:AE,20,0),12,8)</f>
        <v/>
      </c>
      <c r="J160" t="str">
        <f t="shared" si="42"/>
        <v xml:space="preserve"> </v>
      </c>
      <c r="K160" t="str">
        <f>LEFT(VLOOKUP(A160, Fechas_Estado!A:AE,21,0),10)</f>
        <v/>
      </c>
      <c r="L160" t="str">
        <f>MID(VLOOKUP(A160, Fechas_Estado!A:AE,21,0),12,8)</f>
        <v/>
      </c>
      <c r="M160" t="str">
        <f t="shared" si="43"/>
        <v xml:space="preserve"> </v>
      </c>
      <c r="N160" t="str">
        <f>LEFT(VLOOKUP(A160, Fechas_Estado!A:AE,22,0),10)</f>
        <v/>
      </c>
      <c r="O160" t="str">
        <f>MID(VLOOKUP(A160, Fechas_Estado!A:AE,22,0),12,8)</f>
        <v/>
      </c>
      <c r="P160" t="str">
        <f t="shared" si="44"/>
        <v xml:space="preserve"> </v>
      </c>
      <c r="Q160" t="str">
        <f>LEFT(VLOOKUP(A160, Fechas_Estado!A:AE,23,0),10)</f>
        <v/>
      </c>
      <c r="R160" t="str">
        <f>MID(VLOOKUP(A160, Fechas_Estado!A:AE,23,0),12,8)</f>
        <v/>
      </c>
      <c r="S160" t="str">
        <f t="shared" si="45"/>
        <v xml:space="preserve"> </v>
      </c>
      <c r="T160" t="str">
        <f>LEFT(VLOOKUP(A160, Fechas_Estado!A:AE,24,0),10)</f>
        <v/>
      </c>
      <c r="U160" t="str">
        <f>MID(VLOOKUP(A160, Fechas_Estado!A:AE,24,0),12,8)</f>
        <v/>
      </c>
      <c r="V160" t="str">
        <f t="shared" si="46"/>
        <v xml:space="preserve"> </v>
      </c>
      <c r="W160" t="str">
        <f>LEFT(VLOOKUP(A160, Fechas_Estado!A:AE,25,0),10)</f>
        <v>2024-06-26</v>
      </c>
      <c r="X160" t="str">
        <f>MID(VLOOKUP(A160, Fechas_Estado!A:AE,25,0),12,8)</f>
        <v>12:46:18</v>
      </c>
      <c r="Y160" t="str">
        <f t="shared" si="47"/>
        <v>2024-06-26 12:46:18</v>
      </c>
      <c r="Z160" t="str">
        <f>LEFT(VLOOKUP(A160, Fechas_Estado!A:AE,26,0),10)</f>
        <v>2024-07-18</v>
      </c>
      <c r="AA160" t="str">
        <f>MID(VLOOKUP(A160, Fechas_Estado!A:AE,26,0),12,8)</f>
        <v>09:43:57</v>
      </c>
      <c r="AB160" t="str">
        <f t="shared" si="48"/>
        <v>2024-07-18 09:43:57</v>
      </c>
      <c r="AC160" t="str">
        <f>LEFT(VLOOKUP(A160, Fechas_Estado!A:AE,27,0),10)</f>
        <v/>
      </c>
      <c r="AD160" t="str">
        <f>MID(VLOOKUP(A160, Fechas_Estado!A:AE,27,0),12,8)</f>
        <v/>
      </c>
      <c r="AE160" t="str">
        <f t="shared" si="49"/>
        <v xml:space="preserve"> </v>
      </c>
      <c r="AF160" t="str">
        <f>LEFT(VLOOKUP(A160, Fechas_Estado!A:AF,28,0),10)</f>
        <v/>
      </c>
      <c r="AG160" t="str">
        <f>MID(VLOOKUP(A160, Fechas_Estado!A:AF,28,0),12,8)</f>
        <v/>
      </c>
      <c r="AH160" t="str">
        <f t="shared" si="50"/>
        <v xml:space="preserve"> </v>
      </c>
      <c r="AI160" t="str">
        <f>LEFT(VLOOKUP(A160, Fechas_Estado!A:AF,16,0),10)</f>
        <v/>
      </c>
      <c r="AJ160" t="str">
        <f>MID(VLOOKUP(A160, Fechas_Estado!A:AF,16,0),12,8)</f>
        <v/>
      </c>
      <c r="AK160" t="str">
        <f t="shared" si="51"/>
        <v xml:space="preserve"> </v>
      </c>
      <c r="AL160" t="e">
        <f t="shared" si="52"/>
        <v>#VALUE!</v>
      </c>
      <c r="AM160" t="str">
        <f>LEFT(VLOOKUP(A160, Fechas_Estado!A:AE,8,0),10)</f>
        <v/>
      </c>
      <c r="AN160" t="str">
        <f>MID(VLOOKUP(A160, Fechas_Estado!A:AE,8,0),12,8)</f>
        <v/>
      </c>
      <c r="AO160" t="str">
        <f t="shared" si="53"/>
        <v xml:space="preserve"> </v>
      </c>
      <c r="AP160" t="str">
        <f>LEFT(VLOOKUP(A160, Fechas_Estado!A:AE,7,0),10)</f>
        <v/>
      </c>
      <c r="AQ160" t="str">
        <f>MID(VLOOKUP(A160, Fechas_Estado!A:AE,7,0),12,8)</f>
        <v/>
      </c>
      <c r="AR160" t="str">
        <f t="shared" si="54"/>
        <v xml:space="preserve"> </v>
      </c>
      <c r="AS160" t="str">
        <f>LEFT(VLOOKUP(A160, Fechas_Estado!A:AE,10,0),10)</f>
        <v/>
      </c>
      <c r="AT160" t="str">
        <f>MID(VLOOKUP(A160, Fechas_Estado!A:AE,10,0),12,8)</f>
        <v/>
      </c>
      <c r="AU160" t="str">
        <f t="shared" si="55"/>
        <v xml:space="preserve"> </v>
      </c>
      <c r="AV160" t="str">
        <f>LEFT(VLOOKUP(A160, Fechas_Estado!A:AE,17,0),10)</f>
        <v>2024-07-18</v>
      </c>
      <c r="AW160" t="str">
        <f>MID(VLOOKUP(A160, Fechas_Estado!A:AE,17,0),12,8)</f>
        <v>14:59:27</v>
      </c>
      <c r="AX160" t="str">
        <f t="shared" si="56"/>
        <v>2024-07-18 14:59:27</v>
      </c>
      <c r="AY160" t="e">
        <f t="shared" si="57"/>
        <v>#VALUE!</v>
      </c>
      <c r="AZ160" t="str">
        <f>LEFT(VLOOKUP(A160, Fechas_Estado!A:AE,5,0),10)</f>
        <v/>
      </c>
      <c r="BA160" t="str">
        <f>MID(VLOOKUP(A160, Fechas_Estado!A:AE,5,0),12,8)</f>
        <v/>
      </c>
      <c r="BB160" t="str">
        <f t="shared" si="58"/>
        <v xml:space="preserve"> </v>
      </c>
      <c r="BC160" t="e">
        <f t="shared" si="59"/>
        <v>#VALUE!</v>
      </c>
    </row>
    <row r="161" spans="1:55" x14ac:dyDescent="0.25">
      <c r="A161" t="str">
        <f>Fechas_Estado!A160</f>
        <v>ESPC360-9342</v>
      </c>
      <c r="B161" t="str">
        <f>LEFT(VLOOKUP(A161,Fechas_Estado!A:AE,2,0),10)</f>
        <v>2024-06-26</v>
      </c>
      <c r="C161" t="str">
        <f>MID(VLOOKUP(A161, Fechas_Estado!A:AE,2,0),12,8)</f>
        <v>14:23:00</v>
      </c>
      <c r="D161" t="str">
        <f t="shared" si="40"/>
        <v>2024-06-26 14:23:00</v>
      </c>
      <c r="E161" t="str">
        <f>LEFT(VLOOKUP(A161, Fechas_Estado!A:AE,19,0),10)</f>
        <v>2024-06-26</v>
      </c>
      <c r="F161" t="str">
        <f>MID(VLOOKUP(A161, Fechas_Estado!A:AE,19,0),12,8)</f>
        <v>14:23:07</v>
      </c>
      <c r="G161" t="str">
        <f t="shared" si="41"/>
        <v>2024-06-26 14:23:07</v>
      </c>
      <c r="H161" t="str">
        <f>LEFT(VLOOKUP(A161, Fechas_Estado!A:AE,20,0),10)</f>
        <v/>
      </c>
      <c r="I161" t="str">
        <f>MID(VLOOKUP(A161, Fechas_Estado!A:AE,20,0),12,8)</f>
        <v/>
      </c>
      <c r="J161" t="str">
        <f t="shared" si="42"/>
        <v xml:space="preserve"> </v>
      </c>
      <c r="K161" t="str">
        <f>LEFT(VLOOKUP(A161, Fechas_Estado!A:AE,21,0),10)</f>
        <v/>
      </c>
      <c r="L161" t="str">
        <f>MID(VLOOKUP(A161, Fechas_Estado!A:AE,21,0),12,8)</f>
        <v/>
      </c>
      <c r="M161" t="str">
        <f t="shared" si="43"/>
        <v xml:space="preserve"> </v>
      </c>
      <c r="N161" t="str">
        <f>LEFT(VLOOKUP(A161, Fechas_Estado!A:AE,22,0),10)</f>
        <v/>
      </c>
      <c r="O161" t="str">
        <f>MID(VLOOKUP(A161, Fechas_Estado!A:AE,22,0),12,8)</f>
        <v/>
      </c>
      <c r="P161" t="str">
        <f t="shared" si="44"/>
        <v xml:space="preserve"> </v>
      </c>
      <c r="Q161" t="str">
        <f>LEFT(VLOOKUP(A161, Fechas_Estado!A:AE,23,0),10)</f>
        <v/>
      </c>
      <c r="R161" t="str">
        <f>MID(VLOOKUP(A161, Fechas_Estado!A:AE,23,0),12,8)</f>
        <v/>
      </c>
      <c r="S161" t="str">
        <f t="shared" si="45"/>
        <v xml:space="preserve"> </v>
      </c>
      <c r="T161" t="str">
        <f>LEFT(VLOOKUP(A161, Fechas_Estado!A:AE,24,0),10)</f>
        <v/>
      </c>
      <c r="U161" t="str">
        <f>MID(VLOOKUP(A161, Fechas_Estado!A:AE,24,0),12,8)</f>
        <v/>
      </c>
      <c r="V161" t="str">
        <f t="shared" si="46"/>
        <v xml:space="preserve"> </v>
      </c>
      <c r="W161" t="str">
        <f>LEFT(VLOOKUP(A161, Fechas_Estado!A:AE,25,0),10)</f>
        <v>2024-06-26</v>
      </c>
      <c r="X161" t="str">
        <f>MID(VLOOKUP(A161, Fechas_Estado!A:AE,25,0),12,8)</f>
        <v>14:23:24</v>
      </c>
      <c r="Y161" t="str">
        <f t="shared" si="47"/>
        <v>2024-06-26 14:23:24</v>
      </c>
      <c r="Z161" t="str">
        <f>LEFT(VLOOKUP(A161, Fechas_Estado!A:AE,26,0),10)</f>
        <v>2024-06-26</v>
      </c>
      <c r="AA161" t="str">
        <f>MID(VLOOKUP(A161, Fechas_Estado!A:AE,26,0),12,8)</f>
        <v>15:20:03</v>
      </c>
      <c r="AB161" t="str">
        <f t="shared" si="48"/>
        <v>2024-06-26 15:20:03</v>
      </c>
      <c r="AC161" t="str">
        <f>LEFT(VLOOKUP(A161, Fechas_Estado!A:AE,27,0),10)</f>
        <v>2024-06-27</v>
      </c>
      <c r="AD161" t="str">
        <f>MID(VLOOKUP(A161, Fechas_Estado!A:AE,27,0),12,8)</f>
        <v>16:52:14</v>
      </c>
      <c r="AE161" t="str">
        <f t="shared" si="49"/>
        <v>2024-06-27 16:52:14</v>
      </c>
      <c r="AF161" t="str">
        <f>LEFT(VLOOKUP(A161, Fechas_Estado!A:AF,28,0),10)</f>
        <v/>
      </c>
      <c r="AG161" t="str">
        <f>MID(VLOOKUP(A161, Fechas_Estado!A:AF,28,0),12,8)</f>
        <v/>
      </c>
      <c r="AH161" t="str">
        <f t="shared" si="50"/>
        <v xml:space="preserve"> </v>
      </c>
      <c r="AI161" t="str">
        <f>LEFT(VLOOKUP(A161, Fechas_Estado!A:AF,16,0),10)</f>
        <v>2024-07-02</v>
      </c>
      <c r="AJ161" t="str">
        <f>MID(VLOOKUP(A161, Fechas_Estado!A:AF,16,0),12,8)</f>
        <v>12:50:26</v>
      </c>
      <c r="AK161" t="str">
        <f t="shared" si="51"/>
        <v>2024-07-02 12:50:26</v>
      </c>
      <c r="AL161">
        <f t="shared" si="52"/>
        <v>5.9357175925906631</v>
      </c>
      <c r="AM161" t="str">
        <f>LEFT(VLOOKUP(A161, Fechas_Estado!A:AE,8,0),10)</f>
        <v>2024-07-02</v>
      </c>
      <c r="AN161" t="str">
        <f>MID(VLOOKUP(A161, Fechas_Estado!A:AE,8,0),12,8)</f>
        <v>12:50:33</v>
      </c>
      <c r="AO161" t="str">
        <f t="shared" si="53"/>
        <v>2024-07-02 12:50:33</v>
      </c>
      <c r="AP161" t="str">
        <f>LEFT(VLOOKUP(A161, Fechas_Estado!A:AE,7,0),10)</f>
        <v>2024-07-02</v>
      </c>
      <c r="AQ161" t="str">
        <f>MID(VLOOKUP(A161, Fechas_Estado!A:AE,7,0),12,8)</f>
        <v>12:50:40</v>
      </c>
      <c r="AR161" t="str">
        <f t="shared" si="54"/>
        <v>2024-07-02 12:50:40</v>
      </c>
      <c r="AS161" t="str">
        <f>LEFT(VLOOKUP(A161, Fechas_Estado!A:AE,10,0),10)</f>
        <v/>
      </c>
      <c r="AT161" t="str">
        <f>MID(VLOOKUP(A161, Fechas_Estado!A:AE,10,0),12,8)</f>
        <v/>
      </c>
      <c r="AU161" t="str">
        <f t="shared" si="55"/>
        <v xml:space="preserve"> </v>
      </c>
      <c r="AV161" t="str">
        <f>LEFT(VLOOKUP(A161, Fechas_Estado!A:AE,17,0),10)</f>
        <v/>
      </c>
      <c r="AW161" t="str">
        <f>MID(VLOOKUP(A161, Fechas_Estado!A:AE,17,0),12,8)</f>
        <v/>
      </c>
      <c r="AX161" t="str">
        <f t="shared" si="56"/>
        <v xml:space="preserve"> </v>
      </c>
      <c r="AY161" t="e">
        <f t="shared" si="57"/>
        <v>#VALUE!</v>
      </c>
      <c r="AZ161" t="str">
        <f>LEFT(VLOOKUP(A161, Fechas_Estado!A:AE,5,0),10)</f>
        <v>2024-07-03</v>
      </c>
      <c r="BA161" t="str">
        <f>MID(VLOOKUP(A161, Fechas_Estado!A:AE,5,0),12,8)</f>
        <v>14:17:08</v>
      </c>
      <c r="BB161" t="str">
        <f t="shared" si="58"/>
        <v>2024-07-03 14:17:08</v>
      </c>
      <c r="BC161" t="e">
        <f t="shared" si="59"/>
        <v>#VALUE!</v>
      </c>
    </row>
    <row r="162" spans="1:55" x14ac:dyDescent="0.25">
      <c r="A162" t="str">
        <f>Fechas_Estado!A161</f>
        <v>ESPC360-9343</v>
      </c>
      <c r="B162" t="str">
        <f>LEFT(VLOOKUP(A162,Fechas_Estado!A:AE,2,0),10)</f>
        <v>2024-06-26</v>
      </c>
      <c r="C162" t="str">
        <f>MID(VLOOKUP(A162, Fechas_Estado!A:AE,2,0),12,8)</f>
        <v>15:31:25</v>
      </c>
      <c r="D162" t="str">
        <f t="shared" si="40"/>
        <v>2024-06-26 15:31:25</v>
      </c>
      <c r="E162" t="str">
        <f>LEFT(VLOOKUP(A162, Fechas_Estado!A:AE,19,0),10)</f>
        <v>2024-06-26</v>
      </c>
      <c r="F162" t="str">
        <f>MID(VLOOKUP(A162, Fechas_Estado!A:AE,19,0),12,8)</f>
        <v>15:40:10</v>
      </c>
      <c r="G162" t="str">
        <f t="shared" si="41"/>
        <v>2024-06-26 15:40:10</v>
      </c>
      <c r="H162" t="str">
        <f>LEFT(VLOOKUP(A162, Fechas_Estado!A:AE,20,0),10)</f>
        <v/>
      </c>
      <c r="I162" t="str">
        <f>MID(VLOOKUP(A162, Fechas_Estado!A:AE,20,0),12,8)</f>
        <v/>
      </c>
      <c r="J162" t="str">
        <f t="shared" si="42"/>
        <v xml:space="preserve"> </v>
      </c>
      <c r="K162" t="str">
        <f>LEFT(VLOOKUP(A162, Fechas_Estado!A:AE,21,0),10)</f>
        <v/>
      </c>
      <c r="L162" t="str">
        <f>MID(VLOOKUP(A162, Fechas_Estado!A:AE,21,0),12,8)</f>
        <v/>
      </c>
      <c r="M162" t="str">
        <f t="shared" si="43"/>
        <v xml:space="preserve"> </v>
      </c>
      <c r="N162" t="str">
        <f>LEFT(VLOOKUP(A162, Fechas_Estado!A:AE,22,0),10)</f>
        <v/>
      </c>
      <c r="O162" t="str">
        <f>MID(VLOOKUP(A162, Fechas_Estado!A:AE,22,0),12,8)</f>
        <v/>
      </c>
      <c r="P162" t="str">
        <f t="shared" si="44"/>
        <v xml:space="preserve"> </v>
      </c>
      <c r="Q162" t="str">
        <f>LEFT(VLOOKUP(A162, Fechas_Estado!A:AE,23,0),10)</f>
        <v/>
      </c>
      <c r="R162" t="str">
        <f>MID(VLOOKUP(A162, Fechas_Estado!A:AE,23,0),12,8)</f>
        <v/>
      </c>
      <c r="S162" t="str">
        <f t="shared" si="45"/>
        <v xml:space="preserve"> </v>
      </c>
      <c r="T162" t="str">
        <f>LEFT(VLOOKUP(A162, Fechas_Estado!A:AE,24,0),10)</f>
        <v/>
      </c>
      <c r="U162" t="str">
        <f>MID(VLOOKUP(A162, Fechas_Estado!A:AE,24,0),12,8)</f>
        <v/>
      </c>
      <c r="V162" t="str">
        <f t="shared" si="46"/>
        <v xml:space="preserve"> </v>
      </c>
      <c r="W162" t="str">
        <f>LEFT(VLOOKUP(A162, Fechas_Estado!A:AE,25,0),10)</f>
        <v>2024-06-26</v>
      </c>
      <c r="X162" t="str">
        <f>MID(VLOOKUP(A162, Fechas_Estado!A:AE,25,0),12,8)</f>
        <v>15:40:13</v>
      </c>
      <c r="Y162" t="str">
        <f t="shared" si="47"/>
        <v>2024-06-26 15:40:13</v>
      </c>
      <c r="Z162" t="str">
        <f>LEFT(VLOOKUP(A162, Fechas_Estado!A:AE,26,0),10)</f>
        <v>2024-06-27</v>
      </c>
      <c r="AA162" t="str">
        <f>MID(VLOOKUP(A162, Fechas_Estado!A:AE,26,0),12,8)</f>
        <v>11:15:05</v>
      </c>
      <c r="AB162" t="str">
        <f t="shared" si="48"/>
        <v>2024-06-27 11:15:05</v>
      </c>
      <c r="AC162" t="str">
        <f>LEFT(VLOOKUP(A162, Fechas_Estado!A:AE,27,0),10)</f>
        <v>2024-07-01</v>
      </c>
      <c r="AD162" t="str">
        <f>MID(VLOOKUP(A162, Fechas_Estado!A:AE,27,0),12,8)</f>
        <v>16:13:33</v>
      </c>
      <c r="AE162" t="str">
        <f t="shared" si="49"/>
        <v>2024-07-01 16:13:33</v>
      </c>
      <c r="AF162" t="str">
        <f>LEFT(VLOOKUP(A162, Fechas_Estado!A:AF,28,0),10)</f>
        <v/>
      </c>
      <c r="AG162" t="str">
        <f>MID(VLOOKUP(A162, Fechas_Estado!A:AF,28,0),12,8)</f>
        <v/>
      </c>
      <c r="AH162" t="str">
        <f t="shared" si="50"/>
        <v xml:space="preserve"> </v>
      </c>
      <c r="AI162" t="str">
        <f>LEFT(VLOOKUP(A162, Fechas_Estado!A:AF,16,0),10)</f>
        <v/>
      </c>
      <c r="AJ162" t="str">
        <f>MID(VLOOKUP(A162, Fechas_Estado!A:AF,16,0),12,8)</f>
        <v/>
      </c>
      <c r="AK162" t="str">
        <f t="shared" si="51"/>
        <v xml:space="preserve"> </v>
      </c>
      <c r="AL162" t="e">
        <f t="shared" si="52"/>
        <v>#VALUE!</v>
      </c>
      <c r="AM162" t="str">
        <f>LEFT(VLOOKUP(A162, Fechas_Estado!A:AE,8,0),10)</f>
        <v/>
      </c>
      <c r="AN162" t="str">
        <f>MID(VLOOKUP(A162, Fechas_Estado!A:AE,8,0),12,8)</f>
        <v/>
      </c>
      <c r="AO162" t="str">
        <f t="shared" si="53"/>
        <v xml:space="preserve"> </v>
      </c>
      <c r="AP162" t="str">
        <f>LEFT(VLOOKUP(A162, Fechas_Estado!A:AE,7,0),10)</f>
        <v/>
      </c>
      <c r="AQ162" t="str">
        <f>MID(VLOOKUP(A162, Fechas_Estado!A:AE,7,0),12,8)</f>
        <v/>
      </c>
      <c r="AR162" t="str">
        <f t="shared" si="54"/>
        <v xml:space="preserve"> </v>
      </c>
      <c r="AS162" t="str">
        <f>LEFT(VLOOKUP(A162, Fechas_Estado!A:AE,10,0),10)</f>
        <v>2024-08-23</v>
      </c>
      <c r="AT162" t="str">
        <f>MID(VLOOKUP(A162, Fechas_Estado!A:AE,10,0),12,8)</f>
        <v>10:24:09</v>
      </c>
      <c r="AU162" t="str">
        <f t="shared" si="55"/>
        <v>2024-08-23 10:24:09</v>
      </c>
      <c r="AV162" t="str">
        <f>LEFT(VLOOKUP(A162, Fechas_Estado!A:AE,17,0),10)</f>
        <v>2024-08-23</v>
      </c>
      <c r="AW162" t="str">
        <f>MID(VLOOKUP(A162, Fechas_Estado!A:AE,17,0),12,8)</f>
        <v>10:24:19</v>
      </c>
      <c r="AX162" t="str">
        <f t="shared" si="56"/>
        <v>2024-08-23 10:24:19</v>
      </c>
      <c r="AY162" t="e">
        <f t="shared" si="57"/>
        <v>#VALUE!</v>
      </c>
      <c r="AZ162" t="str">
        <f>LEFT(VLOOKUP(A162, Fechas_Estado!A:AE,5,0),10)</f>
        <v>2024-08-23</v>
      </c>
      <c r="BA162" t="str">
        <f>MID(VLOOKUP(A162, Fechas_Estado!A:AE,5,0),12,8)</f>
        <v>10:24:56</v>
      </c>
      <c r="BB162" t="str">
        <f t="shared" si="58"/>
        <v>2024-08-23 10:24:56</v>
      </c>
      <c r="BC162">
        <f t="shared" si="59"/>
        <v>4.2824073898373172E-4</v>
      </c>
    </row>
    <row r="163" spans="1:55" x14ac:dyDescent="0.25">
      <c r="A163" t="str">
        <f>Fechas_Estado!A162</f>
        <v>ESPC360-9344</v>
      </c>
      <c r="B163" t="str">
        <f>LEFT(VLOOKUP(A163,Fechas_Estado!A:AE,2,0),10)</f>
        <v>2024-06-26</v>
      </c>
      <c r="C163" t="str">
        <f>MID(VLOOKUP(A163, Fechas_Estado!A:AE,2,0),12,8)</f>
        <v>16:09:16</v>
      </c>
      <c r="D163" t="str">
        <f t="shared" si="40"/>
        <v>2024-06-26 16:09:16</v>
      </c>
      <c r="E163" t="str">
        <f>LEFT(VLOOKUP(A163, Fechas_Estado!A:AE,19,0),10)</f>
        <v>2024-06-27</v>
      </c>
      <c r="F163" t="str">
        <f>MID(VLOOKUP(A163, Fechas_Estado!A:AE,19,0),12,8)</f>
        <v>09:57:08</v>
      </c>
      <c r="G163" t="str">
        <f t="shared" si="41"/>
        <v>2024-06-27 09:57:08</v>
      </c>
      <c r="H163" t="str">
        <f>LEFT(VLOOKUP(A163, Fechas_Estado!A:AE,20,0),10)</f>
        <v>2024-06-27</v>
      </c>
      <c r="I163" t="str">
        <f>MID(VLOOKUP(A163, Fechas_Estado!A:AE,20,0),12,8)</f>
        <v>09:57:15</v>
      </c>
      <c r="J163" t="str">
        <f t="shared" si="42"/>
        <v>2024-06-27 09:57:15</v>
      </c>
      <c r="K163" t="str">
        <f>LEFT(VLOOKUP(A163, Fechas_Estado!A:AE,21,0),10)</f>
        <v>2024-07-02</v>
      </c>
      <c r="L163" t="str">
        <f>MID(VLOOKUP(A163, Fechas_Estado!A:AE,21,0),12,8)</f>
        <v>09:45:11</v>
      </c>
      <c r="M163" t="str">
        <f t="shared" si="43"/>
        <v>2024-07-02 09:45:11</v>
      </c>
      <c r="N163" t="str">
        <f>LEFT(VLOOKUP(A163, Fechas_Estado!A:AE,22,0),10)</f>
        <v>2024-07-02</v>
      </c>
      <c r="O163" t="str">
        <f>MID(VLOOKUP(A163, Fechas_Estado!A:AE,22,0),12,8)</f>
        <v>09:45:13</v>
      </c>
      <c r="P163" t="str">
        <f t="shared" si="44"/>
        <v>2024-07-02 09:45:13</v>
      </c>
      <c r="Q163" t="str">
        <f>LEFT(VLOOKUP(A163, Fechas_Estado!A:AE,23,0),10)</f>
        <v>2024-07-02</v>
      </c>
      <c r="R163" t="str">
        <f>MID(VLOOKUP(A163, Fechas_Estado!A:AE,23,0),12,8)</f>
        <v>09:45:15</v>
      </c>
      <c r="S163" t="str">
        <f t="shared" si="45"/>
        <v>2024-07-02 09:45:15</v>
      </c>
      <c r="T163" t="str">
        <f>LEFT(VLOOKUP(A163, Fechas_Estado!A:AE,24,0),10)</f>
        <v>2024-07-02</v>
      </c>
      <c r="U163" t="str">
        <f>MID(VLOOKUP(A163, Fechas_Estado!A:AE,24,0),12,8)</f>
        <v>09:45:18</v>
      </c>
      <c r="V163" t="str">
        <f t="shared" si="46"/>
        <v>2024-07-02 09:45:18</v>
      </c>
      <c r="W163" t="str">
        <f>LEFT(VLOOKUP(A163, Fechas_Estado!A:AE,25,0),10)</f>
        <v>2024-07-02</v>
      </c>
      <c r="X163" t="str">
        <f>MID(VLOOKUP(A163, Fechas_Estado!A:AE,25,0),12,8)</f>
        <v>09:45:20</v>
      </c>
      <c r="Y163" t="str">
        <f t="shared" si="47"/>
        <v>2024-07-02 09:45:20</v>
      </c>
      <c r="Z163" t="str">
        <f>LEFT(VLOOKUP(A163, Fechas_Estado!A:AE,26,0),10)</f>
        <v>2024-07-18</v>
      </c>
      <c r="AA163" t="str">
        <f>MID(VLOOKUP(A163, Fechas_Estado!A:AE,26,0),12,8)</f>
        <v>13:53:39</v>
      </c>
      <c r="AB163" t="str">
        <f t="shared" si="48"/>
        <v>2024-07-18 13:53:39</v>
      </c>
      <c r="AC163" t="str">
        <f>LEFT(VLOOKUP(A163, Fechas_Estado!A:AE,27,0),10)</f>
        <v/>
      </c>
      <c r="AD163" t="str">
        <f>MID(VLOOKUP(A163, Fechas_Estado!A:AE,27,0),12,8)</f>
        <v/>
      </c>
      <c r="AE163" t="str">
        <f t="shared" si="49"/>
        <v xml:space="preserve"> </v>
      </c>
      <c r="AF163" t="str">
        <f>LEFT(VLOOKUP(A163, Fechas_Estado!A:AF,28,0),10)</f>
        <v/>
      </c>
      <c r="AG163" t="str">
        <f>MID(VLOOKUP(A163, Fechas_Estado!A:AF,28,0),12,8)</f>
        <v/>
      </c>
      <c r="AH163" t="str">
        <f t="shared" si="50"/>
        <v xml:space="preserve"> </v>
      </c>
      <c r="AI163" t="str">
        <f>LEFT(VLOOKUP(A163, Fechas_Estado!A:AF,16,0),10)</f>
        <v/>
      </c>
      <c r="AJ163" t="str">
        <f>MID(VLOOKUP(A163, Fechas_Estado!A:AF,16,0),12,8)</f>
        <v/>
      </c>
      <c r="AK163" t="str">
        <f t="shared" si="51"/>
        <v xml:space="preserve"> </v>
      </c>
      <c r="AL163" t="e">
        <f t="shared" si="52"/>
        <v>#VALUE!</v>
      </c>
      <c r="AM163" t="str">
        <f>LEFT(VLOOKUP(A163, Fechas_Estado!A:AE,8,0),10)</f>
        <v/>
      </c>
      <c r="AN163" t="str">
        <f>MID(VLOOKUP(A163, Fechas_Estado!A:AE,8,0),12,8)</f>
        <v/>
      </c>
      <c r="AO163" t="str">
        <f t="shared" si="53"/>
        <v xml:space="preserve"> </v>
      </c>
      <c r="AP163" t="str">
        <f>LEFT(VLOOKUP(A163, Fechas_Estado!A:AE,7,0),10)</f>
        <v/>
      </c>
      <c r="AQ163" t="str">
        <f>MID(VLOOKUP(A163, Fechas_Estado!A:AE,7,0),12,8)</f>
        <v/>
      </c>
      <c r="AR163" t="str">
        <f t="shared" si="54"/>
        <v xml:space="preserve"> </v>
      </c>
      <c r="AS163" t="str">
        <f>LEFT(VLOOKUP(A163, Fechas_Estado!A:AE,10,0),10)</f>
        <v/>
      </c>
      <c r="AT163" t="str">
        <f>MID(VLOOKUP(A163, Fechas_Estado!A:AE,10,0),12,8)</f>
        <v/>
      </c>
      <c r="AU163" t="str">
        <f t="shared" si="55"/>
        <v xml:space="preserve"> </v>
      </c>
      <c r="AV163" t="str">
        <f>LEFT(VLOOKUP(A163, Fechas_Estado!A:AE,17,0),10)</f>
        <v>2024-07-19</v>
      </c>
      <c r="AW163" t="str">
        <f>MID(VLOOKUP(A163, Fechas_Estado!A:AE,17,0),12,8)</f>
        <v>11:54:31</v>
      </c>
      <c r="AX163" t="str">
        <f t="shared" si="56"/>
        <v>2024-07-19 11:54:31</v>
      </c>
      <c r="AY163" t="e">
        <f t="shared" si="57"/>
        <v>#VALUE!</v>
      </c>
      <c r="AZ163" t="str">
        <f>LEFT(VLOOKUP(A163, Fechas_Estado!A:AE,5,0),10)</f>
        <v>2024-07-19</v>
      </c>
      <c r="BA163" t="str">
        <f>MID(VLOOKUP(A163, Fechas_Estado!A:AE,5,0),12,8)</f>
        <v>11:55:52</v>
      </c>
      <c r="BB163" t="str">
        <f t="shared" si="58"/>
        <v>2024-07-19 11:55:52</v>
      </c>
      <c r="BC163">
        <f t="shared" si="59"/>
        <v>9.3750000087311491E-4</v>
      </c>
    </row>
    <row r="164" spans="1:55" x14ac:dyDescent="0.25">
      <c r="A164" t="str">
        <f>Fechas_Estado!A163</f>
        <v>ESPC360-9522</v>
      </c>
      <c r="B164" t="str">
        <f>LEFT(VLOOKUP(A164,Fechas_Estado!A:AE,2,0),10)</f>
        <v>2024-07-02</v>
      </c>
      <c r="C164" t="str">
        <f>MID(VLOOKUP(A164, Fechas_Estado!A:AE,2,0),12,8)</f>
        <v>10:49:11</v>
      </c>
      <c r="D164" t="str">
        <f t="shared" si="40"/>
        <v>2024-07-02 10:49:11</v>
      </c>
      <c r="E164" t="str">
        <f>LEFT(VLOOKUP(A164, Fechas_Estado!A:AE,19,0),10)</f>
        <v>2024-07-02</v>
      </c>
      <c r="F164" t="str">
        <f>MID(VLOOKUP(A164, Fechas_Estado!A:AE,19,0),12,8)</f>
        <v>10:52:05</v>
      </c>
      <c r="G164" t="str">
        <f t="shared" si="41"/>
        <v>2024-07-02 10:52:05</v>
      </c>
      <c r="H164" t="str">
        <f>LEFT(VLOOKUP(A164, Fechas_Estado!A:AE,20,0),10)</f>
        <v/>
      </c>
      <c r="I164" t="str">
        <f>MID(VLOOKUP(A164, Fechas_Estado!A:AE,20,0),12,8)</f>
        <v/>
      </c>
      <c r="J164" t="str">
        <f t="shared" si="42"/>
        <v xml:space="preserve"> </v>
      </c>
      <c r="K164" t="str">
        <f>LEFT(VLOOKUP(A164, Fechas_Estado!A:AE,21,0),10)</f>
        <v/>
      </c>
      <c r="L164" t="str">
        <f>MID(VLOOKUP(A164, Fechas_Estado!A:AE,21,0),12,8)</f>
        <v/>
      </c>
      <c r="M164" t="str">
        <f t="shared" si="43"/>
        <v xml:space="preserve"> </v>
      </c>
      <c r="N164" t="str">
        <f>LEFT(VLOOKUP(A164, Fechas_Estado!A:AE,22,0),10)</f>
        <v/>
      </c>
      <c r="O164" t="str">
        <f>MID(VLOOKUP(A164, Fechas_Estado!A:AE,22,0),12,8)</f>
        <v/>
      </c>
      <c r="P164" t="str">
        <f t="shared" si="44"/>
        <v xml:space="preserve"> </v>
      </c>
      <c r="Q164" t="str">
        <f>LEFT(VLOOKUP(A164, Fechas_Estado!A:AE,23,0),10)</f>
        <v/>
      </c>
      <c r="R164" t="str">
        <f>MID(VLOOKUP(A164, Fechas_Estado!A:AE,23,0),12,8)</f>
        <v/>
      </c>
      <c r="S164" t="str">
        <f t="shared" si="45"/>
        <v xml:space="preserve"> </v>
      </c>
      <c r="T164" t="str">
        <f>LEFT(VLOOKUP(A164, Fechas_Estado!A:AE,24,0),10)</f>
        <v/>
      </c>
      <c r="U164" t="str">
        <f>MID(VLOOKUP(A164, Fechas_Estado!A:AE,24,0),12,8)</f>
        <v/>
      </c>
      <c r="V164" t="str">
        <f t="shared" si="46"/>
        <v xml:space="preserve"> </v>
      </c>
      <c r="W164" t="str">
        <f>LEFT(VLOOKUP(A164, Fechas_Estado!A:AE,25,0),10)</f>
        <v>2024-07-02</v>
      </c>
      <c r="X164" t="str">
        <f>MID(VLOOKUP(A164, Fechas_Estado!A:AE,25,0),12,8)</f>
        <v>10:52:08</v>
      </c>
      <c r="Y164" t="str">
        <f t="shared" si="47"/>
        <v>2024-07-02 10:52:08</v>
      </c>
      <c r="Z164" t="str">
        <f>LEFT(VLOOKUP(A164, Fechas_Estado!A:AE,26,0),10)</f>
        <v>2024-07-18</v>
      </c>
      <c r="AA164" t="str">
        <f>MID(VLOOKUP(A164, Fechas_Estado!A:AE,26,0),12,8)</f>
        <v>10:43:35</v>
      </c>
      <c r="AB164" t="str">
        <f t="shared" si="48"/>
        <v>2024-07-18 10:43:35</v>
      </c>
      <c r="AC164" t="str">
        <f>LEFT(VLOOKUP(A164, Fechas_Estado!A:AE,27,0),10)</f>
        <v>2024-07-31</v>
      </c>
      <c r="AD164" t="str">
        <f>MID(VLOOKUP(A164, Fechas_Estado!A:AE,27,0),12,8)</f>
        <v>10:59:06</v>
      </c>
      <c r="AE164" t="str">
        <f t="shared" si="49"/>
        <v>2024-07-31 10:59:06</v>
      </c>
      <c r="AF164" t="str">
        <f>LEFT(VLOOKUP(A164, Fechas_Estado!A:AF,28,0),10)</f>
        <v/>
      </c>
      <c r="AG164" t="str">
        <f>MID(VLOOKUP(A164, Fechas_Estado!A:AF,28,0),12,8)</f>
        <v/>
      </c>
      <c r="AH164" t="str">
        <f t="shared" si="50"/>
        <v xml:space="preserve"> </v>
      </c>
      <c r="AI164" t="str">
        <f>LEFT(VLOOKUP(A164, Fechas_Estado!A:AF,16,0),10)</f>
        <v>2024-07-31</v>
      </c>
      <c r="AJ164" t="str">
        <f>MID(VLOOKUP(A164, Fechas_Estado!A:AF,16,0),12,8)</f>
        <v>12:07:45</v>
      </c>
      <c r="AK164" t="str">
        <f t="shared" si="51"/>
        <v>2024-07-31 12:07:45</v>
      </c>
      <c r="AL164">
        <f t="shared" si="52"/>
        <v>29.054560185184528</v>
      </c>
      <c r="AM164" t="str">
        <f>LEFT(VLOOKUP(A164, Fechas_Estado!A:AE,8,0),10)</f>
        <v>2024-08-13</v>
      </c>
      <c r="AN164" t="str">
        <f>MID(VLOOKUP(A164, Fechas_Estado!A:AE,8,0),12,8)</f>
        <v>09:15:32</v>
      </c>
      <c r="AO164" t="str">
        <f t="shared" si="53"/>
        <v>2024-08-13 09:15:32</v>
      </c>
      <c r="AP164" t="str">
        <f>LEFT(VLOOKUP(A164, Fechas_Estado!A:AE,7,0),10)</f>
        <v>2024-08-20</v>
      </c>
      <c r="AQ164" t="str">
        <f>MID(VLOOKUP(A164, Fechas_Estado!A:AE,7,0),12,8)</f>
        <v>10:30:08</v>
      </c>
      <c r="AR164" t="str">
        <f t="shared" si="54"/>
        <v>2024-08-20 10:30:08</v>
      </c>
      <c r="AS164" t="str">
        <f>LEFT(VLOOKUP(A164, Fechas_Estado!A:AE,10,0),10)</f>
        <v>2024-08-20</v>
      </c>
      <c r="AT164" t="str">
        <f>MID(VLOOKUP(A164, Fechas_Estado!A:AE,10,0),12,8)</f>
        <v>10:41:12</v>
      </c>
      <c r="AU164" t="str">
        <f t="shared" si="55"/>
        <v>2024-08-20 10:41:12</v>
      </c>
      <c r="AV164" t="str">
        <f>LEFT(VLOOKUP(A164, Fechas_Estado!A:AE,17,0),10)</f>
        <v>2024-08-21</v>
      </c>
      <c r="AW164" t="str">
        <f>MID(VLOOKUP(A164, Fechas_Estado!A:AE,17,0),12,8)</f>
        <v>08:32:39</v>
      </c>
      <c r="AX164" t="str">
        <f t="shared" si="56"/>
        <v>2024-08-21 08:32:39</v>
      </c>
      <c r="AY164">
        <f t="shared" si="57"/>
        <v>7.9702199074090458</v>
      </c>
      <c r="AZ164" t="str">
        <f>LEFT(VLOOKUP(A164, Fechas_Estado!A:AE,5,0),10)</f>
        <v>2024-08-30</v>
      </c>
      <c r="BA164" t="str">
        <f>MID(VLOOKUP(A164, Fechas_Estado!A:AE,5,0),12,8)</f>
        <v>08:20:45</v>
      </c>
      <c r="BB164" t="str">
        <f t="shared" si="58"/>
        <v>2024-08-30 08:20:45</v>
      </c>
      <c r="BC164">
        <f t="shared" si="59"/>
        <v>8.9917361111147329</v>
      </c>
    </row>
    <row r="165" spans="1:55" x14ac:dyDescent="0.25">
      <c r="A165" t="str">
        <f>Fechas_Estado!A164</f>
        <v>ESPC360-9624</v>
      </c>
      <c r="B165" t="str">
        <f>LEFT(VLOOKUP(A165,Fechas_Estado!A:AE,2,0),10)</f>
        <v>2024-07-04</v>
      </c>
      <c r="C165" t="str">
        <f>MID(VLOOKUP(A165, Fechas_Estado!A:AE,2,0),12,8)</f>
        <v>15:38:55</v>
      </c>
      <c r="D165" t="str">
        <f t="shared" si="40"/>
        <v>2024-07-04 15:38:55</v>
      </c>
      <c r="E165" t="str">
        <f>LEFT(VLOOKUP(A165, Fechas_Estado!A:AE,19,0),10)</f>
        <v>2024-07-04</v>
      </c>
      <c r="F165" t="str">
        <f>MID(VLOOKUP(A165, Fechas_Estado!A:AE,19,0),12,8)</f>
        <v>16:48:08</v>
      </c>
      <c r="G165" t="str">
        <f t="shared" si="41"/>
        <v>2024-07-04 16:48:08</v>
      </c>
      <c r="H165" t="str">
        <f>LEFT(VLOOKUP(A165, Fechas_Estado!A:AE,20,0),10)</f>
        <v>2024-07-05</v>
      </c>
      <c r="I165" t="str">
        <f>MID(VLOOKUP(A165, Fechas_Estado!A:AE,20,0),12,8)</f>
        <v>09:48:44</v>
      </c>
      <c r="J165" t="str">
        <f t="shared" si="42"/>
        <v>2024-07-05 09:48:44</v>
      </c>
      <c r="K165" t="str">
        <f>LEFT(VLOOKUP(A165, Fechas_Estado!A:AE,21,0),10)</f>
        <v>2024-07-05</v>
      </c>
      <c r="L165" t="str">
        <f>MID(VLOOKUP(A165, Fechas_Estado!A:AE,21,0),12,8)</f>
        <v>09:48:54</v>
      </c>
      <c r="M165" t="str">
        <f t="shared" si="43"/>
        <v>2024-07-05 09:48:54</v>
      </c>
      <c r="N165" t="str">
        <f>LEFT(VLOOKUP(A165, Fechas_Estado!A:AE,22,0),10)</f>
        <v>2024-07-05</v>
      </c>
      <c r="O165" t="str">
        <f>MID(VLOOKUP(A165, Fechas_Estado!A:AE,22,0),12,8)</f>
        <v>09:48:57</v>
      </c>
      <c r="P165" t="str">
        <f t="shared" si="44"/>
        <v>2024-07-05 09:48:57</v>
      </c>
      <c r="Q165" t="str">
        <f>LEFT(VLOOKUP(A165, Fechas_Estado!A:AE,23,0),10)</f>
        <v>2024-07-05</v>
      </c>
      <c r="R165" t="str">
        <f>MID(VLOOKUP(A165, Fechas_Estado!A:AE,23,0),12,8)</f>
        <v>09:49:00</v>
      </c>
      <c r="S165" t="str">
        <f t="shared" si="45"/>
        <v>2024-07-05 09:49:00</v>
      </c>
      <c r="T165" t="str">
        <f>LEFT(VLOOKUP(A165, Fechas_Estado!A:AE,24,0),10)</f>
        <v>2024-07-05</v>
      </c>
      <c r="U165" t="str">
        <f>MID(VLOOKUP(A165, Fechas_Estado!A:AE,24,0),12,8)</f>
        <v>09:49:03</v>
      </c>
      <c r="V165" t="str">
        <f t="shared" si="46"/>
        <v>2024-07-05 09:49:03</v>
      </c>
      <c r="W165" t="str">
        <f>LEFT(VLOOKUP(A165, Fechas_Estado!A:AE,25,0),10)</f>
        <v>2024-07-05</v>
      </c>
      <c r="X165" t="str">
        <f>MID(VLOOKUP(A165, Fechas_Estado!A:AE,25,0),12,8)</f>
        <v>09:49:06</v>
      </c>
      <c r="Y165" t="str">
        <f t="shared" si="47"/>
        <v>2024-07-05 09:49:06</v>
      </c>
      <c r="Z165" t="str">
        <f>LEFT(VLOOKUP(A165, Fechas_Estado!A:AE,26,0),10)</f>
        <v>2024-07-26</v>
      </c>
      <c r="AA165" t="str">
        <f>MID(VLOOKUP(A165, Fechas_Estado!A:AE,26,0),12,8)</f>
        <v>18:44:18</v>
      </c>
      <c r="AB165" t="str">
        <f t="shared" si="48"/>
        <v>2024-07-26 18:44:18</v>
      </c>
      <c r="AC165" t="str">
        <f>LEFT(VLOOKUP(A165, Fechas_Estado!A:AE,27,0),10)</f>
        <v/>
      </c>
      <c r="AD165" t="str">
        <f>MID(VLOOKUP(A165, Fechas_Estado!A:AE,27,0),12,8)</f>
        <v/>
      </c>
      <c r="AE165" t="str">
        <f t="shared" si="49"/>
        <v xml:space="preserve"> </v>
      </c>
      <c r="AF165" t="str">
        <f>LEFT(VLOOKUP(A165, Fechas_Estado!A:AF,28,0),10)</f>
        <v/>
      </c>
      <c r="AG165" t="str">
        <f>MID(VLOOKUP(A165, Fechas_Estado!A:AF,28,0),12,8)</f>
        <v/>
      </c>
      <c r="AH165" t="str">
        <f t="shared" si="50"/>
        <v xml:space="preserve"> </v>
      </c>
      <c r="AI165" t="str">
        <f>LEFT(VLOOKUP(A165, Fechas_Estado!A:AF,16,0),10)</f>
        <v/>
      </c>
      <c r="AJ165" t="str">
        <f>MID(VLOOKUP(A165, Fechas_Estado!A:AF,16,0),12,8)</f>
        <v/>
      </c>
      <c r="AK165" t="str">
        <f t="shared" si="51"/>
        <v xml:space="preserve"> </v>
      </c>
      <c r="AL165" t="e">
        <f t="shared" si="52"/>
        <v>#VALUE!</v>
      </c>
      <c r="AM165" t="str">
        <f>LEFT(VLOOKUP(A165, Fechas_Estado!A:AE,8,0),10)</f>
        <v/>
      </c>
      <c r="AN165" t="str">
        <f>MID(VLOOKUP(A165, Fechas_Estado!A:AE,8,0),12,8)</f>
        <v/>
      </c>
      <c r="AO165" t="str">
        <f t="shared" si="53"/>
        <v xml:space="preserve"> </v>
      </c>
      <c r="AP165" t="str">
        <f>LEFT(VLOOKUP(A165, Fechas_Estado!A:AE,7,0),10)</f>
        <v/>
      </c>
      <c r="AQ165" t="str">
        <f>MID(VLOOKUP(A165, Fechas_Estado!A:AE,7,0),12,8)</f>
        <v/>
      </c>
      <c r="AR165" t="str">
        <f t="shared" si="54"/>
        <v xml:space="preserve"> </v>
      </c>
      <c r="AS165" t="str">
        <f>LEFT(VLOOKUP(A165, Fechas_Estado!A:AE,10,0),10)</f>
        <v/>
      </c>
      <c r="AT165" t="str">
        <f>MID(VLOOKUP(A165, Fechas_Estado!A:AE,10,0),12,8)</f>
        <v/>
      </c>
      <c r="AU165" t="str">
        <f t="shared" si="55"/>
        <v xml:space="preserve"> </v>
      </c>
      <c r="AV165" t="str">
        <f>LEFT(VLOOKUP(A165, Fechas_Estado!A:AE,17,0),10)</f>
        <v/>
      </c>
      <c r="AW165" t="str">
        <f>MID(VLOOKUP(A165, Fechas_Estado!A:AE,17,0),12,8)</f>
        <v/>
      </c>
      <c r="AX165" t="str">
        <f t="shared" si="56"/>
        <v xml:space="preserve"> </v>
      </c>
      <c r="AY165" t="e">
        <f t="shared" si="57"/>
        <v>#VALUE!</v>
      </c>
      <c r="AZ165" t="str">
        <f>LEFT(VLOOKUP(A165, Fechas_Estado!A:AE,5,0),10)</f>
        <v/>
      </c>
      <c r="BA165" t="str">
        <f>MID(VLOOKUP(A165, Fechas_Estado!A:AE,5,0),12,8)</f>
        <v/>
      </c>
      <c r="BB165" t="str">
        <f t="shared" si="58"/>
        <v xml:space="preserve"> </v>
      </c>
      <c r="BC165" t="e">
        <f t="shared" si="59"/>
        <v>#VALUE!</v>
      </c>
    </row>
    <row r="166" spans="1:55" x14ac:dyDescent="0.25">
      <c r="A166" t="str">
        <f>Fechas_Estado!A165</f>
        <v>ESPC360-9642</v>
      </c>
      <c r="B166" t="str">
        <f>LEFT(VLOOKUP(A166,Fechas_Estado!A:AE,2,0),10)</f>
        <v>2024-07-05</v>
      </c>
      <c r="C166" t="str">
        <f>MID(VLOOKUP(A166, Fechas_Estado!A:AE,2,0),12,8)</f>
        <v>11:24:06</v>
      </c>
      <c r="D166" t="str">
        <f t="shared" si="40"/>
        <v>2024-07-05 11:24:06</v>
      </c>
      <c r="E166" t="str">
        <f>LEFT(VLOOKUP(A166, Fechas_Estado!A:AE,19,0),10)</f>
        <v>2024-07-05</v>
      </c>
      <c r="F166" t="str">
        <f>MID(VLOOKUP(A166, Fechas_Estado!A:AE,19,0),12,8)</f>
        <v>12:00:32</v>
      </c>
      <c r="G166" t="str">
        <f t="shared" si="41"/>
        <v>2024-07-05 12:00:32</v>
      </c>
      <c r="H166" t="str">
        <f>LEFT(VLOOKUP(A166, Fechas_Estado!A:AE,20,0),10)</f>
        <v/>
      </c>
      <c r="I166" t="str">
        <f>MID(VLOOKUP(A166, Fechas_Estado!A:AE,20,0),12,8)</f>
        <v/>
      </c>
      <c r="J166" t="str">
        <f t="shared" si="42"/>
        <v xml:space="preserve"> </v>
      </c>
      <c r="K166" t="str">
        <f>LEFT(VLOOKUP(A166, Fechas_Estado!A:AE,21,0),10)</f>
        <v/>
      </c>
      <c r="L166" t="str">
        <f>MID(VLOOKUP(A166, Fechas_Estado!A:AE,21,0),12,8)</f>
        <v/>
      </c>
      <c r="M166" t="str">
        <f t="shared" si="43"/>
        <v xml:space="preserve"> </v>
      </c>
      <c r="N166" t="str">
        <f>LEFT(VLOOKUP(A166, Fechas_Estado!A:AE,22,0),10)</f>
        <v/>
      </c>
      <c r="O166" t="str">
        <f>MID(VLOOKUP(A166, Fechas_Estado!A:AE,22,0),12,8)</f>
        <v/>
      </c>
      <c r="P166" t="str">
        <f t="shared" si="44"/>
        <v xml:space="preserve"> </v>
      </c>
      <c r="Q166" t="str">
        <f>LEFT(VLOOKUP(A166, Fechas_Estado!A:AE,23,0),10)</f>
        <v/>
      </c>
      <c r="R166" t="str">
        <f>MID(VLOOKUP(A166, Fechas_Estado!A:AE,23,0),12,8)</f>
        <v/>
      </c>
      <c r="S166" t="str">
        <f t="shared" si="45"/>
        <v xml:space="preserve"> </v>
      </c>
      <c r="T166" t="str">
        <f>LEFT(VLOOKUP(A166, Fechas_Estado!A:AE,24,0),10)</f>
        <v/>
      </c>
      <c r="U166" t="str">
        <f>MID(VLOOKUP(A166, Fechas_Estado!A:AE,24,0),12,8)</f>
        <v/>
      </c>
      <c r="V166" t="str">
        <f t="shared" si="46"/>
        <v xml:space="preserve"> </v>
      </c>
      <c r="W166" t="str">
        <f>LEFT(VLOOKUP(A166, Fechas_Estado!A:AE,25,0),10)</f>
        <v>2024-07-09</v>
      </c>
      <c r="X166" t="str">
        <f>MID(VLOOKUP(A166, Fechas_Estado!A:AE,25,0),12,8)</f>
        <v>09:45:11</v>
      </c>
      <c r="Y166" t="str">
        <f t="shared" si="47"/>
        <v>2024-07-09 09:45:11</v>
      </c>
      <c r="Z166" t="str">
        <f>LEFT(VLOOKUP(A166, Fechas_Estado!A:AE,26,0),10)</f>
        <v>2024-08-02</v>
      </c>
      <c r="AA166" t="str">
        <f>MID(VLOOKUP(A166, Fechas_Estado!A:AE,26,0),12,8)</f>
        <v>15:15:45</v>
      </c>
      <c r="AB166" t="str">
        <f t="shared" si="48"/>
        <v>2024-08-02 15:15:45</v>
      </c>
      <c r="AC166" t="str">
        <f>LEFT(VLOOKUP(A166, Fechas_Estado!A:AE,27,0),10)</f>
        <v>2024-08-21</v>
      </c>
      <c r="AD166" t="str">
        <f>MID(VLOOKUP(A166, Fechas_Estado!A:AE,27,0),12,8)</f>
        <v>13:25:52</v>
      </c>
      <c r="AE166" t="str">
        <f t="shared" si="49"/>
        <v>2024-08-21 13:25:52</v>
      </c>
      <c r="AF166" t="str">
        <f>LEFT(VLOOKUP(A166, Fechas_Estado!A:AF,28,0),10)</f>
        <v/>
      </c>
      <c r="AG166" t="str">
        <f>MID(VLOOKUP(A166, Fechas_Estado!A:AF,28,0),12,8)</f>
        <v/>
      </c>
      <c r="AH166" t="str">
        <f t="shared" si="50"/>
        <v xml:space="preserve"> </v>
      </c>
      <c r="AI166" t="str">
        <f>LEFT(VLOOKUP(A166, Fechas_Estado!A:AF,16,0),10)</f>
        <v>2024-08-21</v>
      </c>
      <c r="AJ166" t="str">
        <f>MID(VLOOKUP(A166, Fechas_Estado!A:AF,16,0),12,8)</f>
        <v>14:34:35</v>
      </c>
      <c r="AK166" t="str">
        <f t="shared" si="51"/>
        <v>2024-08-21 14:34:35</v>
      </c>
      <c r="AL166">
        <f t="shared" si="52"/>
        <v>47.132280092591827</v>
      </c>
      <c r="AM166" t="str">
        <f>LEFT(VLOOKUP(A166, Fechas_Estado!A:AE,8,0),10)</f>
        <v>2024-08-23</v>
      </c>
      <c r="AN166" t="str">
        <f>MID(VLOOKUP(A166, Fechas_Estado!A:AE,8,0),12,8)</f>
        <v>10:39:15</v>
      </c>
      <c r="AO166" t="str">
        <f t="shared" si="53"/>
        <v>2024-08-23 10:39:15</v>
      </c>
      <c r="AP166" t="str">
        <f>LEFT(VLOOKUP(A166, Fechas_Estado!A:AE,7,0),10)</f>
        <v>2024-08-27</v>
      </c>
      <c r="AQ166" t="str">
        <f>MID(VLOOKUP(A166, Fechas_Estado!A:AE,7,0),12,8)</f>
        <v>08:58:53</v>
      </c>
      <c r="AR166" t="str">
        <f t="shared" si="54"/>
        <v>2024-08-27 08:58:53</v>
      </c>
      <c r="AS166" t="str">
        <f>LEFT(VLOOKUP(A166, Fechas_Estado!A:AE,10,0),10)</f>
        <v>2024-08-27</v>
      </c>
      <c r="AT166" t="str">
        <f>MID(VLOOKUP(A166, Fechas_Estado!A:AE,10,0),12,8)</f>
        <v>08:58:56</v>
      </c>
      <c r="AU166" t="str">
        <f t="shared" si="55"/>
        <v>2024-08-27 08:58:56</v>
      </c>
      <c r="AV166" t="str">
        <f>LEFT(VLOOKUP(A166, Fechas_Estado!A:AE,17,0),10)</f>
        <v>2024-09-05</v>
      </c>
      <c r="AW166" t="str">
        <f>MID(VLOOKUP(A166, Fechas_Estado!A:AE,17,0),12,8)</f>
        <v>07:17:49</v>
      </c>
      <c r="AX166" t="str">
        <f t="shared" si="56"/>
        <v>2024-09-05 07:17:49</v>
      </c>
      <c r="AY166">
        <f t="shared" si="57"/>
        <v>12.860115740739275</v>
      </c>
      <c r="AZ166" t="str">
        <f>LEFT(VLOOKUP(A166, Fechas_Estado!A:AE,5,0),10)</f>
        <v>2024-09-17</v>
      </c>
      <c r="BA166" t="str">
        <f>MID(VLOOKUP(A166, Fechas_Estado!A:AE,5,0),12,8)</f>
        <v>09:16:22</v>
      </c>
      <c r="BB166" t="str">
        <f t="shared" si="58"/>
        <v>2024-09-17 09:16:22</v>
      </c>
      <c r="BC166">
        <f t="shared" si="59"/>
        <v>12.08232638888876</v>
      </c>
    </row>
    <row r="167" spans="1:55" x14ac:dyDescent="0.25">
      <c r="A167" t="str">
        <f>Fechas_Estado!A166</f>
        <v>ESPC360-9643</v>
      </c>
      <c r="B167" t="str">
        <f>LEFT(VLOOKUP(A167,Fechas_Estado!A:AE,2,0),10)</f>
        <v>2024-07-05</v>
      </c>
      <c r="C167" t="str">
        <f>MID(VLOOKUP(A167, Fechas_Estado!A:AE,2,0),12,8)</f>
        <v>11:50:01</v>
      </c>
      <c r="D167" t="str">
        <f t="shared" si="40"/>
        <v>2024-07-05 11:50:01</v>
      </c>
      <c r="E167" t="str">
        <f>LEFT(VLOOKUP(A167, Fechas_Estado!A:AE,19,0),10)</f>
        <v/>
      </c>
      <c r="F167" t="str">
        <f>MID(VLOOKUP(A167, Fechas_Estado!A:AE,19,0),12,8)</f>
        <v/>
      </c>
      <c r="G167" t="str">
        <f t="shared" si="41"/>
        <v xml:space="preserve"> </v>
      </c>
      <c r="H167" t="str">
        <f>LEFT(VLOOKUP(A167, Fechas_Estado!A:AE,20,0),10)</f>
        <v/>
      </c>
      <c r="I167" t="str">
        <f>MID(VLOOKUP(A167, Fechas_Estado!A:AE,20,0),12,8)</f>
        <v/>
      </c>
      <c r="J167" t="str">
        <f t="shared" si="42"/>
        <v xml:space="preserve"> </v>
      </c>
      <c r="K167" t="str">
        <f>LEFT(VLOOKUP(A167, Fechas_Estado!A:AE,21,0),10)</f>
        <v/>
      </c>
      <c r="L167" t="str">
        <f>MID(VLOOKUP(A167, Fechas_Estado!A:AE,21,0),12,8)</f>
        <v/>
      </c>
      <c r="M167" t="str">
        <f t="shared" si="43"/>
        <v xml:space="preserve"> </v>
      </c>
      <c r="N167" t="str">
        <f>LEFT(VLOOKUP(A167, Fechas_Estado!A:AE,22,0),10)</f>
        <v/>
      </c>
      <c r="O167" t="str">
        <f>MID(VLOOKUP(A167, Fechas_Estado!A:AE,22,0),12,8)</f>
        <v/>
      </c>
      <c r="P167" t="str">
        <f t="shared" si="44"/>
        <v xml:space="preserve"> </v>
      </c>
      <c r="Q167" t="str">
        <f>LEFT(VLOOKUP(A167, Fechas_Estado!A:AE,23,0),10)</f>
        <v/>
      </c>
      <c r="R167" t="str">
        <f>MID(VLOOKUP(A167, Fechas_Estado!A:AE,23,0),12,8)</f>
        <v/>
      </c>
      <c r="S167" t="str">
        <f t="shared" si="45"/>
        <v xml:space="preserve"> </v>
      </c>
      <c r="T167" t="str">
        <f>LEFT(VLOOKUP(A167, Fechas_Estado!A:AE,24,0),10)</f>
        <v/>
      </c>
      <c r="U167" t="str">
        <f>MID(VLOOKUP(A167, Fechas_Estado!A:AE,24,0),12,8)</f>
        <v/>
      </c>
      <c r="V167" t="str">
        <f t="shared" si="46"/>
        <v xml:space="preserve"> </v>
      </c>
      <c r="W167" t="str">
        <f>LEFT(VLOOKUP(A167, Fechas_Estado!A:AE,25,0),10)</f>
        <v>2024-07-05</v>
      </c>
      <c r="X167" t="str">
        <f>MID(VLOOKUP(A167, Fechas_Estado!A:AE,25,0),12,8)</f>
        <v>11:51:37</v>
      </c>
      <c r="Y167" t="str">
        <f t="shared" si="47"/>
        <v>2024-07-05 11:51:37</v>
      </c>
      <c r="Z167" t="str">
        <f>LEFT(VLOOKUP(A167, Fechas_Estado!A:AE,26,0),10)</f>
        <v>2024-07-25</v>
      </c>
      <c r="AA167" t="str">
        <f>MID(VLOOKUP(A167, Fechas_Estado!A:AE,26,0),12,8)</f>
        <v>11:48:13</v>
      </c>
      <c r="AB167" t="str">
        <f t="shared" si="48"/>
        <v>2024-07-25 11:48:13</v>
      </c>
      <c r="AC167" t="str">
        <f>LEFT(VLOOKUP(A167, Fechas_Estado!A:AE,27,0),10)</f>
        <v/>
      </c>
      <c r="AD167" t="str">
        <f>MID(VLOOKUP(A167, Fechas_Estado!A:AE,27,0),12,8)</f>
        <v/>
      </c>
      <c r="AE167" t="str">
        <f t="shared" si="49"/>
        <v xml:space="preserve"> </v>
      </c>
      <c r="AF167" t="str">
        <f>LEFT(VLOOKUP(A167, Fechas_Estado!A:AF,28,0),10)</f>
        <v/>
      </c>
      <c r="AG167" t="str">
        <f>MID(VLOOKUP(A167, Fechas_Estado!A:AF,28,0),12,8)</f>
        <v/>
      </c>
      <c r="AH167" t="str">
        <f t="shared" si="50"/>
        <v xml:space="preserve"> </v>
      </c>
      <c r="AI167" t="str">
        <f>LEFT(VLOOKUP(A167, Fechas_Estado!A:AF,16,0),10)</f>
        <v>2024-07-25</v>
      </c>
      <c r="AJ167" t="str">
        <f>MID(VLOOKUP(A167, Fechas_Estado!A:AF,16,0),12,8)</f>
        <v>12:01:04</v>
      </c>
      <c r="AK167" t="str">
        <f t="shared" si="51"/>
        <v>2024-07-25 12:01:04</v>
      </c>
      <c r="AL167">
        <f t="shared" si="52"/>
        <v>20.007673611107748</v>
      </c>
      <c r="AM167" t="str">
        <f>LEFT(VLOOKUP(A167, Fechas_Estado!A:AE,8,0),10)</f>
        <v>2024-07-25</v>
      </c>
      <c r="AN167" t="str">
        <f>MID(VLOOKUP(A167, Fechas_Estado!A:AE,8,0),12,8)</f>
        <v>12:01:12</v>
      </c>
      <c r="AO167" t="str">
        <f t="shared" si="53"/>
        <v>2024-07-25 12:01:12</v>
      </c>
      <c r="AP167" t="str">
        <f>LEFT(VLOOKUP(A167, Fechas_Estado!A:AE,7,0),10)</f>
        <v>2024-07-25</v>
      </c>
      <c r="AQ167" t="str">
        <f>MID(VLOOKUP(A167, Fechas_Estado!A:AE,7,0),12,8)</f>
        <v>12:01:32</v>
      </c>
      <c r="AR167" t="str">
        <f t="shared" si="54"/>
        <v>2024-07-25 12:01:32</v>
      </c>
      <c r="AS167" t="str">
        <f>LEFT(VLOOKUP(A167, Fechas_Estado!A:AE,10,0),10)</f>
        <v>2024-07-25</v>
      </c>
      <c r="AT167" t="str">
        <f>MID(VLOOKUP(A167, Fechas_Estado!A:AE,10,0),12,8)</f>
        <v>12:06:35</v>
      </c>
      <c r="AU167" t="str">
        <f t="shared" si="55"/>
        <v>2024-07-25 12:06:35</v>
      </c>
      <c r="AV167" t="str">
        <f>LEFT(VLOOKUP(A167, Fechas_Estado!A:AE,17,0),10)</f>
        <v>2024-07-30</v>
      </c>
      <c r="AW167" t="str">
        <f>MID(VLOOKUP(A167, Fechas_Estado!A:AE,17,0),12,8)</f>
        <v>12:41:57</v>
      </c>
      <c r="AX167" t="str">
        <f t="shared" si="56"/>
        <v>2024-07-30 12:41:57</v>
      </c>
      <c r="AY167">
        <f t="shared" si="57"/>
        <v>5.0282986111124046</v>
      </c>
      <c r="AZ167" t="str">
        <f>LEFT(VLOOKUP(A167, Fechas_Estado!A:AE,5,0),10)</f>
        <v>2024-08-29</v>
      </c>
      <c r="BA167" t="str">
        <f>MID(VLOOKUP(A167, Fechas_Estado!A:AE,5,0),12,8)</f>
        <v>09:22:32</v>
      </c>
      <c r="BB167" t="str">
        <f t="shared" si="58"/>
        <v>2024-08-29 09:22:32</v>
      </c>
      <c r="BC167">
        <f t="shared" si="59"/>
        <v>29.861516203702195</v>
      </c>
    </row>
    <row r="168" spans="1:55" x14ac:dyDescent="0.25">
      <c r="A168" t="str">
        <f>Fechas_Estado!A167</f>
        <v>ESPC360-9644</v>
      </c>
      <c r="B168" t="str">
        <f>LEFT(VLOOKUP(A168,Fechas_Estado!A:AE,2,0),10)</f>
        <v>2024-07-05</v>
      </c>
      <c r="C168" t="str">
        <f>MID(VLOOKUP(A168, Fechas_Estado!A:AE,2,0),12,8)</f>
        <v>12:07:58</v>
      </c>
      <c r="D168" t="str">
        <f t="shared" si="40"/>
        <v>2024-07-05 12:07:58</v>
      </c>
      <c r="E168" t="str">
        <f>LEFT(VLOOKUP(A168, Fechas_Estado!A:AE,19,0),10)</f>
        <v>2024-07-09</v>
      </c>
      <c r="F168" t="str">
        <f>MID(VLOOKUP(A168, Fechas_Estado!A:AE,19,0),12,8)</f>
        <v>09:51:57</v>
      </c>
      <c r="G168" t="str">
        <f t="shared" si="41"/>
        <v>2024-07-09 09:51:57</v>
      </c>
      <c r="H168" t="str">
        <f>LEFT(VLOOKUP(A168, Fechas_Estado!A:AE,20,0),10)</f>
        <v/>
      </c>
      <c r="I168" t="str">
        <f>MID(VLOOKUP(A168, Fechas_Estado!A:AE,20,0),12,8)</f>
        <v/>
      </c>
      <c r="J168" t="str">
        <f t="shared" si="42"/>
        <v xml:space="preserve"> </v>
      </c>
      <c r="K168" t="str">
        <f>LEFT(VLOOKUP(A168, Fechas_Estado!A:AE,21,0),10)</f>
        <v/>
      </c>
      <c r="L168" t="str">
        <f>MID(VLOOKUP(A168, Fechas_Estado!A:AE,21,0),12,8)</f>
        <v/>
      </c>
      <c r="M168" t="str">
        <f t="shared" si="43"/>
        <v xml:space="preserve"> </v>
      </c>
      <c r="N168" t="str">
        <f>LEFT(VLOOKUP(A168, Fechas_Estado!A:AE,22,0),10)</f>
        <v/>
      </c>
      <c r="O168" t="str">
        <f>MID(VLOOKUP(A168, Fechas_Estado!A:AE,22,0),12,8)</f>
        <v/>
      </c>
      <c r="P168" t="str">
        <f t="shared" si="44"/>
        <v xml:space="preserve"> </v>
      </c>
      <c r="Q168" t="str">
        <f>LEFT(VLOOKUP(A168, Fechas_Estado!A:AE,23,0),10)</f>
        <v/>
      </c>
      <c r="R168" t="str">
        <f>MID(VLOOKUP(A168, Fechas_Estado!A:AE,23,0),12,8)</f>
        <v/>
      </c>
      <c r="S168" t="str">
        <f t="shared" si="45"/>
        <v xml:space="preserve"> </v>
      </c>
      <c r="T168" t="str">
        <f>LEFT(VLOOKUP(A168, Fechas_Estado!A:AE,24,0),10)</f>
        <v/>
      </c>
      <c r="U168" t="str">
        <f>MID(VLOOKUP(A168, Fechas_Estado!A:AE,24,0),12,8)</f>
        <v/>
      </c>
      <c r="V168" t="str">
        <f t="shared" si="46"/>
        <v xml:space="preserve"> </v>
      </c>
      <c r="W168" t="str">
        <f>LEFT(VLOOKUP(A168, Fechas_Estado!A:AE,25,0),10)</f>
        <v>2024-07-09</v>
      </c>
      <c r="X168" t="str">
        <f>MID(VLOOKUP(A168, Fechas_Estado!A:AE,25,0),12,8)</f>
        <v>09:52:26</v>
      </c>
      <c r="Y168" t="str">
        <f t="shared" si="47"/>
        <v>2024-07-09 09:52:26</v>
      </c>
      <c r="Z168" t="str">
        <f>LEFT(VLOOKUP(A168, Fechas_Estado!A:AE,26,0),10)</f>
        <v>2024-07-26</v>
      </c>
      <c r="AA168" t="str">
        <f>MID(VLOOKUP(A168, Fechas_Estado!A:AE,26,0),12,8)</f>
        <v>12:38:39</v>
      </c>
      <c r="AB168" t="str">
        <f t="shared" si="48"/>
        <v>2024-07-26 12:38:39</v>
      </c>
      <c r="AC168" t="str">
        <f>LEFT(VLOOKUP(A168, Fechas_Estado!A:AE,27,0),10)</f>
        <v>2024-07-26</v>
      </c>
      <c r="AD168" t="str">
        <f>MID(VLOOKUP(A168, Fechas_Estado!A:AE,27,0),12,8)</f>
        <v>12:38:42</v>
      </c>
      <c r="AE168" t="str">
        <f t="shared" si="49"/>
        <v>2024-07-26 12:38:42</v>
      </c>
      <c r="AF168" t="str">
        <f>LEFT(VLOOKUP(A168, Fechas_Estado!A:AF,28,0),10)</f>
        <v/>
      </c>
      <c r="AG168" t="str">
        <f>MID(VLOOKUP(A168, Fechas_Estado!A:AF,28,0),12,8)</f>
        <v/>
      </c>
      <c r="AH168" t="str">
        <f t="shared" si="50"/>
        <v xml:space="preserve"> </v>
      </c>
      <c r="AI168" t="str">
        <f>LEFT(VLOOKUP(A168, Fechas_Estado!A:AF,16,0),10)</f>
        <v/>
      </c>
      <c r="AJ168" t="str">
        <f>MID(VLOOKUP(A168, Fechas_Estado!A:AF,16,0),12,8)</f>
        <v/>
      </c>
      <c r="AK168" t="str">
        <f t="shared" si="51"/>
        <v xml:space="preserve"> </v>
      </c>
      <c r="AL168" t="e">
        <f t="shared" si="52"/>
        <v>#VALUE!</v>
      </c>
      <c r="AM168" t="str">
        <f>LEFT(VLOOKUP(A168, Fechas_Estado!A:AE,8,0),10)</f>
        <v/>
      </c>
      <c r="AN168" t="str">
        <f>MID(VLOOKUP(A168, Fechas_Estado!A:AE,8,0),12,8)</f>
        <v/>
      </c>
      <c r="AO168" t="str">
        <f t="shared" si="53"/>
        <v xml:space="preserve"> </v>
      </c>
      <c r="AP168" t="str">
        <f>LEFT(VLOOKUP(A168, Fechas_Estado!A:AE,7,0),10)</f>
        <v/>
      </c>
      <c r="AQ168" t="str">
        <f>MID(VLOOKUP(A168, Fechas_Estado!A:AE,7,0),12,8)</f>
        <v/>
      </c>
      <c r="AR168" t="str">
        <f t="shared" si="54"/>
        <v xml:space="preserve"> </v>
      </c>
      <c r="AS168" t="str">
        <f>LEFT(VLOOKUP(A168, Fechas_Estado!A:AE,10,0),10)</f>
        <v/>
      </c>
      <c r="AT168" t="str">
        <f>MID(VLOOKUP(A168, Fechas_Estado!A:AE,10,0),12,8)</f>
        <v/>
      </c>
      <c r="AU168" t="str">
        <f t="shared" si="55"/>
        <v xml:space="preserve"> </v>
      </c>
      <c r="AV168" t="str">
        <f>LEFT(VLOOKUP(A168, Fechas_Estado!A:AE,17,0),10)</f>
        <v/>
      </c>
      <c r="AW168" t="str">
        <f>MID(VLOOKUP(A168, Fechas_Estado!A:AE,17,0),12,8)</f>
        <v/>
      </c>
      <c r="AX168" t="str">
        <f t="shared" si="56"/>
        <v xml:space="preserve"> </v>
      </c>
      <c r="AY168" t="e">
        <f t="shared" si="57"/>
        <v>#VALUE!</v>
      </c>
      <c r="AZ168" t="str">
        <f>LEFT(VLOOKUP(A168, Fechas_Estado!A:AE,5,0),10)</f>
        <v/>
      </c>
      <c r="BA168" t="str">
        <f>MID(VLOOKUP(A168, Fechas_Estado!A:AE,5,0),12,8)</f>
        <v/>
      </c>
      <c r="BB168" t="str">
        <f t="shared" si="58"/>
        <v xml:space="preserve"> </v>
      </c>
      <c r="BC168" t="e">
        <f t="shared" si="59"/>
        <v>#VALUE!</v>
      </c>
    </row>
    <row r="169" spans="1:55" x14ac:dyDescent="0.25">
      <c r="A169" t="str">
        <f>Fechas_Estado!A168</f>
        <v>ESPC360-9672</v>
      </c>
      <c r="B169" t="str">
        <f>LEFT(VLOOKUP(A169,Fechas_Estado!A:AE,2,0),10)</f>
        <v>2024-07-09</v>
      </c>
      <c r="C169" t="str">
        <f>MID(VLOOKUP(A169, Fechas_Estado!A:AE,2,0),12,8)</f>
        <v>10:04:41</v>
      </c>
      <c r="D169" t="str">
        <f t="shared" si="40"/>
        <v>2024-07-09 10:04:41</v>
      </c>
      <c r="E169" t="str">
        <f>LEFT(VLOOKUP(A169, Fechas_Estado!A:AE,19,0),10)</f>
        <v/>
      </c>
      <c r="F169" t="str">
        <f>MID(VLOOKUP(A169, Fechas_Estado!A:AE,19,0),12,8)</f>
        <v/>
      </c>
      <c r="G169" t="str">
        <f t="shared" si="41"/>
        <v xml:space="preserve"> </v>
      </c>
      <c r="H169" t="str">
        <f>LEFT(VLOOKUP(A169, Fechas_Estado!A:AE,20,0),10)</f>
        <v/>
      </c>
      <c r="I169" t="str">
        <f>MID(VLOOKUP(A169, Fechas_Estado!A:AE,20,0),12,8)</f>
        <v/>
      </c>
      <c r="J169" t="str">
        <f t="shared" si="42"/>
        <v xml:space="preserve"> </v>
      </c>
      <c r="K169" t="str">
        <f>LEFT(VLOOKUP(A169, Fechas_Estado!A:AE,21,0),10)</f>
        <v/>
      </c>
      <c r="L169" t="str">
        <f>MID(VLOOKUP(A169, Fechas_Estado!A:AE,21,0),12,8)</f>
        <v/>
      </c>
      <c r="M169" t="str">
        <f t="shared" si="43"/>
        <v xml:space="preserve"> </v>
      </c>
      <c r="N169" t="str">
        <f>LEFT(VLOOKUP(A169, Fechas_Estado!A:AE,22,0),10)</f>
        <v/>
      </c>
      <c r="O169" t="str">
        <f>MID(VLOOKUP(A169, Fechas_Estado!A:AE,22,0),12,8)</f>
        <v/>
      </c>
      <c r="P169" t="str">
        <f t="shared" si="44"/>
        <v xml:space="preserve"> </v>
      </c>
      <c r="Q169" t="str">
        <f>LEFT(VLOOKUP(A169, Fechas_Estado!A:AE,23,0),10)</f>
        <v/>
      </c>
      <c r="R169" t="str">
        <f>MID(VLOOKUP(A169, Fechas_Estado!A:AE,23,0),12,8)</f>
        <v/>
      </c>
      <c r="S169" t="str">
        <f t="shared" si="45"/>
        <v xml:space="preserve"> </v>
      </c>
      <c r="T169" t="str">
        <f>LEFT(VLOOKUP(A169, Fechas_Estado!A:AE,24,0),10)</f>
        <v/>
      </c>
      <c r="U169" t="str">
        <f>MID(VLOOKUP(A169, Fechas_Estado!A:AE,24,0),12,8)</f>
        <v/>
      </c>
      <c r="V169" t="str">
        <f t="shared" si="46"/>
        <v xml:space="preserve"> </v>
      </c>
      <c r="W169" t="str">
        <f>LEFT(VLOOKUP(A169, Fechas_Estado!A:AE,25,0),10)</f>
        <v>2024-07-09</v>
      </c>
      <c r="X169" t="str">
        <f>MID(VLOOKUP(A169, Fechas_Estado!A:AE,25,0),12,8)</f>
        <v>10:14:58</v>
      </c>
      <c r="Y169" t="str">
        <f t="shared" si="47"/>
        <v>2024-07-09 10:14:58</v>
      </c>
      <c r="Z169" t="str">
        <f>LEFT(VLOOKUP(A169, Fechas_Estado!A:AE,26,0),10)</f>
        <v>2024-07-24</v>
      </c>
      <c r="AA169" t="str">
        <f>MID(VLOOKUP(A169, Fechas_Estado!A:AE,26,0),12,8)</f>
        <v>10:26:04</v>
      </c>
      <c r="AB169" t="str">
        <f t="shared" si="48"/>
        <v>2024-07-24 10:26:04</v>
      </c>
      <c r="AC169" t="str">
        <f>LEFT(VLOOKUP(A169, Fechas_Estado!A:AE,27,0),10)</f>
        <v>2024-08-20</v>
      </c>
      <c r="AD169" t="str">
        <f>MID(VLOOKUP(A169, Fechas_Estado!A:AE,27,0),12,8)</f>
        <v>13:55:59</v>
      </c>
      <c r="AE169" t="str">
        <f t="shared" si="49"/>
        <v>2024-08-20 13:55:59</v>
      </c>
      <c r="AF169" t="str">
        <f>LEFT(VLOOKUP(A169, Fechas_Estado!A:AF,28,0),10)</f>
        <v/>
      </c>
      <c r="AG169" t="str">
        <f>MID(VLOOKUP(A169, Fechas_Estado!A:AF,28,0),12,8)</f>
        <v/>
      </c>
      <c r="AH169" t="str">
        <f t="shared" si="50"/>
        <v xml:space="preserve"> </v>
      </c>
      <c r="AI169" t="str">
        <f>LEFT(VLOOKUP(A169, Fechas_Estado!A:AF,16,0),10)</f>
        <v>2024-08-21</v>
      </c>
      <c r="AJ169" t="str">
        <f>MID(VLOOKUP(A169, Fechas_Estado!A:AF,16,0),12,8)</f>
        <v>14:49:07</v>
      </c>
      <c r="AK169" t="str">
        <f t="shared" si="51"/>
        <v>2024-08-21 14:49:07</v>
      </c>
      <c r="AL169">
        <f t="shared" si="52"/>
        <v>43.197523148148321</v>
      </c>
      <c r="AM169" t="str">
        <f>LEFT(VLOOKUP(A169, Fechas_Estado!A:AE,8,0),10)</f>
        <v>2024-08-28</v>
      </c>
      <c r="AN169" t="str">
        <f>MID(VLOOKUP(A169, Fechas_Estado!A:AE,8,0),12,8)</f>
        <v>11:43:47</v>
      </c>
      <c r="AO169" t="str">
        <f t="shared" si="53"/>
        <v>2024-08-28 11:43:47</v>
      </c>
      <c r="AP169" t="str">
        <f>LEFT(VLOOKUP(A169, Fechas_Estado!A:AE,7,0),10)</f>
        <v>2024-08-30</v>
      </c>
      <c r="AQ169" t="str">
        <f>MID(VLOOKUP(A169, Fechas_Estado!A:AE,7,0),12,8)</f>
        <v>09:17:58</v>
      </c>
      <c r="AR169" t="str">
        <f t="shared" si="54"/>
        <v>2024-08-30 09:17:58</v>
      </c>
      <c r="AS169" t="str">
        <f>LEFT(VLOOKUP(A169, Fechas_Estado!A:AE,10,0),10)</f>
        <v>2024-09-02</v>
      </c>
      <c r="AT169" t="str">
        <f>MID(VLOOKUP(A169, Fechas_Estado!A:AE,10,0),12,8)</f>
        <v>09:29:48</v>
      </c>
      <c r="AU169" t="str">
        <f t="shared" si="55"/>
        <v>2024-09-02 09:29:48</v>
      </c>
      <c r="AV169" t="str">
        <f>LEFT(VLOOKUP(A169, Fechas_Estado!A:AE,17,0),10)</f>
        <v>2024-09-03</v>
      </c>
      <c r="AW169" t="str">
        <f>MID(VLOOKUP(A169, Fechas_Estado!A:AE,17,0),12,8)</f>
        <v>09:04:17</v>
      </c>
      <c r="AX169" t="str">
        <f t="shared" si="56"/>
        <v>2024-09-03 09:04:17</v>
      </c>
      <c r="AY169">
        <f t="shared" si="57"/>
        <v>5.8892361111065838</v>
      </c>
      <c r="AZ169" t="str">
        <f>LEFT(VLOOKUP(A169, Fechas_Estado!A:AE,5,0),10)</f>
        <v>2024-09-17</v>
      </c>
      <c r="BA169" t="str">
        <f>MID(VLOOKUP(A169, Fechas_Estado!A:AE,5,0),12,8)</f>
        <v>09:16:22</v>
      </c>
      <c r="BB169" t="str">
        <f t="shared" si="58"/>
        <v>2024-09-17 09:16:22</v>
      </c>
      <c r="BC169">
        <f t="shared" si="59"/>
        <v>14.008391203708015</v>
      </c>
    </row>
    <row r="170" spans="1:55" x14ac:dyDescent="0.25">
      <c r="A170" t="str">
        <f>Fechas_Estado!A169</f>
        <v>ESPC360-9922</v>
      </c>
      <c r="B170" t="str">
        <f>LEFT(VLOOKUP(A170,Fechas_Estado!A:AE,2,0),10)</f>
        <v>2024-07-12</v>
      </c>
      <c r="C170" t="str">
        <f>MID(VLOOKUP(A170, Fechas_Estado!A:AE,2,0),12,8)</f>
        <v>10:41:27</v>
      </c>
      <c r="D170" t="str">
        <f t="shared" si="40"/>
        <v>2024-07-12 10:41:27</v>
      </c>
      <c r="E170" t="str">
        <f>LEFT(VLOOKUP(A170, Fechas_Estado!A:AE,19,0),10)</f>
        <v/>
      </c>
      <c r="F170" t="str">
        <f>MID(VLOOKUP(A170, Fechas_Estado!A:AE,19,0),12,8)</f>
        <v/>
      </c>
      <c r="G170" t="str">
        <f t="shared" si="41"/>
        <v xml:space="preserve"> </v>
      </c>
      <c r="H170" t="str">
        <f>LEFT(VLOOKUP(A170, Fechas_Estado!A:AE,20,0),10)</f>
        <v/>
      </c>
      <c r="I170" t="str">
        <f>MID(VLOOKUP(A170, Fechas_Estado!A:AE,20,0),12,8)</f>
        <v/>
      </c>
      <c r="J170" t="str">
        <f t="shared" si="42"/>
        <v xml:space="preserve"> </v>
      </c>
      <c r="K170" t="str">
        <f>LEFT(VLOOKUP(A170, Fechas_Estado!A:AE,21,0),10)</f>
        <v/>
      </c>
      <c r="L170" t="str">
        <f>MID(VLOOKUP(A170, Fechas_Estado!A:AE,21,0),12,8)</f>
        <v/>
      </c>
      <c r="M170" t="str">
        <f t="shared" si="43"/>
        <v xml:space="preserve"> </v>
      </c>
      <c r="N170" t="str">
        <f>LEFT(VLOOKUP(A170, Fechas_Estado!A:AE,22,0),10)</f>
        <v/>
      </c>
      <c r="O170" t="str">
        <f>MID(VLOOKUP(A170, Fechas_Estado!A:AE,22,0),12,8)</f>
        <v/>
      </c>
      <c r="P170" t="str">
        <f t="shared" si="44"/>
        <v xml:space="preserve"> </v>
      </c>
      <c r="Q170" t="str">
        <f>LEFT(VLOOKUP(A170, Fechas_Estado!A:AE,23,0),10)</f>
        <v/>
      </c>
      <c r="R170" t="str">
        <f>MID(VLOOKUP(A170, Fechas_Estado!A:AE,23,0),12,8)</f>
        <v/>
      </c>
      <c r="S170" t="str">
        <f t="shared" si="45"/>
        <v xml:space="preserve"> </v>
      </c>
      <c r="T170" t="str">
        <f>LEFT(VLOOKUP(A170, Fechas_Estado!A:AE,24,0),10)</f>
        <v/>
      </c>
      <c r="U170" t="str">
        <f>MID(VLOOKUP(A170, Fechas_Estado!A:AE,24,0),12,8)</f>
        <v/>
      </c>
      <c r="V170" t="str">
        <f t="shared" si="46"/>
        <v xml:space="preserve"> </v>
      </c>
      <c r="W170" t="str">
        <f>LEFT(VLOOKUP(A170, Fechas_Estado!A:AE,25,0),10)</f>
        <v>2024-07-12</v>
      </c>
      <c r="X170" t="str">
        <f>MID(VLOOKUP(A170, Fechas_Estado!A:AE,25,0),12,8)</f>
        <v>10:41:41</v>
      </c>
      <c r="Y170" t="str">
        <f t="shared" si="47"/>
        <v>2024-07-12 10:41:41</v>
      </c>
      <c r="Z170" t="str">
        <f>LEFT(VLOOKUP(A170, Fechas_Estado!A:AE,26,0),10)</f>
        <v>2024-07-12</v>
      </c>
      <c r="AA170" t="str">
        <f>MID(VLOOKUP(A170, Fechas_Estado!A:AE,26,0),12,8)</f>
        <v>11:44:20</v>
      </c>
      <c r="AB170" t="str">
        <f t="shared" si="48"/>
        <v>2024-07-12 11:44:20</v>
      </c>
      <c r="AC170" t="str">
        <f>LEFT(VLOOKUP(A170, Fechas_Estado!A:AE,27,0),10)</f>
        <v/>
      </c>
      <c r="AD170" t="str">
        <f>MID(VLOOKUP(A170, Fechas_Estado!A:AE,27,0),12,8)</f>
        <v/>
      </c>
      <c r="AE170" t="str">
        <f t="shared" si="49"/>
        <v xml:space="preserve"> </v>
      </c>
      <c r="AF170" t="str">
        <f>LEFT(VLOOKUP(A170, Fechas_Estado!A:AF,28,0),10)</f>
        <v/>
      </c>
      <c r="AG170" t="str">
        <f>MID(VLOOKUP(A170, Fechas_Estado!A:AF,28,0),12,8)</f>
        <v/>
      </c>
      <c r="AH170" t="str">
        <f t="shared" si="50"/>
        <v xml:space="preserve"> </v>
      </c>
      <c r="AI170" t="str">
        <f>LEFT(VLOOKUP(A170, Fechas_Estado!A:AF,16,0),10)</f>
        <v/>
      </c>
      <c r="AJ170" t="str">
        <f>MID(VLOOKUP(A170, Fechas_Estado!A:AF,16,0),12,8)</f>
        <v/>
      </c>
      <c r="AK170" t="str">
        <f t="shared" si="51"/>
        <v xml:space="preserve"> </v>
      </c>
      <c r="AL170" t="e">
        <f t="shared" si="52"/>
        <v>#VALUE!</v>
      </c>
      <c r="AM170" t="str">
        <f>LEFT(VLOOKUP(A170, Fechas_Estado!A:AE,8,0),10)</f>
        <v/>
      </c>
      <c r="AN170" t="str">
        <f>MID(VLOOKUP(A170, Fechas_Estado!A:AE,8,0),12,8)</f>
        <v/>
      </c>
      <c r="AO170" t="str">
        <f t="shared" si="53"/>
        <v xml:space="preserve"> </v>
      </c>
      <c r="AP170" t="str">
        <f>LEFT(VLOOKUP(A170, Fechas_Estado!A:AE,7,0),10)</f>
        <v/>
      </c>
      <c r="AQ170" t="str">
        <f>MID(VLOOKUP(A170, Fechas_Estado!A:AE,7,0),12,8)</f>
        <v/>
      </c>
      <c r="AR170" t="str">
        <f t="shared" si="54"/>
        <v xml:space="preserve"> </v>
      </c>
      <c r="AS170" t="str">
        <f>LEFT(VLOOKUP(A170, Fechas_Estado!A:AE,10,0),10)</f>
        <v/>
      </c>
      <c r="AT170" t="str">
        <f>MID(VLOOKUP(A170, Fechas_Estado!A:AE,10,0),12,8)</f>
        <v/>
      </c>
      <c r="AU170" t="str">
        <f t="shared" si="55"/>
        <v xml:space="preserve"> </v>
      </c>
      <c r="AV170" t="str">
        <f>LEFT(VLOOKUP(A170, Fechas_Estado!A:AE,17,0),10)</f>
        <v/>
      </c>
      <c r="AW170" t="str">
        <f>MID(VLOOKUP(A170, Fechas_Estado!A:AE,17,0),12,8)</f>
        <v/>
      </c>
      <c r="AX170" t="str">
        <f t="shared" si="56"/>
        <v xml:space="preserve"> </v>
      </c>
      <c r="AY170" t="e">
        <f t="shared" si="57"/>
        <v>#VALUE!</v>
      </c>
      <c r="AZ170" t="str">
        <f>LEFT(VLOOKUP(A170, Fechas_Estado!A:AE,5,0),10)</f>
        <v>2024-07-12</v>
      </c>
      <c r="BA170" t="str">
        <f>MID(VLOOKUP(A170, Fechas_Estado!A:AE,5,0),12,8)</f>
        <v>11:45:44</v>
      </c>
      <c r="BB170" t="str">
        <f t="shared" si="58"/>
        <v>2024-07-12 11:45:44</v>
      </c>
      <c r="BC170" t="e">
        <f t="shared" si="59"/>
        <v>#VALUE!</v>
      </c>
    </row>
    <row r="171" spans="1:55" x14ac:dyDescent="0.25">
      <c r="A171" t="str">
        <f>Fechas_Estado!A170</f>
        <v>ESPC360-9939</v>
      </c>
      <c r="B171" t="str">
        <f>LEFT(VLOOKUP(A171,Fechas_Estado!A:AE,2,0),10)</f>
        <v>2024-07-15</v>
      </c>
      <c r="C171" t="str">
        <f>MID(VLOOKUP(A171, Fechas_Estado!A:AE,2,0),12,8)</f>
        <v>08:14:22</v>
      </c>
      <c r="D171" t="str">
        <f t="shared" si="40"/>
        <v>2024-07-15 08:14:22</v>
      </c>
      <c r="E171" t="str">
        <f>LEFT(VLOOKUP(A171, Fechas_Estado!A:AE,19,0),10)</f>
        <v>2024-07-15</v>
      </c>
      <c r="F171" t="str">
        <f>MID(VLOOKUP(A171, Fechas_Estado!A:AE,19,0),12,8)</f>
        <v>08:22:14</v>
      </c>
      <c r="G171" t="str">
        <f t="shared" si="41"/>
        <v>2024-07-15 08:22:14</v>
      </c>
      <c r="H171" t="str">
        <f>LEFT(VLOOKUP(A171, Fechas_Estado!A:AE,20,0),10)</f>
        <v/>
      </c>
      <c r="I171" t="str">
        <f>MID(VLOOKUP(A171, Fechas_Estado!A:AE,20,0),12,8)</f>
        <v/>
      </c>
      <c r="J171" t="str">
        <f t="shared" si="42"/>
        <v xml:space="preserve"> </v>
      </c>
      <c r="K171" t="str">
        <f>LEFT(VLOOKUP(A171, Fechas_Estado!A:AE,21,0),10)</f>
        <v/>
      </c>
      <c r="L171" t="str">
        <f>MID(VLOOKUP(A171, Fechas_Estado!A:AE,21,0),12,8)</f>
        <v/>
      </c>
      <c r="M171" t="str">
        <f t="shared" si="43"/>
        <v xml:space="preserve"> </v>
      </c>
      <c r="N171" t="str">
        <f>LEFT(VLOOKUP(A171, Fechas_Estado!A:AE,22,0),10)</f>
        <v/>
      </c>
      <c r="O171" t="str">
        <f>MID(VLOOKUP(A171, Fechas_Estado!A:AE,22,0),12,8)</f>
        <v/>
      </c>
      <c r="P171" t="str">
        <f t="shared" si="44"/>
        <v xml:space="preserve"> </v>
      </c>
      <c r="Q171" t="str">
        <f>LEFT(VLOOKUP(A171, Fechas_Estado!A:AE,23,0),10)</f>
        <v/>
      </c>
      <c r="R171" t="str">
        <f>MID(VLOOKUP(A171, Fechas_Estado!A:AE,23,0),12,8)</f>
        <v/>
      </c>
      <c r="S171" t="str">
        <f t="shared" si="45"/>
        <v xml:space="preserve"> </v>
      </c>
      <c r="T171" t="str">
        <f>LEFT(VLOOKUP(A171, Fechas_Estado!A:AE,24,0),10)</f>
        <v/>
      </c>
      <c r="U171" t="str">
        <f>MID(VLOOKUP(A171, Fechas_Estado!A:AE,24,0),12,8)</f>
        <v/>
      </c>
      <c r="V171" t="str">
        <f t="shared" si="46"/>
        <v xml:space="preserve"> </v>
      </c>
      <c r="W171" t="str">
        <f>LEFT(VLOOKUP(A171, Fechas_Estado!A:AE,25,0),10)</f>
        <v>2024-07-15</v>
      </c>
      <c r="X171" t="str">
        <f>MID(VLOOKUP(A171, Fechas_Estado!A:AE,25,0),12,8)</f>
        <v>09:11:01</v>
      </c>
      <c r="Y171" t="str">
        <f t="shared" si="47"/>
        <v>2024-07-15 09:11:01</v>
      </c>
      <c r="Z171" t="str">
        <f>LEFT(VLOOKUP(A171, Fechas_Estado!A:AE,26,0),10)</f>
        <v>2024-08-20</v>
      </c>
      <c r="AA171" t="str">
        <f>MID(VLOOKUP(A171, Fechas_Estado!A:AE,26,0),12,8)</f>
        <v>16:11:32</v>
      </c>
      <c r="AB171" t="str">
        <f t="shared" si="48"/>
        <v>2024-08-20 16:11:32</v>
      </c>
      <c r="AC171" t="str">
        <f>LEFT(VLOOKUP(A171, Fechas_Estado!A:AE,27,0),10)</f>
        <v/>
      </c>
      <c r="AD171" t="str">
        <f>MID(VLOOKUP(A171, Fechas_Estado!A:AE,27,0),12,8)</f>
        <v/>
      </c>
      <c r="AE171" t="str">
        <f t="shared" si="49"/>
        <v xml:space="preserve"> </v>
      </c>
      <c r="AF171" t="str">
        <f>LEFT(VLOOKUP(A171, Fechas_Estado!A:AF,28,0),10)</f>
        <v/>
      </c>
      <c r="AG171" t="str">
        <f>MID(VLOOKUP(A171, Fechas_Estado!A:AF,28,0),12,8)</f>
        <v/>
      </c>
      <c r="AH171" t="str">
        <f t="shared" si="50"/>
        <v xml:space="preserve"> </v>
      </c>
      <c r="AI171" t="str">
        <f>LEFT(VLOOKUP(A171, Fechas_Estado!A:AF,16,0),10)</f>
        <v/>
      </c>
      <c r="AJ171" t="str">
        <f>MID(VLOOKUP(A171, Fechas_Estado!A:AF,16,0),12,8)</f>
        <v/>
      </c>
      <c r="AK171" t="str">
        <f t="shared" si="51"/>
        <v xml:space="preserve"> </v>
      </c>
      <c r="AL171" t="e">
        <f t="shared" si="52"/>
        <v>#VALUE!</v>
      </c>
      <c r="AM171" t="str">
        <f>LEFT(VLOOKUP(A171, Fechas_Estado!A:AE,8,0),10)</f>
        <v/>
      </c>
      <c r="AN171" t="str">
        <f>MID(VLOOKUP(A171, Fechas_Estado!A:AE,8,0),12,8)</f>
        <v/>
      </c>
      <c r="AO171" t="str">
        <f t="shared" si="53"/>
        <v xml:space="preserve"> </v>
      </c>
      <c r="AP171" t="str">
        <f>LEFT(VLOOKUP(A171, Fechas_Estado!A:AE,7,0),10)</f>
        <v/>
      </c>
      <c r="AQ171" t="str">
        <f>MID(VLOOKUP(A171, Fechas_Estado!A:AE,7,0),12,8)</f>
        <v/>
      </c>
      <c r="AR171" t="str">
        <f t="shared" si="54"/>
        <v xml:space="preserve"> </v>
      </c>
      <c r="AS171" t="str">
        <f>LEFT(VLOOKUP(A171, Fechas_Estado!A:AE,10,0),10)</f>
        <v/>
      </c>
      <c r="AT171" t="str">
        <f>MID(VLOOKUP(A171, Fechas_Estado!A:AE,10,0),12,8)</f>
        <v/>
      </c>
      <c r="AU171" t="str">
        <f t="shared" si="55"/>
        <v xml:space="preserve"> </v>
      </c>
      <c r="AV171" t="str">
        <f>LEFT(VLOOKUP(A171, Fechas_Estado!A:AE,17,0),10)</f>
        <v/>
      </c>
      <c r="AW171" t="str">
        <f>MID(VLOOKUP(A171, Fechas_Estado!A:AE,17,0),12,8)</f>
        <v/>
      </c>
      <c r="AX171" t="str">
        <f t="shared" si="56"/>
        <v xml:space="preserve"> </v>
      </c>
      <c r="AY171" t="e">
        <f t="shared" si="57"/>
        <v>#VALUE!</v>
      </c>
      <c r="AZ171" t="str">
        <f>LEFT(VLOOKUP(A171, Fechas_Estado!A:AE,5,0),10)</f>
        <v>2024-09-06</v>
      </c>
      <c r="BA171" t="str">
        <f>MID(VLOOKUP(A171, Fechas_Estado!A:AE,5,0),12,8)</f>
        <v>13:47:19</v>
      </c>
      <c r="BB171" t="str">
        <f t="shared" si="58"/>
        <v>2024-09-06 13:47:19</v>
      </c>
      <c r="BC171" t="e">
        <f t="shared" si="59"/>
        <v>#VALUE!</v>
      </c>
    </row>
    <row r="172" spans="1:55" x14ac:dyDescent="0.25">
      <c r="A172" t="str">
        <f>Fechas_Estado!A171</f>
        <v>ESPC360-9977</v>
      </c>
      <c r="B172" t="str">
        <f>LEFT(VLOOKUP(A172,Fechas_Estado!A:AE,2,0),10)</f>
        <v>2024-07-16</v>
      </c>
      <c r="C172" t="str">
        <f>MID(VLOOKUP(A172, Fechas_Estado!A:AE,2,0),12,8)</f>
        <v>15:39:40</v>
      </c>
      <c r="D172" t="str">
        <f t="shared" si="40"/>
        <v>2024-07-16 15:39:40</v>
      </c>
      <c r="E172" t="str">
        <f>LEFT(VLOOKUP(A172, Fechas_Estado!A:AE,19,0),10)</f>
        <v>2024-07-16</v>
      </c>
      <c r="F172" t="str">
        <f>MID(VLOOKUP(A172, Fechas_Estado!A:AE,19,0),12,8)</f>
        <v>15:40:22</v>
      </c>
      <c r="G172" t="str">
        <f t="shared" si="41"/>
        <v>2024-07-16 15:40:22</v>
      </c>
      <c r="H172" t="str">
        <f>LEFT(VLOOKUP(A172, Fechas_Estado!A:AE,20,0),10)</f>
        <v/>
      </c>
      <c r="I172" t="str">
        <f>MID(VLOOKUP(A172, Fechas_Estado!A:AE,20,0),12,8)</f>
        <v/>
      </c>
      <c r="J172" t="str">
        <f t="shared" si="42"/>
        <v xml:space="preserve"> </v>
      </c>
      <c r="K172" t="str">
        <f>LEFT(VLOOKUP(A172, Fechas_Estado!A:AE,21,0),10)</f>
        <v/>
      </c>
      <c r="L172" t="str">
        <f>MID(VLOOKUP(A172, Fechas_Estado!A:AE,21,0),12,8)</f>
        <v/>
      </c>
      <c r="M172" t="str">
        <f t="shared" si="43"/>
        <v xml:space="preserve"> </v>
      </c>
      <c r="N172" t="str">
        <f>LEFT(VLOOKUP(A172, Fechas_Estado!A:AE,22,0),10)</f>
        <v/>
      </c>
      <c r="O172" t="str">
        <f>MID(VLOOKUP(A172, Fechas_Estado!A:AE,22,0),12,8)</f>
        <v/>
      </c>
      <c r="P172" t="str">
        <f t="shared" si="44"/>
        <v xml:space="preserve"> </v>
      </c>
      <c r="Q172" t="str">
        <f>LEFT(VLOOKUP(A172, Fechas_Estado!A:AE,23,0),10)</f>
        <v/>
      </c>
      <c r="R172" t="str">
        <f>MID(VLOOKUP(A172, Fechas_Estado!A:AE,23,0),12,8)</f>
        <v/>
      </c>
      <c r="S172" t="str">
        <f t="shared" si="45"/>
        <v xml:space="preserve"> </v>
      </c>
      <c r="T172" t="str">
        <f>LEFT(VLOOKUP(A172, Fechas_Estado!A:AE,24,0),10)</f>
        <v/>
      </c>
      <c r="U172" t="str">
        <f>MID(VLOOKUP(A172, Fechas_Estado!A:AE,24,0),12,8)</f>
        <v/>
      </c>
      <c r="V172" t="str">
        <f t="shared" si="46"/>
        <v xml:space="preserve"> </v>
      </c>
      <c r="W172" t="str">
        <f>LEFT(VLOOKUP(A172, Fechas_Estado!A:AE,25,0),10)</f>
        <v>2024-07-17</v>
      </c>
      <c r="X172" t="str">
        <f>MID(VLOOKUP(A172, Fechas_Estado!A:AE,25,0),12,8)</f>
        <v>08:59:08</v>
      </c>
      <c r="Y172" t="str">
        <f t="shared" si="47"/>
        <v>2024-07-17 08:59:08</v>
      </c>
      <c r="Z172" t="str">
        <f>LEFT(VLOOKUP(A172, Fechas_Estado!A:AE,26,0),10)</f>
        <v/>
      </c>
      <c r="AA172" t="str">
        <f>MID(VLOOKUP(A172, Fechas_Estado!A:AE,26,0),12,8)</f>
        <v/>
      </c>
      <c r="AB172" t="str">
        <f t="shared" si="48"/>
        <v xml:space="preserve"> </v>
      </c>
      <c r="AC172" t="str">
        <f>LEFT(VLOOKUP(A172, Fechas_Estado!A:AE,27,0),10)</f>
        <v/>
      </c>
      <c r="AD172" t="str">
        <f>MID(VLOOKUP(A172, Fechas_Estado!A:AE,27,0),12,8)</f>
        <v/>
      </c>
      <c r="AE172" t="str">
        <f t="shared" si="49"/>
        <v xml:space="preserve"> </v>
      </c>
      <c r="AF172" t="str">
        <f>LEFT(VLOOKUP(A172, Fechas_Estado!A:AF,28,0),10)</f>
        <v/>
      </c>
      <c r="AG172" t="str">
        <f>MID(VLOOKUP(A172, Fechas_Estado!A:AF,28,0),12,8)</f>
        <v/>
      </c>
      <c r="AH172" t="str">
        <f t="shared" si="50"/>
        <v xml:space="preserve"> </v>
      </c>
      <c r="AI172" t="str">
        <f>LEFT(VLOOKUP(A172, Fechas_Estado!A:AF,16,0),10)</f>
        <v>2024-07-25</v>
      </c>
      <c r="AJ172" t="str">
        <f>MID(VLOOKUP(A172, Fechas_Estado!A:AF,16,0),12,8)</f>
        <v>12:03:25</v>
      </c>
      <c r="AK172" t="str">
        <f t="shared" si="51"/>
        <v>2024-07-25 12:03:25</v>
      </c>
      <c r="AL172">
        <f t="shared" si="52"/>
        <v>8.8498263888905058</v>
      </c>
      <c r="AM172" t="str">
        <f>LEFT(VLOOKUP(A172, Fechas_Estado!A:AE,8,0),10)</f>
        <v>2024-07-25</v>
      </c>
      <c r="AN172" t="str">
        <f>MID(VLOOKUP(A172, Fechas_Estado!A:AE,8,0),12,8)</f>
        <v>12:04:35</v>
      </c>
      <c r="AO172" t="str">
        <f t="shared" si="53"/>
        <v>2024-07-25 12:04:35</v>
      </c>
      <c r="AP172" t="str">
        <f>LEFT(VLOOKUP(A172, Fechas_Estado!A:AE,7,0),10)</f>
        <v>2024-07-25</v>
      </c>
      <c r="AQ172" t="str">
        <f>MID(VLOOKUP(A172, Fechas_Estado!A:AE,7,0),12,8)</f>
        <v>12:04:38</v>
      </c>
      <c r="AR172" t="str">
        <f t="shared" si="54"/>
        <v>2024-07-25 12:04:38</v>
      </c>
      <c r="AS172" t="str">
        <f>LEFT(VLOOKUP(A172, Fechas_Estado!A:AE,10,0),10)</f>
        <v>2024-07-25</v>
      </c>
      <c r="AT172" t="str">
        <f>MID(VLOOKUP(A172, Fechas_Estado!A:AE,10,0),12,8)</f>
        <v>14:09:35</v>
      </c>
      <c r="AU172" t="str">
        <f t="shared" si="55"/>
        <v>2024-07-25 14:09:35</v>
      </c>
      <c r="AV172" t="str">
        <f>LEFT(VLOOKUP(A172, Fechas_Estado!A:AE,17,0),10)</f>
        <v>2024-07-25</v>
      </c>
      <c r="AW172" t="str">
        <f>MID(VLOOKUP(A172, Fechas_Estado!A:AE,17,0),12,8)</f>
        <v>14:09:41</v>
      </c>
      <c r="AX172" t="str">
        <f t="shared" si="56"/>
        <v>2024-07-25 14:09:41</v>
      </c>
      <c r="AY172">
        <f t="shared" si="57"/>
        <v>8.6875000000873115E-2</v>
      </c>
      <c r="AZ172" t="str">
        <f>LEFT(VLOOKUP(A172, Fechas_Estado!A:AE,5,0),10)</f>
        <v>2024-08-29</v>
      </c>
      <c r="BA172" t="str">
        <f>MID(VLOOKUP(A172, Fechas_Estado!A:AE,5,0),12,8)</f>
        <v>09:22:32</v>
      </c>
      <c r="BB172" t="str">
        <f t="shared" si="58"/>
        <v>2024-08-29 09:22:32</v>
      </c>
      <c r="BC172">
        <f t="shared" si="59"/>
        <v>34.800590277773154</v>
      </c>
    </row>
  </sheetData>
  <mergeCells count="17">
    <mergeCell ref="AM1:AO1"/>
    <mergeCell ref="AP1:AR1"/>
    <mergeCell ref="AS1:AU1"/>
    <mergeCell ref="AV1:AX1"/>
    <mergeCell ref="AZ1:BB1"/>
    <mergeCell ref="AI1:AK1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725D70ED201E4F9231B3B97D9975A3" ma:contentTypeVersion="15" ma:contentTypeDescription="Create a new document." ma:contentTypeScope="" ma:versionID="23897ba10760b4234e37b1de299ec702">
  <xsd:schema xmlns:xsd="http://www.w3.org/2001/XMLSchema" xmlns:xs="http://www.w3.org/2001/XMLSchema" xmlns:p="http://schemas.microsoft.com/office/2006/metadata/properties" xmlns:ns2="3e08a9ea-a6d6-45c4-b88a-6c94edf24e76" xmlns:ns3="be82729c-1c59-4885-bd69-15545a15ef74" targetNamespace="http://schemas.microsoft.com/office/2006/metadata/properties" ma:root="true" ma:fieldsID="c455cee2f92a9310b3675a184642b921" ns2:_="" ns3:_="">
    <xsd:import namespace="3e08a9ea-a6d6-45c4-b88a-6c94edf24e76"/>
    <xsd:import namespace="be82729c-1c59-4885-bd69-15545a15e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8a9ea-a6d6-45c4-b88a-6c94edf24e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2729c-1c59-4885-bd69-15545a15ef7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a3d3f85-3e3a-4dc0-8d29-a14b828b68a2}" ma:internalName="TaxCatchAll" ma:showField="CatchAllData" ma:web="be82729c-1c59-4885-bd69-15545a15ef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08a9ea-a6d6-45c4-b88a-6c94edf24e76">
      <Terms xmlns="http://schemas.microsoft.com/office/infopath/2007/PartnerControls"/>
    </lcf76f155ced4ddcb4097134ff3c332f>
    <TaxCatchAll xmlns="be82729c-1c59-4885-bd69-15545a15ef74" xsi:nil="true"/>
  </documentManagement>
</p:properties>
</file>

<file path=customXml/itemProps1.xml><?xml version="1.0" encoding="utf-8"?>
<ds:datastoreItem xmlns:ds="http://schemas.openxmlformats.org/officeDocument/2006/customXml" ds:itemID="{CF193B55-4F1C-4F2C-8935-85429DCCE9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3813EC-B42F-45CA-BE00-35AAE4C47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8a9ea-a6d6-45c4-b88a-6c94edf24e76"/>
    <ds:schemaRef ds:uri="be82729c-1c59-4885-bd69-15545a15e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45E2D8-6E9F-426C-A174-9D0E082FEACA}">
  <ds:schemaRefs>
    <ds:schemaRef ds:uri="http://schemas.microsoft.com/office/2006/metadata/properties"/>
    <ds:schemaRef ds:uri="http://schemas.microsoft.com/office/infopath/2007/PartnerControls"/>
    <ds:schemaRef ds:uri="3e08a9ea-a6d6-45c4-b88a-6c94edf24e76"/>
    <ds:schemaRef ds:uri="be82729c-1c59-4885-bd69-15545a15ef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Jira BUGS</vt:lpstr>
      <vt:lpstr>Datos Gráficos BUGs</vt:lpstr>
      <vt:lpstr>SLAs</vt:lpstr>
      <vt:lpstr>Cálculos</vt:lpstr>
      <vt:lpstr>Fechas_Estado</vt:lpstr>
      <vt:lpstr>Tratamiento_Fechas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Moreno Gomez Roso Maria Teresa Angel</cp:lastModifiedBy>
  <cp:revision/>
  <dcterms:created xsi:type="dcterms:W3CDTF">2019-07-26T12:47:49Z</dcterms:created>
  <dcterms:modified xsi:type="dcterms:W3CDTF">2025-11-03T14:42:45Z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2024-10-08T11:51:57Z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044187fd-f5fc-477a-8c68-51f9b4558831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0x01010031725D70ED201E4F9231B3B97D9975A3</vt:lpwstr>
  </property>
  <property fmtid="{D5CDD505-2E9C-101B-9397-08002B2CF9AE}" pid="10" name="MediaServiceImageTags">
    <vt:lpwstr/>
  </property>
</Properties>
</file>